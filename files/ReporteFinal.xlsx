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Contabilidad Corporativa\00 Auditoria\SAT\KTRC Aud 2020\AUDITORIA 2020 2° AUXILIAR\"/>
    </mc:Choice>
  </mc:AlternateContent>
  <xr:revisionPtr revIDLastSave="0" documentId="13_ncr:1_{38EE4079-9C86-4A87-8634-99C58F49BB6C}" xr6:coauthVersionLast="47" xr6:coauthVersionMax="47" xr10:uidLastSave="{00000000-0000-0000-0000-000000000000}"/>
  <bookViews>
    <workbookView xWindow="28690" yWindow="-110" windowWidth="29020" windowHeight="15700" firstSheet="4" activeTab="4" xr2:uid="{6A2B74F3-66AE-4141-AC11-7ED856CABE6E}"/>
  </bookViews>
  <sheets>
    <sheet name="Hoja4" sheetId="5" state="hidden" r:id="rId1"/>
    <sheet name="Detalle1" sheetId="26" state="hidden" r:id="rId2"/>
    <sheet name="Hoja6" sheetId="19" state="hidden" r:id="rId3"/>
    <sheet name="Hoja5" sheetId="18" state="hidden" r:id="rId4"/>
    <sheet name="Enero_2020_KTRC_v2" sheetId="1" r:id="rId5"/>
    <sheet name="EJEMPLO " sheetId="27" state="hidden" r:id="rId6"/>
    <sheet name="Hoja2" sheetId="23" state="hidden" r:id="rId7"/>
    <sheet name="Hoja8" sheetId="21" state="hidden" r:id="rId8"/>
    <sheet name="Hoja1" sheetId="2" state="hidden" r:id="rId9"/>
  </sheets>
  <definedNames>
    <definedName name="_xlnm._FilterDatabase" localSheetId="4" hidden="1">Enero_2020_KTRC_v2!$A$2:$AM$2447</definedName>
    <definedName name="_xlnm._FilterDatabase" localSheetId="3" hidden="1">Hoja5!$F$3:$J$123</definedName>
  </definedNames>
  <calcPr calcId="191029"/>
  <pivotCaches>
    <pivotCache cacheId="1" r:id="rId10"/>
    <pivotCache cacheId="2" r:id="rId11"/>
    <pivotCache cacheId="3" r:id="rId12"/>
    <pivotCache cacheId="4" r:id="rId13"/>
    <pivotCache cacheId="5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/>
  <c r="I6" i="19"/>
  <c r="I4" i="19"/>
  <c r="J5" i="19"/>
  <c r="J6" i="19"/>
  <c r="J7" i="19"/>
  <c r="J8" i="19"/>
  <c r="J9" i="19"/>
  <c r="J10" i="19"/>
  <c r="J11" i="19"/>
  <c r="J12" i="19"/>
  <c r="J4" i="19"/>
  <c r="I5" i="19"/>
  <c r="I7" i="19"/>
  <c r="I8" i="19"/>
  <c r="I9" i="19"/>
  <c r="I10" i="19"/>
  <c r="I11" i="19"/>
  <c r="I12" i="19"/>
  <c r="H14" i="19"/>
  <c r="G14" i="19"/>
  <c r="AF1662" i="1"/>
  <c r="F5" i="19"/>
  <c r="F6" i="19"/>
  <c r="F7" i="19"/>
  <c r="F8" i="19"/>
  <c r="F9" i="19"/>
  <c r="F10" i="19"/>
  <c r="F11" i="19"/>
  <c r="F12" i="19"/>
  <c r="F13" i="19"/>
  <c r="F4" i="19"/>
  <c r="G14" i="5"/>
  <c r="F5" i="5"/>
  <c r="F6" i="5"/>
  <c r="F7" i="5"/>
  <c r="F8" i="5"/>
  <c r="F9" i="5"/>
  <c r="F10" i="5"/>
  <c r="F11" i="5"/>
  <c r="F12" i="5"/>
  <c r="F13" i="5"/>
  <c r="F4" i="5"/>
  <c r="AC2396" i="1"/>
  <c r="AF2396" i="1" s="1"/>
  <c r="AC1992" i="1"/>
  <c r="AF1992" i="1" s="1"/>
  <c r="AF2000" i="1"/>
  <c r="AF1693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C2414" i="1" s="1"/>
  <c r="AF2414" i="1" s="1"/>
  <c r="AA2413" i="1"/>
  <c r="AC2413" i="1" s="1"/>
  <c r="AF2413" i="1" s="1"/>
  <c r="AA2412" i="1"/>
  <c r="AC2412" i="1" s="1"/>
  <c r="AF2412" i="1" s="1"/>
  <c r="AA2411" i="1"/>
  <c r="AA2410" i="1"/>
  <c r="AA2409" i="1"/>
  <c r="AA2408" i="1"/>
  <c r="AA2407" i="1"/>
  <c r="AA2406" i="1"/>
  <c r="AA2405" i="1"/>
  <c r="AA2404" i="1"/>
  <c r="AC2404" i="1" s="1"/>
  <c r="AF2404" i="1" s="1"/>
  <c r="AA2403" i="1"/>
  <c r="AA2402" i="1"/>
  <c r="AC2402" i="1" s="1"/>
  <c r="AF2402" i="1" s="1"/>
  <c r="AA2401" i="1"/>
  <c r="AC2401" i="1" s="1"/>
  <c r="AF2401" i="1" s="1"/>
  <c r="AA2400" i="1"/>
  <c r="AC2400" i="1" s="1"/>
  <c r="AF2400" i="1" s="1"/>
  <c r="AA2399" i="1"/>
  <c r="AA2398" i="1"/>
  <c r="AC2398" i="1" s="1"/>
  <c r="AF2398" i="1" s="1"/>
  <c r="AA2397" i="1"/>
  <c r="AC2397" i="1" s="1"/>
  <c r="AF2397" i="1" s="1"/>
  <c r="AA2396" i="1"/>
  <c r="AA2395" i="1"/>
  <c r="AC2395" i="1" s="1"/>
  <c r="AF2395" i="1" s="1"/>
  <c r="AA2394" i="1"/>
  <c r="AC2394" i="1" s="1"/>
  <c r="AF2394" i="1" s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B2363" i="1" s="1"/>
  <c r="AC2363" i="1" s="1"/>
  <c r="AF2363" i="1" s="1"/>
  <c r="AA2362" i="1"/>
  <c r="AB2362" i="1" s="1"/>
  <c r="AC2362" i="1" s="1"/>
  <c r="AF2362" i="1" s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C2344" i="1" s="1"/>
  <c r="AF2344" i="1" s="1"/>
  <c r="AA2343" i="1"/>
  <c r="AC2343" i="1" s="1"/>
  <c r="AF2343" i="1" s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C2330" i="1" s="1"/>
  <c r="AF2330" i="1" s="1"/>
  <c r="AA2329" i="1"/>
  <c r="AC2329" i="1" s="1"/>
  <c r="AF2329" i="1" s="1"/>
  <c r="AA2328" i="1"/>
  <c r="AC2328" i="1" s="1"/>
  <c r="AF2328" i="1" s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6" i="1"/>
  <c r="AA2305" i="1"/>
  <c r="AA2304" i="1"/>
  <c r="AA2303" i="1"/>
  <c r="AA2302" i="1"/>
  <c r="AA2301" i="1"/>
  <c r="AB2301" i="1" s="1"/>
  <c r="AC2301" i="1" s="1"/>
  <c r="AF2301" i="1" s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B2288" i="1" s="1"/>
  <c r="AC2288" i="1" s="1"/>
  <c r="AF2288" i="1" s="1"/>
  <c r="AA2287" i="1"/>
  <c r="AC2287" i="1" s="1"/>
  <c r="AF2287" i="1" s="1"/>
  <c r="AA2286" i="1"/>
  <c r="AA2285" i="1"/>
  <c r="AA2284" i="1"/>
  <c r="AA2283" i="1"/>
  <c r="AA2282" i="1"/>
  <c r="AA2281" i="1"/>
  <c r="AA2280" i="1"/>
  <c r="AA2279" i="1"/>
  <c r="AA2278" i="1"/>
  <c r="AB2278" i="1" s="1"/>
  <c r="AC2278" i="1" s="1"/>
  <c r="AF2278" i="1" s="1"/>
  <c r="AA2277" i="1"/>
  <c r="AB2277" i="1" s="1"/>
  <c r="AA2276" i="1"/>
  <c r="AB2276" i="1" s="1"/>
  <c r="AA2275" i="1"/>
  <c r="AB2275" i="1" s="1"/>
  <c r="AC2275" i="1" s="1"/>
  <c r="AF2275" i="1" s="1"/>
  <c r="AA2274" i="1"/>
  <c r="AB2274" i="1" s="1"/>
  <c r="AC2274" i="1" s="1"/>
  <c r="AF2274" i="1" s="1"/>
  <c r="AA2273" i="1"/>
  <c r="AB2273" i="1" s="1"/>
  <c r="AC2273" i="1" s="1"/>
  <c r="AF2273" i="1" s="1"/>
  <c r="AA2272" i="1"/>
  <c r="AB2272" i="1" s="1"/>
  <c r="AC2272" i="1" s="1"/>
  <c r="AF2272" i="1" s="1"/>
  <c r="AA2271" i="1"/>
  <c r="AB2271" i="1" s="1"/>
  <c r="AC2271" i="1" s="1"/>
  <c r="AF2271" i="1" s="1"/>
  <c r="AA2270" i="1"/>
  <c r="AB2270" i="1" s="1"/>
  <c r="AC2270" i="1" s="1"/>
  <c r="AF2270" i="1" s="1"/>
  <c r="AA2269" i="1"/>
  <c r="AB2269" i="1" s="1"/>
  <c r="AC2269" i="1" s="1"/>
  <c r="AF2269" i="1" s="1"/>
  <c r="AA2268" i="1"/>
  <c r="AB2268" i="1" s="1"/>
  <c r="AC2268" i="1" s="1"/>
  <c r="AF2268" i="1" s="1"/>
  <c r="AA2267" i="1"/>
  <c r="AB2267" i="1" s="1"/>
  <c r="AC2267" i="1" s="1"/>
  <c r="AF2267" i="1" s="1"/>
  <c r="AA2266" i="1"/>
  <c r="AB2266" i="1" s="1"/>
  <c r="AC2266" i="1" s="1"/>
  <c r="AF2266" i="1" s="1"/>
  <c r="AA2265" i="1"/>
  <c r="AA2264" i="1"/>
  <c r="AB2264" i="1" s="1"/>
  <c r="AC2264" i="1" s="1"/>
  <c r="AF2264" i="1" s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C2024" i="1" s="1"/>
  <c r="AF2024" i="1" s="1"/>
  <c r="AA2023" i="1"/>
  <c r="AA2022" i="1"/>
  <c r="AC2022" i="1" s="1"/>
  <c r="AF2022" i="1" s="1"/>
  <c r="AA2021" i="1"/>
  <c r="AB2021" i="1" s="1"/>
  <c r="AC2021" i="1" s="1"/>
  <c r="AF2021" i="1" s="1"/>
  <c r="AA2020" i="1"/>
  <c r="AA2019" i="1"/>
  <c r="AA2018" i="1"/>
  <c r="AA2017" i="1"/>
  <c r="AA2016" i="1"/>
  <c r="AA2015" i="1"/>
  <c r="AA2014" i="1"/>
  <c r="AA2013" i="1"/>
  <c r="AA2012" i="1"/>
  <c r="AC2012" i="1" s="1"/>
  <c r="AF2012" i="1" s="1"/>
  <c r="AA2011" i="1"/>
  <c r="AC2011" i="1" s="1"/>
  <c r="AF2011" i="1" s="1"/>
  <c r="AA2010" i="1"/>
  <c r="AA2009" i="1"/>
  <c r="AA2008" i="1"/>
  <c r="AA2007" i="1"/>
  <c r="AA2006" i="1"/>
  <c r="AA2005" i="1"/>
  <c r="AA2004" i="1"/>
  <c r="AA2003" i="1"/>
  <c r="AA2002" i="1"/>
  <c r="AA2001" i="1"/>
  <c r="AC2001" i="1" s="1"/>
  <c r="AF2001" i="1" s="1"/>
  <c r="AA2000" i="1"/>
  <c r="AC2000" i="1" s="1"/>
  <c r="AA1999" i="1"/>
  <c r="AA1998" i="1"/>
  <c r="AA1997" i="1"/>
  <c r="AA1996" i="1"/>
  <c r="AA1995" i="1"/>
  <c r="AA1994" i="1"/>
  <c r="AA1993" i="1"/>
  <c r="AC1993" i="1" s="1"/>
  <c r="AF1993" i="1" s="1"/>
  <c r="AA1992" i="1"/>
  <c r="AA1991" i="1"/>
  <c r="AC1991" i="1" s="1"/>
  <c r="AF1991" i="1" s="1"/>
  <c r="AA1990" i="1"/>
  <c r="AC1990" i="1" s="1"/>
  <c r="AF1990" i="1" s="1"/>
  <c r="AA1989" i="1"/>
  <c r="AC1989" i="1" s="1"/>
  <c r="AF1989" i="1" s="1"/>
  <c r="AA1988" i="1"/>
  <c r="AC1988" i="1" s="1"/>
  <c r="AF1988" i="1" s="1"/>
  <c r="AA1987" i="1"/>
  <c r="AA1986" i="1"/>
  <c r="AC1986" i="1" s="1"/>
  <c r="AF1986" i="1" s="1"/>
  <c r="AA1985" i="1"/>
  <c r="AA1984" i="1"/>
  <c r="AA1983" i="1"/>
  <c r="AA1982" i="1"/>
  <c r="AA1981" i="1"/>
  <c r="AA1980" i="1"/>
  <c r="AA1979" i="1"/>
  <c r="AA1978" i="1"/>
  <c r="AC1978" i="1" s="1"/>
  <c r="AA1977" i="1"/>
  <c r="AA1976" i="1"/>
  <c r="AB1976" i="1" s="1"/>
  <c r="AC1976" i="1" s="1"/>
  <c r="AF1976" i="1" s="1"/>
  <c r="AA1975" i="1"/>
  <c r="AA1974" i="1"/>
  <c r="AC1974" i="1" s="1"/>
  <c r="AF1974" i="1" s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C1948" i="1" s="1"/>
  <c r="AF1948" i="1" s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B1935" i="1" s="1"/>
  <c r="AC1935" i="1" s="1"/>
  <c r="AF1935" i="1" s="1"/>
  <c r="AA1934" i="1"/>
  <c r="AA1933" i="1"/>
  <c r="AB1933" i="1" s="1"/>
  <c r="AC1933" i="1" s="1"/>
  <c r="AF1933" i="1" s="1"/>
  <c r="AA1932" i="1"/>
  <c r="AC1932" i="1" s="1"/>
  <c r="AF1932" i="1" s="1"/>
  <c r="AA1931" i="1"/>
  <c r="AC1931" i="1" s="1"/>
  <c r="AF1931" i="1" s="1"/>
  <c r="AA1930" i="1"/>
  <c r="AA1929" i="1"/>
  <c r="AC1929" i="1" s="1"/>
  <c r="AF1929" i="1" s="1"/>
  <c r="AA1928" i="1"/>
  <c r="AA1927" i="1"/>
  <c r="AC1927" i="1" s="1"/>
  <c r="AF1927" i="1" s="1"/>
  <c r="AA1926" i="1"/>
  <c r="AC1926" i="1" s="1"/>
  <c r="AF1926" i="1" s="1"/>
  <c r="AA1925" i="1"/>
  <c r="AC1925" i="1" s="1"/>
  <c r="AF1925" i="1" s="1"/>
  <c r="AA1924" i="1"/>
  <c r="AA1923" i="1"/>
  <c r="AB1923" i="1" s="1"/>
  <c r="AC1923" i="1" s="1"/>
  <c r="AF1923" i="1" s="1"/>
  <c r="AA1922" i="1"/>
  <c r="AC1922" i="1" s="1"/>
  <c r="AF1922" i="1" s="1"/>
  <c r="AA1921" i="1"/>
  <c r="AC1921" i="1" s="1"/>
  <c r="AF1921" i="1" s="1"/>
  <c r="AA1920" i="1"/>
  <c r="AC1920" i="1" s="1"/>
  <c r="AF1920" i="1" s="1"/>
  <c r="AA1919" i="1"/>
  <c r="AC1919" i="1" s="1"/>
  <c r="AF1919" i="1" s="1"/>
  <c r="AA1918" i="1"/>
  <c r="AA1917" i="1"/>
  <c r="AA1916" i="1"/>
  <c r="AA1915" i="1"/>
  <c r="AC1915" i="1" s="1"/>
  <c r="AF1915" i="1" s="1"/>
  <c r="AA1914" i="1"/>
  <c r="AA1913" i="1"/>
  <c r="AC1913" i="1" s="1"/>
  <c r="AF1913" i="1" s="1"/>
  <c r="AA1912" i="1"/>
  <c r="AA1911" i="1"/>
  <c r="AA1910" i="1"/>
  <c r="AA1909" i="1"/>
  <c r="AA1908" i="1"/>
  <c r="AA1907" i="1"/>
  <c r="AA1906" i="1"/>
  <c r="AA1905" i="1"/>
  <c r="AC1905" i="1" s="1"/>
  <c r="AF1905" i="1" s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B1839" i="1" s="1"/>
  <c r="AC1839" i="1" s="1"/>
  <c r="AF1839" i="1" s="1"/>
  <c r="AA1838" i="1"/>
  <c r="AB1838" i="1" s="1"/>
  <c r="AC1838" i="1" s="1"/>
  <c r="AF1838" i="1" s="1"/>
  <c r="AA1837" i="1"/>
  <c r="AB1837" i="1" s="1"/>
  <c r="AC1837" i="1" s="1"/>
  <c r="AF1837" i="1" s="1"/>
  <c r="AA1836" i="1"/>
  <c r="AB1836" i="1" s="1"/>
  <c r="AC1836" i="1" s="1"/>
  <c r="AF1836" i="1" s="1"/>
  <c r="AA1835" i="1"/>
  <c r="AB1835" i="1" s="1"/>
  <c r="AC1835" i="1" s="1"/>
  <c r="AF1835" i="1" s="1"/>
  <c r="AA1834" i="1"/>
  <c r="AB1834" i="1" s="1"/>
  <c r="AC1834" i="1" s="1"/>
  <c r="AF1834" i="1" s="1"/>
  <c r="AA1833" i="1"/>
  <c r="AB1833" i="1" s="1"/>
  <c r="AA1832" i="1"/>
  <c r="AB1832" i="1" s="1"/>
  <c r="AC1832" i="1" s="1"/>
  <c r="AF1832" i="1" s="1"/>
  <c r="AA1831" i="1"/>
  <c r="AB1831" i="1" s="1"/>
  <c r="AA1830" i="1"/>
  <c r="AB1830" i="1" s="1"/>
  <c r="AC1830" i="1" s="1"/>
  <c r="AF1830" i="1" s="1"/>
  <c r="AA1829" i="1"/>
  <c r="AB1829" i="1" s="1"/>
  <c r="AA1828" i="1"/>
  <c r="AB1828" i="1" s="1"/>
  <c r="AC1828" i="1" s="1"/>
  <c r="AF1828" i="1" s="1"/>
  <c r="AA1827" i="1"/>
  <c r="AB1827" i="1" s="1"/>
  <c r="AC1827" i="1" s="1"/>
  <c r="AF1827" i="1" s="1"/>
  <c r="AA1826" i="1"/>
  <c r="AB1826" i="1" s="1"/>
  <c r="AC1826" i="1" s="1"/>
  <c r="AF1826" i="1" s="1"/>
  <c r="AA1825" i="1"/>
  <c r="AB1825" i="1" s="1"/>
  <c r="AA1824" i="1"/>
  <c r="AB1824" i="1" s="1"/>
  <c r="AC1824" i="1" s="1"/>
  <c r="AF1824" i="1" s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B1795" i="1" s="1"/>
  <c r="AC1795" i="1" s="1"/>
  <c r="AF1795" i="1" s="1"/>
  <c r="AA1794" i="1"/>
  <c r="AB1794" i="1" s="1"/>
  <c r="AC1794" i="1" s="1"/>
  <c r="AF1794" i="1" s="1"/>
  <c r="AA1793" i="1"/>
  <c r="AB1793" i="1" s="1"/>
  <c r="AC1793" i="1" s="1"/>
  <c r="AF1793" i="1" s="1"/>
  <c r="AA1792" i="1"/>
  <c r="AB1792" i="1" s="1"/>
  <c r="AC1792" i="1" s="1"/>
  <c r="AF1792" i="1" s="1"/>
  <c r="AA1791" i="1"/>
  <c r="AB1791" i="1" s="1"/>
  <c r="AC1791" i="1" s="1"/>
  <c r="AF1791" i="1" s="1"/>
  <c r="AA1790" i="1"/>
  <c r="AB1790" i="1" s="1"/>
  <c r="AC1790" i="1" s="1"/>
  <c r="AF1790" i="1" s="1"/>
  <c r="AA1789" i="1"/>
  <c r="AB1789" i="1" s="1"/>
  <c r="AC1789" i="1" s="1"/>
  <c r="AF1789" i="1" s="1"/>
  <c r="AA1788" i="1"/>
  <c r="AB1788" i="1" s="1"/>
  <c r="AA1787" i="1"/>
  <c r="AB1787" i="1" s="1"/>
  <c r="AC1787" i="1" s="1"/>
  <c r="AF1787" i="1" s="1"/>
  <c r="AA1786" i="1"/>
  <c r="AB1786" i="1" s="1"/>
  <c r="AC1786" i="1" s="1"/>
  <c r="AF1786" i="1" s="1"/>
  <c r="AA1785" i="1"/>
  <c r="AB1785" i="1" s="1"/>
  <c r="AC1785" i="1" s="1"/>
  <c r="AF1785" i="1" s="1"/>
  <c r="AA1784" i="1"/>
  <c r="AB1784" i="1" s="1"/>
  <c r="AC1784" i="1" s="1"/>
  <c r="AF1784" i="1" s="1"/>
  <c r="AA1783" i="1"/>
  <c r="AB1783" i="1" s="1"/>
  <c r="AC1783" i="1" s="1"/>
  <c r="AF1783" i="1" s="1"/>
  <c r="AA1782" i="1"/>
  <c r="AB1782" i="1" s="1"/>
  <c r="AA1781" i="1"/>
  <c r="AB1781" i="1" s="1"/>
  <c r="AC1781" i="1" s="1"/>
  <c r="AF1781" i="1" s="1"/>
  <c r="AA1780" i="1"/>
  <c r="AB1780" i="1" s="1"/>
  <c r="AC1780" i="1" s="1"/>
  <c r="AF1780" i="1" s="1"/>
  <c r="AA1779" i="1"/>
  <c r="AB1779" i="1" s="1"/>
  <c r="AC1779" i="1" s="1"/>
  <c r="AF1779" i="1" s="1"/>
  <c r="AA1778" i="1"/>
  <c r="AB1778" i="1" s="1"/>
  <c r="AC1778" i="1" s="1"/>
  <c r="AF1778" i="1" s="1"/>
  <c r="AA1777" i="1"/>
  <c r="AB1777" i="1" s="1"/>
  <c r="AC1777" i="1" s="1"/>
  <c r="AF1777" i="1" s="1"/>
  <c r="AA1776" i="1"/>
  <c r="AB1776" i="1" s="1"/>
  <c r="AC1776" i="1" s="1"/>
  <c r="AF1776" i="1" s="1"/>
  <c r="AA1775" i="1"/>
  <c r="AB1775" i="1" s="1"/>
  <c r="AA1774" i="1"/>
  <c r="AB1774" i="1" s="1"/>
  <c r="AC1774" i="1" s="1"/>
  <c r="AF1774" i="1" s="1"/>
  <c r="AA1773" i="1"/>
  <c r="AB1773" i="1" s="1"/>
  <c r="AC1773" i="1" s="1"/>
  <c r="AF1773" i="1" s="1"/>
  <c r="AA1772" i="1"/>
  <c r="AB1772" i="1" s="1"/>
  <c r="AC1772" i="1" s="1"/>
  <c r="AF1772" i="1" s="1"/>
  <c r="AA1771" i="1"/>
  <c r="AB1771" i="1" s="1"/>
  <c r="AA1770" i="1"/>
  <c r="AB1770" i="1" s="1"/>
  <c r="AC1770" i="1" s="1"/>
  <c r="AF1770" i="1" s="1"/>
  <c r="AA1769" i="1"/>
  <c r="AB1769" i="1" s="1"/>
  <c r="AA1768" i="1"/>
  <c r="AB1768" i="1" s="1"/>
  <c r="AC1768" i="1" s="1"/>
  <c r="AF1768" i="1" s="1"/>
  <c r="AA1767" i="1"/>
  <c r="AB1767" i="1" s="1"/>
  <c r="AC1767" i="1" s="1"/>
  <c r="AF1767" i="1" s="1"/>
  <c r="AA1766" i="1"/>
  <c r="AB1766" i="1" s="1"/>
  <c r="AA1765" i="1"/>
  <c r="AB1765" i="1" s="1"/>
  <c r="AC1765" i="1" s="1"/>
  <c r="AF1765" i="1" s="1"/>
  <c r="AA1764" i="1"/>
  <c r="AC1764" i="1" s="1"/>
  <c r="AF1764" i="1" s="1"/>
  <c r="AA1763" i="1"/>
  <c r="AC1763" i="1" s="1"/>
  <c r="AF1763" i="1" s="1"/>
  <c r="AA1762" i="1"/>
  <c r="AC1762" i="1" s="1"/>
  <c r="AF1762" i="1" s="1"/>
  <c r="AA1761" i="1"/>
  <c r="AA1760" i="1"/>
  <c r="AC1760" i="1" s="1"/>
  <c r="AA1759" i="1"/>
  <c r="AC1759" i="1" s="1"/>
  <c r="AA1758" i="1"/>
  <c r="AC1758" i="1" s="1"/>
  <c r="AA1757" i="1"/>
  <c r="AA1756" i="1"/>
  <c r="AC1756" i="1" s="1"/>
  <c r="AF1756" i="1" s="1"/>
  <c r="AA1755" i="1"/>
  <c r="AA1754" i="1"/>
  <c r="AA1753" i="1"/>
  <c r="AA1752" i="1"/>
  <c r="AB1752" i="1" s="1"/>
  <c r="AC1752" i="1" s="1"/>
  <c r="AF1752" i="1" s="1"/>
  <c r="AA1751" i="1"/>
  <c r="AA1750" i="1"/>
  <c r="AA1749" i="1"/>
  <c r="AB1749" i="1" s="1"/>
  <c r="AC1749" i="1" s="1"/>
  <c r="AF1749" i="1" s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B1724" i="1" s="1"/>
  <c r="AC1724" i="1" s="1"/>
  <c r="AF1724" i="1" s="1"/>
  <c r="AA1723" i="1"/>
  <c r="AB1723" i="1" s="1"/>
  <c r="AC1723" i="1" s="1"/>
  <c r="AF1723" i="1" s="1"/>
  <c r="AA1722" i="1"/>
  <c r="AB1722" i="1" s="1"/>
  <c r="AC1722" i="1" s="1"/>
  <c r="AF1722" i="1" s="1"/>
  <c r="AA1721" i="1"/>
  <c r="AB1721" i="1" s="1"/>
  <c r="AC1721" i="1" s="1"/>
  <c r="AF1721" i="1" s="1"/>
  <c r="AA1720" i="1"/>
  <c r="AB1720" i="1" s="1"/>
  <c r="AC1720" i="1" s="1"/>
  <c r="AF1720" i="1" s="1"/>
  <c r="AA1719" i="1"/>
  <c r="AB1719" i="1" s="1"/>
  <c r="AC1719" i="1" s="1"/>
  <c r="AF1719" i="1" s="1"/>
  <c r="AA1718" i="1"/>
  <c r="AB1718" i="1" s="1"/>
  <c r="AC1718" i="1" s="1"/>
  <c r="AF1718" i="1" s="1"/>
  <c r="AA1717" i="1"/>
  <c r="AB1717" i="1" s="1"/>
  <c r="AC1717" i="1" s="1"/>
  <c r="AF1717" i="1" s="1"/>
  <c r="AA1716" i="1"/>
  <c r="AB1716" i="1" s="1"/>
  <c r="AC1716" i="1" s="1"/>
  <c r="AF1716" i="1" s="1"/>
  <c r="AA1715" i="1"/>
  <c r="AB1715" i="1" s="1"/>
  <c r="AC1715" i="1" s="1"/>
  <c r="AF1715" i="1" s="1"/>
  <c r="AA1714" i="1"/>
  <c r="AB1714" i="1" s="1"/>
  <c r="AC1714" i="1" s="1"/>
  <c r="AF1714" i="1" s="1"/>
  <c r="AA1713" i="1"/>
  <c r="AB1713" i="1" s="1"/>
  <c r="AC1713" i="1" s="1"/>
  <c r="AF1713" i="1" s="1"/>
  <c r="AA1712" i="1"/>
  <c r="AB1712" i="1" s="1"/>
  <c r="AC1712" i="1" s="1"/>
  <c r="AF1712" i="1" s="1"/>
  <c r="AA1711" i="1"/>
  <c r="AB1711" i="1" s="1"/>
  <c r="AC1711" i="1" s="1"/>
  <c r="AF1711" i="1" s="1"/>
  <c r="AA1710" i="1"/>
  <c r="AB1710" i="1" s="1"/>
  <c r="AC1710" i="1" s="1"/>
  <c r="AF1710" i="1" s="1"/>
  <c r="AA1709" i="1"/>
  <c r="AB1709" i="1" s="1"/>
  <c r="AC1709" i="1" s="1"/>
  <c r="AF1709" i="1" s="1"/>
  <c r="AA1708" i="1"/>
  <c r="AB1708" i="1" s="1"/>
  <c r="AC1708" i="1" s="1"/>
  <c r="AF1708" i="1" s="1"/>
  <c r="AA1707" i="1"/>
  <c r="AB1707" i="1" s="1"/>
  <c r="AC1707" i="1" s="1"/>
  <c r="AF1707" i="1" s="1"/>
  <c r="AA1706" i="1"/>
  <c r="AB1706" i="1" s="1"/>
  <c r="AC1706" i="1" s="1"/>
  <c r="AF1706" i="1" s="1"/>
  <c r="AA1705" i="1"/>
  <c r="AB1705" i="1" s="1"/>
  <c r="AC1705" i="1" s="1"/>
  <c r="AF1705" i="1" s="1"/>
  <c r="AA1704" i="1"/>
  <c r="AB1704" i="1" s="1"/>
  <c r="AC1704" i="1" s="1"/>
  <c r="AF1704" i="1" s="1"/>
  <c r="AA1703" i="1"/>
  <c r="AB1703" i="1" s="1"/>
  <c r="AC1703" i="1" s="1"/>
  <c r="AF1703" i="1" s="1"/>
  <c r="AA1702" i="1"/>
  <c r="AB1702" i="1" s="1"/>
  <c r="AC1702" i="1" s="1"/>
  <c r="AF1702" i="1" s="1"/>
  <c r="AA1701" i="1"/>
  <c r="AB1701" i="1" s="1"/>
  <c r="AC1701" i="1" s="1"/>
  <c r="AF1701" i="1" s="1"/>
  <c r="AA1700" i="1"/>
  <c r="AB1700" i="1" s="1"/>
  <c r="AC1700" i="1" s="1"/>
  <c r="AF1700" i="1" s="1"/>
  <c r="AA1699" i="1"/>
  <c r="AB1699" i="1" s="1"/>
  <c r="AC1699" i="1" s="1"/>
  <c r="AF1699" i="1" s="1"/>
  <c r="AA1698" i="1"/>
  <c r="AB1698" i="1" s="1"/>
  <c r="AC1698" i="1" s="1"/>
  <c r="AF1698" i="1" s="1"/>
  <c r="AA1697" i="1"/>
  <c r="AB1697" i="1" s="1"/>
  <c r="AC1697" i="1" s="1"/>
  <c r="AF1697" i="1" s="1"/>
  <c r="AA1696" i="1"/>
  <c r="AB1696" i="1" s="1"/>
  <c r="AC1696" i="1" s="1"/>
  <c r="AF1696" i="1" s="1"/>
  <c r="AA1695" i="1"/>
  <c r="AA1694" i="1"/>
  <c r="AA1693" i="1"/>
  <c r="AB1693" i="1" s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C1604" i="1" s="1"/>
  <c r="AA1603" i="1"/>
  <c r="AC1603" i="1" s="1"/>
  <c r="AF1603" i="1" s="1"/>
  <c r="AA1602" i="1"/>
  <c r="AC1602" i="1" s="1"/>
  <c r="AF1602" i="1" s="1"/>
  <c r="AA1601" i="1"/>
  <c r="AA1600" i="1"/>
  <c r="AA1599" i="1"/>
  <c r="AC1599" i="1" s="1"/>
  <c r="AA1598" i="1"/>
  <c r="AA1596" i="1"/>
  <c r="AC1596" i="1" s="1"/>
  <c r="AF1596" i="1" s="1"/>
  <c r="AA1595" i="1"/>
  <c r="AC1595" i="1" s="1"/>
  <c r="AF1595" i="1" s="1"/>
  <c r="AA1594" i="1"/>
  <c r="AA1593" i="1"/>
  <c r="AC1593" i="1" s="1"/>
  <c r="AF1593" i="1" s="1"/>
  <c r="AA1592" i="1"/>
  <c r="AA1591" i="1"/>
  <c r="AC1591" i="1" s="1"/>
  <c r="AF1591" i="1" s="1"/>
  <c r="AA1590" i="1"/>
  <c r="AA1589" i="1"/>
  <c r="AC1589" i="1" s="1"/>
  <c r="AF1589" i="1" s="1"/>
  <c r="AA1588" i="1"/>
  <c r="AA1587" i="1"/>
  <c r="AC1587" i="1" s="1"/>
  <c r="AF1587" i="1" s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C1451" i="1" s="1"/>
  <c r="AF1451" i="1" s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C1434" i="1" s="1"/>
  <c r="AF1434" i="1" s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B1410" i="1" s="1"/>
  <c r="AC1410" i="1" s="1"/>
  <c r="AF1410" i="1" s="1"/>
  <c r="AA1409" i="1"/>
  <c r="AB1409" i="1" s="1"/>
  <c r="AC1409" i="1" s="1"/>
  <c r="AF1409" i="1" s="1"/>
  <c r="AA1408" i="1"/>
  <c r="AB1408" i="1" s="1"/>
  <c r="AC1408" i="1" s="1"/>
  <c r="AF1408" i="1" s="1"/>
  <c r="AA1407" i="1"/>
  <c r="AB1407" i="1" s="1"/>
  <c r="AC1407" i="1" s="1"/>
  <c r="AF1407" i="1" s="1"/>
  <c r="AA1406" i="1"/>
  <c r="AB1406" i="1" s="1"/>
  <c r="AC1406" i="1" s="1"/>
  <c r="AF1406" i="1" s="1"/>
  <c r="AA1405" i="1"/>
  <c r="AB1405" i="1" s="1"/>
  <c r="AC1405" i="1" s="1"/>
  <c r="AF1405" i="1" s="1"/>
  <c r="AA1404" i="1"/>
  <c r="AB1404" i="1" s="1"/>
  <c r="AA1403" i="1"/>
  <c r="AB1403" i="1" s="1"/>
  <c r="AC1403" i="1" s="1"/>
  <c r="AF1403" i="1" s="1"/>
  <c r="AA1402" i="1"/>
  <c r="AB1402" i="1" s="1"/>
  <c r="AC1402" i="1" s="1"/>
  <c r="AF1402" i="1" s="1"/>
  <c r="AA1401" i="1"/>
  <c r="AB1401" i="1" s="1"/>
  <c r="AC1401" i="1" s="1"/>
  <c r="AF1401" i="1" s="1"/>
  <c r="AA1400" i="1"/>
  <c r="AB1400" i="1" s="1"/>
  <c r="AC1400" i="1" s="1"/>
  <c r="AF1400" i="1" s="1"/>
  <c r="AA1399" i="1"/>
  <c r="AB1399" i="1" s="1"/>
  <c r="AC1399" i="1" s="1"/>
  <c r="AF1399" i="1" s="1"/>
  <c r="AA1398" i="1"/>
  <c r="AB1398" i="1" s="1"/>
  <c r="AC1398" i="1" s="1"/>
  <c r="AF1398" i="1" s="1"/>
  <c r="AA1397" i="1"/>
  <c r="AB1397" i="1" s="1"/>
  <c r="AC1397" i="1" s="1"/>
  <c r="AF1397" i="1" s="1"/>
  <c r="AA1396" i="1"/>
  <c r="AB1396" i="1" s="1"/>
  <c r="AC1396" i="1" s="1"/>
  <c r="AF1396" i="1" s="1"/>
  <c r="AA1395" i="1"/>
  <c r="AB1395" i="1" s="1"/>
  <c r="AC1395" i="1" s="1"/>
  <c r="AF1395" i="1" s="1"/>
  <c r="AA1394" i="1"/>
  <c r="AB1394" i="1" s="1"/>
  <c r="AC1394" i="1" s="1"/>
  <c r="AF1394" i="1" s="1"/>
  <c r="AA1393" i="1"/>
  <c r="AB1393" i="1" s="1"/>
  <c r="AA1392" i="1"/>
  <c r="AB1392" i="1" s="1"/>
  <c r="AC1392" i="1" s="1"/>
  <c r="AF1392" i="1" s="1"/>
  <c r="AA1391" i="1"/>
  <c r="AB1391" i="1" s="1"/>
  <c r="AC1391" i="1" s="1"/>
  <c r="AF1391" i="1" s="1"/>
  <c r="AA1390" i="1"/>
  <c r="AB1390" i="1" s="1"/>
  <c r="AC1390" i="1" s="1"/>
  <c r="AF1390" i="1" s="1"/>
  <c r="AA1389" i="1"/>
  <c r="AB1389" i="1" s="1"/>
  <c r="AC1389" i="1" s="1"/>
  <c r="AF1389" i="1" s="1"/>
  <c r="AA1388" i="1"/>
  <c r="AB1388" i="1" s="1"/>
  <c r="AA1387" i="1"/>
  <c r="AB1387" i="1" s="1"/>
  <c r="AC1387" i="1" s="1"/>
  <c r="AF1387" i="1" s="1"/>
  <c r="AA1386" i="1"/>
  <c r="AB1386" i="1" s="1"/>
  <c r="AC1386" i="1" s="1"/>
  <c r="AF1386" i="1" s="1"/>
  <c r="AA1385" i="1"/>
  <c r="AB1385" i="1" s="1"/>
  <c r="AC1385" i="1" s="1"/>
  <c r="AF1385" i="1" s="1"/>
  <c r="AA1384" i="1"/>
  <c r="AB1384" i="1" s="1"/>
  <c r="AC1384" i="1" s="1"/>
  <c r="AF1384" i="1" s="1"/>
  <c r="AA1383" i="1"/>
  <c r="AA1382" i="1"/>
  <c r="AA1381" i="1"/>
  <c r="AA1380" i="1"/>
  <c r="AA1379" i="1"/>
  <c r="AA1378" i="1"/>
  <c r="AA1377" i="1"/>
  <c r="AA1376" i="1"/>
  <c r="AA1375" i="1"/>
  <c r="AB1375" i="1" s="1"/>
  <c r="AC1375" i="1" s="1"/>
  <c r="AF1375" i="1" s="1"/>
  <c r="AA1374" i="1"/>
  <c r="AB1374" i="1" s="1"/>
  <c r="AC1374" i="1" s="1"/>
  <c r="AF1374" i="1" s="1"/>
  <c r="AA1373" i="1"/>
  <c r="AB1373" i="1" s="1"/>
  <c r="AC1373" i="1" s="1"/>
  <c r="AF1373" i="1" s="1"/>
  <c r="AA1372" i="1"/>
  <c r="AB1372" i="1" s="1"/>
  <c r="AC1372" i="1" s="1"/>
  <c r="AF1372" i="1" s="1"/>
  <c r="AA1371" i="1"/>
  <c r="AB1371" i="1" s="1"/>
  <c r="AC1371" i="1" s="1"/>
  <c r="AF1371" i="1" s="1"/>
  <c r="AA1370" i="1"/>
  <c r="AB1370" i="1" s="1"/>
  <c r="AC1370" i="1" s="1"/>
  <c r="AF1370" i="1" s="1"/>
  <c r="AA1369" i="1"/>
  <c r="AB1369" i="1" s="1"/>
  <c r="AC1369" i="1" s="1"/>
  <c r="AF1369" i="1" s="1"/>
  <c r="AA1368" i="1"/>
  <c r="AB1368" i="1" s="1"/>
  <c r="AC1368" i="1" s="1"/>
  <c r="AF1368" i="1" s="1"/>
  <c r="AA1367" i="1"/>
  <c r="AB1367" i="1" s="1"/>
  <c r="AC1367" i="1" s="1"/>
  <c r="AF1367" i="1" s="1"/>
  <c r="AA1366" i="1"/>
  <c r="AB1366" i="1" s="1"/>
  <c r="AC1366" i="1" s="1"/>
  <c r="AF1366" i="1" s="1"/>
  <c r="AA1365" i="1"/>
  <c r="AB1365" i="1" s="1"/>
  <c r="AC1365" i="1" s="1"/>
  <c r="AF1365" i="1" s="1"/>
  <c r="AA1364" i="1"/>
  <c r="AB1364" i="1" s="1"/>
  <c r="AC1364" i="1" s="1"/>
  <c r="AF1364" i="1" s="1"/>
  <c r="AA1363" i="1"/>
  <c r="AB1363" i="1" s="1"/>
  <c r="AC1363" i="1" s="1"/>
  <c r="AF1363" i="1" s="1"/>
  <c r="AA1362" i="1"/>
  <c r="AB1362" i="1" s="1"/>
  <c r="AC1362" i="1" s="1"/>
  <c r="AF1362" i="1" s="1"/>
  <c r="AA1361" i="1"/>
  <c r="AB1361" i="1" s="1"/>
  <c r="AC1361" i="1" s="1"/>
  <c r="AF1361" i="1" s="1"/>
  <c r="AA1360" i="1"/>
  <c r="AB1360" i="1" s="1"/>
  <c r="AC1360" i="1" s="1"/>
  <c r="AF1360" i="1" s="1"/>
  <c r="AA1359" i="1"/>
  <c r="AB1359" i="1" s="1"/>
  <c r="AC1359" i="1" s="1"/>
  <c r="AF1359" i="1" s="1"/>
  <c r="AA1358" i="1"/>
  <c r="AB1358" i="1" s="1"/>
  <c r="AC1358" i="1" s="1"/>
  <c r="AF1358" i="1" s="1"/>
  <c r="AA1357" i="1"/>
  <c r="AB1357" i="1" s="1"/>
  <c r="AC1357" i="1" s="1"/>
  <c r="AF1357" i="1" s="1"/>
  <c r="AA1356" i="1"/>
  <c r="AB1356" i="1" s="1"/>
  <c r="AC1356" i="1" s="1"/>
  <c r="AF1356" i="1" s="1"/>
  <c r="AA1355" i="1"/>
  <c r="AB1355" i="1" s="1"/>
  <c r="AC1355" i="1" s="1"/>
  <c r="AF1355" i="1" s="1"/>
  <c r="AA1354" i="1"/>
  <c r="AB1354" i="1" s="1"/>
  <c r="AC1354" i="1" s="1"/>
  <c r="AF1354" i="1" s="1"/>
  <c r="AA1353" i="1"/>
  <c r="AB1353" i="1" s="1"/>
  <c r="AC1353" i="1" s="1"/>
  <c r="AF1353" i="1" s="1"/>
  <c r="AA1352" i="1"/>
  <c r="AB1352" i="1" s="1"/>
  <c r="AC1352" i="1" s="1"/>
  <c r="AF1352" i="1" s="1"/>
  <c r="AA1351" i="1"/>
  <c r="AB1351" i="1" s="1"/>
  <c r="AC1351" i="1" s="1"/>
  <c r="AF1351" i="1" s="1"/>
  <c r="AA1350" i="1"/>
  <c r="AB1350" i="1" s="1"/>
  <c r="AC1350" i="1" s="1"/>
  <c r="AF1350" i="1" s="1"/>
  <c r="AA1349" i="1"/>
  <c r="AB1349" i="1" s="1"/>
  <c r="AC1349" i="1" s="1"/>
  <c r="AF1349" i="1" s="1"/>
  <c r="AA1348" i="1"/>
  <c r="AB1348" i="1" s="1"/>
  <c r="AC1348" i="1" s="1"/>
  <c r="AF1348" i="1" s="1"/>
  <c r="AA1347" i="1"/>
  <c r="AB1347" i="1" s="1"/>
  <c r="AC1347" i="1" s="1"/>
  <c r="AF1347" i="1" s="1"/>
  <c r="AA1346" i="1"/>
  <c r="AB1346" i="1" s="1"/>
  <c r="AC1346" i="1" s="1"/>
  <c r="AF1346" i="1" s="1"/>
  <c r="AA1345" i="1"/>
  <c r="AB1345" i="1" s="1"/>
  <c r="AC1345" i="1" s="1"/>
  <c r="AF1345" i="1" s="1"/>
  <c r="AA1344" i="1"/>
  <c r="AB1344" i="1" s="1"/>
  <c r="AC1344" i="1" s="1"/>
  <c r="AF1344" i="1" s="1"/>
  <c r="AA1343" i="1"/>
  <c r="AB1343" i="1" s="1"/>
  <c r="AC1343" i="1" s="1"/>
  <c r="AF1343" i="1" s="1"/>
  <c r="AA1342" i="1"/>
  <c r="AB1342" i="1" s="1"/>
  <c r="AC1342" i="1" s="1"/>
  <c r="AF1342" i="1" s="1"/>
  <c r="AA1341" i="1"/>
  <c r="AB1341" i="1" s="1"/>
  <c r="AC1341" i="1" s="1"/>
  <c r="AF1341" i="1" s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C1209" i="1" s="1"/>
  <c r="AF1209" i="1" s="1"/>
  <c r="AA1208" i="1"/>
  <c r="AA1207" i="1"/>
  <c r="AA1206" i="1"/>
  <c r="AA1205" i="1"/>
  <c r="AA1204" i="1"/>
  <c r="AA1203" i="1"/>
  <c r="AA1202" i="1"/>
  <c r="AA1201" i="1"/>
  <c r="AA1200" i="1"/>
  <c r="AA1199" i="1"/>
  <c r="AC1199" i="1" s="1"/>
  <c r="AF1199" i="1" s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C1106" i="1" s="1"/>
  <c r="AF1106" i="1" s="1"/>
  <c r="AA1105" i="1"/>
  <c r="AC1105" i="1" s="1"/>
  <c r="AA1104" i="1"/>
  <c r="AC1104" i="1" s="1"/>
  <c r="AF1104" i="1" s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C1076" i="1" s="1"/>
  <c r="AF1076" i="1" s="1"/>
  <c r="AA1075" i="1"/>
  <c r="AB1075" i="1" s="1"/>
  <c r="AC1075" i="1" s="1"/>
  <c r="AF1075" i="1" s="1"/>
  <c r="AA1074" i="1"/>
  <c r="AB1074" i="1" s="1"/>
  <c r="AA1073" i="1"/>
  <c r="AA1072" i="1"/>
  <c r="AA1071" i="1"/>
  <c r="AA1070" i="1"/>
  <c r="AA1069" i="1"/>
  <c r="AA1068" i="1"/>
  <c r="AA1067" i="1"/>
  <c r="AA1066" i="1"/>
  <c r="AA1065" i="1"/>
  <c r="AC1065" i="1" s="1"/>
  <c r="AF1065" i="1" s="1"/>
  <c r="AA1064" i="1"/>
  <c r="AA1063" i="1"/>
  <c r="AC1063" i="1" s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17" i="1"/>
  <c r="AF1062" i="1"/>
  <c r="AB1606" i="1" l="1"/>
  <c r="AC1606" i="1" s="1"/>
  <c r="AF1606" i="1" s="1"/>
  <c r="AB1450" i="1"/>
  <c r="AC1450" i="1" s="1"/>
  <c r="AF1450" i="1" s="1"/>
  <c r="AB1751" i="1"/>
  <c r="AC1751" i="1" s="1"/>
  <c r="AF1751" i="1" s="1"/>
  <c r="AB1210" i="1"/>
  <c r="AC1210" i="1" s="1"/>
  <c r="AF1210" i="1" s="1"/>
  <c r="AB2017" i="1"/>
  <c r="AC2017" i="1" s="1"/>
  <c r="AF2017" i="1" s="1"/>
  <c r="AB1164" i="1"/>
  <c r="AC1164" i="1" s="1"/>
  <c r="AF1164" i="1" s="1"/>
  <c r="AB1163" i="1"/>
  <c r="AC1163" i="1" s="1"/>
  <c r="AF1163" i="1" s="1"/>
  <c r="AB2004" i="1"/>
  <c r="AC2004" i="1" s="1"/>
  <c r="AF2004" i="1" s="1"/>
  <c r="AB1663" i="1"/>
  <c r="AC1663" i="1" s="1"/>
  <c r="AF1663" i="1" s="1"/>
  <c r="AB1995" i="1"/>
  <c r="AC1995" i="1" s="1"/>
  <c r="AF1995" i="1" s="1"/>
  <c r="AB1994" i="1"/>
  <c r="AC1994" i="1" s="1"/>
  <c r="AF1994" i="1" s="1"/>
  <c r="AB1750" i="1"/>
  <c r="AC1750" i="1" s="1"/>
  <c r="AF1750" i="1" s="1"/>
  <c r="AB1757" i="1"/>
  <c r="AC1757" i="1" s="1"/>
  <c r="AF1757" i="1" s="1"/>
  <c r="AB1338" i="1"/>
  <c r="AC1338" i="1" s="1"/>
  <c r="AF1338" i="1" s="1"/>
  <c r="AB1337" i="1"/>
  <c r="AC1337" i="1" s="1"/>
  <c r="AF1337" i="1" s="1"/>
  <c r="AB1336" i="1"/>
  <c r="AC1336" i="1" s="1"/>
  <c r="AF1336" i="1" s="1"/>
  <c r="AB1103" i="1"/>
  <c r="AC1103" i="1" s="1"/>
  <c r="AF1103" i="1" s="1"/>
  <c r="AB1102" i="1"/>
  <c r="AC1102" i="1" s="1"/>
  <c r="AF1102" i="1" s="1"/>
  <c r="AB1101" i="1"/>
  <c r="AC1101" i="1" s="1"/>
  <c r="AF1101" i="1" s="1"/>
  <c r="AB1100" i="1"/>
  <c r="AC1100" i="1" s="1"/>
  <c r="AF1100" i="1" s="1"/>
  <c r="AB1099" i="1"/>
  <c r="AC1099" i="1" s="1"/>
  <c r="AF1099" i="1" s="1"/>
  <c r="AB1098" i="1"/>
  <c r="AC1098" i="1"/>
  <c r="AF1098" i="1" s="1"/>
  <c r="AB1097" i="1"/>
  <c r="AC1097" i="1" s="1"/>
  <c r="AF1097" i="1" s="1"/>
  <c r="AB1096" i="1"/>
  <c r="AC1096" i="1" s="1"/>
  <c r="AF1096" i="1" s="1"/>
  <c r="AB1095" i="1"/>
  <c r="AC1095" i="1" s="1"/>
  <c r="AF1095" i="1" s="1"/>
  <c r="AB1094" i="1"/>
  <c r="AC1094" i="1" s="1"/>
  <c r="AF1094" i="1" s="1"/>
  <c r="AB1093" i="1"/>
  <c r="AC1093" i="1" s="1"/>
  <c r="AF1093" i="1" s="1"/>
  <c r="AB1092" i="1"/>
  <c r="AC1092" i="1" s="1"/>
  <c r="AF1092" i="1" s="1"/>
  <c r="AB1091" i="1"/>
  <c r="AC1091" i="1" s="1"/>
  <c r="AF1091" i="1" s="1"/>
  <c r="AB1090" i="1"/>
  <c r="AC1090" i="1" s="1"/>
  <c r="AF1090" i="1" s="1"/>
  <c r="AB1089" i="1"/>
  <c r="AC1089" i="1" s="1"/>
  <c r="AF1089" i="1" s="1"/>
  <c r="AB1088" i="1"/>
  <c r="AC1088" i="1" s="1"/>
  <c r="AF1088" i="1" s="1"/>
  <c r="AB1087" i="1"/>
  <c r="AC1087" i="1" s="1"/>
  <c r="AF1087" i="1" s="1"/>
  <c r="AB1086" i="1"/>
  <c r="AC1086" i="1" s="1"/>
  <c r="AF1086" i="1" s="1"/>
  <c r="AB1085" i="1"/>
  <c r="AC1085" i="1" s="1"/>
  <c r="AF1085" i="1" s="1"/>
  <c r="AB1084" i="1"/>
  <c r="AC1084" i="1" s="1"/>
  <c r="AF1084" i="1" s="1"/>
  <c r="AB1083" i="1"/>
  <c r="AC1083" i="1" s="1"/>
  <c r="AF1083" i="1" s="1"/>
  <c r="AB1082" i="1"/>
  <c r="AC1082" i="1" s="1"/>
  <c r="AF1082" i="1" s="1"/>
  <c r="AB1081" i="1"/>
  <c r="AC1081" i="1" s="1"/>
  <c r="AF1081" i="1" s="1"/>
  <c r="AB1080" i="1"/>
  <c r="AC1080" i="1" s="1"/>
  <c r="AF1080" i="1" s="1"/>
  <c r="AB1079" i="1"/>
  <c r="AC1079" i="1" s="1"/>
  <c r="AF1079" i="1" s="1"/>
  <c r="AB1078" i="1"/>
  <c r="AC1078" i="1" s="1"/>
  <c r="AF1078" i="1" s="1"/>
  <c r="AB1077" i="1"/>
  <c r="AC1077" i="1" s="1"/>
  <c r="AF1077" i="1" s="1"/>
  <c r="AB1594" i="1"/>
  <c r="AC1594" i="1" s="1"/>
  <c r="AF1594" i="1" s="1"/>
  <c r="AB1592" i="1"/>
  <c r="AC1592" i="1" s="1"/>
  <c r="AF1592" i="1" s="1"/>
  <c r="AB1590" i="1"/>
  <c r="AC1590" i="1" s="1"/>
  <c r="AF1590" i="1" s="1"/>
  <c r="AB1588" i="1"/>
  <c r="AC1588" i="1" s="1"/>
  <c r="AF1588" i="1" s="1"/>
  <c r="AB1586" i="1"/>
  <c r="AC1586" i="1" s="1"/>
  <c r="AF1586" i="1" s="1"/>
  <c r="AB2405" i="1"/>
  <c r="AC2405" i="1" s="1"/>
  <c r="AF2405" i="1" s="1"/>
  <c r="AF1604" i="1"/>
  <c r="AB1584" i="1"/>
  <c r="AC1584" i="1" s="1"/>
  <c r="AF1584" i="1" s="1"/>
  <c r="AB1664" i="1"/>
  <c r="AC1664" i="1" s="1"/>
  <c r="AF1664" i="1" s="1"/>
  <c r="AB1198" i="1"/>
  <c r="AC1198" i="1" s="1"/>
  <c r="AF1198" i="1" s="1"/>
  <c r="AF1599" i="1"/>
  <c r="AF1105" i="1"/>
  <c r="AB2002" i="1"/>
  <c r="AC2002" i="1" s="1"/>
  <c r="AF2002" i="1" s="1"/>
  <c r="AB1598" i="1"/>
  <c r="AC1598" i="1" s="1"/>
  <c r="AF1598" i="1" s="1"/>
  <c r="AC2277" i="1"/>
  <c r="AF2277" i="1" s="1"/>
  <c r="AC2276" i="1"/>
  <c r="AF2276" i="1" s="1"/>
  <c r="AC1833" i="1"/>
  <c r="AF1833" i="1" s="1"/>
  <c r="AC1831" i="1"/>
  <c r="AF1831" i="1" s="1"/>
  <c r="AC1829" i="1"/>
  <c r="AF1829" i="1" s="1"/>
  <c r="AC1825" i="1"/>
  <c r="AF1825" i="1" s="1"/>
  <c r="AC1788" i="1"/>
  <c r="AF1788" i="1" s="1"/>
  <c r="AC1782" i="1"/>
  <c r="AF1782" i="1" s="1"/>
  <c r="AC1775" i="1"/>
  <c r="AF1775" i="1" s="1"/>
  <c r="AC1771" i="1"/>
  <c r="AF1771" i="1" s="1"/>
  <c r="AC1769" i="1"/>
  <c r="AF1769" i="1" s="1"/>
  <c r="AC1766" i="1"/>
  <c r="AF1766" i="1" s="1"/>
  <c r="AC1074" i="1"/>
  <c r="AF1074" i="1" s="1"/>
  <c r="AB1823" i="1"/>
  <c r="AC1823" i="1" s="1"/>
  <c r="AF1823" i="1" s="1"/>
  <c r="AB1822" i="1"/>
  <c r="AC1822" i="1" s="1"/>
  <c r="AF1822" i="1" s="1"/>
  <c r="AB1821" i="1"/>
  <c r="AC1821" i="1" s="1"/>
  <c r="AF1821" i="1" s="1"/>
  <c r="AB1820" i="1"/>
  <c r="AC1820" i="1" s="1"/>
  <c r="AF1820" i="1" s="1"/>
  <c r="AB1819" i="1"/>
  <c r="AC1819" i="1" s="1"/>
  <c r="AF1819" i="1" s="1"/>
  <c r="AB1818" i="1"/>
  <c r="AC1818" i="1" s="1"/>
  <c r="AF1818" i="1" s="1"/>
  <c r="AB1817" i="1"/>
  <c r="AC1817" i="1" s="1"/>
  <c r="AF1817" i="1" s="1"/>
  <c r="AB1816" i="1"/>
  <c r="AC1816" i="1" s="1"/>
  <c r="AF1816" i="1" s="1"/>
  <c r="AB1815" i="1"/>
  <c r="AC1815" i="1" s="1"/>
  <c r="AF1815" i="1" s="1"/>
  <c r="AB1814" i="1"/>
  <c r="AC1814" i="1" s="1"/>
  <c r="AF1814" i="1" s="1"/>
  <c r="AB1813" i="1"/>
  <c r="AC1813" i="1" s="1"/>
  <c r="AF1813" i="1" s="1"/>
  <c r="AB1812" i="1"/>
  <c r="AC1812" i="1" s="1"/>
  <c r="AF1812" i="1" s="1"/>
  <c r="AB1811" i="1"/>
  <c r="AC1811" i="1" s="1"/>
  <c r="AF1811" i="1" s="1"/>
  <c r="AB1810" i="1"/>
  <c r="AC1810" i="1" s="1"/>
  <c r="AF1810" i="1" s="1"/>
  <c r="AB1809" i="1"/>
  <c r="AC1809" i="1" s="1"/>
  <c r="AF1809" i="1" s="1"/>
  <c r="AB1808" i="1"/>
  <c r="AC1808" i="1" s="1"/>
  <c r="AF1808" i="1" s="1"/>
  <c r="AB1807" i="1"/>
  <c r="AC1807" i="1" s="1"/>
  <c r="AF1807" i="1" s="1"/>
  <c r="AB1806" i="1"/>
  <c r="AC1806" i="1" s="1"/>
  <c r="AF1806" i="1" s="1"/>
  <c r="AB1805" i="1"/>
  <c r="AC1805" i="1" s="1"/>
  <c r="AF1805" i="1" s="1"/>
  <c r="AB1804" i="1"/>
  <c r="AC1804" i="1" s="1"/>
  <c r="AF1804" i="1" s="1"/>
  <c r="AB1803" i="1"/>
  <c r="AC1803" i="1" s="1"/>
  <c r="AF1803" i="1" s="1"/>
  <c r="AB1802" i="1"/>
  <c r="AC1802" i="1" s="1"/>
  <c r="AF1802" i="1" s="1"/>
  <c r="AB1801" i="1"/>
  <c r="AC1801" i="1" s="1"/>
  <c r="AF1801" i="1" s="1"/>
  <c r="AB1800" i="1"/>
  <c r="AC1800" i="1" s="1"/>
  <c r="AF1800" i="1" s="1"/>
  <c r="AB1799" i="1"/>
  <c r="AC1799" i="1" s="1"/>
  <c r="AF1799" i="1" s="1"/>
  <c r="AB1798" i="1"/>
  <c r="AC1798" i="1" s="1"/>
  <c r="AF1798" i="1" s="1"/>
  <c r="AB1797" i="1"/>
  <c r="AC1797" i="1" s="1"/>
  <c r="AF1797" i="1" s="1"/>
  <c r="AB1796" i="1"/>
  <c r="AC1796" i="1" s="1"/>
  <c r="AF1796" i="1" s="1"/>
  <c r="AB1073" i="1"/>
  <c r="AC1073" i="1" s="1"/>
  <c r="AF1073" i="1" s="1"/>
  <c r="AB1072" i="1"/>
  <c r="AC1072" i="1" s="1"/>
  <c r="AF1072" i="1" s="1"/>
  <c r="AB1067" i="1"/>
  <c r="AC1067" i="1" s="1"/>
  <c r="AF1067" i="1" s="1"/>
  <c r="AB1066" i="1"/>
  <c r="AC1066" i="1" s="1"/>
  <c r="AF1066" i="1" s="1"/>
  <c r="AC1404" i="1"/>
  <c r="AF1404" i="1" s="1"/>
  <c r="AC1388" i="1"/>
  <c r="AF1388" i="1" s="1"/>
  <c r="AC1393" i="1"/>
  <c r="AF1393" i="1" s="1"/>
  <c r="AB1383" i="1"/>
  <c r="AC1383" i="1" s="1"/>
  <c r="AF1383" i="1" s="1"/>
  <c r="AB1382" i="1"/>
  <c r="AC1382" i="1" s="1"/>
  <c r="AF1382" i="1" s="1"/>
  <c r="AB1381" i="1"/>
  <c r="AC1381" i="1" s="1"/>
  <c r="AF1381" i="1" s="1"/>
  <c r="AB1380" i="1"/>
  <c r="AC1380" i="1" s="1"/>
  <c r="AF1380" i="1" s="1"/>
  <c r="AB1379" i="1"/>
  <c r="AC1379" i="1" s="1"/>
  <c r="AF1379" i="1" s="1"/>
  <c r="AB1378" i="1"/>
  <c r="AC1378" i="1" s="1"/>
  <c r="AF1378" i="1" s="1"/>
  <c r="AB1377" i="1"/>
  <c r="AC1377" i="1" s="1"/>
  <c r="AF1377" i="1" s="1"/>
  <c r="AB1376" i="1"/>
  <c r="AC1376" i="1" s="1"/>
  <c r="AF1376" i="1" s="1"/>
  <c r="AB1340" i="1"/>
  <c r="AC1340" i="1" s="1"/>
  <c r="AF1340" i="1" s="1"/>
  <c r="AB1339" i="1"/>
  <c r="AC1339" i="1" s="1"/>
  <c r="AF1339" i="1" s="1"/>
  <c r="AB1335" i="1"/>
  <c r="AC1335" i="1" s="1"/>
  <c r="AF1335" i="1" s="1"/>
  <c r="AB1334" i="1"/>
  <c r="AC1334" i="1" s="1"/>
  <c r="AF1334" i="1" s="1"/>
  <c r="AB1333" i="1"/>
  <c r="AC1333" i="1" s="1"/>
  <c r="AF1333" i="1" s="1"/>
  <c r="AB1332" i="1"/>
  <c r="AC1332" i="1" s="1"/>
  <c r="AF1332" i="1" s="1"/>
  <c r="AB1331" i="1"/>
  <c r="AC1331" i="1" s="1"/>
  <c r="AF1331" i="1" s="1"/>
  <c r="AB1330" i="1"/>
  <c r="AC1330" i="1" s="1"/>
  <c r="AF1330" i="1" s="1"/>
  <c r="AB1329" i="1"/>
  <c r="AC1329" i="1" s="1"/>
  <c r="AF1329" i="1" s="1"/>
  <c r="AB1328" i="1"/>
  <c r="AC1328" i="1" s="1"/>
  <c r="AF1328" i="1" s="1"/>
  <c r="AB1327" i="1"/>
  <c r="AC1327" i="1" s="1"/>
  <c r="AF1327" i="1" s="1"/>
  <c r="AB1326" i="1"/>
  <c r="AC1326" i="1" s="1"/>
  <c r="AF1326" i="1" s="1"/>
  <c r="AB1325" i="1"/>
  <c r="AC1325" i="1" s="1"/>
  <c r="AF1325" i="1" s="1"/>
  <c r="AB1324" i="1"/>
  <c r="AC1324" i="1" s="1"/>
  <c r="AF1324" i="1" s="1"/>
  <c r="AB1323" i="1"/>
  <c r="AC1323" i="1" s="1"/>
  <c r="AF1323" i="1" s="1"/>
  <c r="AB1322" i="1"/>
  <c r="AC1322" i="1" s="1"/>
  <c r="AF1322" i="1" s="1"/>
  <c r="AB1321" i="1"/>
  <c r="AC1321" i="1" s="1"/>
  <c r="AF1321" i="1" s="1"/>
  <c r="AB2286" i="1"/>
  <c r="AC2286" i="1" s="1"/>
  <c r="AF2286" i="1" s="1"/>
  <c r="AB2285" i="1"/>
  <c r="AC2285" i="1" s="1"/>
  <c r="AF2285" i="1" s="1"/>
  <c r="AB2284" i="1"/>
  <c r="AC2284" i="1" s="1"/>
  <c r="AF2284" i="1" s="1"/>
  <c r="AB2283" i="1"/>
  <c r="AC2283" i="1" s="1"/>
  <c r="AF2283" i="1" s="1"/>
  <c r="AB2282" i="1"/>
  <c r="AC2282" i="1" s="1"/>
  <c r="AF2282" i="1" s="1"/>
  <c r="AB2281" i="1"/>
  <c r="AC2281" i="1" s="1"/>
  <c r="AF2281" i="1" s="1"/>
  <c r="AB2280" i="1"/>
  <c r="AC2280" i="1" s="1"/>
  <c r="AF2280" i="1" s="1"/>
  <c r="AB2279" i="1"/>
  <c r="AC2279" i="1" s="1"/>
  <c r="AF2279" i="1" s="1"/>
  <c r="AB1897" i="1"/>
  <c r="AC1897" i="1" s="1"/>
  <c r="AF1897" i="1" s="1"/>
  <c r="AB1896" i="1"/>
  <c r="AC1896" i="1" s="1"/>
  <c r="AF1896" i="1" s="1"/>
  <c r="AB1895" i="1"/>
  <c r="AC1895" i="1" s="1"/>
  <c r="AF1895" i="1" s="1"/>
  <c r="AB1894" i="1"/>
  <c r="AC1894" i="1" s="1"/>
  <c r="AF1894" i="1" s="1"/>
  <c r="AB1893" i="1"/>
  <c r="AC1893" i="1" s="1"/>
  <c r="AF1893" i="1" s="1"/>
  <c r="AB1892" i="1"/>
  <c r="AC1892" i="1" s="1"/>
  <c r="AF1892" i="1" s="1"/>
  <c r="AB1891" i="1"/>
  <c r="AC1891" i="1" s="1"/>
  <c r="AF1891" i="1" s="1"/>
  <c r="AB1890" i="1"/>
  <c r="AC1890" i="1" s="1"/>
  <c r="AF1890" i="1" s="1"/>
  <c r="AB1889" i="1"/>
  <c r="AC1889" i="1" s="1"/>
  <c r="AF1889" i="1" s="1"/>
  <c r="AB1888" i="1"/>
  <c r="AC1888" i="1" s="1"/>
  <c r="AF1888" i="1" s="1"/>
  <c r="AB1887" i="1"/>
  <c r="AC1887" i="1" s="1"/>
  <c r="AF1887" i="1" s="1"/>
  <c r="AB1886" i="1"/>
  <c r="AC1886" i="1" s="1"/>
  <c r="AF1886" i="1" s="1"/>
  <c r="AB1885" i="1"/>
  <c r="AC1885" i="1" s="1"/>
  <c r="AF1885" i="1" s="1"/>
  <c r="AB1884" i="1"/>
  <c r="AC1884" i="1" s="1"/>
  <c r="AF1884" i="1" s="1"/>
  <c r="AB1883" i="1"/>
  <c r="AC1883" i="1" s="1"/>
  <c r="AF1883" i="1" s="1"/>
  <c r="AB1882" i="1"/>
  <c r="AC1882" i="1" s="1"/>
  <c r="AF1882" i="1" s="1"/>
  <c r="AB1881" i="1"/>
  <c r="AC1881" i="1" s="1"/>
  <c r="AF1881" i="1" s="1"/>
  <c r="AB1880" i="1"/>
  <c r="AC1880" i="1" s="1"/>
  <c r="AF1880" i="1" s="1"/>
  <c r="AB1879" i="1"/>
  <c r="AC1879" i="1" s="1"/>
  <c r="AF1879" i="1" s="1"/>
  <c r="AB1878" i="1"/>
  <c r="AC1878" i="1" s="1"/>
  <c r="AF1878" i="1" s="1"/>
  <c r="AB1877" i="1"/>
  <c r="AC1877" i="1" s="1"/>
  <c r="AF1877" i="1" s="1"/>
  <c r="AB1876" i="1"/>
  <c r="AC1876" i="1" s="1"/>
  <c r="AF1876" i="1" s="1"/>
  <c r="AB1875" i="1"/>
  <c r="AC1875" i="1" s="1"/>
  <c r="AF1875" i="1" s="1"/>
  <c r="AB1874" i="1"/>
  <c r="AC1874" i="1" s="1"/>
  <c r="AF1874" i="1" s="1"/>
  <c r="AB1873" i="1"/>
  <c r="AC1873" i="1" s="1"/>
  <c r="AF1873" i="1" s="1"/>
  <c r="AB1872" i="1"/>
  <c r="AC1872" i="1" s="1"/>
  <c r="AF1872" i="1" s="1"/>
  <c r="AB1871" i="1"/>
  <c r="AC1871" i="1" s="1"/>
  <c r="AF1871" i="1" s="1"/>
  <c r="AB1870" i="1"/>
  <c r="AC1870" i="1" s="1"/>
  <c r="AF1870" i="1" s="1"/>
  <c r="AB1869" i="1"/>
  <c r="AC1869" i="1" s="1"/>
  <c r="AF1869" i="1" s="1"/>
  <c r="AB1868" i="1"/>
  <c r="AC1868" i="1" s="1"/>
  <c r="AF1868" i="1" s="1"/>
  <c r="AB1867" i="1"/>
  <c r="AC1867" i="1" s="1"/>
  <c r="AF1867" i="1" s="1"/>
  <c r="AB1866" i="1"/>
  <c r="AC1866" i="1" s="1"/>
  <c r="AF1866" i="1" s="1"/>
  <c r="AB1865" i="1"/>
  <c r="AC1865" i="1" s="1"/>
  <c r="AF1865" i="1" s="1"/>
  <c r="AB1864" i="1"/>
  <c r="AC1864" i="1" s="1"/>
  <c r="AF1864" i="1" s="1"/>
  <c r="AB1863" i="1"/>
  <c r="AC1863" i="1" s="1"/>
  <c r="AF1863" i="1" s="1"/>
  <c r="AB1862" i="1"/>
  <c r="AC1862" i="1" s="1"/>
  <c r="AF1862" i="1" s="1"/>
  <c r="AB1861" i="1"/>
  <c r="AC1861" i="1" s="1"/>
  <c r="AF1861" i="1" s="1"/>
  <c r="AB1860" i="1"/>
  <c r="AC1860" i="1" s="1"/>
  <c r="AF1860" i="1" s="1"/>
  <c r="AB1859" i="1"/>
  <c r="AC1859" i="1" s="1"/>
  <c r="AF1859" i="1" s="1"/>
  <c r="AB1858" i="1"/>
  <c r="AC1858" i="1" s="1"/>
  <c r="AF1858" i="1" s="1"/>
  <c r="AB1857" i="1"/>
  <c r="AC1857" i="1" s="1"/>
  <c r="AF1857" i="1" s="1"/>
  <c r="AB1856" i="1"/>
  <c r="AC1856" i="1" s="1"/>
  <c r="AF1856" i="1" s="1"/>
  <c r="AB1855" i="1"/>
  <c r="AC1855" i="1" s="1"/>
  <c r="AF1855" i="1" s="1"/>
  <c r="AB1854" i="1"/>
  <c r="AC1854" i="1" s="1"/>
  <c r="AF1854" i="1" s="1"/>
  <c r="AB1853" i="1"/>
  <c r="AC1853" i="1" s="1"/>
  <c r="AF1853" i="1" s="1"/>
  <c r="AB1852" i="1"/>
  <c r="AC1852" i="1" s="1"/>
  <c r="AF1852" i="1" s="1"/>
  <c r="AB1851" i="1"/>
  <c r="AC1851" i="1" s="1"/>
  <c r="AF1851" i="1" s="1"/>
  <c r="AB1850" i="1"/>
  <c r="AC1850" i="1" s="1"/>
  <c r="AF1850" i="1" s="1"/>
  <c r="AB1849" i="1"/>
  <c r="AC1849" i="1" s="1"/>
  <c r="AF1849" i="1" s="1"/>
  <c r="AB1848" i="1"/>
  <c r="AC1848" i="1" s="1"/>
  <c r="AF1848" i="1" s="1"/>
  <c r="AB1847" i="1"/>
  <c r="AC1847" i="1" s="1"/>
  <c r="AF1847" i="1" s="1"/>
  <c r="AB1846" i="1"/>
  <c r="AC1846" i="1" s="1"/>
  <c r="AF1846" i="1" s="1"/>
  <c r="AB1845" i="1"/>
  <c r="AC1845" i="1" s="1"/>
  <c r="AF1845" i="1" s="1"/>
  <c r="AB1844" i="1"/>
  <c r="AC1844" i="1" s="1"/>
  <c r="AF1844" i="1" s="1"/>
  <c r="AB1843" i="1"/>
  <c r="AC1843" i="1" s="1"/>
  <c r="AF1843" i="1" s="1"/>
  <c r="AB1842" i="1"/>
  <c r="AC1842" i="1" s="1"/>
  <c r="AF1842" i="1" s="1"/>
  <c r="AB1841" i="1"/>
  <c r="AC1841" i="1" s="1"/>
  <c r="AF1841" i="1" s="1"/>
  <c r="AB1840" i="1"/>
  <c r="AC1840" i="1" s="1"/>
  <c r="AF1840" i="1" s="1"/>
  <c r="AB1071" i="1"/>
  <c r="AC1071" i="1" s="1"/>
  <c r="AF1071" i="1" s="1"/>
  <c r="AB1070" i="1"/>
  <c r="AC1070" i="1" s="1"/>
  <c r="AF1070" i="1" s="1"/>
  <c r="AB1069" i="1"/>
  <c r="AC1069" i="1" s="1"/>
  <c r="AF1069" i="1" s="1"/>
  <c r="AB1068" i="1"/>
  <c r="AC1068" i="1" s="1"/>
  <c r="AF1068" i="1" s="1"/>
  <c r="AB1924" i="1"/>
  <c r="AC1924" i="1" s="1"/>
  <c r="AF1924" i="1" s="1"/>
  <c r="AB1202" i="1"/>
  <c r="AC1202" i="1" s="1"/>
  <c r="AF1202" i="1" s="1"/>
  <c r="AF1759" i="1"/>
  <c r="AF1760" i="1"/>
  <c r="AF1758" i="1"/>
  <c r="AB1914" i="1"/>
  <c r="AC1914" i="1" s="1"/>
  <c r="AF1914" i="1" s="1"/>
  <c r="AB2289" i="1"/>
  <c r="AC2289" i="1" s="1"/>
  <c r="AF2289" i="1" s="1"/>
  <c r="AB1977" i="1"/>
  <c r="AC1977" i="1" s="1"/>
  <c r="AF1977" i="1" s="1"/>
  <c r="AB2265" i="1"/>
  <c r="AC2265" i="1" s="1"/>
  <c r="AF2265" i="1" s="1"/>
</calcChain>
</file>

<file path=xl/sharedStrings.xml><?xml version="1.0" encoding="utf-8"?>
<sst xmlns="http://schemas.openxmlformats.org/spreadsheetml/2006/main" count="31582" uniqueCount="1236">
  <si>
    <t>Soc.</t>
  </si>
  <si>
    <t>Fe.contab.</t>
  </si>
  <si>
    <t>Ejercicio</t>
  </si>
  <si>
    <t>Ej./mes</t>
  </si>
  <si>
    <t>Pos.</t>
  </si>
  <si>
    <t>Nº doc.</t>
  </si>
  <si>
    <t>Clase</t>
  </si>
  <si>
    <t>ClvCT</t>
  </si>
  <si>
    <t>LibrMay</t>
  </si>
  <si>
    <t>Txt.brv.</t>
  </si>
  <si>
    <t>Importe</t>
  </si>
  <si>
    <t>Moneda</t>
  </si>
  <si>
    <t>Impte.ML</t>
  </si>
  <si>
    <t>Mon.local</t>
  </si>
  <si>
    <t>Ind.imp.</t>
  </si>
  <si>
    <t>Folio Fisc</t>
  </si>
  <si>
    <t>UUID Pos.</t>
  </si>
  <si>
    <t>Cta.CP</t>
  </si>
  <si>
    <t>Acreedor</t>
  </si>
  <si>
    <t>Nombre</t>
  </si>
  <si>
    <t>SocGLAsoc.</t>
  </si>
  <si>
    <t>Anulación</t>
  </si>
  <si>
    <t>Registrado</t>
  </si>
  <si>
    <t>Referencia</t>
  </si>
  <si>
    <t>Asign.</t>
  </si>
  <si>
    <t>Texto</t>
  </si>
  <si>
    <t>Ce.coste</t>
  </si>
  <si>
    <t>Usuario</t>
  </si>
  <si>
    <t>31.01.2020</t>
  </si>
  <si>
    <t>WA</t>
  </si>
  <si>
    <t>Suminist de Limpieza</t>
  </si>
  <si>
    <t>MXN</t>
  </si>
  <si>
    <t>02.02.2020</t>
  </si>
  <si>
    <t>JCOSTOSHRLC</t>
  </si>
  <si>
    <t>AUXCOSTOHRLC</t>
  </si>
  <si>
    <t>01.02.2020</t>
  </si>
  <si>
    <t>JGARCIA</t>
  </si>
  <si>
    <t>FLUGO</t>
  </si>
  <si>
    <t>AMAY</t>
  </si>
  <si>
    <t>15.01.2020</t>
  </si>
  <si>
    <t>JBAUTISTA</t>
  </si>
  <si>
    <t>AUXCOSTORVM2</t>
  </si>
  <si>
    <t>AUXCOSTORVM1</t>
  </si>
  <si>
    <t>16.01.2020</t>
  </si>
  <si>
    <t>VCORTEZ</t>
  </si>
  <si>
    <t>JMADRID</t>
  </si>
  <si>
    <t>AUXCOSTORVM</t>
  </si>
  <si>
    <t>30.01.2020</t>
  </si>
  <si>
    <t>Z6</t>
  </si>
  <si>
    <t>Gts y Com Banc y Fin</t>
  </si>
  <si>
    <t>D3</t>
  </si>
  <si>
    <t>06.02.2020</t>
  </si>
  <si>
    <t>JAVILES</t>
  </si>
  <si>
    <t>17.01.2020</t>
  </si>
  <si>
    <t>USD</t>
  </si>
  <si>
    <t>20.01.2020</t>
  </si>
  <si>
    <t>BAVILA</t>
  </si>
  <si>
    <t>14.01.2020</t>
  </si>
  <si>
    <t>WGALLARDO</t>
  </si>
  <si>
    <t>AUXCOSTONOBU</t>
  </si>
  <si>
    <t>AUXCOSTOHR</t>
  </si>
  <si>
    <t>27.01.2020</t>
  </si>
  <si>
    <t>29.01.2020</t>
  </si>
  <si>
    <t>COM BANCARIAS</t>
  </si>
  <si>
    <t>COM BANCARIAS HSBC 9092 AL 29.01.2020</t>
  </si>
  <si>
    <t>03.02.2020</t>
  </si>
  <si>
    <t>COM BANCARIAS BBVA 9070 AL 30.01.2020</t>
  </si>
  <si>
    <t>COM BANCARIAS HSBC 9092 AL 31.01.2020</t>
  </si>
  <si>
    <t>COM BANCARIAS HSBC 9142 AL 31.01.2020</t>
  </si>
  <si>
    <t>COM BANCARIAS HSBC 4796 AL 31.01.2020</t>
  </si>
  <si>
    <t>COM BANCARIAS SANTANDER 1595 AL 30.01.2020</t>
  </si>
  <si>
    <t>COM BANCARIAS SANTANDER 3341 AL 30.01.2020</t>
  </si>
  <si>
    <t>04.02.2020</t>
  </si>
  <si>
    <t>COM BANCARIAS BBVA 9070 AL 31.01.2020</t>
  </si>
  <si>
    <t>Guante latex de cirujano con 100 pza</t>
  </si>
  <si>
    <t>Cintilla plastico 3.6x203 mm</t>
  </si>
  <si>
    <t>Z4</t>
  </si>
  <si>
    <t>BOFA 2501 200106656781 BB 2211221 06.01.2020 $20 U</t>
  </si>
  <si>
    <t>PIRFC</t>
  </si>
  <si>
    <t>comisiones 1595 stdr</t>
  </si>
  <si>
    <t>comisiones 9092 hsbc</t>
  </si>
  <si>
    <t>21.01.2020</t>
  </si>
  <si>
    <t>NONREF 12/19 ACCT ANALYSIS FEE DIC</t>
  </si>
  <si>
    <t>28.01.2020</t>
  </si>
  <si>
    <t>comisiones 9070 bbva</t>
  </si>
  <si>
    <t>comisiones 3341 stdr</t>
  </si>
  <si>
    <t>07.01.2020</t>
  </si>
  <si>
    <t>DZ</t>
  </si>
  <si>
    <t>08.01.2020</t>
  </si>
  <si>
    <t>BOFA2501 BB2178465 GRUPO PALING PANAMA 20+COM BANK</t>
  </si>
  <si>
    <t>CXC11</t>
  </si>
  <si>
    <t>UNION QUIMICA GENOM H. 2216238 21.01.2020 COM BANK</t>
  </si>
  <si>
    <t>CXC19</t>
  </si>
  <si>
    <t>24.01.2020</t>
  </si>
  <si>
    <t>DEVOLUCION FONDO RESERVA BANCOMEX</t>
  </si>
  <si>
    <t>FLARA</t>
  </si>
  <si>
    <t>FE</t>
  </si>
  <si>
    <t>Anuncios, Prop y Pub</t>
  </si>
  <si>
    <t>D0</t>
  </si>
  <si>
    <t>REFG:RCDPI00020230</t>
  </si>
  <si>
    <t>DESC AS: Display Expedia</t>
  </si>
  <si>
    <t>SA</t>
  </si>
  <si>
    <t>Regalías Franquicias</t>
  </si>
  <si>
    <t>WOODWARD NOV</t>
  </si>
  <si>
    <t>HRRM ROYALTY FEES WOODWARD NOV 2019</t>
  </si>
  <si>
    <t>THUCHIN</t>
  </si>
  <si>
    <t>GLOBAL COLLECT</t>
  </si>
  <si>
    <t>MONTO TOTAL DE LO COBRADO EN UNICO NOVIEMBRE 9404</t>
  </si>
  <si>
    <t>CXC13</t>
  </si>
  <si>
    <t>MONTO TOTAL DE LO COBRADO EN UNICO NOVIEMBRE 9405</t>
  </si>
  <si>
    <t>MONTO TOTAL DE LO COBRADO EN UNICO NOVIEMBRE 9450</t>
  </si>
  <si>
    <t>MONTO TOTAL DE LO COBRADO EN UNICO NOVIEMBRE 9451</t>
  </si>
  <si>
    <t>RBENITO</t>
  </si>
  <si>
    <t>AUXCOSTOS01</t>
  </si>
  <si>
    <t>COM BANCARIAS HSBC 4106 AL 31.01.2020</t>
  </si>
  <si>
    <t>COM BANCARIAS SANTANDER 9096 AL 30.01.2020</t>
  </si>
  <si>
    <t>COM BANCARIAS SANTANDER 4234 AL 29.01.2020</t>
  </si>
  <si>
    <t>COM BANCARIAS BBVA 3802 AL 31.01.2020</t>
  </si>
  <si>
    <t>COM BANCARIASC</t>
  </si>
  <si>
    <t>COM BANCARIAS SANTANDER 1595 AL 31.01.2020</t>
  </si>
  <si>
    <t>WE</t>
  </si>
  <si>
    <t>Luz</t>
  </si>
  <si>
    <t>27DFA65C-1D63-41B7-9350-ADC68088A10C</t>
  </si>
  <si>
    <t>CFE SUMINISTRADOR DE SERVICIOS</t>
  </si>
  <si>
    <t>MANTTO_MEX</t>
  </si>
  <si>
    <t>Comis Agen de Viajes</t>
  </si>
  <si>
    <t>HARD ROCK CAFE INTERNATIONAL INC.</t>
  </si>
  <si>
    <t>4161219CRS</t>
  </si>
  <si>
    <t>Comisión por reservas de DIC 2019 HRI</t>
  </si>
  <si>
    <t>SOLI1101</t>
  </si>
  <si>
    <t>PEGASUS BUSINESS INTELLIGENCE</t>
  </si>
  <si>
    <t>COMISIONES ONIX CYCLE 02.01.20</t>
  </si>
  <si>
    <t>MFRUCTUOSO</t>
  </si>
  <si>
    <t>3BC7123B-A28D-4298-B452-687E6C8B15BB</t>
  </si>
  <si>
    <t>Consumo CFE Casa Club 26.01.2020</t>
  </si>
  <si>
    <t>SOLI1102</t>
  </si>
  <si>
    <t>Consumo CFE Casa Club 27.01.2020</t>
  </si>
  <si>
    <t>9020593F-B07D-45F6-B3AA-D39CF7A80117</t>
  </si>
  <si>
    <t>Consumo CFE Hoyo 5  26.01.2020</t>
  </si>
  <si>
    <t>Consumo CFE Hoyo 5  27.01.2020</t>
  </si>
  <si>
    <t>Consumo CFE Hoyo 2  26.01.2020</t>
  </si>
  <si>
    <t>Consumo CFE Hoyo 2  27.01.2020</t>
  </si>
  <si>
    <t>Consumo CFE Lago Riego 26.01.2020</t>
  </si>
  <si>
    <t>Consumo CFE Lago Riego 27.01.2020</t>
  </si>
  <si>
    <t>Consumo CFE Taller Mantto 26.01.2020</t>
  </si>
  <si>
    <t>Consumo CFE Taller Mantto 27.01.2020</t>
  </si>
  <si>
    <t>COMISIONES RESERVAS 2273653</t>
  </si>
  <si>
    <t>092932E6-8FFC-11EF-A47B-8F40AB67745F</t>
  </si>
  <si>
    <t>1 DE ENERO</t>
  </si>
  <si>
    <t>SOLIUNICO</t>
  </si>
  <si>
    <t>2 DE ENERO</t>
  </si>
  <si>
    <t>3 DE ENERO</t>
  </si>
  <si>
    <t>4 DE ENERO</t>
  </si>
  <si>
    <t>5 DE ENERO</t>
  </si>
  <si>
    <t>6 DE ENERO</t>
  </si>
  <si>
    <t>7 DE ENERO</t>
  </si>
  <si>
    <t>8 DE ENERO</t>
  </si>
  <si>
    <t>9 DE ENERO</t>
  </si>
  <si>
    <t>10 DE ENERO</t>
  </si>
  <si>
    <t>11 DE ENERO</t>
  </si>
  <si>
    <t>12 DE ENERO</t>
  </si>
  <si>
    <t>13 DE ENERO</t>
  </si>
  <si>
    <t>14 DE ENERO</t>
  </si>
  <si>
    <t>15 DE ENERO</t>
  </si>
  <si>
    <t>18 DE ENERO</t>
  </si>
  <si>
    <t>19 DE ENERO</t>
  </si>
  <si>
    <t>20 DE ENERO</t>
  </si>
  <si>
    <t>21 DE ENERO</t>
  </si>
  <si>
    <t>22 DE ENERO</t>
  </si>
  <si>
    <t>23 DE ENERO</t>
  </si>
  <si>
    <t>24 DE ENERO</t>
  </si>
  <si>
    <t>25 DE ENERO</t>
  </si>
  <si>
    <t>26  DE ENERO</t>
  </si>
  <si>
    <t>16 DE ENERO</t>
  </si>
  <si>
    <t>17 DE ENERO</t>
  </si>
  <si>
    <t>27 DE ENERO</t>
  </si>
  <si>
    <t>Travel Agent Commissions - Pegasus Cycle</t>
  </si>
  <si>
    <t>DRUBIO</t>
  </si>
  <si>
    <t>9F117055-BA8A-4F86-BB32-99E83D4C6356</t>
  </si>
  <si>
    <t>INVOICE 4181219M</t>
  </si>
  <si>
    <t>RENTA MENSUAL MEMORABILIA ENE2020</t>
  </si>
  <si>
    <t>18.01.2020</t>
  </si>
  <si>
    <t>PROTRAVEL INTERNATIONAL</t>
  </si>
  <si>
    <t>RVA 19735066</t>
  </si>
  <si>
    <t>Protravel International - Rva 19735066</t>
  </si>
  <si>
    <t>SOLI3409</t>
  </si>
  <si>
    <t>COM BANCARIAS SANTANDER 3341 AL 31.01.2020</t>
  </si>
  <si>
    <t>Serv Lavand Interna</t>
  </si>
  <si>
    <t>DIST LAVANDERIA  2,001 KG ENE 20</t>
  </si>
  <si>
    <t>DIST LAVANDERIA 90,187 KG ENE 20</t>
  </si>
  <si>
    <t>DIST LAVANDERIA 9,681 KG ENE 20</t>
  </si>
  <si>
    <t>DIST LAVANDERIA  389 KG ENE 20</t>
  </si>
  <si>
    <t>DIST LAVANDERIA 12487 KG ENE 20</t>
  </si>
  <si>
    <t>DIST LAVANDERIA  29 KG ENE 20</t>
  </si>
  <si>
    <t>DIST LAVANDERIA  10 KG ENE 20</t>
  </si>
  <si>
    <t>DIST LAVANDERIA 237,501 KG ENE 20</t>
  </si>
  <si>
    <t>DIST LAVANDERIA 74721 KG ENE 20</t>
  </si>
  <si>
    <t>DIST LAVANDERIA  368 KG ENE 20</t>
  </si>
  <si>
    <t>DIST LAVANDERIA 22904 KG ENE 20</t>
  </si>
  <si>
    <t>DIST LAVANDERIA  80 KG ENE 20</t>
  </si>
  <si>
    <t>DIST LAVANDERIA 1,031 KG ENE 20</t>
  </si>
  <si>
    <t>DIST LAVANDERIA 29859 KG ENE 20</t>
  </si>
  <si>
    <t>DIST LAVANDERIA 1,526 KG ENE 20</t>
  </si>
  <si>
    <t>DIST LAVANDERIA 6,715 KG ENE 20</t>
  </si>
  <si>
    <t>DIST LAVANDERIA 2,726 KG ENE 20</t>
  </si>
  <si>
    <t>DIST LAVANDERIA 151 KG ENE 20</t>
  </si>
  <si>
    <t>PROV FEE ENERO20</t>
  </si>
  <si>
    <t>PROV FEE MARKETING 3% ENERO 2020</t>
  </si>
  <si>
    <t>JQUITERIO</t>
  </si>
  <si>
    <t>PROV FEE MARKETING 1% ENERO 2020</t>
  </si>
  <si>
    <t>PROV FEE NOBU RESTAURANTE 8.5% ENERO 2020</t>
  </si>
  <si>
    <t>U3</t>
  </si>
  <si>
    <t>05.02.2020</t>
  </si>
  <si>
    <t>RAPPEL</t>
  </si>
  <si>
    <t>CMOTA</t>
  </si>
  <si>
    <t>5001219M</t>
  </si>
  <si>
    <t>Fee Memorabilia Dic 2019</t>
  </si>
  <si>
    <t>CGUTIERREZ</t>
  </si>
  <si>
    <t>229043C1-1634-46CA-86E7-7D6F4F0FC837</t>
  </si>
  <si>
    <t>RESORT CONDOMINIUMS INTERNATIONAL</t>
  </si>
  <si>
    <t>RCI-53062</t>
  </si>
  <si>
    <t>PRECOBROS COMISION AGENCIA RCI ENE 2020</t>
  </si>
  <si>
    <t>SOLI1103</t>
  </si>
  <si>
    <t>E8B9374F-B6E6-41FB-AF83-74A1B8D1FCF8</t>
  </si>
  <si>
    <t>RCI-52960</t>
  </si>
  <si>
    <t>COMISION RCI ALL INCLUSIVE HRV ENE 2020</t>
  </si>
  <si>
    <t>AB</t>
  </si>
  <si>
    <t>07.02.2020</t>
  </si>
  <si>
    <t>SERV DE LAVANDER</t>
  </si>
  <si>
    <t>35 KG SERV DE LAVANDERIA INT ENE20</t>
  </si>
  <si>
    <t>20 KG SERV DE LAVANDERIA INT ENE 20</t>
  </si>
  <si>
    <t xml:space="preserve"> 2,970  KG SERV DE LAVANDERIA INT ENE 20</t>
  </si>
  <si>
    <t xml:space="preserve"> 245  KG SERV DE LAVANDERIA INT ENE 20</t>
  </si>
  <si>
    <t xml:space="preserve"> 173  KG SERV DE LAVANDERIA INT ENE 20</t>
  </si>
  <si>
    <t xml:space="preserve"> 19  KG SERV DE LAVANDERIA INT ENE2020</t>
  </si>
  <si>
    <t xml:space="preserve"> 378  KG SERV DE LAVANDERIA INT ENE20</t>
  </si>
  <si>
    <t>HRI ANNUAL QUALITY ASSURANCE PROGRAM 2020 ENE</t>
  </si>
  <si>
    <t>COM BANCARIAS SANTANDER 3752 AL 30.01.2020</t>
  </si>
  <si>
    <t>Otros Honorarios Pro</t>
  </si>
  <si>
    <t>4212A6A7-52DA-4CD3-B6B3-A9EB0E49A56F</t>
  </si>
  <si>
    <t>MORALES FLORES RICARDO JAVIER</t>
  </si>
  <si>
    <t>FOLIO 105</t>
  </si>
  <si>
    <t>plan de manejo mapaches</t>
  </si>
  <si>
    <t>Comision Pegasus CYCLE END 02/01/2020.</t>
  </si>
  <si>
    <t>SOLI3407</t>
  </si>
  <si>
    <t>POWDR WOODWARD PA LLC</t>
  </si>
  <si>
    <t>WWRM-044</t>
  </si>
  <si>
    <t>PAGO TRIMESTRAL OCT-DIC19</t>
  </si>
  <si>
    <t>0A22F755-3D21-4B48-8F4A-37B37BBC74E9</t>
  </si>
  <si>
    <t>ESTRADA RODRIGUEZ RAFAEL</t>
  </si>
  <si>
    <t>D128</t>
  </si>
  <si>
    <t>pago temazcal del 8 al 22 enero</t>
  </si>
  <si>
    <t>03.01.2020</t>
  </si>
  <si>
    <t>06.01.2020</t>
  </si>
  <si>
    <t>INVOICE GC IND MEX CTA 837-9303 OCTUBRE 2019</t>
  </si>
  <si>
    <t>CXC14</t>
  </si>
  <si>
    <t>Cobro 30.01.2020 ( 9124 )</t>
  </si>
  <si>
    <t>PGO DEVUELTO 7 ENERO 2020 ID PROVEE 601915</t>
  </si>
  <si>
    <t>23.01.2020</t>
  </si>
  <si>
    <t>25.01.2020</t>
  </si>
  <si>
    <t>COM BANK - BB 2013215 W BUENO SANO - 23.01.20</t>
  </si>
  <si>
    <t>CXC10</t>
  </si>
  <si>
    <t>COM BANK - ORINTER - 29.01.2020</t>
  </si>
  <si>
    <t>TRIPADVISOR LLC.</t>
  </si>
  <si>
    <t>Travel Agent Commissions</t>
  </si>
  <si>
    <t>DDBBEA96-ED35-427F-B186-E849239B944D</t>
  </si>
  <si>
    <t>GONZALEZ RUBIO CERECER FERNANDO</t>
  </si>
  <si>
    <t>Notario Fe Hechos Prob Sindicato</t>
  </si>
  <si>
    <t>Mantto Licencias</t>
  </si>
  <si>
    <t>AMORT 01 2020</t>
  </si>
  <si>
    <t>DISTRIBUCION LICENCIAS SAP ENERO 2020</t>
  </si>
  <si>
    <t>YCUTZ</t>
  </si>
  <si>
    <t>B36F144B-FEAA-423B-A586-88467135EEF1</t>
  </si>
  <si>
    <t>LUZ 2 ENERO</t>
  </si>
  <si>
    <t>LUZ 27 ENERO</t>
  </si>
  <si>
    <t>LUZ 3 ENERO</t>
  </si>
  <si>
    <t>LUZ 4 ENERO</t>
  </si>
  <si>
    <t>LUZ 5 ENERO</t>
  </si>
  <si>
    <t>LUZ 16 ENERO</t>
  </si>
  <si>
    <t>LUZ 17 ENERO</t>
  </si>
  <si>
    <t>LUZ 18 ENERO</t>
  </si>
  <si>
    <t>LUZ 20 ENERO</t>
  </si>
  <si>
    <t>LUZ 24 ENERO</t>
  </si>
  <si>
    <t>LUZ 25 ENERO</t>
  </si>
  <si>
    <t>28 DE ENERO</t>
  </si>
  <si>
    <t>29 DE ENERO</t>
  </si>
  <si>
    <t>30 DE ENERO</t>
  </si>
  <si>
    <t>LUZ 1 ENERO</t>
  </si>
  <si>
    <t>LUZ 6 ENERO</t>
  </si>
  <si>
    <t>LUZ 7 ENERO</t>
  </si>
  <si>
    <t>LUZ 8 ENERO</t>
  </si>
  <si>
    <t>LUZ 9 ENERO</t>
  </si>
  <si>
    <t>LUZ 10 ENERO</t>
  </si>
  <si>
    <t>LUZ 11 ENERO</t>
  </si>
  <si>
    <t>LUZ 12 ENERO</t>
  </si>
  <si>
    <t>LUZ 13 ENERO</t>
  </si>
  <si>
    <t>LUZ 14 ENERO</t>
  </si>
  <si>
    <t>LUZ 15 ENERO</t>
  </si>
  <si>
    <t>LUZ 19 ENERO</t>
  </si>
  <si>
    <t>LUZ 21 ENERO</t>
  </si>
  <si>
    <t>LUZ 22 ENERO</t>
  </si>
  <si>
    <t>LUZ 23 ENERO</t>
  </si>
  <si>
    <t>LUZ 26 ENERO</t>
  </si>
  <si>
    <t>LUZ 28 ENERO</t>
  </si>
  <si>
    <t>LUZ 29 ENERO</t>
  </si>
  <si>
    <t>Hosting Externo</t>
  </si>
  <si>
    <t>REFG:RCDPI00020329</t>
  </si>
  <si>
    <t>DESC AS: Notificaciones Email Reservas y Cortesías</t>
  </si>
  <si>
    <t>REFG:RCDPI00020331</t>
  </si>
  <si>
    <t>10.01.2020</t>
  </si>
  <si>
    <t>REFG:RCDPI00019398</t>
  </si>
  <si>
    <t>DESC AS: Call Center Externo</t>
  </si>
  <si>
    <t>REFG:RCDPI00019409</t>
  </si>
  <si>
    <t>DESC AS: Publicidad Aerea</t>
  </si>
  <si>
    <t>REFG:RCDPI00019618</t>
  </si>
  <si>
    <t>DESC AS: Publicidad Revista</t>
  </si>
  <si>
    <t>REFG:RCDPI00019410</t>
  </si>
  <si>
    <t>DESC AS: Relaciones Publicas-Marketing</t>
  </si>
  <si>
    <t>22.01.2020</t>
  </si>
  <si>
    <t>REFG:RCDPI00019697</t>
  </si>
  <si>
    <t>CONSULTORLT</t>
  </si>
  <si>
    <t>REFG:RCDPI00019837</t>
  </si>
  <si>
    <t>DESC AS: Servicio de hosting  Amplified Rewards Ve</t>
  </si>
  <si>
    <t>REFG:RCDPI00020079</t>
  </si>
  <si>
    <t>DESC AS: Monitoreo De Campañas Digitales</t>
  </si>
  <si>
    <t>REFG:RCDPI00020199</t>
  </si>
  <si>
    <t>DESC AS: Hosting CRM</t>
  </si>
  <si>
    <t>REFG:RCDPI00019351</t>
  </si>
  <si>
    <t>DESC AS: HOSTING SAP ENERO 20 #37</t>
  </si>
  <si>
    <t>CR</t>
  </si>
  <si>
    <t>51A79E55FEC844C3AE34A89F892F0B6F</t>
  </si>
  <si>
    <t>7F402B4794D547F3A9</t>
  </si>
  <si>
    <t>7F402B4794D547F3A92C|79220|</t>
  </si>
  <si>
    <t>OTUN</t>
  </si>
  <si>
    <t>C4D5F5FDBAEB4A2588C64A1C32383CDB</t>
  </si>
  <si>
    <t>REFG:RCDPI00020345</t>
  </si>
  <si>
    <t>DESC AS: Advertising</t>
  </si>
  <si>
    <t>REFG:RCDPI00020346</t>
  </si>
  <si>
    <t>REFG:RCDPI00020347</t>
  </si>
  <si>
    <t>REFG:RCDPI00020348</t>
  </si>
  <si>
    <t>REFG:RCDPI00020349</t>
  </si>
  <si>
    <t>REFG:RCDPI00020351</t>
  </si>
  <si>
    <t>REFG:RCDPI00020200</t>
  </si>
  <si>
    <t>REFG:RCDPI00020481</t>
  </si>
  <si>
    <t>PROV FEE DIC2019</t>
  </si>
  <si>
    <t>2019 A</t>
  </si>
  <si>
    <t>PROV FEE MARKETING 1% DICIEMBRE 2019</t>
  </si>
  <si>
    <t>PROV FEE MARKETING 3% DICIEMBRE 2019</t>
  </si>
  <si>
    <t>NOBU HOSPITALITY LLC</t>
  </si>
  <si>
    <t>FEE DICIEMBRE NOBU</t>
  </si>
  <si>
    <t>INVOICE GC IND MEX CTA 7714-8376 NOVIEMBRE 2019</t>
  </si>
  <si>
    <t>INVOICE GC IND MEX CTA 837-9303 NOVIEMBRE 2019</t>
  </si>
  <si>
    <t>02.01.2020</t>
  </si>
  <si>
    <t>SANT3341 BB2247968 W RIGONI CASTRO</t>
  </si>
  <si>
    <t>HOTEL ROYAL PLAYACAR - COM.BANC - 17.01.2020</t>
  </si>
  <si>
    <t>CXC7</t>
  </si>
  <si>
    <t>COMISION BANCARIA BOFA2501- 14.01.20</t>
  </si>
  <si>
    <t>CXC5</t>
  </si>
  <si>
    <t>BD88B363-95A7-4071-82E9-ACF028EE7E63</t>
  </si>
  <si>
    <t>CARIBBEAN CIT SA DE CV</t>
  </si>
  <si>
    <t>FACTURA A 1</t>
  </si>
  <si>
    <t>Comisiones Caribbean Cit</t>
  </si>
  <si>
    <t>JURIBE</t>
  </si>
  <si>
    <t>INTERNATIONAL TOURS SPECIALISTS INC</t>
  </si>
  <si>
    <t>RVA 198774892</t>
  </si>
  <si>
    <t>COMISION RVA 19877482 CHANEL THIERRY</t>
  </si>
  <si>
    <t>FACT LEGENDARY</t>
  </si>
  <si>
    <t>FACT  (INM PROVAMEX)   GASTOS  DIC 19</t>
  </si>
  <si>
    <t>FACT VAC PLANERS</t>
  </si>
  <si>
    <t>FACT HOTELES CLUB TULUM  / GASTOS DIC 2019</t>
  </si>
  <si>
    <t>13.01.2020</t>
  </si>
  <si>
    <t>PROV HONORARIOS</t>
  </si>
  <si>
    <t>PROV. HONORARIOS POR AUDITORIA ENE 2020</t>
  </si>
  <si>
    <t>AUXCONTA1</t>
  </si>
  <si>
    <t>PROV HONO PROF CORRESPONSALIA BANCARIA ENE 2020</t>
  </si>
  <si>
    <t>RECLAIF CTAS</t>
  </si>
  <si>
    <t>Reclasif Cuentas</t>
  </si>
  <si>
    <t>Distr Lavanderia Enero 2020</t>
  </si>
  <si>
    <t>REFG:RCDPI00019353</t>
  </si>
  <si>
    <t>DESC AS: Canales De Reservas</t>
  </si>
  <si>
    <t>REFG:RCDPI00019354</t>
  </si>
  <si>
    <t>REFG:RCDPI00019355</t>
  </si>
  <si>
    <t>REFG:RCDPI00019356</t>
  </si>
  <si>
    <t>REFG:RCDPI00019357</t>
  </si>
  <si>
    <t>REFG:RCDPI00019358</t>
  </si>
  <si>
    <t>REFG:RCDPI00019776</t>
  </si>
  <si>
    <t>REFG:RCDPI00019777</t>
  </si>
  <si>
    <t>RECLAS DE CUENTA</t>
  </si>
  <si>
    <t>MANTONIO</t>
  </si>
  <si>
    <t>DIST GOOGLE ENE</t>
  </si>
  <si>
    <t>DISTRIBUCION GOOGLE ENERO 2020</t>
  </si>
  <si>
    <t>SMARTINEZ</t>
  </si>
  <si>
    <t>118291E0-651A-4E69-A868-3DA64924DC20</t>
  </si>
  <si>
    <t>ORDINOLA SOTELO FABIO</t>
  </si>
  <si>
    <t>FACT 184</t>
  </si>
  <si>
    <t>servicio cetreria control aves ene</t>
  </si>
  <si>
    <t>8A0A6FA0-25BB-46E0-87E9-8518C7CE0A65</t>
  </si>
  <si>
    <t>SERV LUZ ENERO 14 LA 16</t>
  </si>
  <si>
    <t>CTRUJILLO</t>
  </si>
  <si>
    <t>SERV LUZ ENERO ALUMBRADO</t>
  </si>
  <si>
    <t>SERV LUZ ENERO 21</t>
  </si>
  <si>
    <t>SERV LUZ ENERO 22</t>
  </si>
  <si>
    <t>SERV LUZ ENERO LOC 24 Y 25</t>
  </si>
  <si>
    <t>SERV LUZ ENERO LOC 17</t>
  </si>
  <si>
    <t>COMISION PEGASUS CYCLE END 01/25/20</t>
  </si>
  <si>
    <t>SERVICIO DE RESERVACIONES</t>
  </si>
  <si>
    <t>GRUPO IM DEL SURESTE S DE RL DE CV</t>
  </si>
  <si>
    <t>SERV. SEGURIDAD EXTERNO 08 al 19 ENE</t>
  </si>
  <si>
    <t>4181219CRS</t>
  </si>
  <si>
    <t>Services Fee Dic 2019 HRI</t>
  </si>
  <si>
    <t>HARD ROCK LIMITED.</t>
  </si>
  <si>
    <t>5000819NSF</t>
  </si>
  <si>
    <t>Audit NSF Hard Rock</t>
  </si>
  <si>
    <t>REGALIAS LICENCIA TARIFAS HOTEL 3%</t>
  </si>
  <si>
    <t>CXP2</t>
  </si>
  <si>
    <t>REGALIAS VENTAS POR MENOR 10%</t>
  </si>
  <si>
    <t>229168A1-7138-5953-8D9D-9F9B36E41721</t>
  </si>
  <si>
    <t>VIAJES INTERMEX SA DE CV</t>
  </si>
  <si>
    <t>FACT FC3 2104</t>
  </si>
  <si>
    <t>Comision Rva 9977865 - Viajes Intermex</t>
  </si>
  <si>
    <t>REFG:RCDPI00019577</t>
  </si>
  <si>
    <t>DESC AS: Agencies Commission</t>
  </si>
  <si>
    <t>FA</t>
  </si>
  <si>
    <t>REFG:RCDPC00000780</t>
  </si>
  <si>
    <t>REFG:RCDPI00020102</t>
  </si>
  <si>
    <t>DESC AS: Hosting Sitios Hard Rock</t>
  </si>
  <si>
    <t>REFG:RCDPI00020201</t>
  </si>
  <si>
    <t>01.01.2020</t>
  </si>
  <si>
    <t>NC 1544264026</t>
  </si>
  <si>
    <t>REFG:RCDPI00019500</t>
  </si>
  <si>
    <t>DESC AS: Implementación de Programa Docusign</t>
  </si>
  <si>
    <t>REFG:RCDPI00019694</t>
  </si>
  <si>
    <t>DESC AS: Licencias Colin Cowie</t>
  </si>
  <si>
    <t>Renovación de Licencia Vinipad A&amp;B ENE 20</t>
  </si>
  <si>
    <t>REFG:RCDPI00019477</t>
  </si>
  <si>
    <t>DESC AS: Display 15</t>
  </si>
  <si>
    <t>REFG:RCDPI00019480</t>
  </si>
  <si>
    <t>DESC AS: Display 1</t>
  </si>
  <si>
    <t>REFG:RCDPI00019481</t>
  </si>
  <si>
    <t>DESC AS: Display 2</t>
  </si>
  <si>
    <t>REFG:RCDPI00019482</t>
  </si>
  <si>
    <t>DESC AS: Display 3</t>
  </si>
  <si>
    <t>REFG:RCDPI00019483</t>
  </si>
  <si>
    <t>DESC AS: Display 4</t>
  </si>
  <si>
    <t>REFG:RCDPI00019484</t>
  </si>
  <si>
    <t>DESC AS: Display 5</t>
  </si>
  <si>
    <t>REFG:RCDPI00019485</t>
  </si>
  <si>
    <t>DESC AS: Display 6</t>
  </si>
  <si>
    <t>REFG:RCDPI00019486</t>
  </si>
  <si>
    <t>DESC AS: Display 7</t>
  </si>
  <si>
    <t>REFG:RCDPI00019487</t>
  </si>
  <si>
    <t>DESC AS: Display 8</t>
  </si>
  <si>
    <t>REFG:RCDPI00019488</t>
  </si>
  <si>
    <t>DESC AS: Display 9</t>
  </si>
  <si>
    <t>REFG:RCDPI00019489</t>
  </si>
  <si>
    <t>DESC AS: Display 10</t>
  </si>
  <si>
    <t>REFG:RCDPI00019490</t>
  </si>
  <si>
    <t>DESC AS: Display 11</t>
  </si>
  <si>
    <t>REFG:RCDPI00019491</t>
  </si>
  <si>
    <t>DESC AS: Display 12</t>
  </si>
  <si>
    <t>REFG:RCDPI00019492</t>
  </si>
  <si>
    <t>DESC AS: Display 13</t>
  </si>
  <si>
    <t>REFG:RCDPI00019493</t>
  </si>
  <si>
    <t>DESC AS: Display 14</t>
  </si>
  <si>
    <t>REFG:RCDPI00019499</t>
  </si>
  <si>
    <t>DESC AS: Display HR+UNICO</t>
  </si>
  <si>
    <t>REFG:RCDPI00019341</t>
  </si>
  <si>
    <t>DESC AS: Display NC 1</t>
  </si>
  <si>
    <t>REFG:RCDPI00019343</t>
  </si>
  <si>
    <t>DESC AS: Google Ads</t>
  </si>
  <si>
    <t>REFG:RCDPI00019344</t>
  </si>
  <si>
    <t>REFG:RCDPI00019345</t>
  </si>
  <si>
    <t>DESC AS: Display NC 2</t>
  </si>
  <si>
    <t>REFG:RCDPI00019346</t>
  </si>
  <si>
    <t>DESC AS: Display NC 3</t>
  </si>
  <si>
    <t>REFG:RCDPI00019340</t>
  </si>
  <si>
    <t>REFG:RCDPI00019363</t>
  </si>
  <si>
    <t>DESC AS: MetaSearch HPA</t>
  </si>
  <si>
    <t>REFG:RCDPI00019365</t>
  </si>
  <si>
    <t>DESC AS: Display TripAdvisor</t>
  </si>
  <si>
    <t>REFG:RCDPI00019625</t>
  </si>
  <si>
    <t>DESC AS: MetaSearch NC</t>
  </si>
  <si>
    <t>REFG:RCDPI00019631</t>
  </si>
  <si>
    <t>DESC AS: MetaSearch</t>
  </si>
  <si>
    <t>REFG:RCDPI00019822</t>
  </si>
  <si>
    <t>DESC AS: Display Nobu Los Cabos</t>
  </si>
  <si>
    <t>REFG:RCDPI00019852</t>
  </si>
  <si>
    <t>DESC AS: Display</t>
  </si>
  <si>
    <t>REFG:RCDPI00019931</t>
  </si>
  <si>
    <t>DESC AS: DV360 Consumo</t>
  </si>
  <si>
    <t>Amort 01 2020</t>
  </si>
  <si>
    <t>DESC AS: Business Advantage ENERO 2020</t>
  </si>
  <si>
    <t>REFG:RCDPI00020193</t>
  </si>
  <si>
    <t>DESC AS: HRHRM Heaven Sposored</t>
  </si>
  <si>
    <t>REFG:RCDPI00020194</t>
  </si>
  <si>
    <t>DESC AS: HRHPC Sposored</t>
  </si>
  <si>
    <t>REFG:RCDPI00020229</t>
  </si>
  <si>
    <t>DESC AS: HRHCA Sposored</t>
  </si>
  <si>
    <t>REFG:RCDPI00020322</t>
  </si>
  <si>
    <t>DESC AS: Display CPM</t>
  </si>
  <si>
    <t>REFG:RCDPI00020330</t>
  </si>
  <si>
    <t>PROV HRIFEES DIC</t>
  </si>
  <si>
    <t>LICENSE FEE HR DIC19</t>
  </si>
  <si>
    <t>AKRODRIGUEZ</t>
  </si>
  <si>
    <t>MARKETING FEE HR 1% DIC19</t>
  </si>
  <si>
    <t>RETAIL STORES FEE HR DIC19</t>
  </si>
  <si>
    <t>PROVISIÓN 0.5% FEE MARKETING HRI DIC 19</t>
  </si>
  <si>
    <t>PROVISIÓN 2% FEE HOTEL HRI DIC 2019</t>
  </si>
  <si>
    <t>PROVISIÓN 10% FEE ROCK SHOP HRI DIC 2019</t>
  </si>
  <si>
    <t>WOODWARD DIC</t>
  </si>
  <si>
    <t>HRRM ROYALTY FEES WOODWARD DIC 2019</t>
  </si>
  <si>
    <t>PROV TELA MICROFIBRA 4501211947</t>
  </si>
  <si>
    <t>PROV MOPA ULTRA SPEED 4501213658</t>
  </si>
  <si>
    <t>4CA63134-3809-48C2-847E-D054AA4F074B</t>
  </si>
  <si>
    <t>COOKINGCLEAN DE MEXICO SA DE CV</t>
  </si>
  <si>
    <t>SERV.EQUIPO DESINCRUSTANTE ENE 2020</t>
  </si>
  <si>
    <t>elaboracion diagnostico y plan de manejo</t>
  </si>
  <si>
    <t>LIC SAP HYBRIS ENE 20</t>
  </si>
  <si>
    <t>SUPORT COLAB, ENTERPRISE ENE20</t>
  </si>
  <si>
    <t>LIC OFFICE 365  ENE 20</t>
  </si>
  <si>
    <t>LIC OFFICE 365 PROPLUS CSP ENE 20</t>
  </si>
  <si>
    <t>LIC SERV LINKEDIN ENE20</t>
  </si>
  <si>
    <t>DESC AS: Licencias Barracuda</t>
  </si>
  <si>
    <t>DESC AS: Extensión de Suscripciones año 1 SAP C4H</t>
  </si>
  <si>
    <t>DESC AS: Año 1 Suscripción SAP Commerce y SAP Trav</t>
  </si>
  <si>
    <t>DESC AS: Licencia Smartsheet</t>
  </si>
  <si>
    <t>DESC AS: Hosting Duetto Revenue ENER 2020</t>
  </si>
  <si>
    <t>Lic SAP AnalytCloud Ene 2020</t>
  </si>
  <si>
    <t>DESC AS: Renovación De Licencias</t>
  </si>
  <si>
    <t>DESC AS: Garantia Servidores HP</t>
  </si>
  <si>
    <t>LIC CREATIVE CLOUD FOR TEAMS ENE20</t>
  </si>
  <si>
    <t>DESC AS: Licencia Creative Cloud</t>
  </si>
  <si>
    <t>DESC AS: Licencia Portal De Proveedores</t>
  </si>
  <si>
    <t>DESC AS: Mantenimiento de Licencias SAP ERP ENERO</t>
  </si>
  <si>
    <t>ERAMOS</t>
  </si>
  <si>
    <t>DESC AS: Suscripcion Plataforma Ezrmz</t>
  </si>
  <si>
    <t>DESC AS: Licencias TMSforPOS</t>
  </si>
  <si>
    <t>8C50D87A-B0AB-4AAF-A8F3-A79EB662C481</t>
  </si>
  <si>
    <t>CFE ENERO 2020</t>
  </si>
  <si>
    <t>PROVEEDOR UNICO COMPRAS.</t>
  </si>
  <si>
    <t>Incentivos Concierge Diciembre 2019</t>
  </si>
  <si>
    <t>JMIRALLES</t>
  </si>
  <si>
    <t>AC3BF6C0-9B0A-4192-9B59-D7ECB6359DA3</t>
  </si>
  <si>
    <t>Electricidad HRV 01 Enero 2020</t>
  </si>
  <si>
    <t>Electricidad HRV 02 Enero 2020</t>
  </si>
  <si>
    <t>Electricidad HRV 03 Enero 2020</t>
  </si>
  <si>
    <t>Electricidad HRV 04 Enero 2020</t>
  </si>
  <si>
    <t>Electricidad HRV 05 Enero 2020</t>
  </si>
  <si>
    <t>Electricidad HRV 06 Enero 2020</t>
  </si>
  <si>
    <t>Electricidad HRV 07 Enero 2020</t>
  </si>
  <si>
    <t>Electricidad HRV 08 Enero 2020</t>
  </si>
  <si>
    <t>Electricidad HRV 09 Enero 2020</t>
  </si>
  <si>
    <t>Electricidad HRV 10 Enero 2020</t>
  </si>
  <si>
    <t>Electricidad HRV 11 Enero 2020</t>
  </si>
  <si>
    <t>Electricidad HRV 12 Enero 2020</t>
  </si>
  <si>
    <t>Electricidad HRV 13 Enero 2020</t>
  </si>
  <si>
    <t>Electricidad HRV 14 Enero 2020</t>
  </si>
  <si>
    <t>Electricidad HRV 15 Enero 2020</t>
  </si>
  <si>
    <t>Electricidad HRV 16 Enero 2020</t>
  </si>
  <si>
    <t>Electricidad HRV 17 Enero 2020</t>
  </si>
  <si>
    <t>Electricidad HRV 18 Enero 2020</t>
  </si>
  <si>
    <t>Electricidad HRV 19 Enero 2020</t>
  </si>
  <si>
    <t>Electricidad HRV 20 Enero 2020</t>
  </si>
  <si>
    <t>Electricidad HRV 21 Enero 2020</t>
  </si>
  <si>
    <t>Electricidad HRV 22 Enero 2020</t>
  </si>
  <si>
    <t>Electricidad HRV 23 Enero 2020</t>
  </si>
  <si>
    <t>Electricidad HRV 24 Enero 2020</t>
  </si>
  <si>
    <t>Electricidad HRV 25 Enero 2020</t>
  </si>
  <si>
    <t>Electricidad HRV 26 Enero 2020</t>
  </si>
  <si>
    <t>Electricidad HRV 27 Enero 2020</t>
  </si>
  <si>
    <t>Electricidad HRV 28 Enero 2020</t>
  </si>
  <si>
    <t>Electricidad HRV 29 Enero 2020</t>
  </si>
  <si>
    <t>REFG:RCDPI00019891</t>
  </si>
  <si>
    <t>REFG:RCDPI00019752</t>
  </si>
  <si>
    <t>DESC AS: Honorarios Por Gastos Legales</t>
  </si>
  <si>
    <t>D1</t>
  </si>
  <si>
    <t>REFG:RCDPI00020276</t>
  </si>
  <si>
    <t>REFG:RCDPI00019892</t>
  </si>
  <si>
    <t>REFG:RCDPI00020196</t>
  </si>
  <si>
    <t>REFG:RCDPI00020327</t>
  </si>
  <si>
    <t>REFG:RCDPI00019540</t>
  </si>
  <si>
    <t>DESC AS: Operador De Iluminación</t>
  </si>
  <si>
    <t>REFG:RCDPI00019541</t>
  </si>
  <si>
    <t>REFG:RCDPI00019542</t>
  </si>
  <si>
    <t>REFG:RCDPI00019659</t>
  </si>
  <si>
    <t>REFG:RCDPI00019660</t>
  </si>
  <si>
    <t>REFG:RCDPI00019954</t>
  </si>
  <si>
    <t>REFG:RCDPI00019955</t>
  </si>
  <si>
    <t>REFG:RCDPI00020244</t>
  </si>
  <si>
    <t>REFG:RCDPI00020449</t>
  </si>
  <si>
    <t>FAC 24662</t>
  </si>
  <si>
    <t>PUBLICIDAD NOVEDADES DE QUINTANA ROO</t>
  </si>
  <si>
    <t>REFG:RCDPI00019893</t>
  </si>
  <si>
    <t>REFG:RCDPI00019930</t>
  </si>
  <si>
    <t>PROV FEES ENE 20</t>
  </si>
  <si>
    <t>Prov Fees Ene 2020</t>
  </si>
  <si>
    <t>Prov License Fee 2% Ene 2020</t>
  </si>
  <si>
    <t>Prov MKG fee 5% Ene 2020</t>
  </si>
  <si>
    <t>Prov Stores fee 10% Ene 2020</t>
  </si>
  <si>
    <t>1D14D50A-F84B-47F4-8163-7461C7C813C2</t>
  </si>
  <si>
    <t>SPECTRADYNE INTERNATIONAL INC</t>
  </si>
  <si>
    <t>A12291</t>
  </si>
  <si>
    <t>publicidad enero 2020</t>
  </si>
  <si>
    <t>FD389128-8ECC-494C-A614-7E66BF89AD6A</t>
  </si>
  <si>
    <t>ALANIZ AGUILAR ARMANDO</t>
  </si>
  <si>
    <t>SERV IMPRESION TARJETAS CONTACTO HUESPED</t>
  </si>
  <si>
    <t>A0C3E6C7-7D66-42BD-8844-81B9B20ABA85</t>
  </si>
  <si>
    <t>PLEAMAR CULTURAL S DE RL DE CV</t>
  </si>
  <si>
    <t>REVISTA TENDENCIA ENERO</t>
  </si>
  <si>
    <t>C0BF83A2-75DF-4F3A-B81E-BAFF64E1BA15</t>
  </si>
  <si>
    <t>SPECTRADYNE INTERNATIONAL ENERO</t>
  </si>
  <si>
    <t>AMORT ENE 20</t>
  </si>
  <si>
    <t>PUBLICIDAD LIBRO VISIT LOS CABOS 2020</t>
  </si>
  <si>
    <t>PROV PHOTOSHOOT</t>
  </si>
  <si>
    <t>Photoshoot April</t>
  </si>
  <si>
    <t>5000120M</t>
  </si>
  <si>
    <t>Fee Memorabilia Ene 2020</t>
  </si>
  <si>
    <t>2609603E-AC7F-4924-A0F0-6686F735ECE6</t>
  </si>
  <si>
    <t>PEREZ STONE RODRIGUEZ XAVIER AARON</t>
  </si>
  <si>
    <t>Pago de asesoria Xavier Pérez Enero</t>
  </si>
  <si>
    <t>4181219R</t>
  </si>
  <si>
    <t>HARD ROCK LIMITE LICENSE FESS DIC19</t>
  </si>
  <si>
    <t>MCONTRERAS</t>
  </si>
  <si>
    <t>RETAIL FEES  DIC19</t>
  </si>
  <si>
    <t>MARKETING FEES  DIC19</t>
  </si>
  <si>
    <t>COMISIONES PEGASUS CYCLE END 01/25/2020</t>
  </si>
  <si>
    <t>AINGRESOSCG</t>
  </si>
  <si>
    <t>COMISIONES PEGASUS CYCLE END 01/18/2020</t>
  </si>
  <si>
    <t>VIZERGY.</t>
  </si>
  <si>
    <t>SIN044089</t>
  </si>
  <si>
    <t>Consumo CFE Casa Club 01.01.2020</t>
  </si>
  <si>
    <t>Consumo CFE Casa Club 02.01.2020</t>
  </si>
  <si>
    <t>Consumo CFE Casa Club 03.01.2020</t>
  </si>
  <si>
    <t>Consumo CFE Casa Club 04.01.2020</t>
  </si>
  <si>
    <t>Consumo CFE Casa Club 05.01.2020</t>
  </si>
  <si>
    <t>Consumo CFE Casa Club 06.01.2020</t>
  </si>
  <si>
    <t>Consumo CFE Casa Club 07.01.2020</t>
  </si>
  <si>
    <t>Consumo CFE Casa Club 08.01.2020</t>
  </si>
  <si>
    <t>Consumo CFE Casa Club 09.01.2020</t>
  </si>
  <si>
    <t>Consumo CFE Casa Club 10.01.2020</t>
  </si>
  <si>
    <t>Consumo CFE Casa Club 11.01.2020</t>
  </si>
  <si>
    <t>Consumo CFE Casa Club 12.01.2020</t>
  </si>
  <si>
    <t>Consumo CFE Casa Club 13.01.2020</t>
  </si>
  <si>
    <t>Consumo CFE Casa Club 14.01.2020</t>
  </si>
  <si>
    <t>Consumo CFE Casa Club 15.01.2020</t>
  </si>
  <si>
    <t>Consumo CFE Casa Club 16.01.2020</t>
  </si>
  <si>
    <t>Consumo CFE Casa Club 17.01.2020</t>
  </si>
  <si>
    <t>Consumo CFE Casa Club 18.01.2020</t>
  </si>
  <si>
    <t>Consumo CFE Casa Club 19.01.2020</t>
  </si>
  <si>
    <t>Consumo CFE Casa Club 20.01.2020</t>
  </si>
  <si>
    <t>Consumo CFE Casa Club 21.01.2020</t>
  </si>
  <si>
    <t>Consumo CFE Casa Club 22.01.2020</t>
  </si>
  <si>
    <t>Consumo CFE Casa Club 23.01.2020</t>
  </si>
  <si>
    <t>Consumo CFE Casa Club 24.01.2020</t>
  </si>
  <si>
    <t>Consumo CFE Casa Club 25.01.2020</t>
  </si>
  <si>
    <t>Consumo CFE Lago Riego 01.01.2020</t>
  </si>
  <si>
    <t>Consumo CFE Lago Riego 02.01.2020</t>
  </si>
  <si>
    <t>Consumo CFE Lago Riego 03.01.2020</t>
  </si>
  <si>
    <t>Consumo CFE Lago Riego 04.01.2020</t>
  </si>
  <si>
    <t>Consumo CFE Lago Riego 05.01.2020</t>
  </si>
  <si>
    <t>Consumo CFE Lago Riego 06.01.2020</t>
  </si>
  <si>
    <t>Consumo CFE Lago Riego 07.01.2020</t>
  </si>
  <si>
    <t>Consumo CFE Lago Riego 08.01.2020</t>
  </si>
  <si>
    <t>Consumo CFE Lago Riego 09.01.2020</t>
  </si>
  <si>
    <t>Consumo CFE Lago Riego 10.01.2020</t>
  </si>
  <si>
    <t>Consumo CFE Lago Riego 11.01.2020</t>
  </si>
  <si>
    <t>Consumo CFE Lago Riego 12.01.2020</t>
  </si>
  <si>
    <t>Consumo CFE Lago Riego 13.01.2020</t>
  </si>
  <si>
    <t>Consumo CFE Lago Riego 14.01.2020</t>
  </si>
  <si>
    <t>Consumo CFE Lago Riego 15.01.2020</t>
  </si>
  <si>
    <t>Consumo CFE Lago Riego 16.01.2020</t>
  </si>
  <si>
    <t>Consumo CFE Lago Riego 17.01.2020</t>
  </si>
  <si>
    <t>Consumo CFE Lago Riego 18.01.2020</t>
  </si>
  <si>
    <t>Consumo CFE Lago Riego 19.01.2020</t>
  </si>
  <si>
    <t>Consumo CFE Lago Riego 20.01.2020</t>
  </si>
  <si>
    <t>Consumo CFE Lago Riego 21.01.2020</t>
  </si>
  <si>
    <t>Consumo CFE Lago Riego 22.01.2020</t>
  </si>
  <si>
    <t>Consumo CFE Lago Riego 23.01.2020</t>
  </si>
  <si>
    <t>Consumo CFE Lago Riego 24.01.2020</t>
  </si>
  <si>
    <t>Consumo CFE Lago Riego 25.01.2020</t>
  </si>
  <si>
    <t>Consumo CFE Taller Mantto 01.01.2020</t>
  </si>
  <si>
    <t>Consumo CFE Taller Mantto 02.01.2020</t>
  </si>
  <si>
    <t>Consumo CFE Taller Mantto 03.01.2020</t>
  </si>
  <si>
    <t>Consumo CFE Taller Mantto 04.01.2020</t>
  </si>
  <si>
    <t>Consumo CFE Taller Mantto 05.01.2020</t>
  </si>
  <si>
    <t>Consumo CFE Taller Mantto 06.01.2020</t>
  </si>
  <si>
    <t>Consumo CFE Taller Mantto 07.01.2020</t>
  </si>
  <si>
    <t>Consumo CFE Taller Mantto 08.01.2020</t>
  </si>
  <si>
    <t>Consumo CFE Taller Mantto 09.01.2020</t>
  </si>
  <si>
    <t>Consumo CFE Taller Mantto 10.01.2020</t>
  </si>
  <si>
    <t>Consumo CFE Taller Mantto 11.01.2020</t>
  </si>
  <si>
    <t>Consumo CFE Taller Mantto 12.01.2020</t>
  </si>
  <si>
    <t>Consumo CFE Taller Mantto 13.01.2020</t>
  </si>
  <si>
    <t>Consumo CFE Taller Mantto 14.01.2020</t>
  </si>
  <si>
    <t>Consumo CFE Taller Mantto 15.01.2020</t>
  </si>
  <si>
    <t>Consumo CFE Taller Mantto 16.01.2020</t>
  </si>
  <si>
    <t>Consumo CFE Taller Mantto 17.01.2020</t>
  </si>
  <si>
    <t>Consumo CFE Taller Mantto 18.01.2020</t>
  </si>
  <si>
    <t>Consumo CFE Taller Mantto 19.01.2020</t>
  </si>
  <si>
    <t>Consumo CFE Taller Mantto 20.01.2020</t>
  </si>
  <si>
    <t>Consumo CFE Taller Mantto 21.01.2020</t>
  </si>
  <si>
    <t>Consumo CFE Taller Mantto 22.01.2020</t>
  </si>
  <si>
    <t>Consumo CFE Taller Mantto 23.01.2020</t>
  </si>
  <si>
    <t>Consumo CFE Taller Mantto 24.01.2020</t>
  </si>
  <si>
    <t>Consumo CFE Taller Mantto 25.01.2020</t>
  </si>
  <si>
    <t>Consumo CFE Hoyo 2  01.01.2020</t>
  </si>
  <si>
    <t>Consumo CFE Hoyo 2  02.01.2020</t>
  </si>
  <si>
    <t>Consumo CFE Hoyo 2  03.01.2020</t>
  </si>
  <si>
    <t>Consumo CFE Hoyo 2  04.01.2020</t>
  </si>
  <si>
    <t>Consumo CFE Hoyo 2  05.01.2020</t>
  </si>
  <si>
    <t>Consumo CFE Hoyo 2  06.01.2020</t>
  </si>
  <si>
    <t>Consumo CFE Hoyo 2  07.01.2020</t>
  </si>
  <si>
    <t>Consumo CFE Hoyo 2  08.01.2020</t>
  </si>
  <si>
    <t>Consumo CFE Hoyo 2  09.01.2020</t>
  </si>
  <si>
    <t>Consumo CFE Hoyo 2  10.01.2020</t>
  </si>
  <si>
    <t>Consumo CFE Hoyo 2  11.01.2020</t>
  </si>
  <si>
    <t>Consumo CFE Hoyo 2  12.01.2020</t>
  </si>
  <si>
    <t>Consumo CFE Hoyo 2  13.01.2020</t>
  </si>
  <si>
    <t>Consumo CFE Hoyo 2  14.01.2020</t>
  </si>
  <si>
    <t>Consumo CFE Hoyo 2  15.01.2020</t>
  </si>
  <si>
    <t>Consumo CFE Hoyo 2  16.01.2020</t>
  </si>
  <si>
    <t>Consumo CFE Hoyo 2  17.01.2020</t>
  </si>
  <si>
    <t>Consumo CFE Hoyo 2  18.01.2020</t>
  </si>
  <si>
    <t>Consumo CFE Hoyo 2  19.01.2020</t>
  </si>
  <si>
    <t>Consumo CFE Hoyo 2  20.01.2020</t>
  </si>
  <si>
    <t>Consumo CFE Hoyo 2  21.01.2020</t>
  </si>
  <si>
    <t>Consumo CFE Hoyo 2  22.01.2020</t>
  </si>
  <si>
    <t>Consumo CFE Hoyo 2  23.01.2020</t>
  </si>
  <si>
    <t>Consumo CFE Hoyo 2  24.01.2020</t>
  </si>
  <si>
    <t>Consumo CFE Hoyo 2  25.01.2020</t>
  </si>
  <si>
    <t>Consumo CFE Hoyo 5  01.01.2020</t>
  </si>
  <si>
    <t>Consumo CFE Hoyo 5  02.01.2020</t>
  </si>
  <si>
    <t>Consumo CFE Hoyo 5  03.01.2020</t>
  </si>
  <si>
    <t>Consumo CFE Hoyo 5  04.01.2020</t>
  </si>
  <si>
    <t>Consumo CFE Hoyo 5  05.01.2020</t>
  </si>
  <si>
    <t>Consumo CFE Hoyo 5  06.01.2020</t>
  </si>
  <si>
    <t>Consumo CFE Hoyo 5  07.01.2020</t>
  </si>
  <si>
    <t>Consumo CFE Hoyo 5  08.01.2020</t>
  </si>
  <si>
    <t>Consumo CFE Hoyo 5  09.01.2020</t>
  </si>
  <si>
    <t>Consumo CFE Hoyo 5  10.01.2020</t>
  </si>
  <si>
    <t>Consumo CFE Hoyo 5  11.01.2020</t>
  </si>
  <si>
    <t>Consumo CFE Hoyo 5  12.01.2020</t>
  </si>
  <si>
    <t>Consumo CFE Hoyo 5  13.01.2020</t>
  </si>
  <si>
    <t>Consumo CFE Hoyo 5  14.01.2020</t>
  </si>
  <si>
    <t>Consumo CFE Hoyo 5  15.01.2020</t>
  </si>
  <si>
    <t>Consumo CFE Hoyo 5  16.01.2020</t>
  </si>
  <si>
    <t>Consumo CFE Hoyo 5  17.01.2020</t>
  </si>
  <si>
    <t>Consumo CFE Hoyo 5  18.01.2020</t>
  </si>
  <si>
    <t>Consumo CFE Hoyo 5  19.01.2020</t>
  </si>
  <si>
    <t>Consumo CFE Hoyo 5  20.01.2020</t>
  </si>
  <si>
    <t>Consumo CFE Hoyo 5  21.01.2020</t>
  </si>
  <si>
    <t>Consumo CFE Hoyo 5  22.01.2020</t>
  </si>
  <si>
    <t>Consumo CFE Hoyo 5  23.01.2020</t>
  </si>
  <si>
    <t>Consumo CFE Hoyo 5  24.01.2020</t>
  </si>
  <si>
    <t>Consumo CFE Hoyo 5  25.01.2020</t>
  </si>
  <si>
    <t>REFG:RCDPI00019929</t>
  </si>
  <si>
    <t>REFG:RCDPI00019505</t>
  </si>
  <si>
    <t>REFG:RCDPI00020003</t>
  </si>
  <si>
    <t>DESC AS: Administración De Fideicomisos</t>
  </si>
  <si>
    <t>AMORT LIC ATEA</t>
  </si>
  <si>
    <t>Amort Grpo Atea</t>
  </si>
  <si>
    <t>Amort Grpo Atea Palo Alto 2020</t>
  </si>
  <si>
    <t>Amort Grpo Atea Ene 2020</t>
  </si>
  <si>
    <t>PROV FEE NOBU RESTAURANTE 8.5% DICIEMBRE 2019</t>
  </si>
  <si>
    <t>RE</t>
  </si>
  <si>
    <t>MGARCIA</t>
  </si>
  <si>
    <t>4171219CRS</t>
  </si>
  <si>
    <t>SIN044082</t>
  </si>
  <si>
    <t>4160120M</t>
  </si>
  <si>
    <t>RECLASIF DE CTAS</t>
  </si>
  <si>
    <t>Reclasif Ctas</t>
  </si>
  <si>
    <t>mensualidad spabooker posh enero</t>
  </si>
  <si>
    <t>BOOKING COM BV</t>
  </si>
  <si>
    <t>Comisión por reservas de booking 12/19</t>
  </si>
  <si>
    <t>1C202592-1C6A-4582-8415-38C00D3EE135</t>
  </si>
  <si>
    <t>RIVERA SALAZAR REBECA</t>
  </si>
  <si>
    <t>A336</t>
  </si>
  <si>
    <t>COMISION POR RESERVAS RIVERA VIAJES 2019</t>
  </si>
  <si>
    <t>MENSUALIDAD HOSTING SITIO WEB ENE 2020</t>
  </si>
  <si>
    <t>3FCA8972-29A0-4F77-9AE2-C8A4BB80F671</t>
  </si>
  <si>
    <t>LHW Services GmbH</t>
  </si>
  <si>
    <t>TH051069</t>
  </si>
  <si>
    <t>3% Revenue Diciembre 2019</t>
  </si>
  <si>
    <t>FEES HARD ROCK- MEMORABILIA ENE 2020</t>
  </si>
  <si>
    <t>BOOKER SOFTWARE INC</t>
  </si>
  <si>
    <t>120106-008E</t>
  </si>
  <si>
    <t>PAGO SABE BOOKER ENERO 2020</t>
  </si>
  <si>
    <t>FEES - Reservation Fee Services</t>
  </si>
  <si>
    <t>78777681-43A2-4A7B-93F0-D36EE16806DC</t>
  </si>
  <si>
    <t>ESTRATEGIAS DIGITALES PARA EL</t>
  </si>
  <si>
    <t>A103</t>
  </si>
  <si>
    <t>Licencia Adobe Cloud</t>
  </si>
  <si>
    <t>26D48181-4C07-4148-B3BB-B2C5ABE8D829</t>
  </si>
  <si>
    <t>D127</t>
  </si>
  <si>
    <t>PAGO TEMAZCAL 23 DIC-7 ENERO</t>
  </si>
  <si>
    <t>SIN043630</t>
  </si>
  <si>
    <t>MENSUALIDADES HOSTING ENERO</t>
  </si>
  <si>
    <t>120106 004E</t>
  </si>
  <si>
    <t>Factura Booker Spa Enero 2020</t>
  </si>
  <si>
    <t>SOLI1100</t>
  </si>
  <si>
    <t>120106 005E</t>
  </si>
  <si>
    <t>Factura Booker SABE Enero 2020</t>
  </si>
  <si>
    <t>120106-009E</t>
  </si>
  <si>
    <t>PAGO BOOKER SABE ENE 2020</t>
  </si>
  <si>
    <t>KR</t>
  </si>
  <si>
    <t>BEB ALC DIC</t>
  </si>
  <si>
    <t>IMPTO VENTA BEBIDAS ALCOHOLICAS DIC 19</t>
  </si>
  <si>
    <t>120106-003E</t>
  </si>
  <si>
    <t>Booker Spa Enero</t>
  </si>
  <si>
    <t>Booker Sabe Enero</t>
  </si>
  <si>
    <t>5F35ABD6-4979-4799-9455-F7BD488C7DD3</t>
  </si>
  <si>
    <t>TELEMATICA DEL SURESTE SA DE CV</t>
  </si>
  <si>
    <t>SERV. DE TARIFICADOR NOBU 2019</t>
  </si>
  <si>
    <t>A 790</t>
  </si>
  <si>
    <t>SERV ASESORAMIENTO EN RECURSOS HUMANOS ENE 2020</t>
  </si>
  <si>
    <t>B562D4C7-2655-4767-9B8F-E5A011BEBE75</t>
  </si>
  <si>
    <t>SERV. DE TARIFICADOR HR 2020 Anual</t>
  </si>
  <si>
    <t>DIFERIDOS ENE 20</t>
  </si>
  <si>
    <t>SERVICIO MUSICA AMBIENTAL-ENE 20</t>
  </si>
  <si>
    <t>SERV. MTTO PURE-ENE 20</t>
  </si>
  <si>
    <t>MANTTO DE LICENCIAS SOFTWARE ORACLE OPERA-ENE 20</t>
  </si>
  <si>
    <t>LICENCIA FOUR WINDS-ENE 20</t>
  </si>
  <si>
    <t>LICENCIA FIREWALL ENE 20</t>
  </si>
  <si>
    <t>SERV.CONSUL.PROG.DE SEGUROS ENE 20</t>
  </si>
  <si>
    <t>RCDTQ00008196 DESC AS: Licencias Oracle</t>
  </si>
  <si>
    <t>AUXCONTARVM</t>
  </si>
  <si>
    <t>RCDTQ00009837 DESC AS: Licencias Oracle</t>
  </si>
  <si>
    <t>RCDTQ00010361DESC AS: Licencias Oracle</t>
  </si>
  <si>
    <t>AMORT LICENCIAS</t>
  </si>
  <si>
    <t>EJEC/OPER</t>
  </si>
  <si>
    <t>COMISIONES SI VALE GASOLINA</t>
  </si>
  <si>
    <t>Pegasus Invoice 2282587</t>
  </si>
  <si>
    <t>AMORT PGOS ANT</t>
  </si>
  <si>
    <t>Amort Pgos Anticip</t>
  </si>
  <si>
    <t>Amort Licencia ZENDESCK Enero 2020</t>
  </si>
  <si>
    <t>REFG:RCDPI00020198</t>
  </si>
  <si>
    <t>ORACLELE LICENCE  ENE 20</t>
  </si>
  <si>
    <t>Licencia Mcafee Único 2019 ENE 20</t>
  </si>
  <si>
    <t>REFG:RCDPI00019503</t>
  </si>
  <si>
    <t>REFG:RCDPI00019501</t>
  </si>
  <si>
    <t>REFG:RCDPI00019502</t>
  </si>
  <si>
    <t>REFG:RCDPI00019504</t>
  </si>
  <si>
    <t>REFG:RCDPI00019888</t>
  </si>
  <si>
    <t>DESC AS: Professional Fees</t>
  </si>
  <si>
    <t>REFG:RCDPI00019925</t>
  </si>
  <si>
    <t>DESC AS: Hosting Amplified Rewards USA</t>
  </si>
  <si>
    <t>REFG:RCDPI00020195</t>
  </si>
  <si>
    <t>REFG:RCDPI00020202</t>
  </si>
  <si>
    <t>REFG:RCDPI00020203</t>
  </si>
  <si>
    <t>REFG:RCDPI00019506</t>
  </si>
  <si>
    <t>DESC AS: Licencia mensual (2 de 24)</t>
  </si>
  <si>
    <t>REFG:RCDPI00019939</t>
  </si>
  <si>
    <t>DESC AS: Asesorías Fiscales</t>
  </si>
  <si>
    <t>REFG:RCDPI00019940</t>
  </si>
  <si>
    <t>REFG:RCDPI00019941</t>
  </si>
  <si>
    <t>REFG:RCDPI00019942</t>
  </si>
  <si>
    <t>F-11836</t>
  </si>
  <si>
    <t>PEND POR FG</t>
  </si>
  <si>
    <t>ASUNTO HUELGA-GASTOS EFECTUADOS NOV Y DIC</t>
  </si>
  <si>
    <t>F-11834</t>
  </si>
  <si>
    <t>HONORARIOS HUELGA SERVICIOS PRESTADOS EN CABOS</t>
  </si>
  <si>
    <t>LICENCIAS PMS OR</t>
  </si>
  <si>
    <t>LICENCIAS PMS ORAC</t>
  </si>
  <si>
    <t>LICENCIAS PMS ORACLE ENERO 2020</t>
  </si>
  <si>
    <t>REGALIAS MARKETING 1%</t>
  </si>
  <si>
    <t>24E4F123-800C-4E2D-99F4-6FF25AC947FE</t>
  </si>
  <si>
    <t>Honorarios Notario Fe de Hechos</t>
  </si>
  <si>
    <t>36213BE5-FBD1-493D-A25C-44B853DC9D6E</t>
  </si>
  <si>
    <t>RCI-52959</t>
  </si>
  <si>
    <t>COMISIONES RCI DICIEMBRE 2020</t>
  </si>
  <si>
    <t>09.01.2020</t>
  </si>
  <si>
    <t>ENERO</t>
  </si>
  <si>
    <t>RENTA MEMORABILIA</t>
  </si>
  <si>
    <t>120106-001E</t>
  </si>
  <si>
    <t>SPA BOOKER ENE 2020 SABE</t>
  </si>
  <si>
    <t>SPA BOOKER ENE 2020 SPA</t>
  </si>
  <si>
    <t>AVEN HOSPITALITY SOLUTIONS GMBH</t>
  </si>
  <si>
    <t>COMISION FEE SABRE DICIEMBRE 2019</t>
  </si>
  <si>
    <t>COMISION FEE SABRE NOVIEMBRE 2019</t>
  </si>
  <si>
    <t>COMISIONES PEGASUS CYCLE END 01.11.2020</t>
  </si>
  <si>
    <t>TRAVELZOO INC</t>
  </si>
  <si>
    <t>COMISIONES TRAVELZOO DICIEMBRE 2019</t>
  </si>
  <si>
    <t>Mtto Licencias Enero spa 2020</t>
  </si>
  <si>
    <t>3B695B50-5E72-4694-A414-A15872640A7E</t>
  </si>
  <si>
    <t>EJECUCION DE OPERACIONES ADMINISTRA</t>
  </si>
  <si>
    <t>Licencia IAuditor Anual Enero 2020</t>
  </si>
  <si>
    <t>HONORARIOS NOTARIO FE DE HECHOS</t>
  </si>
  <si>
    <t>AUXCONTAHRLC</t>
  </si>
  <si>
    <t>Travel Agent Commissions - Booking Dicie</t>
  </si>
  <si>
    <t>Travel Agent Commissions - pegasus Cycle</t>
  </si>
  <si>
    <t>0472D662-5FA5-4962-8F66-65F27DDF1400</t>
  </si>
  <si>
    <t>SEGURIDAD EXTERNA ACCESO PRINCIPAL/SERVI</t>
  </si>
  <si>
    <t>A727F241-CFD1-4366-924E-C2F4CC4A1ABB</t>
  </si>
  <si>
    <t>GRUPO DE ACTUACIONES NOVEDOSAS EN T</t>
  </si>
  <si>
    <t>LICENCIAMIENTO PALO ALTO ANUAL</t>
  </si>
  <si>
    <t>PAGO LICENCIA TRIMESTRAL OCT-DIC 19</t>
  </si>
  <si>
    <t>COLIN COWIE LIFESTYLE LLC</t>
  </si>
  <si>
    <t>LICENSING FEE QUARTER COLIN COWIE ENERO</t>
  </si>
  <si>
    <t>RECL CFE GOLF 2855908</t>
  </si>
  <si>
    <t>F-3407 - 21300</t>
  </si>
  <si>
    <t>RECL  DE GASTO A COSTO REFACT HCT</t>
  </si>
  <si>
    <t>REFG:RCDPI00020009</t>
  </si>
  <si>
    <t>DESC AS: Hosting Amplified Rewards pres</t>
  </si>
  <si>
    <t>120106-002E</t>
  </si>
  <si>
    <t>mensualidad spabooker spa mes enero</t>
  </si>
  <si>
    <t>AMORT. PANTALLAS</t>
  </si>
  <si>
    <t>ENERO.2020</t>
  </si>
  <si>
    <t>PROV. PANTALLA TACTILES ACTIV ENE 2020</t>
  </si>
  <si>
    <t>REFG:RCDPI00020010</t>
  </si>
  <si>
    <t>REFG:RCDPI00020008</t>
  </si>
  <si>
    <t>9DF3470E-A6CA-4028-8C55-6605A3C31DC5</t>
  </si>
  <si>
    <t>VIAJES MEXICO CON AMISTAD SA DE CV</t>
  </si>
  <si>
    <t>COMISION VIAJES AMISTAD S.A DE C.V</t>
  </si>
  <si>
    <t>MAESCALANTE</t>
  </si>
  <si>
    <t>COMISIONES ONIX CYCLE 01.18.20</t>
  </si>
  <si>
    <t>LYNX9 SOLUCIONES SA DE CV</t>
  </si>
  <si>
    <t>A 173</t>
  </si>
  <si>
    <t>HONORARIOS PROFESION</t>
  </si>
  <si>
    <t>Comisiones Booking Diciembre 1548802047</t>
  </si>
  <si>
    <t>SANT USD 310120</t>
  </si>
  <si>
    <t>SANT USD 31.01.20</t>
  </si>
  <si>
    <t>COMISION SANTANDER USD31.01.2020</t>
  </si>
  <si>
    <t>DVERDE</t>
  </si>
  <si>
    <t>REFG:RCDPI00019602</t>
  </si>
  <si>
    <t>REFG:RCDPI00019928</t>
  </si>
  <si>
    <t>REFG:RCDPI00020304</t>
  </si>
  <si>
    <t>F-3407 - 20176</t>
  </si>
  <si>
    <t>RECL  DE GASTO A COSTO REFACT CLUB VAC Dic 2019</t>
  </si>
  <si>
    <t>Reclasif Ctas Alamcen Gral Sobrante Ene 2020</t>
  </si>
  <si>
    <t>REFG:RCDPI00020197</t>
  </si>
  <si>
    <t>WOODWARD SEPAGO</t>
  </si>
  <si>
    <t>HRRM ROYALTY FEES WOODWARD OCT 2019</t>
  </si>
  <si>
    <t>PROV. OPERA LICENCE ENE 2020</t>
  </si>
  <si>
    <t>PROV FOUR WINDS INTERACTIVE MTTO PANTALLAS ENE20</t>
  </si>
  <si>
    <t>Interfase Symphonie NOBU enero 2020</t>
  </si>
  <si>
    <t>LIC SAP ANALYTCL</t>
  </si>
  <si>
    <t>CUOTA LICENCIA COLIN COWIE  ENERO 20</t>
  </si>
  <si>
    <t>A08E437C-1871-4025-9B62-68E8EE96DACD</t>
  </si>
  <si>
    <t>BUCAZA PROYECTOS ARQUITECTONICOS</t>
  </si>
  <si>
    <t>HONORARIOS DE PROFESION</t>
  </si>
  <si>
    <t>CBC3C3E3-8EA8-437A-A7B7-B7194E3D3BFB</t>
  </si>
  <si>
    <t>CULTURA ENERGETICA DE QUINTANA ROO</t>
  </si>
  <si>
    <t>Electricidad HRV 30 Enero 2020</t>
  </si>
  <si>
    <t>Consumo CFE Casa Club 28.01.2020</t>
  </si>
  <si>
    <t>Consumo CFE Casa Club 29.01.2020</t>
  </si>
  <si>
    <t>Consumo CFE Casa Club 30.01.2020</t>
  </si>
  <si>
    <t>Consumo CFE Casa Club 31.01.2020</t>
  </si>
  <si>
    <t>Consumo CFE Lago Riego 28.01.2020</t>
  </si>
  <si>
    <t>Consumo CFE Lago Riego 29.01.2020</t>
  </si>
  <si>
    <t>Consumo CFE Lago Riego 30.01.2020</t>
  </si>
  <si>
    <t>Consumo CFE Lago Riego 31.01.2020</t>
  </si>
  <si>
    <t>Consumo CFE Taller Mantto 28.01.2020</t>
  </si>
  <si>
    <t>Consumo CFE Taller Mantto 29.01.2020</t>
  </si>
  <si>
    <t>Consumo CFE Taller Mantto 30.01.2020</t>
  </si>
  <si>
    <t>Consumo CFE Taller Mantto 31.01.2020</t>
  </si>
  <si>
    <t>Consumo CFE Hoyo 2  28.01.2020</t>
  </si>
  <si>
    <t>Consumo CFE Hoyo 2  29.01.2020</t>
  </si>
  <si>
    <t>Consumo CFE Hoyo 2  30.01.2020</t>
  </si>
  <si>
    <t>Consumo CFE Hoyo 2  31.01.2020</t>
  </si>
  <si>
    <t>Consumo CFE Hoyo 5  28.01.2020</t>
  </si>
  <si>
    <t>Consumo CFE Hoyo 5  29.01.2020</t>
  </si>
  <si>
    <t>Consumo CFE Hoyo 5  30.01.2020</t>
  </si>
  <si>
    <t>Consumo CFE Hoyo 5  31.01.2020</t>
  </si>
  <si>
    <t>Memorabilia Dic 2019</t>
  </si>
  <si>
    <t>Electricidad HRV 31 Enero 2020</t>
  </si>
  <si>
    <t>F5E46C2D-21FE-4D5D-ADD7-14B8337F8774</t>
  </si>
  <si>
    <t>RCI-53063</t>
  </si>
  <si>
    <t>COMISIONES RCI PRECOBROS ENE 2020</t>
  </si>
  <si>
    <t>ESTIMADO ENERGETICO ENE 20</t>
  </si>
  <si>
    <t>ESTIMADO ENERGETICO ENE 20 WOODWARD</t>
  </si>
  <si>
    <t>TRACKS CHECK IN PROGRAM HRR ENE 2020</t>
  </si>
  <si>
    <t>WOODWARD ENE</t>
  </si>
  <si>
    <t>HRRM ROYALTY FEES WOODWARD ENE 2020</t>
  </si>
  <si>
    <t>PROV. COMPLEMENT</t>
  </si>
  <si>
    <t>PROV. COMPLEMENTO CFE ENERO 20</t>
  </si>
  <si>
    <t>PROVISIÓN 0.5% FEE MARKETING HRI ENE 20</t>
  </si>
  <si>
    <t>PROVISIÓN 2% FEE HOTEL HRI ENE 2020</t>
  </si>
  <si>
    <t>PROVISIÓN 10% FEE ROCK SHOP HRI ENE 2020</t>
  </si>
  <si>
    <t>RECLAS. GASTOS</t>
  </si>
  <si>
    <t>GUANTES LATEX DE CIRUJANO</t>
  </si>
  <si>
    <t>GASTOS ENERG. Y</t>
  </si>
  <si>
    <t>22, 524 KW/H  UTILIZADOS EN LAVANDERIA ENE 20</t>
  </si>
  <si>
    <t>JBERDON</t>
  </si>
  <si>
    <t>LUZ MES DE ENERO</t>
  </si>
  <si>
    <t>RMARRUFO</t>
  </si>
  <si>
    <t>CONSUMO LUZ LAVANDERÍA ENE 2020 139,710 KW</t>
  </si>
  <si>
    <t>CONSUMO LUZ LAVANDERÍA ENE 2020 290,710 KW</t>
  </si>
  <si>
    <t>PROV FEE NOBU</t>
  </si>
  <si>
    <t>FEE NOBU ENERO 2020</t>
  </si>
  <si>
    <t>FEE MALIBU ENERO 2020</t>
  </si>
  <si>
    <t>FACTURA ENERGIA</t>
  </si>
  <si>
    <t>FACTURA ENERGIA CFE ENERO 20</t>
  </si>
  <si>
    <t>Fees HRI Enero 2020</t>
  </si>
  <si>
    <t>EJECUTIVO</t>
  </si>
  <si>
    <t>PROV LUZ ENE 20</t>
  </si>
  <si>
    <t>PROV ENERGIA ELECTRICA ENE 20</t>
  </si>
  <si>
    <t>4501232157-3</t>
  </si>
  <si>
    <t>FEES HARD ROCK-STORE FEE</t>
  </si>
  <si>
    <t>4501232157-2</t>
  </si>
  <si>
    <t>FEES HARD ROCK- MARKETING FEE</t>
  </si>
  <si>
    <t>FEES HARD ROCK- LICENSE FEE</t>
  </si>
  <si>
    <t>DIST LAVANDERIA</t>
  </si>
  <si>
    <t>SERV LAV ACT HUESPEDES ENE 2020</t>
  </si>
  <si>
    <t>SERV LAV AMA DE LLAVES ENE 2020</t>
  </si>
  <si>
    <t>SERV LAV AREAS PUBLICAS ENE 2020</t>
  </si>
  <si>
    <t>SERV LAVANDERIA ENE 2020</t>
  </si>
  <si>
    <t>SERV LAV MANTELERIA AYB ENE 2020</t>
  </si>
  <si>
    <t>SERV LAV SALA BELLEZA ENE 2020</t>
  </si>
  <si>
    <t>SERV LAV SPA ENE 2020</t>
  </si>
  <si>
    <t>SERV LAV EJECUTIVO AYB ENE 2020</t>
  </si>
  <si>
    <t>SERV LAV EJECUTIVO VENTAS ENE 2020</t>
  </si>
  <si>
    <t>SERV LAV EJEC CONTRALORIA ENE 2020</t>
  </si>
  <si>
    <t>SERV LAV EJEC GERENCIA ENE 2020</t>
  </si>
  <si>
    <t>SERV LAV EJEC GRUPOS ENE 2020</t>
  </si>
  <si>
    <t>Pegasus  Invoice 292346</t>
  </si>
  <si>
    <t>ITG TRAVEL AGENCY LLC</t>
  </si>
  <si>
    <t>ITG - Travel Agency LLC</t>
  </si>
  <si>
    <t>LAVANDERIA</t>
  </si>
  <si>
    <t>LAVANDERIA ENERO 20 75918 KILOS</t>
  </si>
  <si>
    <t>LAVANDERIA ENERO 20 308.19 KILOS</t>
  </si>
  <si>
    <t>LAVANDERIA ENERO 20 308.15 KILOS</t>
  </si>
  <si>
    <t>LAVANDERIA ENERO 20 207.58 KILOS</t>
  </si>
  <si>
    <t>LAVANDERIA ENERO 20 1061.39 KILOS</t>
  </si>
  <si>
    <t>LAVANDERIA ENERO 20 70.59 KILOS</t>
  </si>
  <si>
    <t>LAVANDERIA ENERO 20 8214 KILOS</t>
  </si>
  <si>
    <t>LAVANDERIA ENERO 20 8792 KILOS</t>
  </si>
  <si>
    <t>LAVANDERIA ENERO 20 1099 KILOS</t>
  </si>
  <si>
    <t>OPERATIVO</t>
  </si>
  <si>
    <t>COMISIONES GASOLINA ENERO 2020</t>
  </si>
  <si>
    <t>PROV HRIFEES ENE</t>
  </si>
  <si>
    <t>LICENSE FEE HR ENE20</t>
  </si>
  <si>
    <t>ARVAZQUEZ</t>
  </si>
  <si>
    <t>MARKETING FEE HR 1% ENE20</t>
  </si>
  <si>
    <t>RETAIL STORES FEE HR ENE20</t>
  </si>
  <si>
    <t>DIST LAVANDERIA 170,250 KG ENE 20</t>
  </si>
  <si>
    <t>DIST LAVANDERIA  18,667 KG ENE 20</t>
  </si>
  <si>
    <t>DIST LAVANDERIA  330 KG ENE 20</t>
  </si>
  <si>
    <t>DIST LAVANDERIA  7,906 KG ENE 20</t>
  </si>
  <si>
    <t>REFG:RCDPI00019408</t>
  </si>
  <si>
    <t>DESC AS: Traducción De Publicidad</t>
  </si>
  <si>
    <t>Reclasif Energeticos Lavanderia 2020</t>
  </si>
  <si>
    <t>4170120M</t>
  </si>
  <si>
    <t>4171219R</t>
  </si>
  <si>
    <t>CXP</t>
  </si>
  <si>
    <t>101C936A-42B0-470B-B76F-7816B84060C2</t>
  </si>
  <si>
    <t>E120106007</t>
  </si>
  <si>
    <t>E120106006</t>
  </si>
  <si>
    <t>5001219R</t>
  </si>
  <si>
    <t>FEES HRI DICIEMBRE</t>
  </si>
  <si>
    <t>CXP1</t>
  </si>
  <si>
    <t>4161219R</t>
  </si>
  <si>
    <t>AUXCXP3</t>
  </si>
  <si>
    <t>45861990-71B4-457A-B79B-6978F7A9C420</t>
  </si>
  <si>
    <t>HC-36746-R1</t>
  </si>
  <si>
    <t>TravelZoo Diciembre 2019</t>
  </si>
  <si>
    <t>11.01.2020</t>
  </si>
  <si>
    <t>CTS203590573</t>
  </si>
  <si>
    <t>CTS203623069</t>
  </si>
  <si>
    <t>Protravel International - Rva 19767198</t>
  </si>
  <si>
    <t>5001119R</t>
  </si>
  <si>
    <t>Fee' Nov 2019</t>
  </si>
  <si>
    <t>COMISIONES BOOKING DICIEMBRE 2019</t>
  </si>
  <si>
    <t>120106-006E</t>
  </si>
  <si>
    <t>PAGO SPA BOOKER ENERO</t>
  </si>
  <si>
    <t>PAGO SPA BOOKER ENE 2020</t>
  </si>
  <si>
    <t>PAGO SABE BOOKER 2020</t>
  </si>
  <si>
    <t>IHB NOV-DIC2019</t>
  </si>
  <si>
    <t>IMPUESTO AL HOSPEDAJE DEL BIMESTRE VI NOV-DIC 2019</t>
  </si>
  <si>
    <t>EIBAÑEZ</t>
  </si>
  <si>
    <t>120106-007E</t>
  </si>
  <si>
    <t>Mtto Licencias Booker SABE Enero 2020</t>
  </si>
  <si>
    <t>COMISIONES BOOKING DIC 2019- HACIENDA</t>
  </si>
  <si>
    <t>COMISIONES BOOKING DIC 2019- HEAVEN</t>
  </si>
  <si>
    <t>COMISION BOOKING DICIEMBRE 2019</t>
  </si>
  <si>
    <t>AFA2E399-A9D8-409D-AFB9-BF92C8657AA4</t>
  </si>
  <si>
    <t>BAZAN LIRA SAMIR ABINADI</t>
  </si>
  <si>
    <t>OT 80</t>
  </si>
  <si>
    <t>Licencia anual fortinet</t>
  </si>
  <si>
    <t>RECL CFE GOLF 2856592-217</t>
  </si>
  <si>
    <t>RECL CFE GOLF 2919280</t>
  </si>
  <si>
    <t>DIF ENE 20</t>
  </si>
  <si>
    <t>DIF ENE 20 RENOVACION ANUAL DE SERVICIO CAMARA WEB</t>
  </si>
  <si>
    <t>DIF ENE20 Pago semestral adaptador twitter fourwin</t>
  </si>
  <si>
    <t>DIF ENE 20 PAGO DE LICENCIA ANUAL WOODWARD</t>
  </si>
  <si>
    <t>716CCABD9D2047C2BD05FFDE63637FA7</t>
  </si>
  <si>
    <t>F-3407 - 21299</t>
  </si>
  <si>
    <t>RECL  DE GASTO A COSTO REFACT HCT DICIEMBRE 2019</t>
  </si>
  <si>
    <t>AMORT. Sistema Open Table 2087  ENE 20</t>
  </si>
  <si>
    <t>AMORT. Sistema Open Table Mura Hou ENE 20</t>
  </si>
  <si>
    <t>REFG:RCDPI00019906</t>
  </si>
  <si>
    <t>DESC AS: Transactions dic 2019</t>
  </si>
  <si>
    <t>PROV MEDALIA</t>
  </si>
  <si>
    <t>Prov Medalia</t>
  </si>
  <si>
    <t>Prov Sist Aseguram Calidad Medali HRC Ene</t>
  </si>
  <si>
    <t>F-3407 - 21298</t>
  </si>
  <si>
    <t>CTO REFAC.DE GASTOS OPER. ROCK AWAY Diciembre 2019</t>
  </si>
  <si>
    <t>F-3407 - 20170</t>
  </si>
  <si>
    <t>CTO REFAC.DE GASTOS OPER. ROCK AWAY Dic 2019</t>
  </si>
  <si>
    <t>IMTO CED NAY DIC</t>
  </si>
  <si>
    <t>PAGO DEL IMPUESTO CEDULAR NAYARIT NOV 2019</t>
  </si>
  <si>
    <t>AUD NSF HRI</t>
  </si>
  <si>
    <t>Aud NSF HRI</t>
  </si>
  <si>
    <t>Auditoria NSF Hard Rock Intal</t>
  </si>
  <si>
    <t>REFG:RCDPI00020212</t>
  </si>
  <si>
    <t>DESC AS: Hosting Kio Networks</t>
  </si>
  <si>
    <t>SK</t>
  </si>
  <si>
    <t>Comisión deposito de cheque Novabox</t>
  </si>
  <si>
    <t>Comisión deposito de cheque Novavision</t>
  </si>
  <si>
    <t>4180120M</t>
  </si>
  <si>
    <t>AA2156</t>
  </si>
  <si>
    <t>RFC Emisor</t>
  </si>
  <si>
    <t>Subtotal</t>
  </si>
  <si>
    <t>IVA</t>
  </si>
  <si>
    <t>Importe en Moneda Documento</t>
  </si>
  <si>
    <t>Fecha de Pago</t>
  </si>
  <si>
    <t>Forma de Pago</t>
  </si>
  <si>
    <t>Monto Pagado</t>
  </si>
  <si>
    <t>Documento contable de pago</t>
  </si>
  <si>
    <t>Institución financiera</t>
  </si>
  <si>
    <t>Cuenta bancaria donde se efectuo el pago</t>
  </si>
  <si>
    <t xml:space="preserve">Documento contable Registro </t>
  </si>
  <si>
    <t>N/A Registro proveedor extranjero</t>
  </si>
  <si>
    <t>XEXX0101010</t>
  </si>
  <si>
    <t>TRANSFERENCIA</t>
  </si>
  <si>
    <t>BofA RCD 89805242886</t>
  </si>
  <si>
    <t>BOFA</t>
  </si>
  <si>
    <t>11.02.2020</t>
  </si>
  <si>
    <t>WH000533227437</t>
  </si>
  <si>
    <t>CONSUMO ENERGIA ENERO 2020</t>
  </si>
  <si>
    <t>HSBC 004053489092 TP</t>
  </si>
  <si>
    <t>HSBC</t>
  </si>
  <si>
    <t>CSS160330CP7</t>
  </si>
  <si>
    <t>CEQ120418PE2</t>
  </si>
  <si>
    <t>A1847</t>
  </si>
  <si>
    <t>08.09.2020</t>
  </si>
  <si>
    <t>BBVAB 00188039070 TP</t>
  </si>
  <si>
    <t>BBVA</t>
  </si>
  <si>
    <t>BPA070914HH6</t>
  </si>
  <si>
    <t>08.10.2020</t>
  </si>
  <si>
    <t>4161219M</t>
  </si>
  <si>
    <t>NL805734958B01</t>
  </si>
  <si>
    <t>RCI930401GV1</t>
  </si>
  <si>
    <t>28.05.2020</t>
  </si>
  <si>
    <t>06.03.2020</t>
  </si>
  <si>
    <t>25.02.2020</t>
  </si>
  <si>
    <t>PAGO MENSUALIDAD HOSTING ENERO</t>
  </si>
  <si>
    <t>10.02.2020</t>
  </si>
  <si>
    <t>17.02.2020</t>
  </si>
  <si>
    <t xml:space="preserve">HSBC </t>
  </si>
  <si>
    <t xml:space="preserve">CFE </t>
  </si>
  <si>
    <t>10.03.2020</t>
  </si>
  <si>
    <t>GIS170615IK5</t>
  </si>
  <si>
    <t>02.06.2020</t>
  </si>
  <si>
    <t>MOFR810207T10</t>
  </si>
  <si>
    <t>OISF711126FU8</t>
  </si>
  <si>
    <t>07.08.2020</t>
  </si>
  <si>
    <t>TSU900615F63</t>
  </si>
  <si>
    <t>06.05.2020</t>
  </si>
  <si>
    <t>B062957A-21B8-4887-AF92-BA6B77097CBB</t>
  </si>
  <si>
    <t>44466AFF-DE27-4A43-6326-61035E2885CF</t>
  </si>
  <si>
    <t>77531E7A-8070-4F32-B40D-8CD81FB98472</t>
  </si>
  <si>
    <t>D04C89F4-16AE-4BB7-ACA3-F036479A2370</t>
  </si>
  <si>
    <t>AG000029644824</t>
  </si>
  <si>
    <t>REGISTROS ANULADOS</t>
  </si>
  <si>
    <t>PERX770225UA2</t>
  </si>
  <si>
    <t>AAAA651027HJ5</t>
  </si>
  <si>
    <t>09.03.2020</t>
  </si>
  <si>
    <t>SII890619AD1</t>
  </si>
  <si>
    <t>A12292</t>
  </si>
  <si>
    <t>EOA190326GN3</t>
  </si>
  <si>
    <t>EDD190321786</t>
  </si>
  <si>
    <t>23.11.2020</t>
  </si>
  <si>
    <t>CME190128AY7</t>
  </si>
  <si>
    <t>GAN090121MN4</t>
  </si>
  <si>
    <t>INVOICE 1219</t>
  </si>
  <si>
    <t>05.11.2020</t>
  </si>
  <si>
    <t>26.02.2020</t>
  </si>
  <si>
    <t>DE114222813</t>
  </si>
  <si>
    <t>VMA9610235I3</t>
  </si>
  <si>
    <t>GOCF680717UJ8</t>
  </si>
  <si>
    <t>49A2F67A-B248-458F-B444-16E57BF9DFCA</t>
  </si>
  <si>
    <t>HC-36709-R1</t>
  </si>
  <si>
    <t>PCU100511DQA</t>
  </si>
  <si>
    <t>CCI190617M37</t>
  </si>
  <si>
    <t>14.02.2020</t>
  </si>
  <si>
    <t>VIN841210F32</t>
  </si>
  <si>
    <t>Total general</t>
  </si>
  <si>
    <t>Suma de Impte.ML</t>
  </si>
  <si>
    <t>Cuenta de Mon.local</t>
  </si>
  <si>
    <t>Suma de Cuenta de Moneda</t>
  </si>
  <si>
    <t>Suma de Suma de Importe</t>
  </si>
  <si>
    <t xml:space="preserve">REPORTE </t>
  </si>
  <si>
    <t>DIFERENCIA</t>
  </si>
  <si>
    <t xml:space="preserve">PARTIDAS REGISTRADAS </t>
  </si>
  <si>
    <t>MES</t>
  </si>
  <si>
    <t>Suma de Cuenta de Mon.local</t>
  </si>
  <si>
    <t>Suma de Suma de Impte.ML</t>
  </si>
  <si>
    <t>06.0+AI1661:AI17142.2020</t>
  </si>
  <si>
    <t>Importe ML</t>
  </si>
  <si>
    <t>Partidas Identificadas</t>
  </si>
  <si>
    <t xml:space="preserve">Importes identificados </t>
  </si>
  <si>
    <t xml:space="preserve">% Partidas </t>
  </si>
  <si>
    <t>%importe</t>
  </si>
  <si>
    <t>Detalles para Suma de Suma de Impte.ML - Txt.brv.: Suminist de Limpieza, LibrMay: 71101060</t>
  </si>
  <si>
    <t>AUXILIAR 2</t>
  </si>
  <si>
    <t>Sociedad</t>
  </si>
  <si>
    <t>Fecha de contabilización en el documento</t>
  </si>
  <si>
    <t>Ejercicio/periodo contable de fecha de contabilización</t>
  </si>
  <si>
    <t>Número del apunte contable dentro del documento contable</t>
  </si>
  <si>
    <t>Número de un documento contable</t>
  </si>
  <si>
    <t>Clase de documento</t>
  </si>
  <si>
    <t>Clave de contabilización</t>
  </si>
  <si>
    <t>Cuenta de mayor de la contabilidad principal</t>
  </si>
  <si>
    <t>Texto breve de las cuentas de mayor</t>
  </si>
  <si>
    <t>Importe en la moneda del documento</t>
  </si>
  <si>
    <t>Clave de moneda</t>
  </si>
  <si>
    <t>Importe en moneda local</t>
  </si>
  <si>
    <t>Moneda local</t>
  </si>
  <si>
    <t>Indicador IVA</t>
  </si>
  <si>
    <t>Número del documento de compensación</t>
  </si>
  <si>
    <t>Razon Social Emisor</t>
  </si>
  <si>
    <t>Folio Fiscal</t>
  </si>
  <si>
    <t>Fecha de emisión CFDI</t>
  </si>
  <si>
    <t>Detalle de la operación</t>
  </si>
  <si>
    <t>04.02.2026</t>
  </si>
  <si>
    <t>CONSUMO DE LUZ MES ENE 20</t>
  </si>
  <si>
    <t>02.02.2026</t>
  </si>
  <si>
    <t>3,060,991.00-</t>
  </si>
  <si>
    <t>CONS ENERG ELECTRICA ENERO 2020 812150700366</t>
  </si>
  <si>
    <t>F3007448-9CD7-45DD-9195-AA6716660E16</t>
  </si>
  <si>
    <t>CONSUMO ENERGIA HRLC 31 DIC AL 31ENE20</t>
  </si>
  <si>
    <t>AUXILIAR 1</t>
  </si>
  <si>
    <t xml:space="preserve">EJEJMPLO 1 </t>
  </si>
  <si>
    <t xml:space="preserve">AUXILIA 1 </t>
  </si>
  <si>
    <t>AUXILIAR  2</t>
  </si>
  <si>
    <t>EJEJMPLO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</si>
</sst>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0000"/>
    <numFmt numFmtId="165" formatCode="_-* #,##0.00_-;\-* #,##0.00_-;_-* &quot;-&quot;??_-;_-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Calibri"/>
      <family val="2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FF0000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5">
    <xf numFmtId="0" fontId="0" fillId="0" borderId="0" xfId="0"/>
    <xf numFmtId="17" fontId="0" fillId="0" borderId="0" xfId="0" applyNumberFormat="1"/>
    <xf numFmtId="0" fontId="18" fillId="33" borderId="10" xfId="0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42" applyFont="1"/>
    <xf numFmtId="0" fontId="0" fillId="34" borderId="0" xfId="0" applyFill="1"/>
    <xf numFmtId="43" fontId="18" fillId="33" borderId="10" xfId="42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6" fillId="35" borderId="11" xfId="0" applyFont="1" applyFill="1" applyBorder="1"/>
    <xf numFmtId="0" fontId="0" fillId="0" borderId="0" xfId="0" pivotButton="1"/>
    <xf numFmtId="0" fontId="16" fillId="0" borderId="11" xfId="0" applyFont="1" applyBorder="1"/>
    <xf numFmtId="43" fontId="0" fillId="0" borderId="0" xfId="0" applyNumberFormat="1"/>
    <xf numFmtId="43" fontId="16" fillId="35" borderId="12" xfId="0" applyNumberFormat="1" applyFont="1" applyFill="1" applyBorder="1"/>
    <xf numFmtId="0" fontId="16" fillId="35" borderId="12" xfId="0" applyFont="1" applyFill="1" applyBorder="1"/>
    <xf numFmtId="43" fontId="16" fillId="35" borderId="11" xfId="42" applyFont="1" applyFill="1" applyBorder="1"/>
    <xf numFmtId="0" fontId="16" fillId="0" borderId="0" xfId="0" applyFont="1"/>
    <xf numFmtId="0" fontId="16" fillId="35" borderId="0" xfId="0" applyFont="1" applyFill="1"/>
    <xf numFmtId="43" fontId="16" fillId="35" borderId="12" xfId="42" applyFont="1" applyFill="1" applyBorder="1"/>
    <xf numFmtId="0" fontId="0" fillId="0" borderId="0" xfId="0" applyAlignment="1">
      <alignment horizontal="center"/>
    </xf>
    <xf numFmtId="0" fontId="16" fillId="35" borderId="12" xfId="0" applyFont="1" applyFill="1" applyBorder="1" applyAlignment="1">
      <alignment horizontal="center"/>
    </xf>
    <xf numFmtId="43" fontId="0" fillId="0" borderId="0" xfId="42" applyFont="1" applyAlignment="1"/>
    <xf numFmtId="0" fontId="19" fillId="0" borderId="0" xfId="0" applyFont="1" applyAlignment="1">
      <alignment wrapText="1"/>
    </xf>
    <xf numFmtId="0" fontId="0" fillId="0" borderId="0" xfId="0" applyAlignment="1">
      <alignment wrapText="1"/>
    </xf>
    <xf numFmtId="165" fontId="20" fillId="0" borderId="0" xfId="0" applyNumberFormat="1" applyFont="1" applyAlignment="1">
      <alignment wrapText="1"/>
    </xf>
    <xf numFmtId="0" fontId="18" fillId="0" borderId="10" xfId="0" applyFont="1" applyBorder="1" applyAlignment="1">
      <alignment horizontal="center" vertical="center" wrapText="1"/>
    </xf>
    <xf numFmtId="43" fontId="18" fillId="0" borderId="10" xfId="42" applyFont="1" applyFill="1" applyBorder="1" applyAlignment="1">
      <alignment horizontal="center" vertical="center" wrapText="1"/>
    </xf>
    <xf numFmtId="0" fontId="19" fillId="0" borderId="0" xfId="0" applyFont="1"/>
    <xf numFmtId="17" fontId="20" fillId="0" borderId="0" xfId="0" applyNumberFormat="1" applyFont="1"/>
    <xf numFmtId="165" fontId="20" fillId="0" borderId="0" xfId="0" applyNumberFormat="1" applyFont="1"/>
    <xf numFmtId="0" fontId="0" fillId="36" borderId="0" xfId="0" applyFill="1"/>
    <xf numFmtId="165" fontId="21" fillId="0" borderId="0" xfId="0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alignment horizontal="center"/>
    </dxf>
    <dxf>
      <alignment horizontal="center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Jose Cupul Cen" refreshedDate="46163.665064930552" createdVersion="8" refreshedVersion="8" minRefreshableVersion="3" recordCount="120" xr:uid="{F191795E-8678-4172-89B0-142C7ABAC5BE}">
  <cacheSource type="worksheet">
    <worksheetSource ref="F4:J124" sheet="Hoja3"/>
  </cacheSource>
  <cacheFields count="5">
    <cacheField name="MES" numFmtId="0">
      <sharedItems containsSemiMixedTypes="0" containsString="0" containsNumber="1" containsInteger="1" minValue="1" maxValue="12"/>
    </cacheField>
    <cacheField name="LibrMay" numFmtId="0">
      <sharedItems containsSemiMixedTypes="0" containsString="0" containsNumber="1" containsInteger="1" minValue="71101060" maxValue="74010070" count="10">
        <n v="71101060"/>
        <n v="71102010"/>
        <n v="71104010"/>
        <n v="71105060"/>
        <n v="71105120"/>
        <n v="71105130"/>
        <n v="71106040"/>
        <n v="71106100"/>
        <n v="71106150"/>
        <n v="74010070"/>
      </sharedItems>
    </cacheField>
    <cacheField name="Txt.brv." numFmtId="0">
      <sharedItems containsBlank="1" count="11">
        <s v="Suminist de Limpieza"/>
        <s v="Serv Lavand Interna"/>
        <s v="Luz"/>
        <s v="Otros Honorarios Pro"/>
        <s v="Mantto Licencias"/>
        <s v="Hosting Externo"/>
        <s v="Comis Agen de Viajes"/>
        <s v="Anuncios, Prop y Pub"/>
        <s v="Regalías Franquicias"/>
        <s v="Gts y Com Banc y Fin"/>
        <m u="1"/>
      </sharedItems>
    </cacheField>
    <cacheField name="Cuenta de Moneda" numFmtId="0">
      <sharedItems containsSemiMixedTypes="0" containsString="0" containsNumber="1" containsInteger="1" minValue="11" maxValue="1661"/>
    </cacheField>
    <cacheField name="Suma de Importe" numFmtId="0">
      <sharedItems containsSemiMixedTypes="0" containsString="0" containsNumber="1" minValue="330888.11000000004" maxValue="58603645.89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Jose Cupul Cen" refreshedDate="46163.992625925923" createdVersion="8" refreshedVersion="8" minRefreshableVersion="3" recordCount="2444" xr:uid="{374C82DB-F920-45CD-BA90-F086CED0A281}">
  <cacheSource type="worksheet">
    <worksheetSource ref="A2:AM2446" sheet="Enero_2020_KTRC_v2"/>
  </cacheSource>
  <cacheFields count="39">
    <cacheField name="Soc." numFmtId="0">
      <sharedItems containsSemiMixedTypes="0" containsString="0" containsNumber="1" containsInteger="1" minValue="3400" maxValue="3413"/>
    </cacheField>
    <cacheField name="Fe.contab." numFmtId="0">
      <sharedItems/>
    </cacheField>
    <cacheField name="Ejercicio" numFmtId="0">
      <sharedItems containsSemiMixedTypes="0" containsString="0" containsNumber="1" containsInteger="1" minValue="2020" maxValue="2020"/>
    </cacheField>
    <cacheField name="Ej./mes" numFmtId="17">
      <sharedItems containsSemiMixedTypes="0" containsNonDate="0" containsDate="1" containsString="0" minDate="2020-01-01T00:00:00" maxDate="2020-01-02T00:00:00"/>
    </cacheField>
    <cacheField name="Pos." numFmtId="0">
      <sharedItems containsSemiMixedTypes="0" containsString="0" containsNumber="1" containsInteger="1" minValue="1" maxValue="368"/>
    </cacheField>
    <cacheField name="Nº doc." numFmtId="0">
      <sharedItems containsSemiMixedTypes="0" containsString="0" containsNumber="1" containsInteger="1" minValue="100001282" maxValue="900012533"/>
    </cacheField>
    <cacheField name="Clase" numFmtId="0">
      <sharedItems/>
    </cacheField>
    <cacheField name="ClvCT" numFmtId="0">
      <sharedItems containsSemiMixedTypes="0" containsString="0" containsNumber="1" containsInteger="1" minValue="40" maxValue="91"/>
    </cacheField>
    <cacheField name="LibrMay" numFmtId="0">
      <sharedItems containsSemiMixedTypes="0" containsString="0" containsNumber="1" containsInteger="1" minValue="71101060" maxValue="74010070" count="10">
        <n v="71101060"/>
        <n v="74010070"/>
        <n v="71106100"/>
        <n v="71106150"/>
        <n v="71104010"/>
        <n v="71106040"/>
        <n v="71102010"/>
        <n v="71105060"/>
        <n v="71105120"/>
        <n v="71105130"/>
      </sharedItems>
    </cacheField>
    <cacheField name="Cta.CP" numFmtId="0">
      <sharedItems containsSemiMixedTypes="0" containsString="0" containsNumber="1" containsInteger="1" minValue="101128" maxValue="1000060986"/>
    </cacheField>
    <cacheField name="Txt.brv." numFmtId="0">
      <sharedItems count="10">
        <s v="Suminist de Limpieza"/>
        <s v="Gts y Com Banc y Fin"/>
        <s v="Anuncios, Prop y Pub"/>
        <s v="Regalías Franquicias"/>
        <s v="Luz"/>
        <s v="Comis Agen de Viajes"/>
        <s v="Serv Lavand Interna"/>
        <s v="Otros Honorarios Pro"/>
        <s v="Mantto Licencias"/>
        <s v="Hosting Externo"/>
      </sharedItems>
    </cacheField>
    <cacheField name="Importe" numFmtId="0">
      <sharedItems containsSemiMixedTypes="0" containsString="0" containsNumber="1" minValue="0" maxValue="3557319.57"/>
    </cacheField>
    <cacheField name="Moneda" numFmtId="0">
      <sharedItems/>
    </cacheField>
    <cacheField name="Impte.ML" numFmtId="0">
      <sharedItems containsSemiMixedTypes="0" containsString="0" containsNumber="1" minValue="0.04" maxValue="4475327.57"/>
    </cacheField>
    <cacheField name="Mon.local" numFmtId="0">
      <sharedItems count="1">
        <s v="MXN"/>
      </sharedItems>
    </cacheField>
    <cacheField name="Ind.imp." numFmtId="0">
      <sharedItems containsBlank="1"/>
    </cacheField>
    <cacheField name="Folio Fisc" numFmtId="0">
      <sharedItems containsBlank="1"/>
    </cacheField>
    <cacheField name="UUID Pos." numFmtId="0">
      <sharedItems containsBlank="1"/>
    </cacheField>
    <cacheField name="RFC Emisor" numFmtId="0">
      <sharedItems containsBlank="1" containsMixedTypes="1" containsNumber="1" containsInteger="1" minValue="133189146" maxValue="752738581"/>
    </cacheField>
    <cacheField name="Acreedor" numFmtId="0">
      <sharedItems containsString="0" containsBlank="1" containsNumber="1" containsInteger="1" minValue="100730" maxValue="801038"/>
    </cacheField>
    <cacheField name="Nombre" numFmtId="0">
      <sharedItems containsBlank="1"/>
    </cacheField>
    <cacheField name="SocGLAsoc." numFmtId="0">
      <sharedItems containsNonDate="0" containsString="0" containsBlank="1"/>
    </cacheField>
    <cacheField name="Anulación" numFmtId="0">
      <sharedItems containsBlank="1" containsMixedTypes="1" containsNumber="1" containsInteger="1" minValue="100010076" maxValue="900038818"/>
    </cacheField>
    <cacheField name="Registrado" numFmtId="0">
      <sharedItems/>
    </cacheField>
    <cacheField name="Referencia" numFmtId="0">
      <sharedItems containsDate="1" containsBlank="1" containsMixedTypes="1" minDate="2020-01-01T00:00:00" maxDate="1900-01-08T08:01:05"/>
    </cacheField>
    <cacheField name="Asign." numFmtId="0">
      <sharedItems containsBlank="1" containsMixedTypes="1" containsNumber="1" containsInteger="1" minValue="300" maxValue="4501231419"/>
    </cacheField>
    <cacheField name="Subtotal" numFmtId="0">
      <sharedItems containsString="0" containsBlank="1" containsNumber="1" minValue="0" maxValue="3557319.57"/>
    </cacheField>
    <cacheField name="IVA" numFmtId="0">
      <sharedItems containsString="0" containsBlank="1" containsNumber="1" minValue="0" maxValue="569171.13119999995"/>
    </cacheField>
    <cacheField name="Importe en Moneda Documento" numFmtId="0">
      <sharedItems containsString="0" containsBlank="1" containsNumber="1" minValue="4.6400000000000004E-2" maxValue="4082382"/>
    </cacheField>
    <cacheField name="Documento contable Registro " numFmtId="0">
      <sharedItems containsString="0" containsBlank="1" containsNumber="1" containsInteger="1" minValue="100004523" maxValue="900012547"/>
    </cacheField>
    <cacheField name="Texto" numFmtId="0">
      <sharedItems containsBlank="1"/>
    </cacheField>
    <cacheField name="Monto Pagado" numFmtId="0">
      <sharedItems containsString="0" containsBlank="1" containsNumber="1" minValue="4.6400000000000004E-2" maxValue="300007791"/>
    </cacheField>
    <cacheField name="Fecha de Pago" numFmtId="0">
      <sharedItems containsBlank="1"/>
    </cacheField>
    <cacheField name="Forma de Pago" numFmtId="0">
      <sharedItems containsBlank="1" containsMixedTypes="1" containsNumber="1" containsInteger="1" minValue="700074889" maxValue="900013573"/>
    </cacheField>
    <cacheField name="Documento contable de pago" numFmtId="0">
      <sharedItems containsBlank="1" containsMixedTypes="1" containsNumber="1" containsInteger="1" minValue="100019945" maxValue="900203553"/>
    </cacheField>
    <cacheField name="Institución financiera" numFmtId="0">
      <sharedItems containsBlank="1"/>
    </cacheField>
    <cacheField name="Cuenta bancaria donde se efectuo el pago" numFmtId="0">
      <sharedItems containsBlank="1"/>
    </cacheField>
    <cacheField name="Ce.coste" numFmtId="0">
      <sharedItems containsString="0" containsBlank="1" containsNumber="1" containsInteger="1" minValue="340014250" maxValue="341340390"/>
    </cacheField>
    <cacheField name="Usu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Jose Cupul Cen" refreshedDate="46164.004896412036" createdVersion="8" refreshedVersion="8" minRefreshableVersion="3" recordCount="120" xr:uid="{47E747AD-E70B-423E-89B9-7060DA98FBB9}">
  <cacheSource type="worksheet">
    <worksheetSource ref="F3:J123" sheet="Hoja5"/>
  </cacheSource>
  <cacheFields count="5">
    <cacheField name="MES" numFmtId="0">
      <sharedItems containsSemiMixedTypes="0" containsString="0" containsNumber="1" containsInteger="1" minValue="1" maxValue="12"/>
    </cacheField>
    <cacheField name="LibrMay" numFmtId="0">
      <sharedItems containsSemiMixedTypes="0" containsString="0" containsNumber="1" containsInteger="1" minValue="71101060" maxValue="74010070" count="10">
        <n v="71101060"/>
        <n v="71102010"/>
        <n v="71104010"/>
        <n v="71105060"/>
        <n v="71105120"/>
        <n v="71105130"/>
        <n v="71106040"/>
        <n v="71106100"/>
        <n v="71106150"/>
        <n v="74010070"/>
      </sharedItems>
    </cacheField>
    <cacheField name="Txt.brv." numFmtId="0">
      <sharedItems count="10">
        <s v="Suminist de Limpieza"/>
        <s v="Serv Lavand Interna"/>
        <s v="Luz"/>
        <s v="Otros Honorarios Pro"/>
        <s v="Mantto Licencias"/>
        <s v="Hosting Externo"/>
        <s v="Comis Agen de Viajes"/>
        <s v="Anuncios, Prop y Pub"/>
        <s v="Regalías Franquicias"/>
        <s v="Gts y Com Banc y Fin"/>
      </sharedItems>
    </cacheField>
    <cacheField name="Cuenta de Mon.local" numFmtId="0">
      <sharedItems containsSemiMixedTypes="0" containsString="0" containsNumber="1" containsInteger="1" minValue="11" maxValue="1661" count="89">
        <n v="1089"/>
        <n v="72"/>
        <n v="372"/>
        <n v="58"/>
        <n v="546"/>
        <n v="52"/>
        <n v="57"/>
        <n v="77"/>
        <n v="69"/>
        <n v="1073"/>
        <n v="63"/>
        <n v="349"/>
        <n v="43"/>
        <n v="589"/>
        <n v="70"/>
        <n v="51"/>
        <n v="67"/>
        <n v="56"/>
        <n v="914"/>
        <n v="103"/>
        <n v="306"/>
        <n v="39"/>
        <n v="1166"/>
        <n v="80"/>
        <n v="192"/>
        <n v="11"/>
        <n v="320"/>
        <n v="20"/>
        <n v="473"/>
        <n v="30"/>
        <n v="46"/>
        <n v="42"/>
        <n v="68"/>
        <n v="41"/>
        <n v="326"/>
        <n v="23"/>
        <n v="314"/>
        <n v="37"/>
        <n v="553"/>
        <n v="38"/>
        <n v="22"/>
        <n v="18"/>
        <n v="29"/>
        <n v="919"/>
        <n v="295"/>
        <n v="44"/>
        <n v="582"/>
        <n v="65"/>
        <n v="40"/>
        <n v="1253"/>
        <n v="61"/>
        <n v="309"/>
        <n v="1251"/>
        <n v="49"/>
        <n v="28"/>
        <n v="71"/>
        <n v="1350"/>
        <n v="45"/>
        <n v="341"/>
        <n v="785"/>
        <n v="104"/>
        <n v="48"/>
        <n v="90"/>
        <n v="1387"/>
        <n v="308"/>
        <n v="54"/>
        <n v="571"/>
        <n v="89"/>
        <n v="85"/>
        <n v="101"/>
        <n v="1637"/>
        <n v="329"/>
        <n v="35"/>
        <n v="663"/>
        <n v="168"/>
        <n v="108"/>
        <n v="1590"/>
        <n v="644"/>
        <n v="146"/>
        <n v="34"/>
        <n v="181"/>
        <n v="124"/>
        <n v="1661"/>
        <n v="118"/>
        <n v="364"/>
        <n v="60"/>
        <n v="963"/>
        <n v="147"/>
        <n v="258"/>
      </sharedItems>
    </cacheField>
    <cacheField name="Suma de Impte.ML" numFmtId="0">
      <sharedItems containsSemiMixedTypes="0" containsString="0" containsNumber="1" minValue="330888.11000000004" maxValue="58603645.890000001" count="120">
        <n v="2941220.4800000056"/>
        <n v="5011754.6799999988"/>
        <n v="26462990.629999995"/>
        <n v="4479091.6600000011"/>
        <n v="4257587.1399999978"/>
        <n v="2170203.2800000003"/>
        <n v="9727718.3500000015"/>
        <n v="10065115.84"/>
        <n v="53319145.520000011"/>
        <n v="8837144.9499999993"/>
        <n v="3302012.6899999948"/>
        <n v="5022048.1800000016"/>
        <n v="35184659.720000014"/>
        <n v="3538925.13"/>
        <n v="4675775.8599999687"/>
        <n v="3447391.6099999989"/>
        <n v="31141685.899999995"/>
        <n v="11906549.869999999"/>
        <n v="52766992.579999976"/>
        <n v="3461457.8399999994"/>
        <n v="2110799.7300000014"/>
        <n v="6007473.5600000042"/>
        <n v="20268465.669999991"/>
        <n v="5983836.6399999997"/>
        <n v="4535163.1499999836"/>
        <n v="6111724.5399999991"/>
        <n v="7593485.4300000016"/>
        <n v="12407398.889999999"/>
        <n v="55556948.45000001"/>
        <n v="10970006.15"/>
        <n v="445731.93"/>
        <n v="1034461.9900000001"/>
        <n v="18671503.749999974"/>
        <n v="2900976.11"/>
        <n v="1920737.0099999988"/>
        <n v="1572246.37"/>
        <n v="4564068.3200000012"/>
        <n v="7525387.1899999995"/>
        <n v="23845214.269999996"/>
        <n v="2190208.7600000002"/>
        <n v="646724.66000000015"/>
        <n v="2414671.7499999995"/>
        <n v="6725341.8399999775"/>
        <n v="3593178.8000000003"/>
        <n v="3323839.9199999943"/>
        <n v="1942676.1000000003"/>
        <n v="1660288.7099999995"/>
        <n v="2590070.04"/>
        <n v="2206127.81"/>
        <n v="16816538.129999999"/>
        <n v="1617949.0399999986"/>
        <n v="1569806.7099999997"/>
        <n v="11742817.569999995"/>
        <n v="8473325.629999999"/>
        <n v="5898235.4799999995"/>
        <n v="3640644.4599999976"/>
        <n v="11139535.210000001"/>
        <n v="10394671.59"/>
        <n v="4840472.7200000007"/>
        <n v="1112526.0799999996"/>
        <n v="2767767.6799999988"/>
        <n v="4452743.4299999988"/>
        <n v="25761413.429999936"/>
        <n v="2177154.5900000003"/>
        <n v="9942964.1800000388"/>
        <n v="2786854.47"/>
        <n v="1100930.6100000001"/>
        <n v="330888.11000000004"/>
        <n v="13588035.409999995"/>
        <n v="1148871.0499999991"/>
        <n v="3324875.6499999925"/>
        <n v="3115641.42"/>
        <n v="28074634.389999971"/>
        <n v="2416676.09"/>
        <n v="24374947.159999941"/>
        <n v="2133853.5399999996"/>
        <n v="16320322.41"/>
        <n v="8549089.8099999968"/>
        <n v="19397545.810000002"/>
        <n v="3573963.4800000004"/>
        <n v="3593513.4499999913"/>
        <n v="3595426.7600000002"/>
        <n v="26786910.839999977"/>
        <n v="8137610.2199999988"/>
        <n v="2560613.3700000015"/>
        <n v="3617764.11"/>
        <n v="8344969.5800000001"/>
        <n v="2563175.4799999991"/>
        <n v="22185425.850000009"/>
        <n v="3701938.0400000005"/>
        <n v="4749935.6199999917"/>
        <n v="4309762.6900000004"/>
        <n v="28638939.599999987"/>
        <n v="2642109.0499999993"/>
        <n v="12521208.759999877"/>
        <n v="4873043.2799999984"/>
        <n v="13366995.239999995"/>
        <n v="3104180.9500000007"/>
        <n v="20740549.619999997"/>
        <n v="3892283.8400000003"/>
        <n v="4409471.769999993"/>
        <n v="4661698.5500000017"/>
        <n v="33337300.829999954"/>
        <n v="2199524.3400000003"/>
        <n v="4642267.1800000193"/>
        <n v="2877314.9200000004"/>
        <n v="15266781.969999999"/>
        <n v="5237365.1899999995"/>
        <n v="58603645.890000001"/>
        <n v="9539300.1799999978"/>
        <n v="5401266.9299999885"/>
        <n v="10279834.649999997"/>
        <n v="30129176.989999983"/>
        <n v="9476548.5899999961"/>
        <n v="31649622.769999854"/>
        <n v="2557199.9100000006"/>
        <n v="12928342.840000002"/>
        <n v="10305065.739999998"/>
        <n v="24897520.919999998"/>
        <n v="6232741.19999999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Jose Cupul Cen" refreshedDate="46164.393543171296" createdVersion="8" refreshedVersion="8" minRefreshableVersion="3" recordCount="448" xr:uid="{589AB06C-952B-45A4-9B23-F3EBE2E37421}">
  <cacheSource type="worksheet">
    <worksheetSource ref="A1:AM449" sheet="Hoja8"/>
  </cacheSource>
  <cacheFields count="39">
    <cacheField name="Soc." numFmtId="0">
      <sharedItems containsSemiMixedTypes="0" containsString="0" containsNumber="1" containsInteger="1" minValue="3400" maxValue="3409"/>
    </cacheField>
    <cacheField name="Fe.contab." numFmtId="0">
      <sharedItems/>
    </cacheField>
    <cacheField name="Ejercicio" numFmtId="0">
      <sharedItems containsSemiMixedTypes="0" containsString="0" containsNumber="1" containsInteger="1" minValue="2020" maxValue="2020"/>
    </cacheField>
    <cacheField name="Ej./mes" numFmtId="17">
      <sharedItems containsSemiMixedTypes="0" containsNonDate="0" containsDate="1" containsString="0" minDate="2020-01-01T00:00:00" maxDate="2020-01-02T00:00:00"/>
    </cacheField>
    <cacheField name="Pos." numFmtId="0">
      <sharedItems containsSemiMixedTypes="0" containsString="0" containsNumber="1" containsInteger="1" minValue="1" maxValue="57"/>
    </cacheField>
    <cacheField name="Nº doc." numFmtId="0">
      <sharedItems containsSemiMixedTypes="0" containsString="0" containsNumber="1" containsInteger="1" minValue="100004363" maxValue="900012438"/>
    </cacheField>
    <cacheField name="Clase" numFmtId="0">
      <sharedItems/>
    </cacheField>
    <cacheField name="ClvCT" numFmtId="0">
      <sharedItems containsSemiMixedTypes="0" containsString="0" containsNumber="1" containsInteger="1" minValue="81" maxValue="91"/>
    </cacheField>
    <cacheField name="LibrMay" numFmtId="0">
      <sharedItems containsSemiMixedTypes="0" containsString="0" containsNumber="1" containsInteger="1" minValue="71101060" maxValue="71106150" count="8">
        <n v="71104010"/>
        <n v="71106040"/>
        <n v="71106150"/>
        <n v="71105060"/>
        <n v="71101060"/>
        <n v="71106100"/>
        <n v="71105130"/>
        <n v="71105120"/>
      </sharedItems>
    </cacheField>
    <cacheField name="Cta.CP" numFmtId="0">
      <sharedItems containsSemiMixedTypes="0" containsString="0" containsNumber="1" containsInteger="1" minValue="21021040" maxValue="21021040" count="1">
        <n v="21021040"/>
      </sharedItems>
    </cacheField>
    <cacheField name="Txt.brv." numFmtId="0">
      <sharedItems count="8">
        <s v="Luz"/>
        <s v="Comis Agen de Viajes"/>
        <s v="Regalías Franquicias"/>
        <s v="Otros Honorarios Pro"/>
        <s v="Suminist de Limpieza"/>
        <s v="Anuncios, Prop y Pub"/>
        <s v="Hosting Externo"/>
        <s v="Mantto Licencias"/>
      </sharedItems>
    </cacheField>
    <cacheField name="Importe" numFmtId="0">
      <sharedItems containsSemiMixedTypes="0" containsString="0" containsNumber="1" minValue="0.04" maxValue="3557319.57"/>
    </cacheField>
    <cacheField name="Moneda" numFmtId="0">
      <sharedItems/>
    </cacheField>
    <cacheField name="Impte.ML" numFmtId="0">
      <sharedItems containsSemiMixedTypes="0" containsString="0" containsNumber="1" minValue="0.04" maxValue="3557319.57"/>
    </cacheField>
    <cacheField name="Mon.local" numFmtId="0">
      <sharedItems count="1">
        <s v="MXN"/>
      </sharedItems>
    </cacheField>
    <cacheField name="Ind.imp." numFmtId="0">
      <sharedItems containsNonDate="0" containsString="0" containsBlank="1" count="1">
        <m/>
      </sharedItems>
    </cacheField>
    <cacheField name="Folio Fisc" numFmtId="0">
      <sharedItems containsNonDate="0" containsString="0" containsBlank="1"/>
    </cacheField>
    <cacheField name="UUID Pos." numFmtId="0">
      <sharedItems containsBlank="1"/>
    </cacheField>
    <cacheField name="RFC Emisor" numFmtId="0">
      <sharedItems containsBlank="1" containsMixedTypes="1" containsNumber="1" containsInteger="1" minValue="133189146" maxValue="752738581"/>
    </cacheField>
    <cacheField name="Acreedor" numFmtId="0">
      <sharedItems containsSemiMixedTypes="0" containsString="0" containsNumber="1" containsInteger="1" minValue="100730" maxValue="801038"/>
    </cacheField>
    <cacheField name="Nombre" numFmtId="0">
      <sharedItems/>
    </cacheField>
    <cacheField name="SocGLAsoc." numFmtId="0">
      <sharedItems containsNonDate="0" containsString="0" containsBlank="1"/>
    </cacheField>
    <cacheField name="Anulación" numFmtId="0">
      <sharedItems containsBlank="1"/>
    </cacheField>
    <cacheField name="Registrado" numFmtId="0">
      <sharedItems/>
    </cacheField>
    <cacheField name="Referencia" numFmtId="0">
      <sharedItems containsMixedTypes="1" containsNumber="1" containsInteger="1" minValue="-780180102898" maxValue="881747592654"/>
    </cacheField>
    <cacheField name="Asign." numFmtId="0">
      <sharedItems containsBlank="1" containsMixedTypes="1" containsNumber="1" containsInteger="1" minValue="300" maxValue="4501231419"/>
    </cacheField>
    <cacheField name="Subtotal" numFmtId="0">
      <sharedItems containsSemiMixedTypes="0" containsString="0" containsNumber="1" minValue="0.04" maxValue="3557319.57"/>
    </cacheField>
    <cacheField name="IVA" numFmtId="0">
      <sharedItems containsString="0" containsBlank="1" containsNumber="1" minValue="0" maxValue="569171.13119999995"/>
    </cacheField>
    <cacheField name="Importe en Moneda Documento" numFmtId="0">
      <sharedItems containsString="0" containsBlank="1" containsNumber="1" minValue="4.6400000000000004E-2" maxValue="4082382"/>
    </cacheField>
    <cacheField name="Documento contable Registro " numFmtId="0">
      <sharedItems containsString="0" containsBlank="1" containsNumber="1" containsInteger="1" minValue="100004523" maxValue="900012547"/>
    </cacheField>
    <cacheField name="Texto" numFmtId="0">
      <sharedItems/>
    </cacheField>
    <cacheField name="Monto Pagado" numFmtId="0">
      <sharedItems containsString="0" containsBlank="1" containsNumber="1" minValue="0" maxValue="300007791"/>
    </cacheField>
    <cacheField name="Fecha de Pago" numFmtId="0">
      <sharedItems/>
    </cacheField>
    <cacheField name="Forma de Pago" numFmtId="0">
      <sharedItems containsMixedTypes="1" containsNumber="1" containsInteger="1" minValue="700074889" maxValue="900013573"/>
    </cacheField>
    <cacheField name="Documento contable de pago" numFmtId="0">
      <sharedItems containsString="0" containsBlank="1" containsNumber="1" containsInteger="1" minValue="100019945" maxValue="900203553"/>
    </cacheField>
    <cacheField name="Institución financiera" numFmtId="0">
      <sharedItems containsBlank="1"/>
    </cacheField>
    <cacheField name="Cuenta bancaria donde se efectuo el pago" numFmtId="0">
      <sharedItems/>
    </cacheField>
    <cacheField name="Ce.coste" numFmtId="0">
      <sharedItems containsString="0" containsBlank="1" containsNumber="1" containsInteger="1" minValue="340041450" maxValue="340981990"/>
    </cacheField>
    <cacheField name="Usua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Jose Cupul Cen" refreshedDate="46164.401157523149" createdVersion="8" refreshedVersion="8" minRefreshableVersion="3" recordCount="17" xr:uid="{52BFD5B5-B1DE-4127-8D1D-479AD41F885F}">
  <cacheSource type="worksheet">
    <worksheetSource ref="F3:I20" sheet="Hoja2"/>
  </cacheSource>
  <cacheFields count="4">
    <cacheField name="LibrMay" numFmtId="0">
      <sharedItems containsSemiMixedTypes="0" containsString="0" containsNumber="1" containsInteger="1" minValue="71101060" maxValue="71106150" count="8">
        <n v="71101060"/>
        <n v="71104010"/>
        <n v="71105060"/>
        <n v="71105120"/>
        <n v="71105130"/>
        <n v="71106040"/>
        <n v="71106100"/>
        <n v="71106150"/>
      </sharedItems>
    </cacheField>
    <cacheField name="Txt.brv." numFmtId="0">
      <sharedItems count="8">
        <s v="Suminist de Limpieza"/>
        <s v="Luz"/>
        <s v="Otros Honorarios Pro"/>
        <s v="Mantto Licencias"/>
        <s v="Hosting Externo"/>
        <s v="Comis Agen de Viajes"/>
        <s v="Anuncios, Prop y Pub"/>
        <s v="Regalías Franquicias"/>
      </sharedItems>
    </cacheField>
    <cacheField name="Cuenta de Mon.local" numFmtId="0">
      <sharedItems containsSemiMixedTypes="0" containsString="0" containsNumber="1" containsInteger="1" minValue="1" maxValue="349"/>
    </cacheField>
    <cacheField name="Suma de Impte.ML" numFmtId="0">
      <sharedItems containsSemiMixedTypes="0" containsString="0" containsNumber="1" minValue="6100.02" maxValue="25927902.17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x v="0"/>
    <x v="0"/>
    <n v="1089"/>
    <n v="2941220.4800000056"/>
  </r>
  <r>
    <n v="1"/>
    <x v="1"/>
    <x v="1"/>
    <n v="72"/>
    <n v="5011754.6799999988"/>
  </r>
  <r>
    <n v="1"/>
    <x v="2"/>
    <x v="2"/>
    <n v="372"/>
    <n v="26462990.629999995"/>
  </r>
  <r>
    <n v="1"/>
    <x v="3"/>
    <x v="3"/>
    <n v="58"/>
    <n v="4479091.6600000011"/>
  </r>
  <r>
    <n v="1"/>
    <x v="4"/>
    <x v="4"/>
    <n v="546"/>
    <n v="4257587.1399999978"/>
  </r>
  <r>
    <n v="1"/>
    <x v="5"/>
    <x v="5"/>
    <n v="52"/>
    <n v="2170203.2800000003"/>
  </r>
  <r>
    <n v="1"/>
    <x v="6"/>
    <x v="6"/>
    <n v="57"/>
    <n v="9727718.3500000015"/>
  </r>
  <r>
    <n v="1"/>
    <x v="7"/>
    <x v="7"/>
    <n v="52"/>
    <n v="10065115.84"/>
  </r>
  <r>
    <n v="1"/>
    <x v="8"/>
    <x v="8"/>
    <n v="77"/>
    <n v="53319145.520000011"/>
  </r>
  <r>
    <n v="1"/>
    <x v="9"/>
    <x v="9"/>
    <n v="69"/>
    <n v="8837144.9499999993"/>
  </r>
  <r>
    <n v="2"/>
    <x v="0"/>
    <x v="0"/>
    <n v="1073"/>
    <n v="3302012.6899999948"/>
  </r>
  <r>
    <n v="2"/>
    <x v="1"/>
    <x v="1"/>
    <n v="63"/>
    <n v="5022048.1800000016"/>
  </r>
  <r>
    <n v="2"/>
    <x v="2"/>
    <x v="2"/>
    <n v="349"/>
    <n v="35184659.720000014"/>
  </r>
  <r>
    <n v="2"/>
    <x v="3"/>
    <x v="3"/>
    <n v="43"/>
    <n v="3538925.13"/>
  </r>
  <r>
    <n v="2"/>
    <x v="4"/>
    <x v="4"/>
    <n v="589"/>
    <n v="4675775.8599999687"/>
  </r>
  <r>
    <n v="2"/>
    <x v="5"/>
    <x v="5"/>
    <n v="43"/>
    <n v="3447391.6099999989"/>
  </r>
  <r>
    <n v="2"/>
    <x v="6"/>
    <x v="6"/>
    <n v="70"/>
    <n v="31141685.899999995"/>
  </r>
  <r>
    <n v="2"/>
    <x v="7"/>
    <x v="7"/>
    <n v="51"/>
    <n v="11906549.869999999"/>
  </r>
  <r>
    <n v="2"/>
    <x v="8"/>
    <x v="8"/>
    <n v="67"/>
    <n v="52766992.579999976"/>
  </r>
  <r>
    <n v="2"/>
    <x v="9"/>
    <x v="9"/>
    <n v="56"/>
    <n v="3461457.8399999994"/>
  </r>
  <r>
    <n v="3"/>
    <x v="0"/>
    <x v="0"/>
    <n v="914"/>
    <n v="2110799.7300000014"/>
  </r>
  <r>
    <n v="3"/>
    <x v="1"/>
    <x v="1"/>
    <n v="103"/>
    <n v="6007473.5600000042"/>
  </r>
  <r>
    <n v="3"/>
    <x v="2"/>
    <x v="2"/>
    <n v="306"/>
    <n v="20268465.669999991"/>
  </r>
  <r>
    <n v="3"/>
    <x v="3"/>
    <x v="3"/>
    <n v="39"/>
    <n v="5983836.6399999997"/>
  </r>
  <r>
    <n v="3"/>
    <x v="4"/>
    <x v="4"/>
    <n v="1166"/>
    <n v="4535163.1499999836"/>
  </r>
  <r>
    <n v="3"/>
    <x v="5"/>
    <x v="5"/>
    <n v="80"/>
    <n v="6111724.5399999991"/>
  </r>
  <r>
    <n v="3"/>
    <x v="6"/>
    <x v="6"/>
    <n v="69"/>
    <n v="7593485.4300000016"/>
  </r>
  <r>
    <n v="3"/>
    <x v="7"/>
    <x v="7"/>
    <n v="63"/>
    <n v="12407398.889999999"/>
  </r>
  <r>
    <n v="3"/>
    <x v="8"/>
    <x v="8"/>
    <n v="77"/>
    <n v="55556948.45000001"/>
  </r>
  <r>
    <n v="3"/>
    <x v="9"/>
    <x v="9"/>
    <n v="56"/>
    <n v="10970006.15"/>
  </r>
  <r>
    <n v="4"/>
    <x v="0"/>
    <x v="0"/>
    <n v="192"/>
    <n v="445731.93"/>
  </r>
  <r>
    <n v="4"/>
    <x v="1"/>
    <x v="1"/>
    <n v="11"/>
    <n v="1034461.9900000001"/>
  </r>
  <r>
    <n v="4"/>
    <x v="2"/>
    <x v="2"/>
    <n v="320"/>
    <n v="18671503.749999974"/>
  </r>
  <r>
    <n v="4"/>
    <x v="3"/>
    <x v="3"/>
    <n v="20"/>
    <n v="2900976.11"/>
  </r>
  <r>
    <n v="4"/>
    <x v="4"/>
    <x v="4"/>
    <n v="473"/>
    <n v="1920737.0099999988"/>
  </r>
  <r>
    <n v="4"/>
    <x v="5"/>
    <x v="5"/>
    <n v="30"/>
    <n v="1572246.37"/>
  </r>
  <r>
    <n v="4"/>
    <x v="6"/>
    <x v="6"/>
    <n v="46"/>
    <n v="4564068.3200000012"/>
  </r>
  <r>
    <n v="4"/>
    <x v="7"/>
    <x v="7"/>
    <n v="42"/>
    <n v="7525387.1899999995"/>
  </r>
  <r>
    <n v="4"/>
    <x v="8"/>
    <x v="8"/>
    <n v="68"/>
    <n v="23845214.269999996"/>
  </r>
  <r>
    <n v="4"/>
    <x v="9"/>
    <x v="9"/>
    <n v="41"/>
    <n v="2190208.7600000002"/>
  </r>
  <r>
    <n v="5"/>
    <x v="0"/>
    <x v="0"/>
    <n v="326"/>
    <n v="646724.66000000015"/>
  </r>
  <r>
    <n v="5"/>
    <x v="1"/>
    <x v="1"/>
    <n v="23"/>
    <n v="2414671.7499999995"/>
  </r>
  <r>
    <n v="5"/>
    <x v="2"/>
    <x v="2"/>
    <n v="314"/>
    <n v="6725341.8399999775"/>
  </r>
  <r>
    <n v="5"/>
    <x v="3"/>
    <x v="3"/>
    <n v="37"/>
    <n v="3593178.8000000003"/>
  </r>
  <r>
    <n v="5"/>
    <x v="4"/>
    <x v="4"/>
    <n v="553"/>
    <n v="3323839.9199999943"/>
  </r>
  <r>
    <n v="5"/>
    <x v="5"/>
    <x v="5"/>
    <n v="38"/>
    <n v="1942676.1000000003"/>
  </r>
  <r>
    <n v="5"/>
    <x v="6"/>
    <x v="6"/>
    <n v="22"/>
    <n v="1660288.7099999995"/>
  </r>
  <r>
    <n v="5"/>
    <x v="7"/>
    <x v="7"/>
    <n v="18"/>
    <n v="2590070.04"/>
  </r>
  <r>
    <n v="5"/>
    <x v="8"/>
    <x v="8"/>
    <n v="29"/>
    <n v="2206127.81"/>
  </r>
  <r>
    <n v="5"/>
    <x v="9"/>
    <x v="9"/>
    <n v="42"/>
    <n v="16816538.129999999"/>
  </r>
  <r>
    <n v="6"/>
    <x v="0"/>
    <x v="0"/>
    <n v="919"/>
    <n v="1617949.0399999986"/>
  </r>
  <r>
    <n v="6"/>
    <x v="1"/>
    <x v="1"/>
    <n v="46"/>
    <n v="1569806.7099999997"/>
  </r>
  <r>
    <n v="6"/>
    <x v="2"/>
    <x v="2"/>
    <n v="295"/>
    <n v="11742817.569999995"/>
  </r>
  <r>
    <n v="6"/>
    <x v="3"/>
    <x v="3"/>
    <n v="44"/>
    <n v="8473325.629999999"/>
  </r>
  <r>
    <n v="6"/>
    <x v="4"/>
    <x v="4"/>
    <n v="582"/>
    <n v="5898235.4799999995"/>
  </r>
  <r>
    <n v="6"/>
    <x v="5"/>
    <x v="5"/>
    <n v="65"/>
    <n v="3640644.4599999976"/>
  </r>
  <r>
    <n v="6"/>
    <x v="6"/>
    <x v="6"/>
    <n v="57"/>
    <n v="11139535.210000001"/>
  </r>
  <r>
    <n v="6"/>
    <x v="7"/>
    <x v="7"/>
    <n v="30"/>
    <n v="10394671.59"/>
  </r>
  <r>
    <n v="6"/>
    <x v="8"/>
    <x v="8"/>
    <n v="40"/>
    <n v="4840472.7200000007"/>
  </r>
  <r>
    <n v="6"/>
    <x v="9"/>
    <x v="9"/>
    <n v="56"/>
    <n v="1112526.0799999996"/>
  </r>
  <r>
    <n v="7"/>
    <x v="0"/>
    <x v="0"/>
    <n v="1253"/>
    <n v="2767767.6799999988"/>
  </r>
  <r>
    <n v="7"/>
    <x v="1"/>
    <x v="1"/>
    <n v="61"/>
    <n v="4452743.4299999988"/>
  </r>
  <r>
    <n v="7"/>
    <x v="2"/>
    <x v="2"/>
    <n v="309"/>
    <n v="25761413.429999936"/>
  </r>
  <r>
    <n v="7"/>
    <x v="3"/>
    <x v="3"/>
    <n v="37"/>
    <n v="2177154.5900000003"/>
  </r>
  <r>
    <n v="7"/>
    <x v="4"/>
    <x v="4"/>
    <n v="1251"/>
    <n v="9942964.1800000388"/>
  </r>
  <r>
    <n v="7"/>
    <x v="5"/>
    <x v="5"/>
    <n v="49"/>
    <n v="2786854.47"/>
  </r>
  <r>
    <n v="7"/>
    <x v="6"/>
    <x v="6"/>
    <n v="28"/>
    <n v="1100930.6100000001"/>
  </r>
  <r>
    <n v="7"/>
    <x v="7"/>
    <x v="7"/>
    <n v="11"/>
    <n v="330888.11000000004"/>
  </r>
  <r>
    <n v="7"/>
    <x v="8"/>
    <x v="8"/>
    <n v="71"/>
    <n v="13588035.409999995"/>
  </r>
  <r>
    <n v="7"/>
    <x v="9"/>
    <x v="9"/>
    <n v="58"/>
    <n v="1148871.0499999991"/>
  </r>
  <r>
    <n v="8"/>
    <x v="0"/>
    <x v="0"/>
    <n v="1350"/>
    <n v="3324875.6499999925"/>
  </r>
  <r>
    <n v="8"/>
    <x v="1"/>
    <x v="1"/>
    <n v="45"/>
    <n v="3115641.42"/>
  </r>
  <r>
    <n v="8"/>
    <x v="2"/>
    <x v="2"/>
    <n v="341"/>
    <n v="28074634.389999971"/>
  </r>
  <r>
    <n v="8"/>
    <x v="3"/>
    <x v="3"/>
    <n v="41"/>
    <n v="2416676.09"/>
  </r>
  <r>
    <n v="8"/>
    <x v="4"/>
    <x v="4"/>
    <n v="785"/>
    <n v="24374947.159999941"/>
  </r>
  <r>
    <n v="8"/>
    <x v="5"/>
    <x v="5"/>
    <n v="41"/>
    <n v="2133853.5399999996"/>
  </r>
  <r>
    <n v="8"/>
    <x v="6"/>
    <x v="6"/>
    <n v="104"/>
    <n v="16320322.41"/>
  </r>
  <r>
    <n v="8"/>
    <x v="7"/>
    <x v="7"/>
    <n v="48"/>
    <n v="8549089.8099999968"/>
  </r>
  <r>
    <n v="8"/>
    <x v="8"/>
    <x v="8"/>
    <n v="80"/>
    <n v="19397545.810000002"/>
  </r>
  <r>
    <n v="8"/>
    <x v="9"/>
    <x v="9"/>
    <n v="90"/>
    <n v="3573963.4800000004"/>
  </r>
  <r>
    <n v="9"/>
    <x v="0"/>
    <x v="0"/>
    <n v="1387"/>
    <n v="3593513.4499999913"/>
  </r>
  <r>
    <n v="9"/>
    <x v="1"/>
    <x v="1"/>
    <n v="49"/>
    <n v="3595426.7600000002"/>
  </r>
  <r>
    <n v="9"/>
    <x v="2"/>
    <x v="2"/>
    <n v="308"/>
    <n v="26786910.839999977"/>
  </r>
  <r>
    <n v="9"/>
    <x v="3"/>
    <x v="3"/>
    <n v="54"/>
    <n v="8137610.2199999988"/>
  </r>
  <r>
    <n v="9"/>
    <x v="4"/>
    <x v="4"/>
    <n v="571"/>
    <n v="2560613.3700000015"/>
  </r>
  <r>
    <n v="9"/>
    <x v="5"/>
    <x v="5"/>
    <n v="40"/>
    <n v="3617764.11"/>
  </r>
  <r>
    <n v="9"/>
    <x v="6"/>
    <x v="6"/>
    <n v="89"/>
    <n v="8344969.5800000001"/>
  </r>
  <r>
    <n v="9"/>
    <x v="7"/>
    <x v="7"/>
    <n v="23"/>
    <n v="2563175.4799999991"/>
  </r>
  <r>
    <n v="9"/>
    <x v="8"/>
    <x v="8"/>
    <n v="85"/>
    <n v="22185425.850000009"/>
  </r>
  <r>
    <n v="9"/>
    <x v="9"/>
    <x v="9"/>
    <n v="101"/>
    <n v="3701938.0400000005"/>
  </r>
  <r>
    <n v="10"/>
    <x v="0"/>
    <x v="0"/>
    <n v="1637"/>
    <n v="4749935.6199999917"/>
  </r>
  <r>
    <n v="10"/>
    <x v="1"/>
    <x v="1"/>
    <n v="52"/>
    <n v="4309762.6900000004"/>
  </r>
  <r>
    <n v="10"/>
    <x v="2"/>
    <x v="2"/>
    <n v="329"/>
    <n v="28638939.599999987"/>
  </r>
  <r>
    <n v="10"/>
    <x v="3"/>
    <x v="3"/>
    <n v="35"/>
    <n v="2642109.0499999993"/>
  </r>
  <r>
    <n v="10"/>
    <x v="4"/>
    <x v="4"/>
    <n v="663"/>
    <n v="12521208.759999877"/>
  </r>
  <r>
    <n v="10"/>
    <x v="5"/>
    <x v="5"/>
    <n v="44"/>
    <n v="4873043.2799999984"/>
  </r>
  <r>
    <n v="10"/>
    <x v="6"/>
    <x v="6"/>
    <n v="168"/>
    <n v="13366995.239999995"/>
  </r>
  <r>
    <n v="10"/>
    <x v="7"/>
    <x v="7"/>
    <n v="39"/>
    <n v="3104180.9500000007"/>
  </r>
  <r>
    <n v="10"/>
    <x v="8"/>
    <x v="8"/>
    <n v="71"/>
    <n v="20740549.619999997"/>
  </r>
  <r>
    <n v="10"/>
    <x v="9"/>
    <x v="9"/>
    <n v="108"/>
    <n v="3892283.8400000003"/>
  </r>
  <r>
    <n v="11"/>
    <x v="0"/>
    <x v="0"/>
    <n v="1590"/>
    <n v="4409471.769999993"/>
  </r>
  <r>
    <n v="11"/>
    <x v="1"/>
    <x v="1"/>
    <n v="48"/>
    <n v="4661698.5500000017"/>
  </r>
  <r>
    <n v="11"/>
    <x v="2"/>
    <x v="2"/>
    <n v="308"/>
    <n v="33337300.829999954"/>
  </r>
  <r>
    <n v="11"/>
    <x v="3"/>
    <x v="3"/>
    <n v="30"/>
    <n v="2199524.3400000003"/>
  </r>
  <r>
    <n v="11"/>
    <x v="4"/>
    <x v="4"/>
    <n v="644"/>
    <n v="4642267.1800000193"/>
  </r>
  <r>
    <n v="11"/>
    <x v="5"/>
    <x v="5"/>
    <n v="42"/>
    <n v="2877314.9200000004"/>
  </r>
  <r>
    <n v="11"/>
    <x v="6"/>
    <x v="6"/>
    <n v="146"/>
    <n v="15266781.969999999"/>
  </r>
  <r>
    <n v="11"/>
    <x v="7"/>
    <x v="7"/>
    <n v="34"/>
    <n v="5237365.1899999995"/>
  </r>
  <r>
    <n v="11"/>
    <x v="8"/>
    <x v="8"/>
    <n v="181"/>
    <n v="58603645.890000001"/>
  </r>
  <r>
    <n v="11"/>
    <x v="9"/>
    <x v="9"/>
    <n v="124"/>
    <n v="9539300.1799999978"/>
  </r>
  <r>
    <n v="12"/>
    <x v="0"/>
    <x v="0"/>
    <n v="1661"/>
    <n v="5401266.9299999885"/>
  </r>
  <r>
    <n v="12"/>
    <x v="1"/>
    <x v="1"/>
    <n v="118"/>
    <n v="10279834.649999997"/>
  </r>
  <r>
    <n v="12"/>
    <x v="2"/>
    <x v="2"/>
    <n v="364"/>
    <n v="30129176.989999983"/>
  </r>
  <r>
    <n v="12"/>
    <x v="3"/>
    <x v="3"/>
    <n v="60"/>
    <n v="9476548.5899999961"/>
  </r>
  <r>
    <n v="12"/>
    <x v="4"/>
    <x v="4"/>
    <n v="963"/>
    <n v="31649622.769999854"/>
  </r>
  <r>
    <n v="12"/>
    <x v="5"/>
    <x v="5"/>
    <n v="56"/>
    <n v="2557199.9100000006"/>
  </r>
  <r>
    <n v="12"/>
    <x v="6"/>
    <x v="6"/>
    <n v="147"/>
    <n v="12928342.840000002"/>
  </r>
  <r>
    <n v="12"/>
    <x v="7"/>
    <x v="7"/>
    <n v="37"/>
    <n v="10305065.739999998"/>
  </r>
  <r>
    <n v="12"/>
    <x v="8"/>
    <x v="8"/>
    <n v="65"/>
    <n v="24897520.919999998"/>
  </r>
  <r>
    <n v="12"/>
    <x v="9"/>
    <x v="9"/>
    <n v="258"/>
    <n v="6232741.19999999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4">
  <r>
    <n v="3407"/>
    <s v="31.01.2020"/>
    <n v="2020"/>
    <d v="2020-01-01T00:00:00"/>
    <n v="152"/>
    <n v="700041834"/>
    <s v="WA"/>
    <n v="81"/>
    <x v="0"/>
    <n v="11500010"/>
    <x v="0"/>
    <n v="295.48"/>
    <s v="MXN"/>
    <n v="295.48"/>
    <x v="0"/>
    <m/>
    <m/>
    <m/>
    <m/>
    <m/>
    <m/>
    <m/>
    <m/>
    <s v="02.02.2020"/>
    <m/>
    <n v="20200131"/>
    <n v="295.48"/>
    <m/>
    <m/>
    <m/>
    <m/>
    <m/>
    <m/>
    <m/>
    <m/>
    <m/>
    <m/>
    <n v="340712790"/>
    <s v="JCOSTOSHRLC"/>
  </r>
  <r>
    <n v="3407"/>
    <s v="31.01.2020"/>
    <n v="2020"/>
    <d v="2020-01-01T00:00:00"/>
    <n v="154"/>
    <n v="700041834"/>
    <s v="WA"/>
    <n v="81"/>
    <x v="0"/>
    <n v="11500010"/>
    <x v="0"/>
    <n v="779"/>
    <s v="MXN"/>
    <n v="779"/>
    <x v="0"/>
    <m/>
    <m/>
    <m/>
    <m/>
    <m/>
    <m/>
    <m/>
    <m/>
    <s v="02.02.2020"/>
    <m/>
    <n v="20200131"/>
    <n v="779"/>
    <m/>
    <m/>
    <m/>
    <m/>
    <m/>
    <m/>
    <m/>
    <m/>
    <m/>
    <m/>
    <n v="340712790"/>
    <s v="JCOSTOSHRLC"/>
  </r>
  <r>
    <n v="3407"/>
    <s v="31.01.2020"/>
    <n v="2020"/>
    <d v="2020-01-01T00:00:00"/>
    <n v="194"/>
    <n v="700041821"/>
    <s v="WA"/>
    <n v="81"/>
    <x v="0"/>
    <n v="11500010"/>
    <x v="0"/>
    <n v="325"/>
    <s v="MXN"/>
    <n v="325"/>
    <x v="0"/>
    <m/>
    <m/>
    <m/>
    <m/>
    <m/>
    <m/>
    <m/>
    <m/>
    <s v="02.02.2020"/>
    <m/>
    <n v="20200131"/>
    <n v="325"/>
    <m/>
    <m/>
    <m/>
    <m/>
    <m/>
    <m/>
    <m/>
    <m/>
    <m/>
    <m/>
    <n v="340712590"/>
    <s v="AUXCOSTOHRLC"/>
  </r>
  <r>
    <n v="3407"/>
    <s v="31.01.2020"/>
    <n v="2020"/>
    <d v="2020-01-01T00:00:00"/>
    <n v="196"/>
    <n v="700041821"/>
    <s v="WA"/>
    <n v="81"/>
    <x v="0"/>
    <n v="11500010"/>
    <x v="0"/>
    <n v="203.1"/>
    <s v="MXN"/>
    <n v="203.1"/>
    <x v="0"/>
    <m/>
    <m/>
    <m/>
    <m/>
    <m/>
    <m/>
    <m/>
    <m/>
    <s v="02.02.2020"/>
    <m/>
    <n v="20200131"/>
    <n v="203.1"/>
    <m/>
    <m/>
    <m/>
    <m/>
    <m/>
    <m/>
    <m/>
    <m/>
    <m/>
    <m/>
    <n v="340712590"/>
    <s v="AUXCOSTOHRLC"/>
  </r>
  <r>
    <n v="3407"/>
    <s v="31.01.2020"/>
    <n v="2020"/>
    <d v="2020-01-01T00:00:00"/>
    <n v="198"/>
    <n v="700041821"/>
    <s v="WA"/>
    <n v="81"/>
    <x v="0"/>
    <n v="11500010"/>
    <x v="0"/>
    <n v="720"/>
    <s v="MXN"/>
    <n v="720"/>
    <x v="0"/>
    <m/>
    <m/>
    <m/>
    <m/>
    <m/>
    <m/>
    <m/>
    <m/>
    <s v="02.02.2020"/>
    <m/>
    <n v="20200131"/>
    <n v="720"/>
    <m/>
    <m/>
    <m/>
    <m/>
    <m/>
    <m/>
    <m/>
    <m/>
    <m/>
    <m/>
    <n v="340712590"/>
    <s v="AUXCOSTOHRLC"/>
  </r>
  <r>
    <n v="3407"/>
    <s v="31.01.2020"/>
    <n v="2020"/>
    <d v="2020-01-01T00:00:00"/>
    <n v="206"/>
    <n v="700041821"/>
    <s v="WA"/>
    <n v="81"/>
    <x v="0"/>
    <n v="11500010"/>
    <x v="0"/>
    <n v="779"/>
    <s v="MXN"/>
    <n v="779"/>
    <x v="0"/>
    <m/>
    <m/>
    <m/>
    <m/>
    <m/>
    <m/>
    <m/>
    <m/>
    <s v="02.02.2020"/>
    <m/>
    <n v="20200131"/>
    <n v="779"/>
    <m/>
    <m/>
    <m/>
    <m/>
    <m/>
    <m/>
    <m/>
    <m/>
    <m/>
    <m/>
    <n v="340712590"/>
    <s v="AUXCOSTOHRLC"/>
  </r>
  <r>
    <n v="3407"/>
    <s v="31.01.2020"/>
    <n v="2020"/>
    <d v="2020-01-01T00:00:00"/>
    <n v="150"/>
    <n v="700041814"/>
    <s v="WA"/>
    <n v="81"/>
    <x v="0"/>
    <n v="11500010"/>
    <x v="0"/>
    <n v="2481"/>
    <s v="MXN"/>
    <n v="2481"/>
    <x v="0"/>
    <m/>
    <m/>
    <m/>
    <m/>
    <m/>
    <m/>
    <m/>
    <m/>
    <s v="02.02.2020"/>
    <m/>
    <n v="20200131"/>
    <n v="2481"/>
    <m/>
    <m/>
    <m/>
    <m/>
    <m/>
    <m/>
    <m/>
    <m/>
    <m/>
    <m/>
    <n v="340712590"/>
    <s v="AUXCOSTOHRLC"/>
  </r>
  <r>
    <n v="3407"/>
    <s v="31.01.2020"/>
    <n v="2020"/>
    <d v="2020-01-01T00:00:00"/>
    <n v="154"/>
    <n v="700041814"/>
    <s v="WA"/>
    <n v="81"/>
    <x v="0"/>
    <n v="11500010"/>
    <x v="0"/>
    <n v="1300"/>
    <s v="MXN"/>
    <n v="1300"/>
    <x v="0"/>
    <m/>
    <m/>
    <m/>
    <m/>
    <m/>
    <m/>
    <m/>
    <m/>
    <s v="02.02.2020"/>
    <m/>
    <n v="20200131"/>
    <n v="1300"/>
    <m/>
    <m/>
    <m/>
    <m/>
    <m/>
    <m/>
    <m/>
    <m/>
    <m/>
    <m/>
    <n v="340712590"/>
    <s v="AUXCOSTOHRLC"/>
  </r>
  <r>
    <n v="3407"/>
    <s v="31.01.2020"/>
    <n v="2020"/>
    <d v="2020-01-01T00:00:00"/>
    <n v="220"/>
    <n v="700041814"/>
    <s v="WA"/>
    <n v="81"/>
    <x v="0"/>
    <n v="11500010"/>
    <x v="0"/>
    <n v="110.69"/>
    <s v="MXN"/>
    <n v="110.69"/>
    <x v="0"/>
    <m/>
    <m/>
    <m/>
    <m/>
    <m/>
    <m/>
    <m/>
    <m/>
    <s v="02.02.2020"/>
    <m/>
    <n v="20200131"/>
    <n v="110.69"/>
    <m/>
    <m/>
    <m/>
    <m/>
    <m/>
    <m/>
    <m/>
    <m/>
    <m/>
    <m/>
    <n v="340712590"/>
    <s v="AUXCOSTOHRLC"/>
  </r>
  <r>
    <n v="3407"/>
    <s v="31.01.2020"/>
    <n v="2020"/>
    <d v="2020-01-01T00:00:00"/>
    <n v="222"/>
    <n v="700041814"/>
    <s v="WA"/>
    <n v="81"/>
    <x v="0"/>
    <n v="11500010"/>
    <x v="0"/>
    <n v="125"/>
    <s v="MXN"/>
    <n v="125"/>
    <x v="0"/>
    <m/>
    <m/>
    <m/>
    <m/>
    <m/>
    <m/>
    <m/>
    <m/>
    <s v="02.02.2020"/>
    <m/>
    <n v="20200131"/>
    <n v="125"/>
    <m/>
    <m/>
    <m/>
    <m/>
    <m/>
    <m/>
    <m/>
    <m/>
    <m/>
    <m/>
    <n v="340712590"/>
    <s v="AUXCOSTOHRLC"/>
  </r>
  <r>
    <n v="3407"/>
    <s v="31.01.2020"/>
    <n v="2020"/>
    <d v="2020-01-01T00:00:00"/>
    <n v="224"/>
    <n v="700041814"/>
    <s v="WA"/>
    <n v="81"/>
    <x v="0"/>
    <n v="11500010"/>
    <x v="0"/>
    <n v="127.5"/>
    <s v="MXN"/>
    <n v="127.5"/>
    <x v="0"/>
    <m/>
    <m/>
    <m/>
    <m/>
    <m/>
    <m/>
    <m/>
    <m/>
    <s v="02.02.2020"/>
    <m/>
    <n v="20200131"/>
    <n v="127.5"/>
    <m/>
    <m/>
    <m/>
    <m/>
    <m/>
    <m/>
    <m/>
    <m/>
    <m/>
    <m/>
    <n v="340712590"/>
    <s v="AUXCOSTOHRLC"/>
  </r>
  <r>
    <n v="3407"/>
    <s v="31.01.2020"/>
    <n v="2020"/>
    <d v="2020-01-01T00:00:00"/>
    <n v="226"/>
    <n v="700041814"/>
    <s v="WA"/>
    <n v="81"/>
    <x v="0"/>
    <n v="11500010"/>
    <x v="0"/>
    <n v="240"/>
    <s v="MXN"/>
    <n v="240"/>
    <x v="0"/>
    <m/>
    <m/>
    <m/>
    <m/>
    <m/>
    <m/>
    <m/>
    <m/>
    <s v="02.02.2020"/>
    <m/>
    <n v="20200131"/>
    <n v="240"/>
    <m/>
    <m/>
    <m/>
    <m/>
    <m/>
    <m/>
    <m/>
    <m/>
    <m/>
    <m/>
    <n v="340712590"/>
    <s v="AUXCOSTOHRLC"/>
  </r>
  <r>
    <n v="3406"/>
    <s v="31.01.2020"/>
    <n v="2020"/>
    <d v="2020-01-01T00:00:00"/>
    <n v="352"/>
    <n v="600031593"/>
    <s v="WA"/>
    <n v="81"/>
    <x v="0"/>
    <n v="11500010"/>
    <x v="0"/>
    <n v="1093.3399999999999"/>
    <s v="MXN"/>
    <n v="1093.3399999999999"/>
    <x v="0"/>
    <m/>
    <m/>
    <m/>
    <m/>
    <m/>
    <m/>
    <m/>
    <m/>
    <s v="01.02.2020"/>
    <m/>
    <n v="20200131"/>
    <n v="1093.3399999999999"/>
    <m/>
    <m/>
    <m/>
    <m/>
    <m/>
    <m/>
    <m/>
    <m/>
    <m/>
    <m/>
    <n v="340612790"/>
    <s v="JGARCIA"/>
  </r>
  <r>
    <n v="3406"/>
    <s v="31.01.2020"/>
    <n v="2020"/>
    <d v="2020-01-01T00:00:00"/>
    <n v="368"/>
    <n v="600031593"/>
    <s v="WA"/>
    <n v="81"/>
    <x v="0"/>
    <n v="11500010"/>
    <x v="0"/>
    <n v="428"/>
    <s v="MXN"/>
    <n v="428"/>
    <x v="0"/>
    <m/>
    <m/>
    <m/>
    <m/>
    <m/>
    <m/>
    <m/>
    <m/>
    <s v="01.02.2020"/>
    <m/>
    <n v="20200131"/>
    <n v="428"/>
    <m/>
    <m/>
    <m/>
    <m/>
    <m/>
    <m/>
    <m/>
    <m/>
    <m/>
    <m/>
    <n v="340612790"/>
    <s v="JGARCIA"/>
  </r>
  <r>
    <n v="3401"/>
    <s v="31.01.2020"/>
    <n v="2020"/>
    <d v="2020-01-01T00:00:00"/>
    <n v="164"/>
    <n v="100031793"/>
    <s v="WA"/>
    <n v="81"/>
    <x v="0"/>
    <n v="11500010"/>
    <x v="0"/>
    <n v="4708"/>
    <s v="MXN"/>
    <n v="4708"/>
    <x v="0"/>
    <m/>
    <m/>
    <m/>
    <m/>
    <m/>
    <m/>
    <m/>
    <m/>
    <s v="31.01.2020"/>
    <m/>
    <n v="20200131"/>
    <n v="4708"/>
    <m/>
    <m/>
    <m/>
    <m/>
    <m/>
    <m/>
    <m/>
    <m/>
    <m/>
    <m/>
    <n v="340112490"/>
    <s v="FLUGO"/>
  </r>
  <r>
    <n v="3401"/>
    <s v="31.01.2020"/>
    <n v="2020"/>
    <d v="2020-01-01T00:00:00"/>
    <n v="182"/>
    <n v="100031793"/>
    <s v="WA"/>
    <n v="81"/>
    <x v="0"/>
    <n v="11500010"/>
    <x v="0"/>
    <n v="2194.4699999999998"/>
    <s v="MXN"/>
    <n v="2194.4699999999998"/>
    <x v="0"/>
    <m/>
    <m/>
    <m/>
    <m/>
    <m/>
    <m/>
    <m/>
    <m/>
    <s v="31.01.2020"/>
    <m/>
    <n v="20200131"/>
    <n v="2194.4699999999998"/>
    <m/>
    <m/>
    <m/>
    <m/>
    <m/>
    <m/>
    <m/>
    <m/>
    <m/>
    <m/>
    <n v="340112490"/>
    <s v="FLUGO"/>
  </r>
  <r>
    <n v="3407"/>
    <s v="31.01.2020"/>
    <n v="2020"/>
    <d v="2020-01-01T00:00:00"/>
    <n v="276"/>
    <n v="700041825"/>
    <s v="WA"/>
    <n v="81"/>
    <x v="0"/>
    <n v="11500050"/>
    <x v="0"/>
    <n v="14320"/>
    <s v="MXN"/>
    <n v="14320"/>
    <x v="0"/>
    <m/>
    <m/>
    <m/>
    <m/>
    <m/>
    <m/>
    <m/>
    <m/>
    <s v="02.02.2020"/>
    <m/>
    <n v="20200131"/>
    <n v="14320"/>
    <m/>
    <m/>
    <m/>
    <m/>
    <m/>
    <m/>
    <m/>
    <m/>
    <m/>
    <m/>
    <n v="340717690"/>
    <s v="JCOSTOSHRLC"/>
  </r>
  <r>
    <n v="3407"/>
    <s v="31.01.2020"/>
    <n v="2020"/>
    <d v="2020-01-01T00:00:00"/>
    <n v="278"/>
    <n v="700041825"/>
    <s v="WA"/>
    <n v="81"/>
    <x v="0"/>
    <n v="11500050"/>
    <x v="0"/>
    <n v="680"/>
    <s v="MXN"/>
    <n v="680"/>
    <x v="0"/>
    <m/>
    <m/>
    <m/>
    <m/>
    <m/>
    <m/>
    <m/>
    <m/>
    <s v="02.02.2020"/>
    <m/>
    <n v="20200131"/>
    <n v="680"/>
    <m/>
    <m/>
    <m/>
    <m/>
    <m/>
    <m/>
    <m/>
    <m/>
    <m/>
    <m/>
    <n v="340717690"/>
    <s v="JCOSTOSHRLC"/>
  </r>
  <r>
    <n v="3407"/>
    <s v="31.01.2020"/>
    <n v="2020"/>
    <d v="2020-01-01T00:00:00"/>
    <n v="280"/>
    <n v="700041825"/>
    <s v="WA"/>
    <n v="81"/>
    <x v="0"/>
    <n v="11500050"/>
    <x v="0"/>
    <n v="680"/>
    <s v="MXN"/>
    <n v="680"/>
    <x v="0"/>
    <m/>
    <m/>
    <m/>
    <m/>
    <m/>
    <m/>
    <m/>
    <m/>
    <s v="02.02.2020"/>
    <m/>
    <n v="20200131"/>
    <n v="680"/>
    <m/>
    <m/>
    <m/>
    <m/>
    <m/>
    <m/>
    <m/>
    <m/>
    <m/>
    <m/>
    <n v="340717690"/>
    <s v="JCOSTOSHRLC"/>
  </r>
  <r>
    <n v="3407"/>
    <s v="31.01.2020"/>
    <n v="2020"/>
    <d v="2020-01-01T00:00:00"/>
    <n v="288"/>
    <n v="700041825"/>
    <s v="WA"/>
    <n v="81"/>
    <x v="0"/>
    <n v="11500050"/>
    <x v="0"/>
    <n v="1015.74"/>
    <s v="MXN"/>
    <n v="1015.74"/>
    <x v="0"/>
    <m/>
    <m/>
    <m/>
    <m/>
    <m/>
    <m/>
    <m/>
    <m/>
    <s v="02.02.2020"/>
    <m/>
    <n v="20200131"/>
    <n v="1015.74"/>
    <m/>
    <m/>
    <m/>
    <m/>
    <m/>
    <m/>
    <m/>
    <m/>
    <m/>
    <m/>
    <n v="340717690"/>
    <s v="JCOSTOSHRLC"/>
  </r>
  <r>
    <n v="3407"/>
    <s v="31.01.2020"/>
    <n v="2020"/>
    <d v="2020-01-01T00:00:00"/>
    <n v="290"/>
    <n v="700041825"/>
    <s v="WA"/>
    <n v="81"/>
    <x v="0"/>
    <n v="11500050"/>
    <x v="0"/>
    <n v="2712.64"/>
    <s v="MXN"/>
    <n v="2712.64"/>
    <x v="0"/>
    <m/>
    <m/>
    <m/>
    <m/>
    <m/>
    <m/>
    <m/>
    <m/>
    <s v="02.02.2020"/>
    <m/>
    <n v="20200131"/>
    <n v="2712.64"/>
    <m/>
    <m/>
    <m/>
    <m/>
    <m/>
    <m/>
    <m/>
    <m/>
    <m/>
    <m/>
    <n v="340717690"/>
    <s v="JCOSTOSHRLC"/>
  </r>
  <r>
    <n v="3407"/>
    <s v="31.01.2020"/>
    <n v="2020"/>
    <d v="2020-01-01T00:00:00"/>
    <n v="294"/>
    <n v="700041825"/>
    <s v="WA"/>
    <n v="81"/>
    <x v="0"/>
    <n v="11500050"/>
    <x v="0"/>
    <n v="54.81"/>
    <s v="MXN"/>
    <n v="54.81"/>
    <x v="0"/>
    <m/>
    <m/>
    <m/>
    <m/>
    <m/>
    <m/>
    <m/>
    <m/>
    <s v="02.02.2020"/>
    <m/>
    <n v="20200131"/>
    <n v="54.81"/>
    <m/>
    <m/>
    <m/>
    <m/>
    <m/>
    <m/>
    <m/>
    <m/>
    <m/>
    <m/>
    <n v="340717690"/>
    <s v="JCOSTOSHRLC"/>
  </r>
  <r>
    <n v="3402"/>
    <s v="31.01.2020"/>
    <n v="2020"/>
    <d v="2020-01-01T00:00:00"/>
    <n v="132"/>
    <n v="200114473"/>
    <s v="WA"/>
    <n v="81"/>
    <x v="0"/>
    <n v="11500010"/>
    <x v="0"/>
    <n v="1284"/>
    <s v="MXN"/>
    <n v="1284"/>
    <x v="0"/>
    <m/>
    <m/>
    <m/>
    <m/>
    <m/>
    <m/>
    <m/>
    <m/>
    <s v="01.02.2020"/>
    <m/>
    <n v="20200131"/>
    <n v="1284"/>
    <m/>
    <m/>
    <m/>
    <m/>
    <m/>
    <m/>
    <m/>
    <m/>
    <m/>
    <m/>
    <n v="340212790"/>
    <s v="AMAY"/>
  </r>
  <r>
    <n v="3402"/>
    <s v="31.01.2020"/>
    <n v="2020"/>
    <d v="2020-01-01T00:00:00"/>
    <n v="142"/>
    <n v="200114473"/>
    <s v="WA"/>
    <n v="81"/>
    <x v="0"/>
    <n v="11500010"/>
    <x v="0"/>
    <n v="520.29999999999995"/>
    <s v="MXN"/>
    <n v="520.29999999999995"/>
    <x v="0"/>
    <m/>
    <m/>
    <m/>
    <m/>
    <m/>
    <m/>
    <m/>
    <m/>
    <s v="01.02.2020"/>
    <m/>
    <n v="20200131"/>
    <n v="520.29999999999995"/>
    <m/>
    <m/>
    <m/>
    <m/>
    <m/>
    <m/>
    <m/>
    <m/>
    <m/>
    <m/>
    <n v="340212790"/>
    <s v="AMAY"/>
  </r>
  <r>
    <n v="3402"/>
    <s v="31.01.2020"/>
    <n v="2020"/>
    <d v="2020-01-01T00:00:00"/>
    <n v="144"/>
    <n v="200114473"/>
    <s v="WA"/>
    <n v="81"/>
    <x v="0"/>
    <n v="11500010"/>
    <x v="0"/>
    <n v="370"/>
    <s v="MXN"/>
    <n v="370"/>
    <x v="0"/>
    <m/>
    <m/>
    <m/>
    <m/>
    <m/>
    <m/>
    <m/>
    <m/>
    <s v="01.02.2020"/>
    <m/>
    <n v="20200131"/>
    <n v="370"/>
    <m/>
    <m/>
    <m/>
    <m/>
    <m/>
    <m/>
    <m/>
    <m/>
    <m/>
    <m/>
    <n v="340212790"/>
    <s v="AMAY"/>
  </r>
  <r>
    <n v="3402"/>
    <s v="31.01.2020"/>
    <n v="2020"/>
    <d v="2020-01-01T00:00:00"/>
    <n v="146"/>
    <n v="200114473"/>
    <s v="WA"/>
    <n v="81"/>
    <x v="0"/>
    <n v="11500010"/>
    <x v="0"/>
    <n v="413.44"/>
    <s v="MXN"/>
    <n v="413.44"/>
    <x v="0"/>
    <m/>
    <m/>
    <m/>
    <m/>
    <m/>
    <m/>
    <m/>
    <m/>
    <s v="01.02.2020"/>
    <m/>
    <n v="20200131"/>
    <n v="413.44"/>
    <m/>
    <m/>
    <m/>
    <m/>
    <m/>
    <m/>
    <m/>
    <m/>
    <m/>
    <m/>
    <n v="340212790"/>
    <s v="AMAY"/>
  </r>
  <r>
    <n v="3402"/>
    <s v="31.01.2020"/>
    <n v="2020"/>
    <d v="2020-01-01T00:00:00"/>
    <n v="148"/>
    <n v="200114473"/>
    <s v="WA"/>
    <n v="81"/>
    <x v="0"/>
    <n v="11500010"/>
    <x v="0"/>
    <n v="612"/>
    <s v="MXN"/>
    <n v="612"/>
    <x v="0"/>
    <m/>
    <m/>
    <m/>
    <m/>
    <m/>
    <m/>
    <m/>
    <m/>
    <s v="01.02.2020"/>
    <m/>
    <n v="20200131"/>
    <n v="612"/>
    <m/>
    <m/>
    <m/>
    <m/>
    <m/>
    <m/>
    <m/>
    <m/>
    <m/>
    <m/>
    <n v="340212790"/>
    <s v="AMAY"/>
  </r>
  <r>
    <n v="3402"/>
    <s v="31.01.2020"/>
    <n v="2020"/>
    <d v="2020-01-01T00:00:00"/>
    <n v="152"/>
    <n v="200114473"/>
    <s v="WA"/>
    <n v="81"/>
    <x v="0"/>
    <n v="11500010"/>
    <x v="0"/>
    <n v="1867.76"/>
    <s v="MXN"/>
    <n v="1867.76"/>
    <x v="0"/>
    <m/>
    <m/>
    <m/>
    <m/>
    <m/>
    <m/>
    <m/>
    <m/>
    <s v="01.02.2020"/>
    <m/>
    <n v="20200131"/>
    <n v="1867.76"/>
    <m/>
    <m/>
    <m/>
    <m/>
    <m/>
    <m/>
    <m/>
    <m/>
    <m/>
    <m/>
    <n v="340212790"/>
    <s v="AMAY"/>
  </r>
  <r>
    <n v="3402"/>
    <s v="31.01.2020"/>
    <n v="2020"/>
    <d v="2020-01-01T00:00:00"/>
    <n v="168"/>
    <n v="200114473"/>
    <s v="WA"/>
    <n v="81"/>
    <x v="0"/>
    <n v="11500010"/>
    <x v="0"/>
    <n v="5466.7"/>
    <s v="MXN"/>
    <n v="5466.7"/>
    <x v="0"/>
    <m/>
    <m/>
    <m/>
    <m/>
    <m/>
    <m/>
    <m/>
    <m/>
    <s v="01.02.2020"/>
    <m/>
    <n v="20200131"/>
    <n v="5466.7"/>
    <m/>
    <m/>
    <m/>
    <m/>
    <m/>
    <m/>
    <m/>
    <m/>
    <m/>
    <m/>
    <n v="340212790"/>
    <s v="AMAY"/>
  </r>
  <r>
    <n v="3401"/>
    <s v="31.01.2020"/>
    <n v="2020"/>
    <d v="2020-01-01T00:00:00"/>
    <n v="126"/>
    <n v="100031796"/>
    <s v="WA"/>
    <n v="81"/>
    <x v="0"/>
    <n v="11500040"/>
    <x v="0"/>
    <n v="428"/>
    <s v="MXN"/>
    <n v="428"/>
    <x v="0"/>
    <m/>
    <m/>
    <m/>
    <m/>
    <m/>
    <m/>
    <m/>
    <m/>
    <s v="31.01.2020"/>
    <m/>
    <n v="20200131"/>
    <n v="428"/>
    <m/>
    <m/>
    <m/>
    <m/>
    <m/>
    <m/>
    <m/>
    <m/>
    <m/>
    <m/>
    <n v="340112790"/>
    <s v="FLUGO"/>
  </r>
  <r>
    <n v="3401"/>
    <s v="31.01.2020"/>
    <n v="2020"/>
    <d v="2020-01-01T00:00:00"/>
    <n v="130"/>
    <n v="100031796"/>
    <s v="WA"/>
    <n v="81"/>
    <x v="0"/>
    <n v="11500040"/>
    <x v="0"/>
    <n v="112.7"/>
    <s v="MXN"/>
    <n v="112.7"/>
    <x v="0"/>
    <m/>
    <m/>
    <m/>
    <m/>
    <m/>
    <m/>
    <m/>
    <m/>
    <s v="31.01.2020"/>
    <m/>
    <n v="20200131"/>
    <n v="112.7"/>
    <m/>
    <m/>
    <m/>
    <m/>
    <m/>
    <m/>
    <m/>
    <m/>
    <m/>
    <m/>
    <n v="340112790"/>
    <s v="FLUGO"/>
  </r>
  <r>
    <n v="3401"/>
    <s v="31.01.2020"/>
    <n v="2020"/>
    <d v="2020-01-01T00:00:00"/>
    <n v="146"/>
    <n v="100031796"/>
    <s v="WA"/>
    <n v="81"/>
    <x v="0"/>
    <n v="11500040"/>
    <x v="0"/>
    <n v="5466.7"/>
    <s v="MXN"/>
    <n v="5466.7"/>
    <x v="0"/>
    <m/>
    <m/>
    <m/>
    <m/>
    <m/>
    <m/>
    <m/>
    <m/>
    <s v="31.01.2020"/>
    <m/>
    <n v="20200131"/>
    <n v="5466.7"/>
    <m/>
    <m/>
    <m/>
    <m/>
    <m/>
    <m/>
    <m/>
    <m/>
    <m/>
    <m/>
    <n v="340112790"/>
    <s v="FLUGO"/>
  </r>
  <r>
    <n v="3401"/>
    <s v="31.01.2020"/>
    <n v="2020"/>
    <d v="2020-01-01T00:00:00"/>
    <n v="148"/>
    <n v="100031796"/>
    <s v="WA"/>
    <n v="81"/>
    <x v="0"/>
    <n v="11500040"/>
    <x v="0"/>
    <n v="1933.33"/>
    <s v="MXN"/>
    <n v="1933.33"/>
    <x v="0"/>
    <m/>
    <m/>
    <m/>
    <m/>
    <m/>
    <m/>
    <m/>
    <m/>
    <s v="31.01.2020"/>
    <m/>
    <n v="20200131"/>
    <n v="1933.33"/>
    <m/>
    <m/>
    <m/>
    <m/>
    <m/>
    <m/>
    <m/>
    <m/>
    <m/>
    <m/>
    <n v="340112790"/>
    <s v="FLUGO"/>
  </r>
  <r>
    <n v="3407"/>
    <s v="31.01.2020"/>
    <n v="2020"/>
    <d v="2020-01-01T00:00:00"/>
    <n v="118"/>
    <n v="700041806"/>
    <s v="WA"/>
    <n v="81"/>
    <x v="0"/>
    <n v="11500010"/>
    <x v="0"/>
    <n v="100"/>
    <s v="MXN"/>
    <n v="100"/>
    <x v="0"/>
    <m/>
    <m/>
    <m/>
    <m/>
    <m/>
    <m/>
    <m/>
    <m/>
    <s v="02.02.2020"/>
    <m/>
    <n v="20200131"/>
    <n v="100"/>
    <m/>
    <m/>
    <m/>
    <m/>
    <m/>
    <m/>
    <m/>
    <m/>
    <m/>
    <m/>
    <n v="340712690"/>
    <s v="JCOSTOSHRLC"/>
  </r>
  <r>
    <n v="3407"/>
    <s v="31.01.2020"/>
    <n v="2020"/>
    <d v="2020-01-01T00:00:00"/>
    <n v="126"/>
    <n v="700041806"/>
    <s v="WA"/>
    <n v="81"/>
    <x v="0"/>
    <n v="11500010"/>
    <x v="0"/>
    <n v="229.5"/>
    <s v="MXN"/>
    <n v="229.5"/>
    <x v="0"/>
    <m/>
    <m/>
    <m/>
    <m/>
    <m/>
    <m/>
    <m/>
    <m/>
    <s v="02.02.2020"/>
    <m/>
    <n v="20200131"/>
    <n v="229.5"/>
    <m/>
    <m/>
    <m/>
    <m/>
    <m/>
    <m/>
    <m/>
    <m/>
    <m/>
    <m/>
    <n v="340712690"/>
    <s v="JCOSTOSHRLC"/>
  </r>
  <r>
    <n v="3403"/>
    <s v="15.01.2020"/>
    <n v="2020"/>
    <d v="2020-01-01T00:00:00"/>
    <n v="4"/>
    <n v="300007983"/>
    <s v="WA"/>
    <n v="81"/>
    <x v="0"/>
    <n v="11500050"/>
    <x v="0"/>
    <n v="3444.75"/>
    <s v="MXN"/>
    <n v="3444.75"/>
    <x v="0"/>
    <m/>
    <m/>
    <m/>
    <m/>
    <m/>
    <m/>
    <m/>
    <m/>
    <s v="15.01.2020"/>
    <m/>
    <n v="20200115"/>
    <n v="3444.75"/>
    <m/>
    <m/>
    <m/>
    <m/>
    <m/>
    <m/>
    <m/>
    <m/>
    <m/>
    <m/>
    <n v="340317690"/>
    <s v="JBAUTISTA"/>
  </r>
  <r>
    <n v="3403"/>
    <s v="15.01.2020"/>
    <n v="2020"/>
    <d v="2020-01-01T00:00:00"/>
    <n v="6"/>
    <n v="300007983"/>
    <s v="WA"/>
    <n v="81"/>
    <x v="0"/>
    <n v="11500050"/>
    <x v="0"/>
    <n v="9188"/>
    <s v="MXN"/>
    <n v="9188"/>
    <x v="0"/>
    <m/>
    <m/>
    <m/>
    <m/>
    <m/>
    <m/>
    <m/>
    <m/>
    <s v="15.01.2020"/>
    <m/>
    <n v="20200115"/>
    <n v="9188"/>
    <m/>
    <m/>
    <m/>
    <m/>
    <m/>
    <m/>
    <m/>
    <m/>
    <m/>
    <m/>
    <n v="340317690"/>
    <s v="JBAUTISTA"/>
  </r>
  <r>
    <n v="3407"/>
    <s v="31.01.2020"/>
    <n v="2020"/>
    <d v="2020-01-01T00:00:00"/>
    <n v="110"/>
    <n v="700041835"/>
    <s v="WA"/>
    <n v="81"/>
    <x v="0"/>
    <n v="11500010"/>
    <x v="0"/>
    <n v="127.5"/>
    <s v="MXN"/>
    <n v="127.5"/>
    <x v="0"/>
    <m/>
    <m/>
    <m/>
    <m/>
    <m/>
    <m/>
    <m/>
    <m/>
    <s v="02.02.2020"/>
    <m/>
    <n v="20200131"/>
    <n v="127.5"/>
    <m/>
    <m/>
    <m/>
    <m/>
    <m/>
    <m/>
    <m/>
    <m/>
    <m/>
    <m/>
    <n v="340713090"/>
    <s v="JCOSTOSHRLC"/>
  </r>
  <r>
    <n v="3407"/>
    <s v="31.01.2020"/>
    <n v="2020"/>
    <d v="2020-01-01T00:00:00"/>
    <n v="112"/>
    <n v="700041835"/>
    <s v="WA"/>
    <n v="81"/>
    <x v="0"/>
    <n v="11500010"/>
    <x v="0"/>
    <n v="120"/>
    <s v="MXN"/>
    <n v="120"/>
    <x v="0"/>
    <m/>
    <m/>
    <m/>
    <m/>
    <m/>
    <m/>
    <m/>
    <m/>
    <s v="02.02.2020"/>
    <m/>
    <n v="20200131"/>
    <n v="120"/>
    <m/>
    <m/>
    <m/>
    <m/>
    <m/>
    <m/>
    <m/>
    <m/>
    <m/>
    <m/>
    <n v="340713090"/>
    <s v="JCOSTOSHRLC"/>
  </r>
  <r>
    <n v="3407"/>
    <s v="31.01.2020"/>
    <n v="2020"/>
    <d v="2020-01-01T00:00:00"/>
    <n v="120"/>
    <n v="700041835"/>
    <s v="WA"/>
    <n v="81"/>
    <x v="0"/>
    <n v="11500010"/>
    <x v="0"/>
    <n v="2600"/>
    <s v="MXN"/>
    <n v="2600"/>
    <x v="0"/>
    <m/>
    <m/>
    <m/>
    <m/>
    <m/>
    <m/>
    <m/>
    <m/>
    <s v="02.02.2020"/>
    <m/>
    <n v="20200131"/>
    <n v="2600"/>
    <m/>
    <m/>
    <m/>
    <m/>
    <m/>
    <m/>
    <m/>
    <m/>
    <m/>
    <m/>
    <n v="340713090"/>
    <s v="JCOSTOSHRLC"/>
  </r>
  <r>
    <n v="3407"/>
    <s v="31.01.2020"/>
    <n v="2020"/>
    <d v="2020-01-01T00:00:00"/>
    <n v="122"/>
    <n v="700041755"/>
    <s v="WA"/>
    <n v="81"/>
    <x v="0"/>
    <n v="11500070"/>
    <x v="0"/>
    <n v="928.56"/>
    <s v="MXN"/>
    <n v="928.56"/>
    <x v="0"/>
    <m/>
    <m/>
    <m/>
    <m/>
    <m/>
    <m/>
    <m/>
    <m/>
    <s v="02.02.2020"/>
    <m/>
    <n v="20200131"/>
    <n v="928.56"/>
    <m/>
    <m/>
    <m/>
    <m/>
    <m/>
    <m/>
    <m/>
    <m/>
    <m/>
    <m/>
    <n v="340753290"/>
    <s v="AUXCOSTOHRLC"/>
  </r>
  <r>
    <n v="3407"/>
    <s v="31.01.2020"/>
    <n v="2020"/>
    <d v="2020-01-01T00:00:00"/>
    <n v="194"/>
    <n v="700041755"/>
    <s v="WA"/>
    <n v="81"/>
    <x v="0"/>
    <n v="11500070"/>
    <x v="0"/>
    <n v="727.51"/>
    <s v="MXN"/>
    <n v="727.51"/>
    <x v="0"/>
    <m/>
    <m/>
    <m/>
    <m/>
    <m/>
    <m/>
    <m/>
    <m/>
    <s v="02.02.2020"/>
    <m/>
    <n v="20200131"/>
    <n v="727.51"/>
    <m/>
    <m/>
    <m/>
    <m/>
    <m/>
    <m/>
    <m/>
    <m/>
    <m/>
    <m/>
    <n v="340753290"/>
    <s v="AUXCOSTOHRLC"/>
  </r>
  <r>
    <n v="3407"/>
    <s v="31.01.2020"/>
    <n v="2020"/>
    <d v="2020-01-01T00:00:00"/>
    <n v="196"/>
    <n v="700041755"/>
    <s v="WA"/>
    <n v="81"/>
    <x v="0"/>
    <n v="11500070"/>
    <x v="0"/>
    <n v="573.61"/>
    <s v="MXN"/>
    <n v="573.61"/>
    <x v="0"/>
    <m/>
    <m/>
    <m/>
    <m/>
    <m/>
    <m/>
    <m/>
    <m/>
    <s v="02.02.2020"/>
    <m/>
    <n v="20200131"/>
    <n v="573.61"/>
    <m/>
    <m/>
    <m/>
    <m/>
    <m/>
    <m/>
    <m/>
    <m/>
    <m/>
    <m/>
    <n v="340753290"/>
    <s v="AUXCOSTOHRLC"/>
  </r>
  <r>
    <n v="3407"/>
    <s v="31.01.2020"/>
    <n v="2020"/>
    <d v="2020-01-01T00:00:00"/>
    <n v="198"/>
    <n v="700041755"/>
    <s v="WA"/>
    <n v="81"/>
    <x v="0"/>
    <n v="11500070"/>
    <x v="0"/>
    <n v="277.82"/>
    <s v="MXN"/>
    <n v="277.82"/>
    <x v="0"/>
    <m/>
    <m/>
    <m/>
    <m/>
    <m/>
    <m/>
    <m/>
    <m/>
    <s v="02.02.2020"/>
    <m/>
    <n v="20200131"/>
    <n v="277.82"/>
    <m/>
    <m/>
    <m/>
    <m/>
    <m/>
    <m/>
    <m/>
    <m/>
    <m/>
    <m/>
    <n v="340753290"/>
    <s v="AUXCOSTOHRLC"/>
  </r>
  <r>
    <n v="3407"/>
    <s v="31.01.2020"/>
    <n v="2020"/>
    <d v="2020-01-01T00:00:00"/>
    <n v="118"/>
    <n v="700041837"/>
    <s v="WA"/>
    <n v="81"/>
    <x v="0"/>
    <n v="11500010"/>
    <x v="0"/>
    <n v="1240.5"/>
    <s v="MXN"/>
    <n v="1240.5"/>
    <x v="0"/>
    <m/>
    <m/>
    <m/>
    <m/>
    <m/>
    <m/>
    <m/>
    <m/>
    <s v="02.02.2020"/>
    <m/>
    <n v="20200131"/>
    <n v="1240.5"/>
    <m/>
    <m/>
    <m/>
    <m/>
    <m/>
    <m/>
    <m/>
    <m/>
    <m/>
    <m/>
    <n v="340712590"/>
    <s v="AUXCOSTOHRLC"/>
  </r>
  <r>
    <n v="3402"/>
    <s v="31.01.2020"/>
    <n v="2020"/>
    <d v="2020-01-01T00:00:00"/>
    <n v="110"/>
    <n v="200114657"/>
    <s v="WA"/>
    <n v="81"/>
    <x v="0"/>
    <n v="11500020"/>
    <x v="0"/>
    <n v="5466.7"/>
    <s v="MXN"/>
    <n v="5466.7"/>
    <x v="0"/>
    <m/>
    <m/>
    <m/>
    <m/>
    <m/>
    <m/>
    <m/>
    <m/>
    <s v="01.02.2020"/>
    <m/>
    <n v="20200131"/>
    <n v="5466.7"/>
    <m/>
    <m/>
    <m/>
    <m/>
    <m/>
    <m/>
    <m/>
    <m/>
    <m/>
    <m/>
    <n v="340212390"/>
    <s v="AUXCOSTORVM2"/>
  </r>
  <r>
    <n v="3402"/>
    <s v="31.01.2020"/>
    <n v="2020"/>
    <d v="2020-01-01T00:00:00"/>
    <n v="170"/>
    <n v="200114657"/>
    <s v="WA"/>
    <n v="81"/>
    <x v="0"/>
    <n v="11500020"/>
    <x v="0"/>
    <n v="214"/>
    <s v="MXN"/>
    <n v="214"/>
    <x v="0"/>
    <m/>
    <m/>
    <m/>
    <m/>
    <m/>
    <m/>
    <m/>
    <m/>
    <s v="01.02.2020"/>
    <m/>
    <n v="20200131"/>
    <n v="214"/>
    <m/>
    <m/>
    <m/>
    <m/>
    <m/>
    <m/>
    <m/>
    <m/>
    <m/>
    <m/>
    <n v="340212390"/>
    <s v="AUXCOSTORVM2"/>
  </r>
  <r>
    <n v="3407"/>
    <s v="31.01.2020"/>
    <n v="2020"/>
    <d v="2020-01-01T00:00:00"/>
    <n v="118"/>
    <n v="700041003"/>
    <s v="WA"/>
    <n v="81"/>
    <x v="0"/>
    <n v="11500010"/>
    <x v="0"/>
    <n v="1300"/>
    <s v="MXN"/>
    <n v="1300"/>
    <x v="0"/>
    <m/>
    <m/>
    <m/>
    <m/>
    <m/>
    <m/>
    <m/>
    <m/>
    <s v="01.02.2020"/>
    <m/>
    <n v="20200131"/>
    <n v="1300"/>
    <m/>
    <m/>
    <m/>
    <m/>
    <m/>
    <m/>
    <m/>
    <m/>
    <m/>
    <m/>
    <n v="340712990"/>
    <s v="JCOSTOSHRLC"/>
  </r>
  <r>
    <n v="3407"/>
    <s v="31.01.2020"/>
    <n v="2020"/>
    <d v="2020-01-01T00:00:00"/>
    <n v="4"/>
    <n v="700041812"/>
    <s v="WA"/>
    <n v="81"/>
    <x v="0"/>
    <n v="11500010"/>
    <x v="0"/>
    <n v="613.48"/>
    <s v="MXN"/>
    <n v="613.48"/>
    <x v="0"/>
    <m/>
    <m/>
    <m/>
    <m/>
    <m/>
    <m/>
    <m/>
    <m/>
    <s v="02.02.2020"/>
    <m/>
    <n v="20200131"/>
    <n v="613.48"/>
    <m/>
    <m/>
    <m/>
    <m/>
    <m/>
    <m/>
    <m/>
    <m/>
    <m/>
    <m/>
    <n v="340712490"/>
    <s v="AUXCOSTOHRLC"/>
  </r>
  <r>
    <n v="3407"/>
    <s v="31.01.2020"/>
    <n v="2020"/>
    <d v="2020-01-01T00:00:00"/>
    <n v="6"/>
    <n v="700041812"/>
    <s v="WA"/>
    <n v="81"/>
    <x v="0"/>
    <n v="11500010"/>
    <x v="0"/>
    <n v="1300"/>
    <s v="MXN"/>
    <n v="1300"/>
    <x v="0"/>
    <m/>
    <m/>
    <m/>
    <m/>
    <m/>
    <m/>
    <m/>
    <m/>
    <s v="02.02.2020"/>
    <m/>
    <n v="20200131"/>
    <n v="1300"/>
    <m/>
    <m/>
    <m/>
    <m/>
    <m/>
    <m/>
    <m/>
    <m/>
    <m/>
    <m/>
    <n v="340712490"/>
    <s v="AUXCOSTOHRLC"/>
  </r>
  <r>
    <n v="3407"/>
    <s v="31.01.2020"/>
    <n v="2020"/>
    <d v="2020-01-01T00:00:00"/>
    <n v="14"/>
    <n v="700041812"/>
    <s v="WA"/>
    <n v="81"/>
    <x v="0"/>
    <n v="11500010"/>
    <x v="0"/>
    <n v="275"/>
    <s v="MXN"/>
    <n v="275"/>
    <x v="0"/>
    <m/>
    <m/>
    <m/>
    <m/>
    <m/>
    <m/>
    <m/>
    <m/>
    <s v="02.02.2020"/>
    <m/>
    <n v="20200131"/>
    <n v="275"/>
    <m/>
    <m/>
    <m/>
    <m/>
    <m/>
    <m/>
    <m/>
    <m/>
    <m/>
    <m/>
    <n v="340712490"/>
    <s v="AUXCOSTOHRLC"/>
  </r>
  <r>
    <n v="3402"/>
    <s v="31.01.2020"/>
    <n v="2020"/>
    <d v="2020-01-01T00:00:00"/>
    <n v="8"/>
    <n v="200114673"/>
    <s v="WA"/>
    <n v="81"/>
    <x v="0"/>
    <n v="11500060"/>
    <x v="0"/>
    <n v="20694.48"/>
    <s v="MXN"/>
    <n v="20694.48"/>
    <x v="0"/>
    <m/>
    <m/>
    <m/>
    <m/>
    <m/>
    <m/>
    <m/>
    <m/>
    <s v="01.02.2020"/>
    <m/>
    <n v="20200131"/>
    <n v="20694.48"/>
    <m/>
    <m/>
    <m/>
    <m/>
    <m/>
    <m/>
    <m/>
    <m/>
    <m/>
    <m/>
    <n v="340210490"/>
    <s v="AUXCOSTORVM1"/>
  </r>
  <r>
    <n v="3402"/>
    <s v="31.01.2020"/>
    <n v="2020"/>
    <d v="2020-01-01T00:00:00"/>
    <n v="14"/>
    <n v="200114673"/>
    <s v="WA"/>
    <n v="81"/>
    <x v="0"/>
    <n v="11500060"/>
    <x v="0"/>
    <n v="701.06"/>
    <s v="MXN"/>
    <n v="701.06"/>
    <x v="0"/>
    <m/>
    <m/>
    <m/>
    <m/>
    <m/>
    <m/>
    <m/>
    <m/>
    <s v="01.02.2020"/>
    <m/>
    <n v="20200131"/>
    <n v="701.06"/>
    <m/>
    <m/>
    <m/>
    <m/>
    <m/>
    <m/>
    <m/>
    <m/>
    <m/>
    <m/>
    <n v="340210490"/>
    <s v="AUXCOSTORVM1"/>
  </r>
  <r>
    <n v="3402"/>
    <s v="31.01.2020"/>
    <n v="2020"/>
    <d v="2020-01-01T00:00:00"/>
    <n v="16"/>
    <n v="200114673"/>
    <s v="WA"/>
    <n v="81"/>
    <x v="0"/>
    <n v="11500060"/>
    <x v="0"/>
    <n v="879.42"/>
    <s v="MXN"/>
    <n v="879.42"/>
    <x v="0"/>
    <m/>
    <m/>
    <m/>
    <m/>
    <m/>
    <m/>
    <m/>
    <m/>
    <s v="01.02.2020"/>
    <m/>
    <n v="20200131"/>
    <n v="879.42"/>
    <m/>
    <m/>
    <m/>
    <m/>
    <m/>
    <m/>
    <m/>
    <m/>
    <m/>
    <m/>
    <n v="340210490"/>
    <s v="AUXCOSTORVM1"/>
  </r>
  <r>
    <n v="3402"/>
    <s v="31.01.2020"/>
    <n v="2020"/>
    <d v="2020-01-01T00:00:00"/>
    <n v="24"/>
    <n v="200114673"/>
    <s v="WA"/>
    <n v="81"/>
    <x v="0"/>
    <n v="11500060"/>
    <x v="0"/>
    <n v="1762.8"/>
    <s v="MXN"/>
    <n v="1762.8"/>
    <x v="0"/>
    <m/>
    <m/>
    <m/>
    <m/>
    <m/>
    <m/>
    <m/>
    <m/>
    <s v="01.02.2020"/>
    <m/>
    <n v="20200131"/>
    <n v="1762.8"/>
    <m/>
    <m/>
    <m/>
    <m/>
    <m/>
    <m/>
    <m/>
    <m/>
    <m/>
    <m/>
    <n v="340210490"/>
    <s v="AUXCOSTORVM1"/>
  </r>
  <r>
    <n v="3402"/>
    <s v="31.01.2020"/>
    <n v="2020"/>
    <d v="2020-01-01T00:00:00"/>
    <n v="36"/>
    <n v="200114673"/>
    <s v="WA"/>
    <n v="81"/>
    <x v="0"/>
    <n v="11500060"/>
    <x v="0"/>
    <n v="810"/>
    <s v="MXN"/>
    <n v="810"/>
    <x v="0"/>
    <m/>
    <m/>
    <m/>
    <m/>
    <m/>
    <m/>
    <m/>
    <m/>
    <s v="01.02.2020"/>
    <m/>
    <n v="20200131"/>
    <n v="810"/>
    <m/>
    <m/>
    <m/>
    <m/>
    <m/>
    <m/>
    <m/>
    <m/>
    <m/>
    <m/>
    <n v="340210490"/>
    <s v="AUXCOSTORVM1"/>
  </r>
  <r>
    <n v="3402"/>
    <s v="31.01.2020"/>
    <n v="2020"/>
    <d v="2020-01-01T00:00:00"/>
    <n v="38"/>
    <n v="200114673"/>
    <s v="WA"/>
    <n v="81"/>
    <x v="0"/>
    <n v="11500060"/>
    <x v="0"/>
    <n v="810"/>
    <s v="MXN"/>
    <n v="810"/>
    <x v="0"/>
    <m/>
    <m/>
    <m/>
    <m/>
    <m/>
    <m/>
    <m/>
    <m/>
    <s v="01.02.2020"/>
    <m/>
    <n v="20200131"/>
    <n v="810"/>
    <m/>
    <m/>
    <m/>
    <m/>
    <m/>
    <m/>
    <m/>
    <m/>
    <m/>
    <m/>
    <n v="340210490"/>
    <s v="AUXCOSTORVM1"/>
  </r>
  <r>
    <n v="3402"/>
    <s v="31.01.2020"/>
    <n v="2020"/>
    <d v="2020-01-01T00:00:00"/>
    <n v="40"/>
    <n v="200114673"/>
    <s v="WA"/>
    <n v="81"/>
    <x v="0"/>
    <n v="11500060"/>
    <x v="0"/>
    <n v="788.96"/>
    <s v="MXN"/>
    <n v="788.96"/>
    <x v="0"/>
    <m/>
    <m/>
    <m/>
    <m/>
    <m/>
    <m/>
    <m/>
    <m/>
    <s v="01.02.2020"/>
    <m/>
    <n v="20200131"/>
    <n v="788.96"/>
    <m/>
    <m/>
    <m/>
    <m/>
    <m/>
    <m/>
    <m/>
    <m/>
    <m/>
    <m/>
    <n v="340210490"/>
    <s v="AUXCOSTORVM1"/>
  </r>
  <r>
    <n v="3402"/>
    <s v="31.01.2020"/>
    <n v="2020"/>
    <d v="2020-01-01T00:00:00"/>
    <n v="42"/>
    <n v="200114673"/>
    <s v="WA"/>
    <n v="81"/>
    <x v="0"/>
    <n v="11500060"/>
    <x v="0"/>
    <n v="5071.5"/>
    <s v="MXN"/>
    <n v="5071.5"/>
    <x v="0"/>
    <m/>
    <m/>
    <m/>
    <m/>
    <m/>
    <m/>
    <m/>
    <m/>
    <s v="01.02.2020"/>
    <m/>
    <n v="20200131"/>
    <n v="5071.5"/>
    <m/>
    <m/>
    <m/>
    <m/>
    <m/>
    <m/>
    <m/>
    <m/>
    <m/>
    <m/>
    <n v="340210490"/>
    <s v="AUXCOSTORVM1"/>
  </r>
  <r>
    <n v="3402"/>
    <s v="31.01.2020"/>
    <n v="2020"/>
    <d v="2020-01-01T00:00:00"/>
    <n v="44"/>
    <n v="200114673"/>
    <s v="WA"/>
    <n v="81"/>
    <x v="0"/>
    <n v="11500060"/>
    <x v="0"/>
    <n v="414.99"/>
    <s v="MXN"/>
    <n v="414.99"/>
    <x v="0"/>
    <m/>
    <m/>
    <m/>
    <m/>
    <m/>
    <m/>
    <m/>
    <m/>
    <s v="01.02.2020"/>
    <m/>
    <n v="20200131"/>
    <n v="414.99"/>
    <m/>
    <m/>
    <m/>
    <m/>
    <m/>
    <m/>
    <m/>
    <m/>
    <m/>
    <m/>
    <n v="340210490"/>
    <s v="AUXCOSTORVM1"/>
  </r>
  <r>
    <n v="3402"/>
    <s v="31.01.2020"/>
    <n v="2020"/>
    <d v="2020-01-01T00:00:00"/>
    <n v="46"/>
    <n v="200114673"/>
    <s v="WA"/>
    <n v="81"/>
    <x v="0"/>
    <n v="11500060"/>
    <x v="0"/>
    <n v="1704.99"/>
    <s v="MXN"/>
    <n v="1704.99"/>
    <x v="0"/>
    <m/>
    <m/>
    <m/>
    <m/>
    <m/>
    <m/>
    <m/>
    <m/>
    <s v="01.02.2020"/>
    <m/>
    <n v="20200131"/>
    <n v="1704.99"/>
    <m/>
    <m/>
    <m/>
    <m/>
    <m/>
    <m/>
    <m/>
    <m/>
    <m/>
    <m/>
    <n v="340210490"/>
    <s v="AUXCOSTORVM1"/>
  </r>
  <r>
    <n v="3402"/>
    <s v="31.01.2020"/>
    <n v="2020"/>
    <d v="2020-01-01T00:00:00"/>
    <n v="62"/>
    <n v="200114673"/>
    <s v="WA"/>
    <n v="81"/>
    <x v="0"/>
    <n v="11500060"/>
    <x v="0"/>
    <n v="4561.3999999999996"/>
    <s v="MXN"/>
    <n v="4561.3999999999996"/>
    <x v="0"/>
    <m/>
    <m/>
    <m/>
    <m/>
    <m/>
    <m/>
    <m/>
    <m/>
    <s v="01.02.2020"/>
    <m/>
    <n v="20200131"/>
    <n v="4561.3999999999996"/>
    <m/>
    <m/>
    <m/>
    <m/>
    <m/>
    <m/>
    <m/>
    <m/>
    <m/>
    <m/>
    <n v="340210490"/>
    <s v="AUXCOSTORVM1"/>
  </r>
  <r>
    <n v="3402"/>
    <s v="31.01.2020"/>
    <n v="2020"/>
    <d v="2020-01-01T00:00:00"/>
    <n v="64"/>
    <n v="200114673"/>
    <s v="WA"/>
    <n v="81"/>
    <x v="0"/>
    <n v="11500060"/>
    <x v="0"/>
    <n v="9293.39"/>
    <s v="MXN"/>
    <n v="9293.39"/>
    <x v="0"/>
    <m/>
    <m/>
    <m/>
    <m/>
    <m/>
    <m/>
    <m/>
    <m/>
    <s v="01.02.2020"/>
    <m/>
    <n v="20200131"/>
    <n v="9293.39"/>
    <m/>
    <m/>
    <m/>
    <m/>
    <m/>
    <m/>
    <m/>
    <m/>
    <m/>
    <m/>
    <n v="340210490"/>
    <s v="AUXCOSTORVM1"/>
  </r>
  <r>
    <n v="3402"/>
    <s v="31.01.2020"/>
    <n v="2020"/>
    <d v="2020-01-01T00:00:00"/>
    <n v="66"/>
    <n v="200114673"/>
    <s v="WA"/>
    <n v="81"/>
    <x v="0"/>
    <n v="11500060"/>
    <x v="0"/>
    <n v="7140"/>
    <s v="MXN"/>
    <n v="7140"/>
    <x v="0"/>
    <m/>
    <m/>
    <m/>
    <m/>
    <m/>
    <m/>
    <m/>
    <m/>
    <s v="01.02.2020"/>
    <m/>
    <n v="20200131"/>
    <n v="7140"/>
    <m/>
    <m/>
    <m/>
    <m/>
    <m/>
    <m/>
    <m/>
    <m/>
    <m/>
    <m/>
    <n v="340210490"/>
    <s v="AUXCOSTORVM1"/>
  </r>
  <r>
    <n v="3402"/>
    <s v="31.01.2020"/>
    <n v="2020"/>
    <d v="2020-01-01T00:00:00"/>
    <n v="68"/>
    <n v="200114673"/>
    <s v="WA"/>
    <n v="81"/>
    <x v="0"/>
    <n v="11500060"/>
    <x v="0"/>
    <n v="1459.8"/>
    <s v="MXN"/>
    <n v="1459.8"/>
    <x v="0"/>
    <m/>
    <m/>
    <m/>
    <m/>
    <m/>
    <m/>
    <m/>
    <m/>
    <s v="01.02.2020"/>
    <m/>
    <n v="20200131"/>
    <n v="1459.8"/>
    <m/>
    <m/>
    <m/>
    <m/>
    <m/>
    <m/>
    <m/>
    <m/>
    <m/>
    <m/>
    <n v="340210490"/>
    <s v="AUXCOSTORVM1"/>
  </r>
  <r>
    <n v="3402"/>
    <s v="31.01.2020"/>
    <n v="2020"/>
    <d v="2020-01-01T00:00:00"/>
    <n v="70"/>
    <n v="200114673"/>
    <s v="WA"/>
    <n v="81"/>
    <x v="0"/>
    <n v="11500060"/>
    <x v="0"/>
    <n v="1001.67"/>
    <s v="MXN"/>
    <n v="1001.67"/>
    <x v="0"/>
    <m/>
    <m/>
    <m/>
    <m/>
    <m/>
    <m/>
    <m/>
    <m/>
    <s v="01.02.2020"/>
    <m/>
    <n v="20200131"/>
    <n v="1001.67"/>
    <m/>
    <m/>
    <m/>
    <m/>
    <m/>
    <m/>
    <m/>
    <m/>
    <m/>
    <m/>
    <n v="340210490"/>
    <s v="AUXCOSTORVM1"/>
  </r>
  <r>
    <n v="3402"/>
    <s v="31.01.2020"/>
    <n v="2020"/>
    <d v="2020-01-01T00:00:00"/>
    <n v="144"/>
    <n v="200114673"/>
    <s v="WA"/>
    <n v="81"/>
    <x v="0"/>
    <n v="11500060"/>
    <x v="0"/>
    <n v="494.92"/>
    <s v="MXN"/>
    <n v="494.92"/>
    <x v="0"/>
    <m/>
    <m/>
    <m/>
    <m/>
    <m/>
    <m/>
    <m/>
    <m/>
    <s v="01.02.2020"/>
    <m/>
    <n v="20200131"/>
    <n v="494.92"/>
    <m/>
    <m/>
    <m/>
    <m/>
    <m/>
    <m/>
    <m/>
    <m/>
    <m/>
    <m/>
    <n v="340210490"/>
    <s v="AUXCOSTORVM1"/>
  </r>
  <r>
    <n v="3402"/>
    <s v="31.01.2020"/>
    <n v="2020"/>
    <d v="2020-01-01T00:00:00"/>
    <n v="146"/>
    <n v="200114673"/>
    <s v="WA"/>
    <n v="81"/>
    <x v="0"/>
    <n v="11500060"/>
    <x v="0"/>
    <n v="216.35"/>
    <s v="MXN"/>
    <n v="216.35"/>
    <x v="0"/>
    <m/>
    <m/>
    <m/>
    <m/>
    <m/>
    <m/>
    <m/>
    <m/>
    <s v="01.02.2020"/>
    <m/>
    <n v="20200131"/>
    <n v="216.35"/>
    <m/>
    <m/>
    <m/>
    <m/>
    <m/>
    <m/>
    <m/>
    <m/>
    <m/>
    <m/>
    <n v="340210490"/>
    <s v="AUXCOSTORVM1"/>
  </r>
  <r>
    <n v="3402"/>
    <s v="31.01.2020"/>
    <n v="2020"/>
    <d v="2020-01-01T00:00:00"/>
    <n v="148"/>
    <n v="200114673"/>
    <s v="WA"/>
    <n v="81"/>
    <x v="0"/>
    <n v="11500060"/>
    <x v="0"/>
    <n v="281.63"/>
    <s v="MXN"/>
    <n v="281.63"/>
    <x v="0"/>
    <m/>
    <m/>
    <m/>
    <m/>
    <m/>
    <m/>
    <m/>
    <m/>
    <s v="01.02.2020"/>
    <m/>
    <n v="20200131"/>
    <n v="281.63"/>
    <m/>
    <m/>
    <m/>
    <m/>
    <m/>
    <m/>
    <m/>
    <m/>
    <m/>
    <m/>
    <n v="340210490"/>
    <s v="AUXCOSTORVM1"/>
  </r>
  <r>
    <n v="3402"/>
    <s v="31.01.2020"/>
    <n v="2020"/>
    <d v="2020-01-01T00:00:00"/>
    <n v="150"/>
    <n v="200114673"/>
    <s v="WA"/>
    <n v="81"/>
    <x v="0"/>
    <n v="11500060"/>
    <x v="0"/>
    <n v="171.01"/>
    <s v="MXN"/>
    <n v="171.01"/>
    <x v="0"/>
    <m/>
    <m/>
    <m/>
    <m/>
    <m/>
    <m/>
    <m/>
    <m/>
    <s v="01.02.2020"/>
    <m/>
    <n v="20200131"/>
    <n v="171.01"/>
    <m/>
    <m/>
    <m/>
    <m/>
    <m/>
    <m/>
    <m/>
    <m/>
    <m/>
    <m/>
    <n v="340210490"/>
    <s v="AUXCOSTORVM1"/>
  </r>
  <r>
    <n v="3402"/>
    <s v="31.01.2020"/>
    <n v="2020"/>
    <d v="2020-01-01T00:00:00"/>
    <n v="152"/>
    <n v="200114673"/>
    <s v="WA"/>
    <n v="81"/>
    <x v="0"/>
    <n v="11500060"/>
    <x v="0"/>
    <n v="3305.8"/>
    <s v="MXN"/>
    <n v="3305.8"/>
    <x v="0"/>
    <m/>
    <m/>
    <m/>
    <m/>
    <m/>
    <m/>
    <m/>
    <m/>
    <s v="01.02.2020"/>
    <m/>
    <n v="20200131"/>
    <n v="3305.8"/>
    <m/>
    <m/>
    <m/>
    <m/>
    <m/>
    <m/>
    <m/>
    <m/>
    <m/>
    <m/>
    <n v="340210490"/>
    <s v="AUXCOSTORVM1"/>
  </r>
  <r>
    <n v="3402"/>
    <s v="31.01.2020"/>
    <n v="2020"/>
    <d v="2020-01-01T00:00:00"/>
    <n v="154"/>
    <n v="200114673"/>
    <s v="WA"/>
    <n v="81"/>
    <x v="0"/>
    <n v="11500060"/>
    <x v="0"/>
    <n v="5652.73"/>
    <s v="MXN"/>
    <n v="5652.73"/>
    <x v="0"/>
    <m/>
    <m/>
    <m/>
    <m/>
    <m/>
    <m/>
    <m/>
    <m/>
    <s v="01.02.2020"/>
    <m/>
    <n v="20200131"/>
    <n v="5652.73"/>
    <m/>
    <m/>
    <m/>
    <m/>
    <m/>
    <m/>
    <m/>
    <m/>
    <m/>
    <m/>
    <n v="340210490"/>
    <s v="AUXCOSTORVM1"/>
  </r>
  <r>
    <n v="3402"/>
    <s v="31.01.2020"/>
    <n v="2020"/>
    <d v="2020-01-01T00:00:00"/>
    <n v="156"/>
    <n v="200114673"/>
    <s v="WA"/>
    <n v="81"/>
    <x v="0"/>
    <n v="11500060"/>
    <x v="0"/>
    <n v="700"/>
    <s v="MXN"/>
    <n v="700"/>
    <x v="0"/>
    <m/>
    <m/>
    <m/>
    <m/>
    <m/>
    <m/>
    <m/>
    <m/>
    <s v="01.02.2020"/>
    <m/>
    <n v="20200131"/>
    <n v="700"/>
    <m/>
    <m/>
    <m/>
    <m/>
    <m/>
    <m/>
    <m/>
    <m/>
    <m/>
    <m/>
    <n v="340210490"/>
    <s v="AUXCOSTORVM1"/>
  </r>
  <r>
    <n v="3402"/>
    <s v="31.01.2020"/>
    <n v="2020"/>
    <d v="2020-01-01T00:00:00"/>
    <n v="158"/>
    <n v="200114673"/>
    <s v="WA"/>
    <n v="81"/>
    <x v="0"/>
    <n v="11500060"/>
    <x v="0"/>
    <n v="1216.6099999999999"/>
    <s v="MXN"/>
    <n v="1216.6099999999999"/>
    <x v="0"/>
    <m/>
    <m/>
    <m/>
    <m/>
    <m/>
    <m/>
    <m/>
    <m/>
    <s v="01.02.2020"/>
    <m/>
    <n v="20200131"/>
    <n v="1216.6099999999999"/>
    <m/>
    <m/>
    <m/>
    <m/>
    <m/>
    <m/>
    <m/>
    <m/>
    <m/>
    <m/>
    <n v="340210490"/>
    <s v="AUXCOSTORVM1"/>
  </r>
  <r>
    <n v="3402"/>
    <s v="31.01.2020"/>
    <n v="2020"/>
    <d v="2020-01-01T00:00:00"/>
    <n v="160"/>
    <n v="200114673"/>
    <s v="WA"/>
    <n v="81"/>
    <x v="0"/>
    <n v="11500060"/>
    <x v="0"/>
    <n v="612"/>
    <s v="MXN"/>
    <n v="612"/>
    <x v="0"/>
    <m/>
    <m/>
    <m/>
    <m/>
    <m/>
    <m/>
    <m/>
    <m/>
    <s v="01.02.2020"/>
    <m/>
    <n v="20200131"/>
    <n v="612"/>
    <m/>
    <m/>
    <m/>
    <m/>
    <m/>
    <m/>
    <m/>
    <m/>
    <m/>
    <m/>
    <n v="340210490"/>
    <s v="AUXCOSTORVM1"/>
  </r>
  <r>
    <n v="3402"/>
    <s v="31.01.2020"/>
    <n v="2020"/>
    <d v="2020-01-01T00:00:00"/>
    <n v="162"/>
    <n v="200114673"/>
    <s v="WA"/>
    <n v="81"/>
    <x v="0"/>
    <n v="11500060"/>
    <x v="0"/>
    <n v="560.35"/>
    <s v="MXN"/>
    <n v="560.35"/>
    <x v="0"/>
    <m/>
    <m/>
    <m/>
    <m/>
    <m/>
    <m/>
    <m/>
    <m/>
    <s v="01.02.2020"/>
    <m/>
    <n v="20200131"/>
    <n v="560.35"/>
    <m/>
    <m/>
    <m/>
    <m/>
    <m/>
    <m/>
    <m/>
    <m/>
    <m/>
    <m/>
    <n v="340210490"/>
    <s v="AUXCOSTORVM1"/>
  </r>
  <r>
    <n v="3401"/>
    <s v="31.01.2020"/>
    <n v="2020"/>
    <d v="2020-01-01T00:00:00"/>
    <n v="136"/>
    <n v="100031499"/>
    <s v="WA"/>
    <n v="81"/>
    <x v="0"/>
    <n v="11500070"/>
    <x v="0"/>
    <n v="678.33"/>
    <s v="MXN"/>
    <n v="678.33"/>
    <x v="0"/>
    <m/>
    <m/>
    <m/>
    <m/>
    <m/>
    <m/>
    <m/>
    <m/>
    <s v="31.01.2020"/>
    <m/>
    <n v="20200131"/>
    <n v="678.33"/>
    <m/>
    <m/>
    <m/>
    <m/>
    <m/>
    <m/>
    <m/>
    <m/>
    <m/>
    <m/>
    <n v="340153290"/>
    <s v="FLUGO"/>
  </r>
  <r>
    <n v="3403"/>
    <s v="31.01.2020"/>
    <n v="2020"/>
    <d v="2020-01-01T00:00:00"/>
    <n v="2"/>
    <n v="300018438"/>
    <s v="WA"/>
    <n v="81"/>
    <x v="0"/>
    <n v="11500060"/>
    <x v="0"/>
    <n v="460"/>
    <s v="MXN"/>
    <n v="460"/>
    <x v="0"/>
    <m/>
    <m/>
    <m/>
    <m/>
    <m/>
    <m/>
    <m/>
    <m/>
    <s v="01.02.2020"/>
    <m/>
    <n v="20200131"/>
    <n v="460"/>
    <m/>
    <m/>
    <m/>
    <m/>
    <m/>
    <m/>
    <m/>
    <m/>
    <m/>
    <m/>
    <n v="340310490"/>
    <s v="JBAUTISTA"/>
  </r>
  <r>
    <n v="3403"/>
    <s v="31.01.2020"/>
    <n v="2020"/>
    <d v="2020-01-01T00:00:00"/>
    <n v="14"/>
    <n v="300018438"/>
    <s v="WA"/>
    <n v="81"/>
    <x v="0"/>
    <n v="11500060"/>
    <x v="0"/>
    <n v="196"/>
    <s v="MXN"/>
    <n v="196"/>
    <x v="0"/>
    <m/>
    <m/>
    <m/>
    <m/>
    <m/>
    <m/>
    <m/>
    <m/>
    <s v="01.02.2020"/>
    <m/>
    <n v="20200131"/>
    <n v="196"/>
    <m/>
    <m/>
    <m/>
    <m/>
    <m/>
    <m/>
    <m/>
    <m/>
    <m/>
    <m/>
    <n v="340310490"/>
    <s v="JBAUTISTA"/>
  </r>
  <r>
    <n v="3403"/>
    <s v="31.01.2020"/>
    <n v="2020"/>
    <d v="2020-01-01T00:00:00"/>
    <n v="16"/>
    <n v="300018438"/>
    <s v="WA"/>
    <n v="81"/>
    <x v="0"/>
    <n v="11500060"/>
    <x v="0"/>
    <n v="2077.5300000000002"/>
    <s v="MXN"/>
    <n v="2077.5300000000002"/>
    <x v="0"/>
    <m/>
    <m/>
    <m/>
    <m/>
    <m/>
    <m/>
    <m/>
    <m/>
    <s v="01.02.2020"/>
    <m/>
    <n v="20200131"/>
    <n v="2077.5300000000002"/>
    <m/>
    <m/>
    <m/>
    <m/>
    <m/>
    <m/>
    <m/>
    <m/>
    <m/>
    <m/>
    <n v="340310490"/>
    <s v="JBAUTISTA"/>
  </r>
  <r>
    <n v="3403"/>
    <s v="31.01.2020"/>
    <n v="2020"/>
    <d v="2020-01-01T00:00:00"/>
    <n v="26"/>
    <n v="300018438"/>
    <s v="WA"/>
    <n v="81"/>
    <x v="0"/>
    <n v="11500060"/>
    <x v="0"/>
    <n v="283.2"/>
    <s v="MXN"/>
    <n v="283.2"/>
    <x v="0"/>
    <m/>
    <m/>
    <m/>
    <m/>
    <m/>
    <m/>
    <m/>
    <m/>
    <s v="01.02.2020"/>
    <m/>
    <n v="20200131"/>
    <n v="283.2"/>
    <m/>
    <m/>
    <m/>
    <m/>
    <m/>
    <m/>
    <m/>
    <m/>
    <m/>
    <m/>
    <n v="340310490"/>
    <s v="JBAUTISTA"/>
  </r>
  <r>
    <n v="3403"/>
    <s v="31.01.2020"/>
    <n v="2020"/>
    <d v="2020-01-01T00:00:00"/>
    <n v="28"/>
    <n v="300018438"/>
    <s v="WA"/>
    <n v="81"/>
    <x v="0"/>
    <n v="11500060"/>
    <x v="0"/>
    <n v="439.71"/>
    <s v="MXN"/>
    <n v="439.71"/>
    <x v="0"/>
    <m/>
    <m/>
    <m/>
    <m/>
    <m/>
    <m/>
    <m/>
    <m/>
    <s v="01.02.2020"/>
    <m/>
    <n v="20200131"/>
    <n v="439.71"/>
    <m/>
    <m/>
    <m/>
    <m/>
    <m/>
    <m/>
    <m/>
    <m/>
    <m/>
    <m/>
    <n v="340310490"/>
    <s v="JBAUTISTA"/>
  </r>
  <r>
    <n v="3403"/>
    <s v="31.01.2020"/>
    <n v="2020"/>
    <d v="2020-01-01T00:00:00"/>
    <n v="30"/>
    <n v="300018438"/>
    <s v="WA"/>
    <n v="81"/>
    <x v="0"/>
    <n v="11500060"/>
    <x v="0"/>
    <n v="2376.7600000000002"/>
    <s v="MXN"/>
    <n v="2376.7600000000002"/>
    <x v="0"/>
    <m/>
    <m/>
    <m/>
    <m/>
    <m/>
    <m/>
    <m/>
    <m/>
    <s v="01.02.2020"/>
    <m/>
    <n v="20200131"/>
    <n v="2376.7600000000002"/>
    <m/>
    <m/>
    <m/>
    <m/>
    <m/>
    <m/>
    <m/>
    <m/>
    <m/>
    <m/>
    <n v="340310490"/>
    <s v="JBAUTISTA"/>
  </r>
  <r>
    <n v="3403"/>
    <s v="31.01.2020"/>
    <n v="2020"/>
    <d v="2020-01-01T00:00:00"/>
    <n v="32"/>
    <n v="300018438"/>
    <s v="WA"/>
    <n v="81"/>
    <x v="0"/>
    <n v="11500060"/>
    <x v="0"/>
    <n v="7409.84"/>
    <s v="MXN"/>
    <n v="7409.84"/>
    <x v="0"/>
    <m/>
    <m/>
    <m/>
    <m/>
    <m/>
    <m/>
    <m/>
    <m/>
    <s v="01.02.2020"/>
    <m/>
    <n v="20200131"/>
    <n v="7409.84"/>
    <m/>
    <m/>
    <m/>
    <m/>
    <m/>
    <m/>
    <m/>
    <m/>
    <m/>
    <m/>
    <n v="340310490"/>
    <s v="JBAUTISTA"/>
  </r>
  <r>
    <n v="3403"/>
    <s v="31.01.2020"/>
    <n v="2020"/>
    <d v="2020-01-01T00:00:00"/>
    <n v="34"/>
    <n v="300018438"/>
    <s v="WA"/>
    <n v="81"/>
    <x v="0"/>
    <n v="11500060"/>
    <x v="0"/>
    <n v="1106"/>
    <s v="MXN"/>
    <n v="1106"/>
    <x v="0"/>
    <m/>
    <m/>
    <m/>
    <m/>
    <m/>
    <m/>
    <m/>
    <m/>
    <s v="01.02.2020"/>
    <m/>
    <n v="20200131"/>
    <n v="1106"/>
    <m/>
    <m/>
    <m/>
    <m/>
    <m/>
    <m/>
    <m/>
    <m/>
    <m/>
    <m/>
    <n v="340310490"/>
    <s v="JBAUTISTA"/>
  </r>
  <r>
    <n v="3403"/>
    <s v="31.01.2020"/>
    <n v="2020"/>
    <d v="2020-01-01T00:00:00"/>
    <n v="62"/>
    <n v="300018438"/>
    <s v="WA"/>
    <n v="81"/>
    <x v="0"/>
    <n v="11500060"/>
    <x v="0"/>
    <n v="8275.5"/>
    <s v="MXN"/>
    <n v="8275.5"/>
    <x v="0"/>
    <m/>
    <m/>
    <m/>
    <m/>
    <m/>
    <m/>
    <m/>
    <m/>
    <s v="01.02.2020"/>
    <m/>
    <n v="20200131"/>
    <n v="8275.5"/>
    <m/>
    <m/>
    <m/>
    <m/>
    <m/>
    <m/>
    <m/>
    <m/>
    <m/>
    <m/>
    <n v="340310490"/>
    <s v="JBAUTISTA"/>
  </r>
  <r>
    <n v="3403"/>
    <s v="31.01.2020"/>
    <n v="2020"/>
    <d v="2020-01-01T00:00:00"/>
    <n v="64"/>
    <n v="300018438"/>
    <s v="WA"/>
    <n v="81"/>
    <x v="0"/>
    <n v="11500060"/>
    <x v="0"/>
    <n v="3422.4"/>
    <s v="MXN"/>
    <n v="3422.4"/>
    <x v="0"/>
    <m/>
    <m/>
    <m/>
    <m/>
    <m/>
    <m/>
    <m/>
    <m/>
    <s v="01.02.2020"/>
    <m/>
    <n v="20200131"/>
    <n v="3422.4"/>
    <m/>
    <m/>
    <m/>
    <m/>
    <m/>
    <m/>
    <m/>
    <m/>
    <m/>
    <m/>
    <n v="340310490"/>
    <s v="JBAUTISTA"/>
  </r>
  <r>
    <n v="3403"/>
    <s v="31.01.2020"/>
    <n v="2020"/>
    <d v="2020-01-01T00:00:00"/>
    <n v="66"/>
    <n v="300018438"/>
    <s v="WA"/>
    <n v="81"/>
    <x v="0"/>
    <n v="11500060"/>
    <x v="0"/>
    <n v="40401.599999999999"/>
    <s v="MXN"/>
    <n v="40401.599999999999"/>
    <x v="0"/>
    <m/>
    <m/>
    <m/>
    <m/>
    <m/>
    <m/>
    <m/>
    <m/>
    <s v="01.02.2020"/>
    <m/>
    <n v="20200131"/>
    <n v="40401.599999999999"/>
    <m/>
    <m/>
    <m/>
    <m/>
    <m/>
    <m/>
    <m/>
    <m/>
    <m/>
    <m/>
    <n v="340310490"/>
    <s v="JBAUTISTA"/>
  </r>
  <r>
    <n v="3403"/>
    <s v="31.01.2020"/>
    <n v="2020"/>
    <d v="2020-01-01T00:00:00"/>
    <n v="68"/>
    <n v="300018438"/>
    <s v="WA"/>
    <n v="81"/>
    <x v="0"/>
    <n v="11500060"/>
    <x v="0"/>
    <n v="16818"/>
    <s v="MXN"/>
    <n v="16818"/>
    <x v="0"/>
    <m/>
    <m/>
    <m/>
    <m/>
    <m/>
    <m/>
    <m/>
    <m/>
    <s v="01.02.2020"/>
    <m/>
    <n v="20200131"/>
    <n v="16818"/>
    <m/>
    <m/>
    <m/>
    <m/>
    <m/>
    <m/>
    <m/>
    <m/>
    <m/>
    <m/>
    <n v="340310490"/>
    <s v="JBAUTISTA"/>
  </r>
  <r>
    <n v="3403"/>
    <s v="31.01.2020"/>
    <n v="2020"/>
    <d v="2020-01-01T00:00:00"/>
    <n v="70"/>
    <n v="300018438"/>
    <s v="WA"/>
    <n v="81"/>
    <x v="0"/>
    <n v="11500060"/>
    <x v="0"/>
    <n v="885.99"/>
    <s v="MXN"/>
    <n v="885.99"/>
    <x v="0"/>
    <m/>
    <m/>
    <m/>
    <m/>
    <m/>
    <m/>
    <m/>
    <m/>
    <s v="01.02.2020"/>
    <m/>
    <n v="20200131"/>
    <n v="885.99"/>
    <m/>
    <m/>
    <m/>
    <m/>
    <m/>
    <m/>
    <m/>
    <m/>
    <m/>
    <m/>
    <n v="340310490"/>
    <s v="JBAUTISTA"/>
  </r>
  <r>
    <n v="3403"/>
    <s v="31.01.2020"/>
    <n v="2020"/>
    <d v="2020-01-01T00:00:00"/>
    <n v="72"/>
    <n v="300018438"/>
    <s v="WA"/>
    <n v="81"/>
    <x v="0"/>
    <n v="11500060"/>
    <x v="0"/>
    <n v="3600"/>
    <s v="MXN"/>
    <n v="3600"/>
    <x v="0"/>
    <m/>
    <m/>
    <m/>
    <m/>
    <m/>
    <m/>
    <m/>
    <m/>
    <s v="01.02.2020"/>
    <m/>
    <n v="20200131"/>
    <n v="3600"/>
    <m/>
    <m/>
    <m/>
    <m/>
    <m/>
    <m/>
    <m/>
    <m/>
    <m/>
    <m/>
    <n v="340310490"/>
    <s v="JBAUTISTA"/>
  </r>
  <r>
    <n v="3403"/>
    <s v="31.01.2020"/>
    <n v="2020"/>
    <d v="2020-01-01T00:00:00"/>
    <n v="74"/>
    <n v="300018438"/>
    <s v="WA"/>
    <n v="81"/>
    <x v="0"/>
    <n v="11500060"/>
    <x v="0"/>
    <n v="1800"/>
    <s v="MXN"/>
    <n v="1800"/>
    <x v="0"/>
    <m/>
    <m/>
    <m/>
    <m/>
    <m/>
    <m/>
    <m/>
    <m/>
    <s v="01.02.2020"/>
    <m/>
    <n v="20200131"/>
    <n v="1800"/>
    <m/>
    <m/>
    <m/>
    <m/>
    <m/>
    <m/>
    <m/>
    <m/>
    <m/>
    <m/>
    <n v="340310490"/>
    <s v="JBAUTISTA"/>
  </r>
  <r>
    <n v="3403"/>
    <s v="31.01.2020"/>
    <n v="2020"/>
    <d v="2020-01-01T00:00:00"/>
    <n v="76"/>
    <n v="300018438"/>
    <s v="WA"/>
    <n v="81"/>
    <x v="0"/>
    <n v="11500060"/>
    <x v="0"/>
    <n v="3089.07"/>
    <s v="MXN"/>
    <n v="3089.07"/>
    <x v="0"/>
    <m/>
    <m/>
    <m/>
    <m/>
    <m/>
    <m/>
    <m/>
    <m/>
    <s v="01.02.2020"/>
    <m/>
    <n v="20200131"/>
    <n v="3089.07"/>
    <m/>
    <m/>
    <m/>
    <m/>
    <m/>
    <m/>
    <m/>
    <m/>
    <m/>
    <m/>
    <n v="340310490"/>
    <s v="JBAUTISTA"/>
  </r>
  <r>
    <n v="3403"/>
    <s v="31.01.2020"/>
    <n v="2020"/>
    <d v="2020-01-01T00:00:00"/>
    <n v="142"/>
    <n v="300018438"/>
    <s v="WA"/>
    <n v="81"/>
    <x v="0"/>
    <n v="11500060"/>
    <x v="0"/>
    <n v="428.16"/>
    <s v="MXN"/>
    <n v="428.16"/>
    <x v="0"/>
    <m/>
    <m/>
    <m/>
    <m/>
    <m/>
    <m/>
    <m/>
    <m/>
    <s v="01.02.2020"/>
    <m/>
    <n v="20200131"/>
    <n v="428.16"/>
    <m/>
    <m/>
    <m/>
    <m/>
    <m/>
    <m/>
    <m/>
    <m/>
    <m/>
    <m/>
    <n v="340310490"/>
    <s v="JBAUTISTA"/>
  </r>
  <r>
    <n v="3403"/>
    <s v="31.01.2020"/>
    <n v="2020"/>
    <d v="2020-01-01T00:00:00"/>
    <n v="144"/>
    <n v="300018438"/>
    <s v="WA"/>
    <n v="81"/>
    <x v="0"/>
    <n v="11500060"/>
    <x v="0"/>
    <n v="557.76"/>
    <s v="MXN"/>
    <n v="557.76"/>
    <x v="0"/>
    <m/>
    <m/>
    <m/>
    <m/>
    <m/>
    <m/>
    <m/>
    <m/>
    <s v="01.02.2020"/>
    <m/>
    <n v="20200131"/>
    <n v="557.76"/>
    <m/>
    <m/>
    <m/>
    <m/>
    <m/>
    <m/>
    <m/>
    <m/>
    <m/>
    <m/>
    <n v="340310490"/>
    <s v="JBAUTISTA"/>
  </r>
  <r>
    <n v="3403"/>
    <s v="31.01.2020"/>
    <n v="2020"/>
    <d v="2020-01-01T00:00:00"/>
    <n v="146"/>
    <n v="300018438"/>
    <s v="WA"/>
    <n v="81"/>
    <x v="0"/>
    <n v="11500060"/>
    <x v="0"/>
    <n v="95"/>
    <s v="MXN"/>
    <n v="95"/>
    <x v="0"/>
    <m/>
    <m/>
    <m/>
    <m/>
    <m/>
    <m/>
    <m/>
    <m/>
    <s v="01.02.2020"/>
    <m/>
    <n v="20200131"/>
    <n v="95"/>
    <m/>
    <m/>
    <m/>
    <m/>
    <m/>
    <m/>
    <m/>
    <m/>
    <m/>
    <m/>
    <n v="340310490"/>
    <s v="JBAUTISTA"/>
  </r>
  <r>
    <n v="3403"/>
    <s v="31.01.2020"/>
    <n v="2020"/>
    <d v="2020-01-01T00:00:00"/>
    <n v="148"/>
    <n v="300018438"/>
    <s v="WA"/>
    <n v="81"/>
    <x v="0"/>
    <n v="11500060"/>
    <x v="0"/>
    <n v="618"/>
    <s v="MXN"/>
    <n v="618"/>
    <x v="0"/>
    <m/>
    <m/>
    <m/>
    <m/>
    <m/>
    <m/>
    <m/>
    <m/>
    <s v="01.02.2020"/>
    <m/>
    <n v="20200131"/>
    <n v="618"/>
    <m/>
    <m/>
    <m/>
    <m/>
    <m/>
    <m/>
    <m/>
    <m/>
    <m/>
    <m/>
    <n v="340310490"/>
    <s v="JBAUTISTA"/>
  </r>
  <r>
    <n v="3403"/>
    <s v="31.01.2020"/>
    <n v="2020"/>
    <d v="2020-01-01T00:00:00"/>
    <n v="150"/>
    <n v="300018438"/>
    <s v="WA"/>
    <n v="81"/>
    <x v="0"/>
    <n v="11500060"/>
    <x v="0"/>
    <n v="87.68"/>
    <s v="MXN"/>
    <n v="87.68"/>
    <x v="0"/>
    <m/>
    <m/>
    <m/>
    <m/>
    <m/>
    <m/>
    <m/>
    <m/>
    <s v="01.02.2020"/>
    <m/>
    <n v="20200131"/>
    <n v="87.68"/>
    <m/>
    <m/>
    <m/>
    <m/>
    <m/>
    <m/>
    <m/>
    <m/>
    <m/>
    <m/>
    <n v="340310490"/>
    <s v="JBAUTISTA"/>
  </r>
  <r>
    <n v="3403"/>
    <s v="31.01.2020"/>
    <n v="2020"/>
    <d v="2020-01-01T00:00:00"/>
    <n v="152"/>
    <n v="300018438"/>
    <s v="WA"/>
    <n v="81"/>
    <x v="0"/>
    <n v="11500060"/>
    <x v="0"/>
    <n v="641.28"/>
    <s v="MXN"/>
    <n v="641.28"/>
    <x v="0"/>
    <m/>
    <m/>
    <m/>
    <m/>
    <m/>
    <m/>
    <m/>
    <m/>
    <s v="01.02.2020"/>
    <m/>
    <n v="20200131"/>
    <n v="641.28"/>
    <m/>
    <m/>
    <m/>
    <m/>
    <m/>
    <m/>
    <m/>
    <m/>
    <m/>
    <m/>
    <n v="340310490"/>
    <s v="JBAUTISTA"/>
  </r>
  <r>
    <n v="3403"/>
    <s v="31.01.2020"/>
    <n v="2020"/>
    <d v="2020-01-01T00:00:00"/>
    <n v="154"/>
    <n v="300018438"/>
    <s v="WA"/>
    <n v="81"/>
    <x v="0"/>
    <n v="11500060"/>
    <x v="0"/>
    <n v="217.92"/>
    <s v="MXN"/>
    <n v="217.92"/>
    <x v="0"/>
    <m/>
    <m/>
    <m/>
    <m/>
    <m/>
    <m/>
    <m/>
    <m/>
    <s v="01.02.2020"/>
    <m/>
    <n v="20200131"/>
    <n v="217.92"/>
    <m/>
    <m/>
    <m/>
    <m/>
    <m/>
    <m/>
    <m/>
    <m/>
    <m/>
    <m/>
    <n v="340310490"/>
    <s v="JBAUTISTA"/>
  </r>
  <r>
    <n v="3403"/>
    <s v="31.01.2020"/>
    <n v="2020"/>
    <d v="2020-01-01T00:00:00"/>
    <n v="156"/>
    <n v="300018438"/>
    <s v="WA"/>
    <n v="81"/>
    <x v="0"/>
    <n v="11500060"/>
    <x v="0"/>
    <n v="152"/>
    <s v="MXN"/>
    <n v="152"/>
    <x v="0"/>
    <m/>
    <m/>
    <m/>
    <m/>
    <m/>
    <m/>
    <m/>
    <m/>
    <s v="01.02.2020"/>
    <m/>
    <n v="20200131"/>
    <n v="152"/>
    <m/>
    <m/>
    <m/>
    <m/>
    <m/>
    <m/>
    <m/>
    <m/>
    <m/>
    <m/>
    <n v="340310490"/>
    <s v="JBAUTISTA"/>
  </r>
  <r>
    <n v="3406"/>
    <s v="31.01.2020"/>
    <n v="2020"/>
    <d v="2020-01-01T00:00:00"/>
    <n v="16"/>
    <n v="600031622"/>
    <s v="WA"/>
    <n v="81"/>
    <x v="0"/>
    <n v="11500020"/>
    <x v="0"/>
    <n v="214"/>
    <s v="MXN"/>
    <n v="214"/>
    <x v="0"/>
    <m/>
    <m/>
    <m/>
    <m/>
    <m/>
    <m/>
    <m/>
    <m/>
    <s v="01.02.2020"/>
    <m/>
    <n v="20200131"/>
    <n v="214"/>
    <m/>
    <m/>
    <m/>
    <m/>
    <m/>
    <m/>
    <m/>
    <m/>
    <m/>
    <m/>
    <n v="340612790"/>
    <s v="JGARCIA"/>
  </r>
  <r>
    <n v="3403"/>
    <s v="31.01.2020"/>
    <n v="2020"/>
    <d v="2020-01-01T00:00:00"/>
    <n v="18"/>
    <n v="300017681"/>
    <s v="WA"/>
    <n v="81"/>
    <x v="0"/>
    <n v="11500050"/>
    <x v="0"/>
    <n v="174.45"/>
    <s v="MXN"/>
    <n v="174.45"/>
    <x v="0"/>
    <m/>
    <m/>
    <m/>
    <m/>
    <m/>
    <m/>
    <m/>
    <m/>
    <s v="31.01.2020"/>
    <m/>
    <n v="20200131"/>
    <n v="174.45"/>
    <m/>
    <m/>
    <m/>
    <m/>
    <m/>
    <m/>
    <m/>
    <m/>
    <m/>
    <m/>
    <n v="340317690"/>
    <s v="JBAUTISTA"/>
  </r>
  <r>
    <n v="3403"/>
    <s v="31.01.2020"/>
    <n v="2020"/>
    <d v="2020-01-01T00:00:00"/>
    <n v="20"/>
    <n v="300017681"/>
    <s v="WA"/>
    <n v="81"/>
    <x v="0"/>
    <n v="11500050"/>
    <x v="0"/>
    <n v="24.9"/>
    <s v="MXN"/>
    <n v="24.9"/>
    <x v="0"/>
    <m/>
    <m/>
    <m/>
    <m/>
    <m/>
    <m/>
    <m/>
    <m/>
    <s v="31.01.2020"/>
    <m/>
    <n v="20200131"/>
    <n v="24.9"/>
    <m/>
    <m/>
    <m/>
    <m/>
    <m/>
    <m/>
    <m/>
    <m/>
    <m/>
    <m/>
    <n v="340317690"/>
    <s v="JBAUTISTA"/>
  </r>
  <r>
    <n v="3403"/>
    <s v="31.01.2020"/>
    <n v="2020"/>
    <d v="2020-01-01T00:00:00"/>
    <n v="22"/>
    <n v="300017681"/>
    <s v="WA"/>
    <n v="81"/>
    <x v="0"/>
    <n v="11500050"/>
    <x v="0"/>
    <n v="59.7"/>
    <s v="MXN"/>
    <n v="59.7"/>
    <x v="0"/>
    <m/>
    <m/>
    <m/>
    <m/>
    <m/>
    <m/>
    <m/>
    <m/>
    <s v="31.01.2020"/>
    <m/>
    <n v="20200131"/>
    <n v="59.7"/>
    <m/>
    <m/>
    <m/>
    <m/>
    <m/>
    <m/>
    <m/>
    <m/>
    <m/>
    <m/>
    <n v="340317690"/>
    <s v="JBAUTISTA"/>
  </r>
  <r>
    <n v="3403"/>
    <s v="31.01.2020"/>
    <n v="2020"/>
    <d v="2020-01-01T00:00:00"/>
    <n v="24"/>
    <n v="300017681"/>
    <s v="WA"/>
    <n v="81"/>
    <x v="0"/>
    <n v="11500050"/>
    <x v="0"/>
    <n v="19"/>
    <s v="MXN"/>
    <n v="19"/>
    <x v="0"/>
    <m/>
    <m/>
    <m/>
    <m/>
    <m/>
    <m/>
    <m/>
    <m/>
    <s v="31.01.2020"/>
    <m/>
    <n v="20200131"/>
    <n v="19"/>
    <m/>
    <m/>
    <m/>
    <m/>
    <m/>
    <m/>
    <m/>
    <m/>
    <m/>
    <m/>
    <n v="340317690"/>
    <s v="JBAUTISTA"/>
  </r>
  <r>
    <n v="3403"/>
    <s v="31.01.2020"/>
    <n v="2020"/>
    <d v="2020-01-01T00:00:00"/>
    <n v="26"/>
    <n v="300017681"/>
    <s v="WA"/>
    <n v="81"/>
    <x v="0"/>
    <n v="11500050"/>
    <x v="0"/>
    <n v="238.8"/>
    <s v="MXN"/>
    <n v="238.8"/>
    <x v="0"/>
    <m/>
    <m/>
    <m/>
    <m/>
    <m/>
    <m/>
    <m/>
    <m/>
    <s v="31.01.2020"/>
    <m/>
    <n v="20200131"/>
    <n v="238.8"/>
    <m/>
    <m/>
    <m/>
    <m/>
    <m/>
    <m/>
    <m/>
    <m/>
    <m/>
    <m/>
    <n v="340317690"/>
    <s v="JBAUTISTA"/>
  </r>
  <r>
    <n v="3403"/>
    <s v="31.01.2020"/>
    <n v="2020"/>
    <d v="2020-01-01T00:00:00"/>
    <n v="28"/>
    <n v="300017681"/>
    <s v="WA"/>
    <n v="81"/>
    <x v="0"/>
    <n v="11500050"/>
    <x v="0"/>
    <n v="35.6"/>
    <s v="MXN"/>
    <n v="35.6"/>
    <x v="0"/>
    <m/>
    <m/>
    <m/>
    <m/>
    <m/>
    <m/>
    <m/>
    <m/>
    <s v="31.01.2020"/>
    <m/>
    <n v="20200131"/>
    <n v="35.6"/>
    <m/>
    <m/>
    <m/>
    <m/>
    <m/>
    <m/>
    <m/>
    <m/>
    <m/>
    <m/>
    <n v="340317690"/>
    <s v="JBAUTISTA"/>
  </r>
  <r>
    <n v="3403"/>
    <s v="31.01.2020"/>
    <n v="2020"/>
    <d v="2020-01-01T00:00:00"/>
    <n v="30"/>
    <n v="300017681"/>
    <s v="WA"/>
    <n v="81"/>
    <x v="0"/>
    <n v="11500050"/>
    <x v="0"/>
    <n v="3784"/>
    <s v="MXN"/>
    <n v="3784"/>
    <x v="0"/>
    <m/>
    <m/>
    <m/>
    <m/>
    <m/>
    <m/>
    <m/>
    <m/>
    <s v="31.01.2020"/>
    <m/>
    <n v="20200131"/>
    <n v="3784"/>
    <m/>
    <m/>
    <m/>
    <m/>
    <m/>
    <m/>
    <m/>
    <m/>
    <m/>
    <m/>
    <n v="340317690"/>
    <s v="JBAUTISTA"/>
  </r>
  <r>
    <n v="3403"/>
    <s v="31.01.2020"/>
    <n v="2020"/>
    <d v="2020-01-01T00:00:00"/>
    <n v="32"/>
    <n v="300017681"/>
    <s v="WA"/>
    <n v="81"/>
    <x v="0"/>
    <n v="11500050"/>
    <x v="0"/>
    <n v="920.48"/>
    <s v="MXN"/>
    <n v="920.48"/>
    <x v="0"/>
    <m/>
    <m/>
    <m/>
    <m/>
    <m/>
    <m/>
    <m/>
    <m/>
    <s v="31.01.2020"/>
    <m/>
    <n v="20200131"/>
    <n v="920.48"/>
    <m/>
    <m/>
    <m/>
    <m/>
    <m/>
    <m/>
    <m/>
    <m/>
    <m/>
    <m/>
    <n v="340317690"/>
    <s v="JBAUTISTA"/>
  </r>
  <r>
    <n v="3406"/>
    <s v="31.01.2020"/>
    <n v="2020"/>
    <d v="2020-01-01T00:00:00"/>
    <n v="80"/>
    <n v="600031587"/>
    <s v="WA"/>
    <n v="81"/>
    <x v="0"/>
    <n v="11500070"/>
    <x v="0"/>
    <n v="3089.07"/>
    <s v="MXN"/>
    <n v="3089.07"/>
    <x v="0"/>
    <m/>
    <m/>
    <m/>
    <m/>
    <m/>
    <m/>
    <m/>
    <m/>
    <s v="01.02.2020"/>
    <m/>
    <n v="20200131"/>
    <n v="3089.07"/>
    <m/>
    <m/>
    <m/>
    <m/>
    <m/>
    <m/>
    <m/>
    <m/>
    <m/>
    <m/>
    <n v="340653290"/>
    <s v="JGARCIA"/>
  </r>
  <r>
    <n v="3406"/>
    <s v="31.01.2020"/>
    <n v="2020"/>
    <d v="2020-01-01T00:00:00"/>
    <n v="84"/>
    <n v="600031587"/>
    <s v="WA"/>
    <n v="81"/>
    <x v="0"/>
    <n v="11500070"/>
    <x v="0"/>
    <n v="97.43"/>
    <s v="MXN"/>
    <n v="97.43"/>
    <x v="0"/>
    <m/>
    <m/>
    <m/>
    <m/>
    <m/>
    <m/>
    <m/>
    <m/>
    <s v="01.02.2020"/>
    <m/>
    <n v="20200131"/>
    <n v="97.43"/>
    <m/>
    <m/>
    <m/>
    <m/>
    <m/>
    <m/>
    <m/>
    <m/>
    <m/>
    <m/>
    <n v="340653290"/>
    <s v="JGARCIA"/>
  </r>
  <r>
    <n v="3406"/>
    <s v="31.01.2020"/>
    <n v="2020"/>
    <d v="2020-01-01T00:00:00"/>
    <n v="86"/>
    <n v="600031587"/>
    <s v="WA"/>
    <n v="81"/>
    <x v="0"/>
    <n v="11500070"/>
    <x v="0"/>
    <n v="1411.31"/>
    <s v="MXN"/>
    <n v="1411.31"/>
    <x v="0"/>
    <m/>
    <m/>
    <m/>
    <m/>
    <m/>
    <m/>
    <m/>
    <m/>
    <s v="01.02.2020"/>
    <m/>
    <n v="20200131"/>
    <n v="1411.31"/>
    <m/>
    <m/>
    <m/>
    <m/>
    <m/>
    <m/>
    <m/>
    <m/>
    <m/>
    <m/>
    <n v="340653290"/>
    <s v="JGARCIA"/>
  </r>
  <r>
    <n v="3401"/>
    <s v="31.01.2020"/>
    <n v="2020"/>
    <d v="2020-01-01T00:00:00"/>
    <n v="4"/>
    <n v="100032656"/>
    <s v="WA"/>
    <n v="81"/>
    <x v="0"/>
    <n v="11500040"/>
    <x v="0"/>
    <n v="5000"/>
    <s v="MXN"/>
    <n v="5000"/>
    <x v="0"/>
    <m/>
    <m/>
    <m/>
    <m/>
    <m/>
    <m/>
    <m/>
    <m/>
    <s v="01.02.2020"/>
    <m/>
    <n v="20200131"/>
    <n v="5000"/>
    <m/>
    <m/>
    <m/>
    <m/>
    <m/>
    <m/>
    <m/>
    <m/>
    <m/>
    <m/>
    <n v="340110490"/>
    <s v="FLUGO"/>
  </r>
  <r>
    <n v="3401"/>
    <s v="31.01.2020"/>
    <n v="2020"/>
    <d v="2020-01-01T00:00:00"/>
    <n v="10"/>
    <n v="100032656"/>
    <s v="WA"/>
    <n v="81"/>
    <x v="0"/>
    <n v="11500040"/>
    <x v="0"/>
    <n v="80.849999999999994"/>
    <s v="MXN"/>
    <n v="80.849999999999994"/>
    <x v="0"/>
    <m/>
    <m/>
    <m/>
    <m/>
    <m/>
    <m/>
    <m/>
    <m/>
    <s v="01.02.2020"/>
    <m/>
    <n v="20200131"/>
    <n v="80.849999999999994"/>
    <m/>
    <m/>
    <m/>
    <m/>
    <m/>
    <m/>
    <m/>
    <m/>
    <m/>
    <m/>
    <n v="340110490"/>
    <s v="FLUGO"/>
  </r>
  <r>
    <n v="3401"/>
    <s v="31.01.2020"/>
    <n v="2020"/>
    <d v="2020-01-01T00:00:00"/>
    <n v="12"/>
    <n v="100032656"/>
    <s v="WA"/>
    <n v="81"/>
    <x v="0"/>
    <n v="11500040"/>
    <x v="0"/>
    <n v="1650"/>
    <s v="MXN"/>
    <n v="1650"/>
    <x v="0"/>
    <m/>
    <m/>
    <m/>
    <m/>
    <m/>
    <m/>
    <m/>
    <m/>
    <s v="01.02.2020"/>
    <m/>
    <n v="20200131"/>
    <n v="1650"/>
    <m/>
    <m/>
    <m/>
    <m/>
    <m/>
    <m/>
    <m/>
    <m/>
    <m/>
    <m/>
    <n v="340110490"/>
    <s v="FLUGO"/>
  </r>
  <r>
    <n v="3401"/>
    <s v="31.01.2020"/>
    <n v="2020"/>
    <d v="2020-01-01T00:00:00"/>
    <n v="22"/>
    <n v="100032656"/>
    <s v="WA"/>
    <n v="81"/>
    <x v="0"/>
    <n v="11500040"/>
    <x v="0"/>
    <n v="7345.8"/>
    <s v="MXN"/>
    <n v="7345.8"/>
    <x v="0"/>
    <m/>
    <m/>
    <m/>
    <m/>
    <m/>
    <m/>
    <m/>
    <m/>
    <s v="01.02.2020"/>
    <m/>
    <n v="20200131"/>
    <n v="7345.8"/>
    <m/>
    <m/>
    <m/>
    <m/>
    <m/>
    <m/>
    <m/>
    <m/>
    <m/>
    <m/>
    <n v="340110490"/>
    <s v="FLUGO"/>
  </r>
  <r>
    <n v="3401"/>
    <s v="31.01.2020"/>
    <n v="2020"/>
    <d v="2020-01-01T00:00:00"/>
    <n v="24"/>
    <n v="100032656"/>
    <s v="WA"/>
    <n v="81"/>
    <x v="0"/>
    <n v="11500040"/>
    <x v="0"/>
    <n v="440.7"/>
    <s v="MXN"/>
    <n v="440.7"/>
    <x v="0"/>
    <m/>
    <m/>
    <m/>
    <m/>
    <m/>
    <m/>
    <m/>
    <m/>
    <s v="01.02.2020"/>
    <m/>
    <n v="20200131"/>
    <n v="440.7"/>
    <m/>
    <m/>
    <m/>
    <m/>
    <m/>
    <m/>
    <m/>
    <m/>
    <m/>
    <m/>
    <n v="340110490"/>
    <s v="FLUGO"/>
  </r>
  <r>
    <n v="3401"/>
    <s v="31.01.2020"/>
    <n v="2020"/>
    <d v="2020-01-01T00:00:00"/>
    <n v="26"/>
    <n v="100032656"/>
    <s v="WA"/>
    <n v="81"/>
    <x v="0"/>
    <n v="11500040"/>
    <x v="0"/>
    <n v="440.7"/>
    <s v="MXN"/>
    <n v="440.7"/>
    <x v="0"/>
    <m/>
    <m/>
    <m/>
    <m/>
    <m/>
    <m/>
    <m/>
    <m/>
    <s v="01.02.2020"/>
    <m/>
    <n v="20200131"/>
    <n v="440.7"/>
    <m/>
    <m/>
    <m/>
    <m/>
    <m/>
    <m/>
    <m/>
    <m/>
    <m/>
    <m/>
    <n v="340110490"/>
    <s v="FLUGO"/>
  </r>
  <r>
    <n v="3401"/>
    <s v="31.01.2020"/>
    <n v="2020"/>
    <d v="2020-01-01T00:00:00"/>
    <n v="28"/>
    <n v="100032656"/>
    <s v="WA"/>
    <n v="81"/>
    <x v="0"/>
    <n v="11500040"/>
    <x v="0"/>
    <n v="993.6"/>
    <s v="MXN"/>
    <n v="993.6"/>
    <x v="0"/>
    <m/>
    <m/>
    <m/>
    <m/>
    <m/>
    <m/>
    <m/>
    <m/>
    <s v="01.02.2020"/>
    <m/>
    <n v="20200131"/>
    <n v="993.6"/>
    <m/>
    <m/>
    <m/>
    <m/>
    <m/>
    <m/>
    <m/>
    <m/>
    <m/>
    <m/>
    <n v="340110490"/>
    <s v="FLUGO"/>
  </r>
  <r>
    <n v="3401"/>
    <s v="31.01.2020"/>
    <n v="2020"/>
    <d v="2020-01-01T00:00:00"/>
    <n v="30"/>
    <n v="100032656"/>
    <s v="WA"/>
    <n v="81"/>
    <x v="0"/>
    <n v="11500040"/>
    <x v="0"/>
    <n v="3531.5"/>
    <s v="MXN"/>
    <n v="3531.5"/>
    <x v="0"/>
    <m/>
    <m/>
    <m/>
    <m/>
    <m/>
    <m/>
    <m/>
    <m/>
    <s v="01.02.2020"/>
    <m/>
    <n v="20200131"/>
    <n v="3531.5"/>
    <m/>
    <m/>
    <m/>
    <m/>
    <m/>
    <m/>
    <m/>
    <m/>
    <m/>
    <m/>
    <n v="340110490"/>
    <s v="FLUGO"/>
  </r>
  <r>
    <n v="3401"/>
    <s v="31.01.2020"/>
    <n v="2020"/>
    <d v="2020-01-01T00:00:00"/>
    <n v="32"/>
    <n v="100032656"/>
    <s v="WA"/>
    <n v="81"/>
    <x v="0"/>
    <n v="11500040"/>
    <x v="0"/>
    <n v="2448.6"/>
    <s v="MXN"/>
    <n v="2448.6"/>
    <x v="0"/>
    <m/>
    <m/>
    <m/>
    <m/>
    <m/>
    <m/>
    <m/>
    <m/>
    <s v="01.02.2020"/>
    <m/>
    <n v="20200131"/>
    <n v="2448.6"/>
    <m/>
    <m/>
    <m/>
    <m/>
    <m/>
    <m/>
    <m/>
    <m/>
    <m/>
    <m/>
    <n v="340110490"/>
    <s v="FLUGO"/>
  </r>
  <r>
    <n v="3401"/>
    <s v="31.01.2020"/>
    <n v="2020"/>
    <d v="2020-01-01T00:00:00"/>
    <n v="44"/>
    <n v="100032656"/>
    <s v="WA"/>
    <n v="81"/>
    <x v="0"/>
    <n v="11500040"/>
    <x v="0"/>
    <n v="2430"/>
    <s v="MXN"/>
    <n v="2430"/>
    <x v="0"/>
    <m/>
    <m/>
    <m/>
    <m/>
    <m/>
    <m/>
    <m/>
    <m/>
    <s v="01.02.2020"/>
    <m/>
    <n v="20200131"/>
    <n v="2430"/>
    <m/>
    <m/>
    <m/>
    <m/>
    <m/>
    <m/>
    <m/>
    <m/>
    <m/>
    <m/>
    <n v="340110490"/>
    <s v="FLUGO"/>
  </r>
  <r>
    <n v="3401"/>
    <s v="31.01.2020"/>
    <n v="2020"/>
    <d v="2020-01-01T00:00:00"/>
    <n v="46"/>
    <n v="100032656"/>
    <s v="WA"/>
    <n v="81"/>
    <x v="0"/>
    <n v="11500040"/>
    <x v="0"/>
    <n v="3240"/>
    <s v="MXN"/>
    <n v="3240"/>
    <x v="0"/>
    <m/>
    <m/>
    <m/>
    <m/>
    <m/>
    <m/>
    <m/>
    <m/>
    <s v="01.02.2020"/>
    <m/>
    <n v="20200131"/>
    <n v="3240"/>
    <m/>
    <m/>
    <m/>
    <m/>
    <m/>
    <m/>
    <m/>
    <m/>
    <m/>
    <m/>
    <n v="340110490"/>
    <s v="FLUGO"/>
  </r>
  <r>
    <n v="3401"/>
    <s v="31.01.2020"/>
    <n v="2020"/>
    <d v="2020-01-01T00:00:00"/>
    <n v="48"/>
    <n v="100032656"/>
    <s v="WA"/>
    <n v="81"/>
    <x v="0"/>
    <n v="11500040"/>
    <x v="0"/>
    <n v="24490"/>
    <s v="MXN"/>
    <n v="24490"/>
    <x v="0"/>
    <m/>
    <m/>
    <m/>
    <m/>
    <m/>
    <m/>
    <m/>
    <m/>
    <s v="01.02.2020"/>
    <m/>
    <n v="20200131"/>
    <n v="24490"/>
    <m/>
    <m/>
    <m/>
    <m/>
    <m/>
    <m/>
    <m/>
    <m/>
    <m/>
    <m/>
    <n v="340110490"/>
    <s v="FLUGO"/>
  </r>
  <r>
    <n v="3401"/>
    <s v="31.01.2020"/>
    <n v="2020"/>
    <d v="2020-01-01T00:00:00"/>
    <n v="50"/>
    <n v="100032656"/>
    <s v="WA"/>
    <n v="81"/>
    <x v="0"/>
    <n v="11500040"/>
    <x v="0"/>
    <n v="2370"/>
    <s v="MXN"/>
    <n v="2370"/>
    <x v="0"/>
    <m/>
    <m/>
    <m/>
    <m/>
    <m/>
    <m/>
    <m/>
    <m/>
    <s v="01.02.2020"/>
    <m/>
    <n v="20200131"/>
    <n v="2370"/>
    <m/>
    <m/>
    <m/>
    <m/>
    <m/>
    <m/>
    <m/>
    <m/>
    <m/>
    <m/>
    <n v="340110490"/>
    <s v="FLUGO"/>
  </r>
  <r>
    <n v="3401"/>
    <s v="31.01.2020"/>
    <n v="2020"/>
    <d v="2020-01-01T00:00:00"/>
    <n v="62"/>
    <n v="100032656"/>
    <s v="WA"/>
    <n v="81"/>
    <x v="0"/>
    <n v="11500040"/>
    <x v="0"/>
    <n v="10933.4"/>
    <s v="MXN"/>
    <n v="10933.4"/>
    <x v="0"/>
    <m/>
    <m/>
    <m/>
    <m/>
    <m/>
    <m/>
    <m/>
    <m/>
    <s v="01.02.2020"/>
    <m/>
    <n v="20200131"/>
    <n v="10933.4"/>
    <m/>
    <m/>
    <m/>
    <m/>
    <m/>
    <m/>
    <m/>
    <m/>
    <m/>
    <m/>
    <n v="340110490"/>
    <s v="FLUGO"/>
  </r>
  <r>
    <n v="3401"/>
    <s v="31.01.2020"/>
    <n v="2020"/>
    <d v="2020-01-01T00:00:00"/>
    <n v="64"/>
    <n v="100032656"/>
    <s v="WA"/>
    <n v="81"/>
    <x v="0"/>
    <n v="11500040"/>
    <x v="0"/>
    <n v="6104.97"/>
    <s v="MXN"/>
    <n v="6104.97"/>
    <x v="0"/>
    <m/>
    <m/>
    <m/>
    <m/>
    <m/>
    <m/>
    <m/>
    <m/>
    <s v="01.02.2020"/>
    <m/>
    <n v="20200131"/>
    <n v="6104.97"/>
    <m/>
    <m/>
    <m/>
    <m/>
    <m/>
    <m/>
    <m/>
    <m/>
    <m/>
    <m/>
    <n v="340110490"/>
    <s v="FLUGO"/>
  </r>
  <r>
    <n v="3401"/>
    <s v="31.01.2020"/>
    <n v="2020"/>
    <d v="2020-01-01T00:00:00"/>
    <n v="66"/>
    <n v="100032656"/>
    <s v="WA"/>
    <n v="81"/>
    <x v="0"/>
    <n v="11500040"/>
    <x v="0"/>
    <n v="5040"/>
    <s v="MXN"/>
    <n v="5040"/>
    <x v="0"/>
    <m/>
    <m/>
    <m/>
    <m/>
    <m/>
    <m/>
    <m/>
    <m/>
    <s v="01.02.2020"/>
    <m/>
    <n v="20200131"/>
    <n v="5040"/>
    <m/>
    <m/>
    <m/>
    <m/>
    <m/>
    <m/>
    <m/>
    <m/>
    <m/>
    <m/>
    <n v="340110490"/>
    <s v="FLUGO"/>
  </r>
  <r>
    <n v="3401"/>
    <s v="31.01.2020"/>
    <n v="2020"/>
    <d v="2020-01-01T00:00:00"/>
    <n v="68"/>
    <n v="100032656"/>
    <s v="WA"/>
    <n v="81"/>
    <x v="0"/>
    <n v="11500040"/>
    <x v="0"/>
    <n v="3383.1"/>
    <s v="MXN"/>
    <n v="3383.1"/>
    <x v="0"/>
    <m/>
    <m/>
    <m/>
    <m/>
    <m/>
    <m/>
    <m/>
    <m/>
    <s v="01.02.2020"/>
    <m/>
    <n v="20200131"/>
    <n v="3383.1"/>
    <m/>
    <m/>
    <m/>
    <m/>
    <m/>
    <m/>
    <m/>
    <m/>
    <m/>
    <m/>
    <n v="340110490"/>
    <s v="FLUGO"/>
  </r>
  <r>
    <n v="3401"/>
    <s v="31.01.2020"/>
    <n v="2020"/>
    <d v="2020-01-01T00:00:00"/>
    <n v="70"/>
    <n v="100032656"/>
    <s v="WA"/>
    <n v="81"/>
    <x v="0"/>
    <n v="11500040"/>
    <x v="0"/>
    <n v="714"/>
    <s v="MXN"/>
    <n v="714"/>
    <x v="0"/>
    <m/>
    <m/>
    <m/>
    <m/>
    <m/>
    <m/>
    <m/>
    <m/>
    <s v="01.02.2020"/>
    <m/>
    <n v="20200131"/>
    <n v="714"/>
    <m/>
    <m/>
    <m/>
    <m/>
    <m/>
    <m/>
    <m/>
    <m/>
    <m/>
    <m/>
    <n v="340110490"/>
    <s v="FLUGO"/>
  </r>
  <r>
    <n v="3401"/>
    <s v="31.01.2020"/>
    <n v="2020"/>
    <d v="2020-01-01T00:00:00"/>
    <n v="156"/>
    <n v="100032656"/>
    <s v="WA"/>
    <n v="81"/>
    <x v="0"/>
    <n v="11500040"/>
    <x v="0"/>
    <n v="2254"/>
    <s v="MXN"/>
    <n v="2254"/>
    <x v="0"/>
    <m/>
    <m/>
    <m/>
    <m/>
    <m/>
    <m/>
    <m/>
    <m/>
    <s v="01.02.2020"/>
    <m/>
    <n v="20200131"/>
    <n v="2254"/>
    <m/>
    <m/>
    <m/>
    <m/>
    <m/>
    <m/>
    <m/>
    <m/>
    <m/>
    <m/>
    <n v="340110490"/>
    <s v="FLUGO"/>
  </r>
  <r>
    <n v="3401"/>
    <s v="31.01.2020"/>
    <n v="2020"/>
    <d v="2020-01-01T00:00:00"/>
    <n v="158"/>
    <n v="100032656"/>
    <s v="WA"/>
    <n v="81"/>
    <x v="0"/>
    <n v="11500040"/>
    <x v="0"/>
    <n v="165"/>
    <s v="MXN"/>
    <n v="165"/>
    <x v="0"/>
    <m/>
    <m/>
    <m/>
    <m/>
    <m/>
    <m/>
    <m/>
    <m/>
    <s v="01.02.2020"/>
    <m/>
    <n v="20200131"/>
    <n v="165"/>
    <m/>
    <m/>
    <m/>
    <m/>
    <m/>
    <m/>
    <m/>
    <m/>
    <m/>
    <m/>
    <n v="340110490"/>
    <s v="FLUGO"/>
  </r>
  <r>
    <n v="3401"/>
    <s v="31.01.2020"/>
    <n v="2020"/>
    <d v="2020-01-01T00:00:00"/>
    <n v="160"/>
    <n v="100032656"/>
    <s v="WA"/>
    <n v="81"/>
    <x v="0"/>
    <n v="11500040"/>
    <x v="0"/>
    <n v="115.95"/>
    <s v="MXN"/>
    <n v="115.95"/>
    <x v="0"/>
    <m/>
    <m/>
    <m/>
    <m/>
    <m/>
    <m/>
    <m/>
    <m/>
    <s v="01.02.2020"/>
    <m/>
    <n v="20200131"/>
    <n v="115.95"/>
    <m/>
    <m/>
    <m/>
    <m/>
    <m/>
    <m/>
    <m/>
    <m/>
    <m/>
    <m/>
    <n v="340110490"/>
    <s v="FLUGO"/>
  </r>
  <r>
    <n v="3401"/>
    <s v="31.01.2020"/>
    <n v="2020"/>
    <d v="2020-01-01T00:00:00"/>
    <n v="162"/>
    <n v="100032656"/>
    <s v="WA"/>
    <n v="81"/>
    <x v="0"/>
    <n v="11500040"/>
    <x v="0"/>
    <n v="38"/>
    <s v="MXN"/>
    <n v="38"/>
    <x v="0"/>
    <m/>
    <m/>
    <m/>
    <m/>
    <m/>
    <m/>
    <m/>
    <m/>
    <s v="01.02.2020"/>
    <m/>
    <n v="20200131"/>
    <n v="38"/>
    <m/>
    <m/>
    <m/>
    <m/>
    <m/>
    <m/>
    <m/>
    <m/>
    <m/>
    <m/>
    <n v="340110490"/>
    <s v="FLUGO"/>
  </r>
  <r>
    <n v="3401"/>
    <s v="31.01.2020"/>
    <n v="2020"/>
    <d v="2020-01-01T00:00:00"/>
    <n v="164"/>
    <n v="100032656"/>
    <s v="WA"/>
    <n v="81"/>
    <x v="0"/>
    <n v="11500040"/>
    <x v="0"/>
    <n v="4282.5"/>
    <s v="MXN"/>
    <n v="4282.5"/>
    <x v="0"/>
    <m/>
    <m/>
    <m/>
    <m/>
    <m/>
    <m/>
    <m/>
    <m/>
    <s v="01.02.2020"/>
    <m/>
    <n v="20200131"/>
    <n v="4282.5"/>
    <m/>
    <m/>
    <m/>
    <m/>
    <m/>
    <m/>
    <m/>
    <m/>
    <m/>
    <m/>
    <n v="340110490"/>
    <s v="FLUGO"/>
  </r>
  <r>
    <n v="3401"/>
    <s v="31.01.2020"/>
    <n v="2020"/>
    <d v="2020-01-01T00:00:00"/>
    <n v="166"/>
    <n v="100032656"/>
    <s v="WA"/>
    <n v="81"/>
    <x v="0"/>
    <n v="11500040"/>
    <x v="0"/>
    <n v="240"/>
    <s v="MXN"/>
    <n v="240"/>
    <x v="0"/>
    <m/>
    <m/>
    <m/>
    <m/>
    <m/>
    <m/>
    <m/>
    <m/>
    <s v="01.02.2020"/>
    <m/>
    <n v="20200131"/>
    <n v="240"/>
    <m/>
    <m/>
    <m/>
    <m/>
    <m/>
    <m/>
    <m/>
    <m/>
    <m/>
    <m/>
    <n v="340110490"/>
    <s v="FLUGO"/>
  </r>
  <r>
    <n v="3401"/>
    <s v="31.01.2020"/>
    <n v="2020"/>
    <d v="2020-01-01T00:00:00"/>
    <n v="168"/>
    <n v="100032656"/>
    <s v="WA"/>
    <n v="81"/>
    <x v="0"/>
    <n v="11500040"/>
    <x v="0"/>
    <n v="554.4"/>
    <s v="MXN"/>
    <n v="554.4"/>
    <x v="0"/>
    <m/>
    <m/>
    <m/>
    <m/>
    <m/>
    <m/>
    <m/>
    <m/>
    <s v="01.02.2020"/>
    <m/>
    <n v="20200131"/>
    <n v="554.4"/>
    <m/>
    <m/>
    <m/>
    <m/>
    <m/>
    <m/>
    <m/>
    <m/>
    <m/>
    <m/>
    <n v="340110490"/>
    <s v="FLUGO"/>
  </r>
  <r>
    <n v="3401"/>
    <s v="31.01.2020"/>
    <n v="2020"/>
    <d v="2020-01-01T00:00:00"/>
    <n v="170"/>
    <n v="100032656"/>
    <s v="WA"/>
    <n v="81"/>
    <x v="0"/>
    <n v="11500040"/>
    <x v="0"/>
    <n v="425"/>
    <s v="MXN"/>
    <n v="425"/>
    <x v="0"/>
    <m/>
    <m/>
    <m/>
    <m/>
    <m/>
    <m/>
    <m/>
    <m/>
    <s v="01.02.2020"/>
    <m/>
    <n v="20200131"/>
    <n v="425"/>
    <m/>
    <m/>
    <m/>
    <m/>
    <m/>
    <m/>
    <m/>
    <m/>
    <m/>
    <m/>
    <n v="340110490"/>
    <s v="FLUGO"/>
  </r>
  <r>
    <n v="3401"/>
    <s v="31.01.2020"/>
    <n v="2020"/>
    <d v="2020-01-01T00:00:00"/>
    <n v="172"/>
    <n v="100032656"/>
    <s v="WA"/>
    <n v="81"/>
    <x v="0"/>
    <n v="11500040"/>
    <x v="0"/>
    <n v="896"/>
    <s v="MXN"/>
    <n v="896"/>
    <x v="0"/>
    <m/>
    <m/>
    <m/>
    <m/>
    <m/>
    <m/>
    <m/>
    <m/>
    <s v="01.02.2020"/>
    <m/>
    <n v="20200131"/>
    <n v="896"/>
    <m/>
    <m/>
    <m/>
    <m/>
    <m/>
    <m/>
    <m/>
    <m/>
    <m/>
    <m/>
    <n v="340110490"/>
    <s v="FLUGO"/>
  </r>
  <r>
    <n v="3401"/>
    <s v="31.01.2020"/>
    <n v="2020"/>
    <d v="2020-01-01T00:00:00"/>
    <n v="178"/>
    <n v="100032656"/>
    <s v="WA"/>
    <n v="81"/>
    <x v="0"/>
    <n v="11500040"/>
    <x v="0"/>
    <n v="107"/>
    <s v="MXN"/>
    <n v="107"/>
    <x v="0"/>
    <m/>
    <m/>
    <m/>
    <m/>
    <m/>
    <m/>
    <m/>
    <m/>
    <s v="01.02.2020"/>
    <m/>
    <n v="20200131"/>
    <n v="107"/>
    <m/>
    <m/>
    <m/>
    <m/>
    <m/>
    <m/>
    <m/>
    <m/>
    <m/>
    <m/>
    <n v="340110490"/>
    <s v="FLUGO"/>
  </r>
  <r>
    <n v="3402"/>
    <s v="15.01.2020"/>
    <n v="2020"/>
    <d v="2020-01-01T00:00:00"/>
    <n v="14"/>
    <n v="200042640"/>
    <s v="WA"/>
    <n v="81"/>
    <x v="0"/>
    <n v="11500040"/>
    <x v="0"/>
    <n v="26992.799999999999"/>
    <s v="MXN"/>
    <n v="26992.799999999999"/>
    <x v="0"/>
    <m/>
    <m/>
    <m/>
    <m/>
    <m/>
    <m/>
    <m/>
    <m/>
    <s v="16.01.2020"/>
    <m/>
    <n v="20200115"/>
    <n v="26992.799999999999"/>
    <m/>
    <m/>
    <m/>
    <m/>
    <m/>
    <m/>
    <m/>
    <m/>
    <m/>
    <m/>
    <n v="340210490"/>
    <s v="AMAY"/>
  </r>
  <r>
    <n v="3402"/>
    <s v="15.01.2020"/>
    <n v="2020"/>
    <d v="2020-01-01T00:00:00"/>
    <n v="20"/>
    <n v="200042640"/>
    <s v="WA"/>
    <n v="81"/>
    <x v="0"/>
    <n v="11500040"/>
    <x v="0"/>
    <n v="4454.72"/>
    <s v="MXN"/>
    <n v="4454.72"/>
    <x v="0"/>
    <m/>
    <m/>
    <m/>
    <m/>
    <m/>
    <m/>
    <m/>
    <m/>
    <s v="16.01.2020"/>
    <m/>
    <n v="20200115"/>
    <n v="4454.72"/>
    <m/>
    <m/>
    <m/>
    <m/>
    <m/>
    <m/>
    <m/>
    <m/>
    <m/>
    <m/>
    <n v="340210490"/>
    <s v="AMAY"/>
  </r>
  <r>
    <n v="3402"/>
    <s v="15.01.2020"/>
    <n v="2020"/>
    <d v="2020-01-01T00:00:00"/>
    <n v="22"/>
    <n v="200042640"/>
    <s v="WA"/>
    <n v="81"/>
    <x v="0"/>
    <n v="11500040"/>
    <x v="0"/>
    <n v="701.06"/>
    <s v="MXN"/>
    <n v="701.06"/>
    <x v="0"/>
    <m/>
    <m/>
    <m/>
    <m/>
    <m/>
    <m/>
    <m/>
    <m/>
    <s v="16.01.2020"/>
    <m/>
    <n v="20200115"/>
    <n v="701.06"/>
    <m/>
    <m/>
    <m/>
    <m/>
    <m/>
    <m/>
    <m/>
    <m/>
    <m/>
    <m/>
    <n v="340210490"/>
    <s v="AMAY"/>
  </r>
  <r>
    <n v="3402"/>
    <s v="15.01.2020"/>
    <n v="2020"/>
    <d v="2020-01-01T00:00:00"/>
    <n v="24"/>
    <n v="200042640"/>
    <s v="WA"/>
    <n v="81"/>
    <x v="0"/>
    <n v="11500040"/>
    <x v="0"/>
    <n v="2198.5500000000002"/>
    <s v="MXN"/>
    <n v="2198.5500000000002"/>
    <x v="0"/>
    <m/>
    <m/>
    <m/>
    <m/>
    <m/>
    <m/>
    <m/>
    <m/>
    <s v="16.01.2020"/>
    <m/>
    <n v="20200115"/>
    <n v="2198.5500000000002"/>
    <m/>
    <m/>
    <m/>
    <m/>
    <m/>
    <m/>
    <m/>
    <m/>
    <m/>
    <m/>
    <n v="340210490"/>
    <s v="AMAY"/>
  </r>
  <r>
    <n v="3402"/>
    <s v="15.01.2020"/>
    <n v="2020"/>
    <d v="2020-01-01T00:00:00"/>
    <n v="28"/>
    <n v="200042640"/>
    <s v="WA"/>
    <n v="81"/>
    <x v="0"/>
    <n v="11500040"/>
    <x v="0"/>
    <n v="1510.3"/>
    <s v="MXN"/>
    <n v="1510.3"/>
    <x v="0"/>
    <m/>
    <m/>
    <m/>
    <m/>
    <m/>
    <m/>
    <m/>
    <m/>
    <s v="16.01.2020"/>
    <m/>
    <n v="20200115"/>
    <n v="1510.3"/>
    <m/>
    <m/>
    <m/>
    <m/>
    <m/>
    <m/>
    <m/>
    <m/>
    <m/>
    <m/>
    <n v="340210490"/>
    <s v="AMAY"/>
  </r>
  <r>
    <n v="3402"/>
    <s v="15.01.2020"/>
    <n v="2020"/>
    <d v="2020-01-01T00:00:00"/>
    <n v="36"/>
    <n v="200042640"/>
    <s v="WA"/>
    <n v="81"/>
    <x v="0"/>
    <n v="11500040"/>
    <x v="0"/>
    <n v="440.7"/>
    <s v="MXN"/>
    <n v="440.7"/>
    <x v="0"/>
    <m/>
    <m/>
    <m/>
    <m/>
    <m/>
    <m/>
    <m/>
    <m/>
    <s v="16.01.2020"/>
    <m/>
    <n v="20200115"/>
    <n v="440.7"/>
    <m/>
    <m/>
    <m/>
    <m/>
    <m/>
    <m/>
    <m/>
    <m/>
    <m/>
    <m/>
    <n v="340210490"/>
    <s v="AMAY"/>
  </r>
  <r>
    <n v="3402"/>
    <s v="15.01.2020"/>
    <n v="2020"/>
    <d v="2020-01-01T00:00:00"/>
    <n v="54"/>
    <n v="200042640"/>
    <s v="WA"/>
    <n v="81"/>
    <x v="0"/>
    <n v="11500040"/>
    <x v="0"/>
    <n v="1620"/>
    <s v="MXN"/>
    <n v="1620"/>
    <x v="0"/>
    <m/>
    <m/>
    <m/>
    <m/>
    <m/>
    <m/>
    <m/>
    <m/>
    <s v="16.01.2020"/>
    <m/>
    <n v="20200115"/>
    <n v="1620"/>
    <m/>
    <m/>
    <m/>
    <m/>
    <m/>
    <m/>
    <m/>
    <m/>
    <m/>
    <m/>
    <n v="340210490"/>
    <s v="AMAY"/>
  </r>
  <r>
    <n v="3402"/>
    <s v="15.01.2020"/>
    <n v="2020"/>
    <d v="2020-01-01T00:00:00"/>
    <n v="72"/>
    <n v="200042640"/>
    <s v="WA"/>
    <n v="81"/>
    <x v="0"/>
    <n v="11500040"/>
    <x v="0"/>
    <n v="5701.75"/>
    <s v="MXN"/>
    <n v="5701.75"/>
    <x v="0"/>
    <m/>
    <m/>
    <m/>
    <m/>
    <m/>
    <m/>
    <m/>
    <m/>
    <s v="16.01.2020"/>
    <m/>
    <n v="20200115"/>
    <n v="5701.75"/>
    <m/>
    <m/>
    <m/>
    <m/>
    <m/>
    <m/>
    <m/>
    <m/>
    <m/>
    <m/>
    <n v="340210490"/>
    <s v="AMAY"/>
  </r>
  <r>
    <n v="3402"/>
    <s v="15.01.2020"/>
    <n v="2020"/>
    <d v="2020-01-01T00:00:00"/>
    <n v="74"/>
    <n v="200042640"/>
    <s v="WA"/>
    <n v="81"/>
    <x v="0"/>
    <n v="11500040"/>
    <x v="0"/>
    <n v="13120.08"/>
    <s v="MXN"/>
    <n v="13120.08"/>
    <x v="0"/>
    <m/>
    <m/>
    <m/>
    <m/>
    <m/>
    <m/>
    <m/>
    <m/>
    <s v="16.01.2020"/>
    <m/>
    <n v="20200115"/>
    <n v="13120.08"/>
    <m/>
    <m/>
    <m/>
    <m/>
    <m/>
    <m/>
    <m/>
    <m/>
    <m/>
    <m/>
    <n v="340210490"/>
    <s v="AMAY"/>
  </r>
  <r>
    <n v="3402"/>
    <s v="15.01.2020"/>
    <n v="2020"/>
    <d v="2020-01-01T00:00:00"/>
    <n v="76"/>
    <n v="200042640"/>
    <s v="WA"/>
    <n v="81"/>
    <x v="0"/>
    <n v="11500040"/>
    <x v="0"/>
    <n v="11340"/>
    <s v="MXN"/>
    <n v="11340"/>
    <x v="0"/>
    <m/>
    <m/>
    <m/>
    <m/>
    <m/>
    <m/>
    <m/>
    <m/>
    <s v="16.01.2020"/>
    <m/>
    <n v="20200115"/>
    <n v="11340"/>
    <m/>
    <m/>
    <m/>
    <m/>
    <m/>
    <m/>
    <m/>
    <m/>
    <m/>
    <m/>
    <n v="340210490"/>
    <s v="AMAY"/>
  </r>
  <r>
    <n v="3402"/>
    <s v="15.01.2020"/>
    <n v="2020"/>
    <d v="2020-01-01T00:00:00"/>
    <n v="78"/>
    <n v="200042640"/>
    <s v="WA"/>
    <n v="81"/>
    <x v="0"/>
    <n v="11500040"/>
    <x v="0"/>
    <n v="26960.400000000001"/>
    <s v="MXN"/>
    <n v="26960.400000000001"/>
    <x v="0"/>
    <m/>
    <m/>
    <m/>
    <m/>
    <m/>
    <m/>
    <m/>
    <m/>
    <s v="16.01.2020"/>
    <m/>
    <n v="20200115"/>
    <n v="26960.400000000001"/>
    <m/>
    <m/>
    <m/>
    <m/>
    <m/>
    <m/>
    <m/>
    <m/>
    <m/>
    <m/>
    <n v="340210490"/>
    <s v="AMAY"/>
  </r>
  <r>
    <n v="3402"/>
    <s v="15.01.2020"/>
    <n v="2020"/>
    <d v="2020-01-01T00:00:00"/>
    <n v="80"/>
    <n v="200042640"/>
    <s v="WA"/>
    <n v="81"/>
    <x v="0"/>
    <n v="11500040"/>
    <x v="0"/>
    <n v="1094.8399999999999"/>
    <s v="MXN"/>
    <n v="1094.8399999999999"/>
    <x v="0"/>
    <m/>
    <m/>
    <m/>
    <m/>
    <m/>
    <m/>
    <m/>
    <m/>
    <s v="16.01.2020"/>
    <m/>
    <n v="20200115"/>
    <n v="1094.8399999999999"/>
    <m/>
    <m/>
    <m/>
    <m/>
    <m/>
    <m/>
    <m/>
    <m/>
    <m/>
    <m/>
    <n v="340210490"/>
    <s v="AMAY"/>
  </r>
  <r>
    <n v="3402"/>
    <s v="15.01.2020"/>
    <n v="2020"/>
    <d v="2020-01-01T00:00:00"/>
    <n v="82"/>
    <n v="200042640"/>
    <s v="WA"/>
    <n v="81"/>
    <x v="0"/>
    <n v="11500040"/>
    <x v="0"/>
    <n v="514.75"/>
    <s v="MXN"/>
    <n v="514.75"/>
    <x v="0"/>
    <m/>
    <m/>
    <m/>
    <m/>
    <m/>
    <m/>
    <m/>
    <m/>
    <s v="16.01.2020"/>
    <m/>
    <n v="20200115"/>
    <n v="514.75"/>
    <m/>
    <m/>
    <m/>
    <m/>
    <m/>
    <m/>
    <m/>
    <m/>
    <m/>
    <m/>
    <n v="340210490"/>
    <s v="AMAY"/>
  </r>
  <r>
    <n v="3402"/>
    <s v="15.01.2020"/>
    <n v="2020"/>
    <d v="2020-01-01T00:00:00"/>
    <n v="84"/>
    <n v="200042640"/>
    <s v="WA"/>
    <n v="81"/>
    <x v="0"/>
    <n v="11500040"/>
    <x v="0"/>
    <n v="20000"/>
    <s v="MXN"/>
    <n v="20000"/>
    <x v="0"/>
    <m/>
    <m/>
    <m/>
    <m/>
    <m/>
    <m/>
    <m/>
    <m/>
    <s v="16.01.2020"/>
    <m/>
    <n v="20200115"/>
    <n v="20000"/>
    <m/>
    <m/>
    <m/>
    <m/>
    <m/>
    <m/>
    <m/>
    <m/>
    <m/>
    <m/>
    <n v="340210490"/>
    <s v="AMAY"/>
  </r>
  <r>
    <n v="3402"/>
    <s v="15.01.2020"/>
    <n v="2020"/>
    <d v="2020-01-01T00:00:00"/>
    <n v="86"/>
    <n v="200042640"/>
    <s v="WA"/>
    <n v="81"/>
    <x v="0"/>
    <n v="11500040"/>
    <x v="0"/>
    <n v="1421.01"/>
    <s v="MXN"/>
    <n v="1421.01"/>
    <x v="0"/>
    <m/>
    <m/>
    <m/>
    <m/>
    <m/>
    <m/>
    <m/>
    <m/>
    <s v="16.01.2020"/>
    <m/>
    <n v="20200115"/>
    <n v="1421.01"/>
    <m/>
    <m/>
    <m/>
    <m/>
    <m/>
    <m/>
    <m/>
    <m/>
    <m/>
    <m/>
    <n v="340210490"/>
    <s v="AMAY"/>
  </r>
  <r>
    <n v="3402"/>
    <s v="15.01.2020"/>
    <n v="2020"/>
    <d v="2020-01-01T00:00:00"/>
    <n v="110"/>
    <n v="200042640"/>
    <s v="WA"/>
    <n v="81"/>
    <x v="0"/>
    <n v="11500040"/>
    <x v="0"/>
    <n v="1620"/>
    <s v="MXN"/>
    <n v="1620"/>
    <x v="0"/>
    <m/>
    <m/>
    <m/>
    <m/>
    <m/>
    <m/>
    <m/>
    <m/>
    <s v="16.01.2020"/>
    <m/>
    <n v="20200115"/>
    <n v="1620"/>
    <m/>
    <m/>
    <m/>
    <m/>
    <m/>
    <m/>
    <m/>
    <m/>
    <m/>
    <m/>
    <n v="340210490"/>
    <s v="AMAY"/>
  </r>
  <r>
    <n v="3402"/>
    <s v="15.01.2020"/>
    <n v="2020"/>
    <d v="2020-01-01T00:00:00"/>
    <n v="164"/>
    <n v="200042640"/>
    <s v="WA"/>
    <n v="81"/>
    <x v="0"/>
    <n v="11500040"/>
    <x v="0"/>
    <n v="1577.08"/>
    <s v="MXN"/>
    <n v="1577.08"/>
    <x v="0"/>
    <m/>
    <m/>
    <m/>
    <m/>
    <m/>
    <m/>
    <m/>
    <m/>
    <s v="16.01.2020"/>
    <m/>
    <n v="20200115"/>
    <n v="1577.08"/>
    <m/>
    <m/>
    <m/>
    <m/>
    <m/>
    <m/>
    <m/>
    <m/>
    <m/>
    <m/>
    <n v="340210490"/>
    <s v="AMAY"/>
  </r>
  <r>
    <n v="3402"/>
    <s v="15.01.2020"/>
    <n v="2020"/>
    <d v="2020-01-01T00:00:00"/>
    <n v="166"/>
    <n v="200042640"/>
    <s v="WA"/>
    <n v="81"/>
    <x v="0"/>
    <n v="11500040"/>
    <x v="0"/>
    <n v="2254"/>
    <s v="MXN"/>
    <n v="2254"/>
    <x v="0"/>
    <m/>
    <m/>
    <m/>
    <m/>
    <m/>
    <m/>
    <m/>
    <m/>
    <s v="16.01.2020"/>
    <m/>
    <n v="20200115"/>
    <n v="2254"/>
    <m/>
    <m/>
    <m/>
    <m/>
    <m/>
    <m/>
    <m/>
    <m/>
    <m/>
    <m/>
    <n v="340210490"/>
    <s v="AMAY"/>
  </r>
  <r>
    <n v="3402"/>
    <s v="15.01.2020"/>
    <n v="2020"/>
    <d v="2020-01-01T00:00:00"/>
    <n v="168"/>
    <n v="200042640"/>
    <s v="WA"/>
    <n v="81"/>
    <x v="0"/>
    <n v="11500040"/>
    <x v="0"/>
    <n v="1394.97"/>
    <s v="MXN"/>
    <n v="1394.97"/>
    <x v="0"/>
    <m/>
    <m/>
    <m/>
    <m/>
    <m/>
    <m/>
    <m/>
    <m/>
    <s v="16.01.2020"/>
    <m/>
    <n v="20200115"/>
    <n v="1394.97"/>
    <m/>
    <m/>
    <m/>
    <m/>
    <m/>
    <m/>
    <m/>
    <m/>
    <m/>
    <m/>
    <n v="340210490"/>
    <s v="AMAY"/>
  </r>
  <r>
    <n v="3402"/>
    <s v="15.01.2020"/>
    <n v="2020"/>
    <d v="2020-01-01T00:00:00"/>
    <n v="170"/>
    <n v="200042640"/>
    <s v="WA"/>
    <n v="81"/>
    <x v="0"/>
    <n v="11500040"/>
    <x v="0"/>
    <n v="219.93"/>
    <s v="MXN"/>
    <n v="219.93"/>
    <x v="0"/>
    <m/>
    <m/>
    <m/>
    <m/>
    <m/>
    <m/>
    <m/>
    <m/>
    <s v="16.01.2020"/>
    <m/>
    <n v="20200115"/>
    <n v="219.93"/>
    <m/>
    <m/>
    <m/>
    <m/>
    <m/>
    <m/>
    <m/>
    <m/>
    <m/>
    <m/>
    <n v="340210490"/>
    <s v="AMAY"/>
  </r>
  <r>
    <n v="3402"/>
    <s v="15.01.2020"/>
    <n v="2020"/>
    <d v="2020-01-01T00:00:00"/>
    <n v="172"/>
    <n v="200042640"/>
    <s v="WA"/>
    <n v="81"/>
    <x v="0"/>
    <n v="11500040"/>
    <x v="0"/>
    <n v="120.69"/>
    <s v="MXN"/>
    <n v="120.69"/>
    <x v="0"/>
    <m/>
    <m/>
    <m/>
    <m/>
    <m/>
    <m/>
    <m/>
    <m/>
    <s v="16.01.2020"/>
    <m/>
    <n v="20200115"/>
    <n v="120.69"/>
    <m/>
    <m/>
    <m/>
    <m/>
    <m/>
    <m/>
    <m/>
    <m/>
    <m/>
    <m/>
    <n v="340210490"/>
    <s v="AMAY"/>
  </r>
  <r>
    <n v="3402"/>
    <s v="15.01.2020"/>
    <n v="2020"/>
    <d v="2020-01-01T00:00:00"/>
    <n v="174"/>
    <n v="200042640"/>
    <s v="WA"/>
    <n v="81"/>
    <x v="0"/>
    <n v="11500040"/>
    <x v="0"/>
    <n v="57"/>
    <s v="MXN"/>
    <n v="57"/>
    <x v="0"/>
    <m/>
    <m/>
    <m/>
    <m/>
    <m/>
    <m/>
    <m/>
    <m/>
    <s v="16.01.2020"/>
    <m/>
    <n v="20200115"/>
    <n v="57"/>
    <m/>
    <m/>
    <m/>
    <m/>
    <m/>
    <m/>
    <m/>
    <m/>
    <m/>
    <m/>
    <n v="340210490"/>
    <s v="AMAY"/>
  </r>
  <r>
    <n v="3402"/>
    <s v="15.01.2020"/>
    <n v="2020"/>
    <d v="2020-01-01T00:00:00"/>
    <n v="176"/>
    <n v="200042640"/>
    <s v="WA"/>
    <n v="81"/>
    <x v="0"/>
    <n v="11500040"/>
    <x v="0"/>
    <n v="2479.35"/>
    <s v="MXN"/>
    <n v="2479.35"/>
    <x v="0"/>
    <m/>
    <m/>
    <m/>
    <m/>
    <m/>
    <m/>
    <m/>
    <m/>
    <s v="16.01.2020"/>
    <m/>
    <n v="20200115"/>
    <n v="2479.35"/>
    <m/>
    <m/>
    <m/>
    <m/>
    <m/>
    <m/>
    <m/>
    <m/>
    <m/>
    <m/>
    <n v="340210490"/>
    <s v="AMAY"/>
  </r>
  <r>
    <n v="3402"/>
    <s v="15.01.2020"/>
    <n v="2020"/>
    <d v="2020-01-01T00:00:00"/>
    <n v="178"/>
    <n v="200042640"/>
    <s v="WA"/>
    <n v="81"/>
    <x v="0"/>
    <n v="11500040"/>
    <x v="0"/>
    <n v="4624.7"/>
    <s v="MXN"/>
    <n v="4624.7"/>
    <x v="0"/>
    <m/>
    <m/>
    <m/>
    <m/>
    <m/>
    <m/>
    <m/>
    <m/>
    <s v="16.01.2020"/>
    <m/>
    <n v="20200115"/>
    <n v="4624.7"/>
    <m/>
    <m/>
    <m/>
    <m/>
    <m/>
    <m/>
    <m/>
    <m/>
    <m/>
    <m/>
    <n v="340210490"/>
    <s v="AMAY"/>
  </r>
  <r>
    <n v="3402"/>
    <s v="15.01.2020"/>
    <n v="2020"/>
    <d v="2020-01-01T00:00:00"/>
    <n v="180"/>
    <n v="200042640"/>
    <s v="WA"/>
    <n v="81"/>
    <x v="0"/>
    <n v="11500040"/>
    <x v="0"/>
    <n v="900"/>
    <s v="MXN"/>
    <n v="900"/>
    <x v="0"/>
    <m/>
    <m/>
    <m/>
    <m/>
    <m/>
    <m/>
    <m/>
    <m/>
    <s v="16.01.2020"/>
    <m/>
    <n v="20200115"/>
    <n v="900"/>
    <m/>
    <m/>
    <m/>
    <m/>
    <m/>
    <m/>
    <m/>
    <m/>
    <m/>
    <m/>
    <n v="340210490"/>
    <s v="AMAY"/>
  </r>
  <r>
    <n v="3402"/>
    <s v="15.01.2020"/>
    <n v="2020"/>
    <d v="2020-01-01T00:00:00"/>
    <n v="182"/>
    <n v="200042640"/>
    <s v="WA"/>
    <n v="81"/>
    <x v="0"/>
    <n v="11500040"/>
    <x v="0"/>
    <n v="600.61"/>
    <s v="MXN"/>
    <n v="600.61"/>
    <x v="0"/>
    <m/>
    <m/>
    <m/>
    <m/>
    <m/>
    <m/>
    <m/>
    <m/>
    <s v="16.01.2020"/>
    <m/>
    <n v="20200115"/>
    <n v="600.61"/>
    <m/>
    <m/>
    <m/>
    <m/>
    <m/>
    <m/>
    <m/>
    <m/>
    <m/>
    <m/>
    <n v="340210490"/>
    <s v="AMAY"/>
  </r>
  <r>
    <n v="3402"/>
    <s v="15.01.2020"/>
    <n v="2020"/>
    <d v="2020-01-01T00:00:00"/>
    <n v="184"/>
    <n v="200042640"/>
    <s v="WA"/>
    <n v="81"/>
    <x v="0"/>
    <n v="11500040"/>
    <x v="0"/>
    <n v="255"/>
    <s v="MXN"/>
    <n v="255"/>
    <x v="0"/>
    <m/>
    <m/>
    <m/>
    <m/>
    <m/>
    <m/>
    <m/>
    <m/>
    <s v="16.01.2020"/>
    <m/>
    <n v="20200115"/>
    <n v="255"/>
    <m/>
    <m/>
    <m/>
    <m/>
    <m/>
    <m/>
    <m/>
    <m/>
    <m/>
    <m/>
    <n v="340210490"/>
    <s v="AMAY"/>
  </r>
  <r>
    <n v="3402"/>
    <s v="15.01.2020"/>
    <n v="2020"/>
    <d v="2020-01-01T00:00:00"/>
    <n v="186"/>
    <n v="200042640"/>
    <s v="WA"/>
    <n v="81"/>
    <x v="0"/>
    <n v="11500040"/>
    <x v="0"/>
    <n v="1120.8399999999999"/>
    <s v="MXN"/>
    <n v="1120.8399999999999"/>
    <x v="0"/>
    <m/>
    <m/>
    <m/>
    <m/>
    <m/>
    <m/>
    <m/>
    <m/>
    <s v="16.01.2020"/>
    <m/>
    <n v="20200115"/>
    <n v="1120.8399999999999"/>
    <m/>
    <m/>
    <m/>
    <m/>
    <m/>
    <m/>
    <m/>
    <m/>
    <m/>
    <m/>
    <n v="340210490"/>
    <s v="AMAY"/>
  </r>
  <r>
    <n v="3406"/>
    <s v="15.01.2020"/>
    <n v="2020"/>
    <d v="2020-01-01T00:00:00"/>
    <n v="2"/>
    <n v="600013711"/>
    <s v="WA"/>
    <n v="81"/>
    <x v="0"/>
    <n v="11500060"/>
    <x v="0"/>
    <n v="3826.69"/>
    <s v="MXN"/>
    <n v="3826.69"/>
    <x v="0"/>
    <m/>
    <m/>
    <m/>
    <m/>
    <m/>
    <m/>
    <m/>
    <m/>
    <s v="16.01.2020"/>
    <m/>
    <n v="20200115"/>
    <n v="3826.69"/>
    <m/>
    <m/>
    <m/>
    <m/>
    <m/>
    <m/>
    <m/>
    <m/>
    <m/>
    <m/>
    <n v="340610490"/>
    <s v="JGARCIA"/>
  </r>
  <r>
    <n v="3406"/>
    <s v="15.01.2020"/>
    <n v="2020"/>
    <d v="2020-01-01T00:00:00"/>
    <n v="4"/>
    <n v="600013711"/>
    <s v="WA"/>
    <n v="81"/>
    <x v="0"/>
    <n v="11500060"/>
    <x v="0"/>
    <n v="4069.98"/>
    <s v="MXN"/>
    <n v="4069.98"/>
    <x v="0"/>
    <m/>
    <m/>
    <m/>
    <m/>
    <m/>
    <m/>
    <m/>
    <m/>
    <s v="16.01.2020"/>
    <m/>
    <n v="20200115"/>
    <n v="4069.98"/>
    <m/>
    <m/>
    <m/>
    <m/>
    <m/>
    <m/>
    <m/>
    <m/>
    <m/>
    <m/>
    <n v="340610490"/>
    <s v="JGARCIA"/>
  </r>
  <r>
    <n v="3406"/>
    <s v="15.01.2020"/>
    <n v="2020"/>
    <d v="2020-01-01T00:00:00"/>
    <n v="6"/>
    <n v="600013711"/>
    <s v="WA"/>
    <n v="81"/>
    <x v="0"/>
    <n v="11500060"/>
    <x v="0"/>
    <n v="2100"/>
    <s v="MXN"/>
    <n v="2100"/>
    <x v="0"/>
    <m/>
    <m/>
    <m/>
    <m/>
    <m/>
    <m/>
    <m/>
    <m/>
    <s v="16.01.2020"/>
    <m/>
    <n v="20200115"/>
    <n v="2100"/>
    <m/>
    <m/>
    <m/>
    <m/>
    <m/>
    <m/>
    <m/>
    <m/>
    <m/>
    <m/>
    <n v="340610490"/>
    <s v="JGARCIA"/>
  </r>
  <r>
    <n v="3406"/>
    <s v="15.01.2020"/>
    <n v="2020"/>
    <d v="2020-01-01T00:00:00"/>
    <n v="10"/>
    <n v="600013711"/>
    <s v="WA"/>
    <n v="81"/>
    <x v="0"/>
    <n v="11500060"/>
    <x v="0"/>
    <n v="754.8"/>
    <s v="MXN"/>
    <n v="754.8"/>
    <x v="0"/>
    <m/>
    <m/>
    <m/>
    <m/>
    <m/>
    <m/>
    <m/>
    <m/>
    <s v="16.01.2020"/>
    <m/>
    <n v="20200115"/>
    <n v="754.8"/>
    <m/>
    <m/>
    <m/>
    <m/>
    <m/>
    <m/>
    <m/>
    <m/>
    <m/>
    <m/>
    <n v="340610490"/>
    <s v="JGARCIA"/>
  </r>
  <r>
    <n v="3406"/>
    <s v="15.01.2020"/>
    <n v="2020"/>
    <d v="2020-01-01T00:00:00"/>
    <n v="12"/>
    <n v="600013711"/>
    <s v="WA"/>
    <n v="81"/>
    <x v="0"/>
    <n v="11500060"/>
    <x v="0"/>
    <n v="735"/>
    <s v="MXN"/>
    <n v="735"/>
    <x v="0"/>
    <m/>
    <m/>
    <m/>
    <m/>
    <m/>
    <m/>
    <m/>
    <m/>
    <s v="16.01.2020"/>
    <m/>
    <n v="20200115"/>
    <n v="735"/>
    <m/>
    <m/>
    <m/>
    <m/>
    <m/>
    <m/>
    <m/>
    <m/>
    <m/>
    <m/>
    <n v="340610490"/>
    <s v="JGARCIA"/>
  </r>
  <r>
    <n v="3406"/>
    <s v="15.01.2020"/>
    <n v="2020"/>
    <d v="2020-01-01T00:00:00"/>
    <n v="14"/>
    <n v="600013711"/>
    <s v="WA"/>
    <n v="81"/>
    <x v="0"/>
    <n v="11500060"/>
    <x v="0"/>
    <n v="714"/>
    <s v="MXN"/>
    <n v="714"/>
    <x v="0"/>
    <m/>
    <m/>
    <m/>
    <m/>
    <m/>
    <m/>
    <m/>
    <m/>
    <s v="16.01.2020"/>
    <m/>
    <n v="20200115"/>
    <n v="714"/>
    <m/>
    <m/>
    <m/>
    <m/>
    <m/>
    <m/>
    <m/>
    <m/>
    <m/>
    <m/>
    <n v="340610490"/>
    <s v="JGARCIA"/>
  </r>
  <r>
    <n v="3406"/>
    <s v="15.01.2020"/>
    <n v="2020"/>
    <d v="2020-01-01T00:00:00"/>
    <n v="20"/>
    <n v="600013711"/>
    <s v="WA"/>
    <n v="81"/>
    <x v="0"/>
    <n v="11500060"/>
    <x v="0"/>
    <n v="73.45"/>
    <s v="MXN"/>
    <n v="73.45"/>
    <x v="0"/>
    <m/>
    <m/>
    <m/>
    <m/>
    <m/>
    <m/>
    <m/>
    <m/>
    <s v="16.01.2020"/>
    <m/>
    <n v="20200115"/>
    <n v="73.45"/>
    <m/>
    <m/>
    <m/>
    <m/>
    <m/>
    <m/>
    <m/>
    <m/>
    <m/>
    <m/>
    <n v="340610490"/>
    <s v="JGARCIA"/>
  </r>
  <r>
    <n v="3406"/>
    <s v="15.01.2020"/>
    <n v="2020"/>
    <d v="2020-01-01T00:00:00"/>
    <n v="96"/>
    <n v="600013711"/>
    <s v="WA"/>
    <n v="81"/>
    <x v="0"/>
    <n v="11500060"/>
    <x v="0"/>
    <n v="10262"/>
    <s v="MXN"/>
    <n v="10262"/>
    <x v="0"/>
    <m/>
    <m/>
    <m/>
    <m/>
    <m/>
    <m/>
    <m/>
    <m/>
    <s v="16.01.2020"/>
    <m/>
    <n v="20200115"/>
    <n v="10262"/>
    <m/>
    <m/>
    <m/>
    <m/>
    <m/>
    <m/>
    <m/>
    <m/>
    <m/>
    <m/>
    <n v="340610490"/>
    <s v="JGARCIA"/>
  </r>
  <r>
    <n v="3406"/>
    <s v="15.01.2020"/>
    <n v="2020"/>
    <d v="2020-01-01T00:00:00"/>
    <n v="98"/>
    <n v="600013711"/>
    <s v="WA"/>
    <n v="81"/>
    <x v="0"/>
    <n v="11500060"/>
    <x v="0"/>
    <n v="5131"/>
    <s v="MXN"/>
    <n v="5131"/>
    <x v="0"/>
    <m/>
    <m/>
    <m/>
    <m/>
    <m/>
    <m/>
    <m/>
    <m/>
    <s v="16.01.2020"/>
    <m/>
    <n v="20200115"/>
    <n v="5131"/>
    <m/>
    <m/>
    <m/>
    <m/>
    <m/>
    <m/>
    <m/>
    <m/>
    <m/>
    <m/>
    <n v="340610490"/>
    <s v="JGARCIA"/>
  </r>
  <r>
    <n v="3406"/>
    <s v="15.01.2020"/>
    <n v="2020"/>
    <d v="2020-01-01T00:00:00"/>
    <n v="100"/>
    <n v="600013711"/>
    <s v="WA"/>
    <n v="81"/>
    <x v="0"/>
    <n v="11500060"/>
    <x v="0"/>
    <n v="5131"/>
    <s v="MXN"/>
    <n v="5131"/>
    <x v="0"/>
    <m/>
    <m/>
    <m/>
    <m/>
    <m/>
    <m/>
    <m/>
    <m/>
    <s v="16.01.2020"/>
    <m/>
    <n v="20200115"/>
    <n v="5131"/>
    <m/>
    <m/>
    <m/>
    <m/>
    <m/>
    <m/>
    <m/>
    <m/>
    <m/>
    <m/>
    <n v="340610490"/>
    <s v="JGARCIA"/>
  </r>
  <r>
    <n v="3406"/>
    <s v="15.01.2020"/>
    <n v="2020"/>
    <d v="2020-01-01T00:00:00"/>
    <n v="102"/>
    <n v="600013711"/>
    <s v="WA"/>
    <n v="81"/>
    <x v="0"/>
    <n v="11500060"/>
    <x v="0"/>
    <n v="5131"/>
    <s v="MXN"/>
    <n v="5131"/>
    <x v="0"/>
    <m/>
    <m/>
    <m/>
    <m/>
    <m/>
    <m/>
    <m/>
    <m/>
    <s v="16.01.2020"/>
    <m/>
    <n v="20200115"/>
    <n v="5131"/>
    <m/>
    <m/>
    <m/>
    <m/>
    <m/>
    <m/>
    <m/>
    <m/>
    <m/>
    <m/>
    <n v="340610490"/>
    <s v="JGARCIA"/>
  </r>
  <r>
    <n v="3406"/>
    <s v="15.01.2020"/>
    <n v="2020"/>
    <d v="2020-01-01T00:00:00"/>
    <n v="112"/>
    <n v="600013711"/>
    <s v="WA"/>
    <n v="81"/>
    <x v="0"/>
    <n v="11500060"/>
    <x v="0"/>
    <n v="1261.25"/>
    <s v="MXN"/>
    <n v="1261.25"/>
    <x v="0"/>
    <m/>
    <m/>
    <m/>
    <m/>
    <m/>
    <m/>
    <m/>
    <m/>
    <s v="16.01.2020"/>
    <m/>
    <n v="20200115"/>
    <n v="1261.25"/>
    <m/>
    <m/>
    <m/>
    <m/>
    <m/>
    <m/>
    <m/>
    <m/>
    <m/>
    <m/>
    <n v="340610490"/>
    <s v="JGARCIA"/>
  </r>
  <r>
    <n v="3406"/>
    <s v="15.01.2020"/>
    <n v="2020"/>
    <d v="2020-01-01T00:00:00"/>
    <n v="114"/>
    <n v="600013711"/>
    <s v="WA"/>
    <n v="81"/>
    <x v="0"/>
    <n v="11500060"/>
    <x v="0"/>
    <n v="1261.25"/>
    <s v="MXN"/>
    <n v="1261.25"/>
    <x v="0"/>
    <m/>
    <m/>
    <m/>
    <m/>
    <m/>
    <m/>
    <m/>
    <m/>
    <s v="16.01.2020"/>
    <m/>
    <n v="20200115"/>
    <n v="1261.25"/>
    <m/>
    <m/>
    <m/>
    <m/>
    <m/>
    <m/>
    <m/>
    <m/>
    <m/>
    <m/>
    <n v="340610490"/>
    <s v="JGARCIA"/>
  </r>
  <r>
    <n v="3406"/>
    <s v="15.01.2020"/>
    <n v="2020"/>
    <d v="2020-01-01T00:00:00"/>
    <n v="116"/>
    <n v="600013711"/>
    <s v="WA"/>
    <n v="81"/>
    <x v="0"/>
    <n v="11500060"/>
    <x v="0"/>
    <n v="612.15"/>
    <s v="MXN"/>
    <n v="612.15"/>
    <x v="0"/>
    <m/>
    <m/>
    <m/>
    <m/>
    <m/>
    <m/>
    <m/>
    <m/>
    <s v="16.01.2020"/>
    <m/>
    <n v="20200115"/>
    <n v="612.15"/>
    <m/>
    <m/>
    <m/>
    <m/>
    <m/>
    <m/>
    <m/>
    <m/>
    <m/>
    <m/>
    <n v="340610490"/>
    <s v="JGARCIA"/>
  </r>
  <r>
    <n v="3406"/>
    <s v="15.01.2020"/>
    <n v="2020"/>
    <d v="2020-01-01T00:00:00"/>
    <n v="150"/>
    <n v="600013711"/>
    <s v="WA"/>
    <n v="81"/>
    <x v="0"/>
    <n v="11500060"/>
    <x v="0"/>
    <n v="73.45"/>
    <s v="MXN"/>
    <n v="73.45"/>
    <x v="0"/>
    <m/>
    <m/>
    <m/>
    <m/>
    <m/>
    <m/>
    <m/>
    <m/>
    <s v="16.01.2020"/>
    <m/>
    <n v="20200115"/>
    <n v="73.45"/>
    <m/>
    <m/>
    <m/>
    <m/>
    <m/>
    <m/>
    <m/>
    <m/>
    <m/>
    <m/>
    <n v="340610490"/>
    <s v="JGARCIA"/>
  </r>
  <r>
    <n v="3406"/>
    <s v="15.01.2020"/>
    <n v="2020"/>
    <d v="2020-01-01T00:00:00"/>
    <n v="160"/>
    <n v="600013711"/>
    <s v="WA"/>
    <n v="81"/>
    <x v="0"/>
    <n v="11500060"/>
    <x v="0"/>
    <n v="2028.6"/>
    <s v="MXN"/>
    <n v="2028.6"/>
    <x v="0"/>
    <m/>
    <m/>
    <m/>
    <m/>
    <m/>
    <m/>
    <m/>
    <m/>
    <s v="16.01.2020"/>
    <m/>
    <n v="20200115"/>
    <n v="2028.6"/>
    <m/>
    <m/>
    <m/>
    <m/>
    <m/>
    <m/>
    <m/>
    <m/>
    <m/>
    <m/>
    <n v="340610490"/>
    <s v="JGARCIA"/>
  </r>
  <r>
    <n v="3406"/>
    <s v="15.01.2020"/>
    <n v="2020"/>
    <d v="2020-01-01T00:00:00"/>
    <n v="162"/>
    <n v="600013711"/>
    <s v="WA"/>
    <n v="81"/>
    <x v="0"/>
    <n v="11500060"/>
    <x v="0"/>
    <n v="11"/>
    <s v="MXN"/>
    <n v="11"/>
    <x v="0"/>
    <m/>
    <m/>
    <m/>
    <m/>
    <m/>
    <m/>
    <m/>
    <m/>
    <s v="16.01.2020"/>
    <m/>
    <n v="20200115"/>
    <n v="11"/>
    <m/>
    <m/>
    <m/>
    <m/>
    <m/>
    <m/>
    <m/>
    <m/>
    <m/>
    <m/>
    <n v="340610490"/>
    <s v="JGARCIA"/>
  </r>
  <r>
    <n v="3406"/>
    <s v="15.01.2020"/>
    <n v="2020"/>
    <d v="2020-01-01T00:00:00"/>
    <n v="164"/>
    <n v="600013711"/>
    <s v="WA"/>
    <n v="81"/>
    <x v="0"/>
    <n v="11500060"/>
    <x v="0"/>
    <n v="700"/>
    <s v="MXN"/>
    <n v="700"/>
    <x v="0"/>
    <m/>
    <m/>
    <m/>
    <m/>
    <m/>
    <m/>
    <m/>
    <m/>
    <s v="16.01.2020"/>
    <m/>
    <n v="20200115"/>
    <n v="700"/>
    <m/>
    <m/>
    <m/>
    <m/>
    <m/>
    <m/>
    <m/>
    <m/>
    <m/>
    <m/>
    <n v="340610490"/>
    <s v="JGARCIA"/>
  </r>
  <r>
    <n v="3406"/>
    <s v="15.01.2020"/>
    <n v="2020"/>
    <d v="2020-01-01T00:00:00"/>
    <n v="166"/>
    <n v="600013711"/>
    <s v="WA"/>
    <n v="81"/>
    <x v="0"/>
    <n v="11500060"/>
    <x v="0"/>
    <n v="112.69"/>
    <s v="MXN"/>
    <n v="112.69"/>
    <x v="0"/>
    <m/>
    <m/>
    <m/>
    <m/>
    <m/>
    <m/>
    <m/>
    <m/>
    <s v="16.01.2020"/>
    <m/>
    <n v="20200115"/>
    <n v="112.69"/>
    <m/>
    <m/>
    <m/>
    <m/>
    <m/>
    <m/>
    <m/>
    <m/>
    <m/>
    <m/>
    <n v="340610490"/>
    <s v="JGARCIA"/>
  </r>
  <r>
    <n v="3406"/>
    <s v="15.01.2020"/>
    <n v="2020"/>
    <d v="2020-01-01T00:00:00"/>
    <n v="168"/>
    <n v="600013711"/>
    <s v="WA"/>
    <n v="81"/>
    <x v="0"/>
    <n v="11500060"/>
    <x v="0"/>
    <n v="460.82"/>
    <s v="MXN"/>
    <n v="460.82"/>
    <x v="0"/>
    <m/>
    <m/>
    <m/>
    <m/>
    <m/>
    <m/>
    <m/>
    <m/>
    <s v="16.01.2020"/>
    <m/>
    <n v="20200115"/>
    <n v="460.82"/>
    <m/>
    <m/>
    <m/>
    <m/>
    <m/>
    <m/>
    <m/>
    <m/>
    <m/>
    <m/>
    <n v="340610490"/>
    <s v="JGARCIA"/>
  </r>
  <r>
    <n v="3401"/>
    <s v="31.01.2020"/>
    <n v="2020"/>
    <d v="2020-01-01T00:00:00"/>
    <n v="162"/>
    <n v="100031709"/>
    <s v="WA"/>
    <n v="91"/>
    <x v="0"/>
    <n v="11500010"/>
    <x v="0"/>
    <n v="678.33"/>
    <s v="MXN"/>
    <n v="678.33"/>
    <x v="0"/>
    <m/>
    <m/>
    <m/>
    <m/>
    <m/>
    <m/>
    <m/>
    <m/>
    <s v="31.01.2020"/>
    <m/>
    <n v="20200131"/>
    <n v="678.33"/>
    <m/>
    <m/>
    <m/>
    <m/>
    <m/>
    <m/>
    <m/>
    <m/>
    <m/>
    <m/>
    <n v="340116690"/>
    <s v="FLUGO"/>
  </r>
  <r>
    <n v="3401"/>
    <s v="31.01.2020"/>
    <n v="2020"/>
    <d v="2020-01-01T00:00:00"/>
    <n v="164"/>
    <n v="100031709"/>
    <s v="WA"/>
    <n v="91"/>
    <x v="0"/>
    <n v="11500010"/>
    <x v="0"/>
    <n v="546.66999999999996"/>
    <s v="MXN"/>
    <n v="546.66999999999996"/>
    <x v="0"/>
    <m/>
    <m/>
    <m/>
    <m/>
    <m/>
    <m/>
    <m/>
    <m/>
    <s v="31.01.2020"/>
    <m/>
    <n v="20200131"/>
    <n v="546.66999999999996"/>
    <m/>
    <m/>
    <m/>
    <m/>
    <m/>
    <m/>
    <m/>
    <m/>
    <m/>
    <m/>
    <n v="340116690"/>
    <s v="FLUGO"/>
  </r>
  <r>
    <n v="3401"/>
    <s v="15.01.2020"/>
    <n v="2020"/>
    <d v="2020-01-01T00:00:00"/>
    <n v="2"/>
    <n v="100015719"/>
    <s v="WA"/>
    <n v="81"/>
    <x v="0"/>
    <n v="11500040"/>
    <x v="0"/>
    <n v="535"/>
    <s v="MXN"/>
    <n v="535"/>
    <x v="0"/>
    <m/>
    <m/>
    <m/>
    <m/>
    <m/>
    <m/>
    <m/>
    <m/>
    <s v="16.01.2020"/>
    <m/>
    <n v="20200115"/>
    <n v="535"/>
    <m/>
    <m/>
    <m/>
    <m/>
    <m/>
    <m/>
    <m/>
    <m/>
    <m/>
    <m/>
    <n v="340110490"/>
    <s v="VCORTEZ"/>
  </r>
  <r>
    <n v="3401"/>
    <s v="15.01.2020"/>
    <n v="2020"/>
    <d v="2020-01-01T00:00:00"/>
    <n v="8"/>
    <n v="100015719"/>
    <s v="WA"/>
    <n v="81"/>
    <x v="0"/>
    <n v="11500040"/>
    <x v="0"/>
    <n v="336"/>
    <s v="MXN"/>
    <n v="336"/>
    <x v="0"/>
    <m/>
    <m/>
    <m/>
    <m/>
    <m/>
    <m/>
    <m/>
    <m/>
    <s v="16.01.2020"/>
    <m/>
    <n v="20200115"/>
    <n v="336"/>
    <m/>
    <m/>
    <m/>
    <m/>
    <m/>
    <m/>
    <m/>
    <m/>
    <m/>
    <m/>
    <n v="340110490"/>
    <s v="VCORTEZ"/>
  </r>
  <r>
    <n v="3401"/>
    <s v="15.01.2020"/>
    <n v="2020"/>
    <d v="2020-01-01T00:00:00"/>
    <n v="10"/>
    <n v="100015719"/>
    <s v="WA"/>
    <n v="81"/>
    <x v="0"/>
    <n v="11500040"/>
    <x v="0"/>
    <n v="1690.5"/>
    <s v="MXN"/>
    <n v="1690.5"/>
    <x v="0"/>
    <m/>
    <m/>
    <m/>
    <m/>
    <m/>
    <m/>
    <m/>
    <m/>
    <s v="16.01.2020"/>
    <m/>
    <n v="20200115"/>
    <n v="1690.5"/>
    <m/>
    <m/>
    <m/>
    <m/>
    <m/>
    <m/>
    <m/>
    <m/>
    <m/>
    <m/>
    <n v="340110490"/>
    <s v="VCORTEZ"/>
  </r>
  <r>
    <n v="3401"/>
    <s v="15.01.2020"/>
    <n v="2020"/>
    <d v="2020-01-01T00:00:00"/>
    <n v="12"/>
    <n v="100015719"/>
    <s v="WA"/>
    <n v="81"/>
    <x v="0"/>
    <n v="11500040"/>
    <x v="0"/>
    <n v="7900"/>
    <s v="MXN"/>
    <n v="7900"/>
    <x v="0"/>
    <m/>
    <m/>
    <m/>
    <m/>
    <m/>
    <m/>
    <m/>
    <m/>
    <s v="16.01.2020"/>
    <m/>
    <n v="20200115"/>
    <n v="7900"/>
    <m/>
    <m/>
    <m/>
    <m/>
    <m/>
    <m/>
    <m/>
    <m/>
    <m/>
    <m/>
    <n v="340110490"/>
    <s v="VCORTEZ"/>
  </r>
  <r>
    <n v="3401"/>
    <s v="15.01.2020"/>
    <n v="2020"/>
    <d v="2020-01-01T00:00:00"/>
    <n v="14"/>
    <n v="100015719"/>
    <s v="WA"/>
    <n v="81"/>
    <x v="0"/>
    <n v="11500040"/>
    <x v="0"/>
    <n v="810"/>
    <s v="MXN"/>
    <n v="810"/>
    <x v="0"/>
    <m/>
    <m/>
    <m/>
    <m/>
    <m/>
    <m/>
    <m/>
    <m/>
    <s v="16.01.2020"/>
    <m/>
    <n v="20200115"/>
    <n v="810"/>
    <m/>
    <m/>
    <m/>
    <m/>
    <m/>
    <m/>
    <m/>
    <m/>
    <m/>
    <m/>
    <n v="340110490"/>
    <s v="VCORTEZ"/>
  </r>
  <r>
    <n v="3401"/>
    <s v="15.01.2020"/>
    <n v="2020"/>
    <d v="2020-01-01T00:00:00"/>
    <n v="28"/>
    <n v="100015719"/>
    <s v="WA"/>
    <n v="81"/>
    <x v="0"/>
    <n v="11500040"/>
    <x v="0"/>
    <n v="1513.5"/>
    <s v="MXN"/>
    <n v="1513.5"/>
    <x v="0"/>
    <m/>
    <m/>
    <m/>
    <m/>
    <m/>
    <m/>
    <m/>
    <m/>
    <s v="16.01.2020"/>
    <m/>
    <n v="20200115"/>
    <n v="1513.5"/>
    <m/>
    <m/>
    <m/>
    <m/>
    <m/>
    <m/>
    <m/>
    <m/>
    <m/>
    <m/>
    <n v="340110490"/>
    <s v="VCORTEZ"/>
  </r>
  <r>
    <n v="3401"/>
    <s v="15.01.2020"/>
    <n v="2020"/>
    <d v="2020-01-01T00:00:00"/>
    <n v="30"/>
    <n v="100015719"/>
    <s v="WA"/>
    <n v="81"/>
    <x v="0"/>
    <n v="11500040"/>
    <x v="0"/>
    <n v="1224.3"/>
    <s v="MXN"/>
    <n v="1224.3"/>
    <x v="0"/>
    <m/>
    <m/>
    <m/>
    <m/>
    <m/>
    <m/>
    <m/>
    <m/>
    <s v="16.01.2020"/>
    <m/>
    <n v="20200115"/>
    <n v="1224.3"/>
    <m/>
    <m/>
    <m/>
    <m/>
    <m/>
    <m/>
    <m/>
    <m/>
    <m/>
    <m/>
    <n v="340110490"/>
    <s v="VCORTEZ"/>
  </r>
  <r>
    <n v="3401"/>
    <s v="15.01.2020"/>
    <n v="2020"/>
    <d v="2020-01-01T00:00:00"/>
    <n v="38"/>
    <n v="100015719"/>
    <s v="WA"/>
    <n v="81"/>
    <x v="0"/>
    <n v="11500040"/>
    <x v="0"/>
    <n v="80.849999999999994"/>
    <s v="MXN"/>
    <n v="80.849999999999994"/>
    <x v="0"/>
    <m/>
    <m/>
    <m/>
    <m/>
    <m/>
    <m/>
    <m/>
    <m/>
    <s v="16.01.2020"/>
    <m/>
    <n v="20200115"/>
    <n v="80.849999999999994"/>
    <m/>
    <m/>
    <m/>
    <m/>
    <m/>
    <m/>
    <m/>
    <m/>
    <m/>
    <m/>
    <n v="340110490"/>
    <s v="VCORTEZ"/>
  </r>
  <r>
    <n v="3401"/>
    <s v="15.01.2020"/>
    <n v="2020"/>
    <d v="2020-01-01T00:00:00"/>
    <n v="68"/>
    <n v="100015719"/>
    <s v="WA"/>
    <n v="81"/>
    <x v="0"/>
    <n v="11500040"/>
    <x v="0"/>
    <n v="4200"/>
    <s v="MXN"/>
    <n v="4200"/>
    <x v="0"/>
    <m/>
    <m/>
    <m/>
    <m/>
    <m/>
    <m/>
    <m/>
    <m/>
    <s v="16.01.2020"/>
    <m/>
    <n v="20200115"/>
    <n v="4200"/>
    <m/>
    <m/>
    <m/>
    <m/>
    <m/>
    <m/>
    <m/>
    <m/>
    <m/>
    <m/>
    <n v="340110490"/>
    <s v="VCORTEZ"/>
  </r>
  <r>
    <n v="3401"/>
    <s v="15.01.2020"/>
    <n v="2020"/>
    <d v="2020-01-01T00:00:00"/>
    <n v="70"/>
    <n v="100015719"/>
    <s v="WA"/>
    <n v="81"/>
    <x v="0"/>
    <n v="11500040"/>
    <x v="0"/>
    <n v="10933.4"/>
    <s v="MXN"/>
    <n v="10933.4"/>
    <x v="0"/>
    <m/>
    <m/>
    <m/>
    <m/>
    <m/>
    <m/>
    <m/>
    <m/>
    <s v="16.01.2020"/>
    <m/>
    <n v="20200115"/>
    <n v="10933.4"/>
    <m/>
    <m/>
    <m/>
    <m/>
    <m/>
    <m/>
    <m/>
    <m/>
    <m/>
    <m/>
    <n v="340110490"/>
    <s v="VCORTEZ"/>
  </r>
  <r>
    <n v="3401"/>
    <s v="15.01.2020"/>
    <n v="2020"/>
    <d v="2020-01-01T00:00:00"/>
    <n v="72"/>
    <n v="100015719"/>
    <s v="WA"/>
    <n v="81"/>
    <x v="0"/>
    <n v="11500040"/>
    <x v="0"/>
    <n v="1963.2"/>
    <s v="MXN"/>
    <n v="1963.2"/>
    <x v="0"/>
    <m/>
    <m/>
    <m/>
    <m/>
    <m/>
    <m/>
    <m/>
    <m/>
    <s v="16.01.2020"/>
    <m/>
    <n v="20200115"/>
    <n v="1963.2"/>
    <m/>
    <m/>
    <m/>
    <m/>
    <m/>
    <m/>
    <m/>
    <m/>
    <m/>
    <m/>
    <n v="340110490"/>
    <s v="VCORTEZ"/>
  </r>
  <r>
    <n v="3402"/>
    <s v="31.01.2020"/>
    <n v="2020"/>
    <d v="2020-01-01T00:00:00"/>
    <n v="84"/>
    <n v="200114465"/>
    <s v="WA"/>
    <n v="81"/>
    <x v="0"/>
    <n v="11500010"/>
    <x v="0"/>
    <n v="3826.69"/>
    <s v="MXN"/>
    <n v="3826.69"/>
    <x v="0"/>
    <m/>
    <m/>
    <m/>
    <m/>
    <m/>
    <m/>
    <m/>
    <m/>
    <s v="01.02.2020"/>
    <m/>
    <n v="20200131"/>
    <n v="3826.69"/>
    <m/>
    <m/>
    <m/>
    <m/>
    <m/>
    <m/>
    <m/>
    <m/>
    <m/>
    <m/>
    <n v="340212690"/>
    <s v="AUXCOSTORVM1"/>
  </r>
  <r>
    <n v="3401"/>
    <s v="31.01.2020"/>
    <n v="2020"/>
    <d v="2020-01-01T00:00:00"/>
    <n v="162"/>
    <n v="100031505"/>
    <s v="WA"/>
    <n v="81"/>
    <x v="0"/>
    <n v="11500010"/>
    <x v="0"/>
    <n v="678.33"/>
    <s v="MXN"/>
    <n v="678.33"/>
    <x v="0"/>
    <m/>
    <m/>
    <m/>
    <m/>
    <m/>
    <m/>
    <m/>
    <m/>
    <s v="31.01.2020"/>
    <m/>
    <n v="20200131"/>
    <n v="678.33"/>
    <m/>
    <m/>
    <m/>
    <m/>
    <m/>
    <m/>
    <m/>
    <m/>
    <m/>
    <m/>
    <n v="340116690"/>
    <s v="FLUGO"/>
  </r>
  <r>
    <n v="3401"/>
    <s v="31.01.2020"/>
    <n v="2020"/>
    <d v="2020-01-01T00:00:00"/>
    <n v="164"/>
    <n v="100031505"/>
    <s v="WA"/>
    <n v="81"/>
    <x v="0"/>
    <n v="11500010"/>
    <x v="0"/>
    <n v="546.66999999999996"/>
    <s v="MXN"/>
    <n v="546.66999999999996"/>
    <x v="0"/>
    <m/>
    <m/>
    <m/>
    <m/>
    <m/>
    <m/>
    <m/>
    <m/>
    <s v="31.01.2020"/>
    <m/>
    <n v="20200131"/>
    <n v="546.66999999999996"/>
    <m/>
    <m/>
    <m/>
    <m/>
    <m/>
    <m/>
    <m/>
    <m/>
    <m/>
    <m/>
    <n v="340116690"/>
    <s v="FLUGO"/>
  </r>
  <r>
    <n v="3403"/>
    <s v="31.01.2020"/>
    <n v="2020"/>
    <d v="2020-01-01T00:00:00"/>
    <n v="40"/>
    <n v="300018456"/>
    <s v="WA"/>
    <n v="81"/>
    <x v="0"/>
    <n v="11500020"/>
    <x v="0"/>
    <n v="1200"/>
    <s v="MXN"/>
    <n v="1200"/>
    <x v="0"/>
    <m/>
    <m/>
    <m/>
    <m/>
    <m/>
    <m/>
    <m/>
    <m/>
    <s v="01.02.2020"/>
    <m/>
    <n v="20200131"/>
    <n v="1200"/>
    <m/>
    <m/>
    <m/>
    <m/>
    <m/>
    <m/>
    <m/>
    <m/>
    <m/>
    <m/>
    <n v="340312390"/>
    <s v="JBAUTISTA"/>
  </r>
  <r>
    <n v="3402"/>
    <s v="31.01.2020"/>
    <n v="2020"/>
    <d v="2020-01-01T00:00:00"/>
    <n v="34"/>
    <n v="200114637"/>
    <s v="WA"/>
    <n v="81"/>
    <x v="0"/>
    <n v="11500030"/>
    <x v="0"/>
    <n v="356"/>
    <s v="MXN"/>
    <n v="356"/>
    <x v="0"/>
    <m/>
    <m/>
    <m/>
    <m/>
    <m/>
    <m/>
    <m/>
    <m/>
    <s v="01.02.2020"/>
    <m/>
    <n v="20200131"/>
    <n v="356"/>
    <m/>
    <m/>
    <m/>
    <m/>
    <m/>
    <m/>
    <m/>
    <m/>
    <m/>
    <m/>
    <n v="340215190"/>
    <s v="AUXCOSTORVM2"/>
  </r>
  <r>
    <n v="3409"/>
    <s v="31.01.2020"/>
    <n v="2020"/>
    <d v="2020-01-01T00:00:00"/>
    <n v="38"/>
    <n v="900011629"/>
    <s v="WA"/>
    <n v="81"/>
    <x v="0"/>
    <n v="11500060"/>
    <x v="0"/>
    <n v="237.89"/>
    <s v="MXN"/>
    <n v="237.89"/>
    <x v="0"/>
    <m/>
    <m/>
    <m/>
    <m/>
    <m/>
    <m/>
    <m/>
    <m/>
    <s v="01.02.2020"/>
    <m/>
    <n v="20200131"/>
    <n v="237.89"/>
    <m/>
    <m/>
    <m/>
    <m/>
    <m/>
    <m/>
    <m/>
    <m/>
    <m/>
    <m/>
    <n v="340910490"/>
    <s v="JMADRID"/>
  </r>
  <r>
    <n v="3409"/>
    <s v="31.01.2020"/>
    <n v="2020"/>
    <d v="2020-01-01T00:00:00"/>
    <n v="40"/>
    <n v="900011629"/>
    <s v="WA"/>
    <n v="81"/>
    <x v="0"/>
    <n v="11500060"/>
    <x v="0"/>
    <n v="322.52999999999997"/>
    <s v="MXN"/>
    <n v="322.52999999999997"/>
    <x v="0"/>
    <m/>
    <m/>
    <m/>
    <m/>
    <m/>
    <m/>
    <m/>
    <m/>
    <s v="01.02.2020"/>
    <m/>
    <n v="20200131"/>
    <n v="322.52999999999997"/>
    <m/>
    <m/>
    <m/>
    <m/>
    <m/>
    <m/>
    <m/>
    <m/>
    <m/>
    <m/>
    <n v="340910490"/>
    <s v="JMADRID"/>
  </r>
  <r>
    <n v="3409"/>
    <s v="31.01.2020"/>
    <n v="2020"/>
    <d v="2020-01-01T00:00:00"/>
    <n v="46"/>
    <n v="900011629"/>
    <s v="WA"/>
    <n v="81"/>
    <x v="0"/>
    <n v="11500060"/>
    <x v="0"/>
    <n v="4900"/>
    <s v="MXN"/>
    <n v="4900"/>
    <x v="0"/>
    <m/>
    <m/>
    <m/>
    <m/>
    <m/>
    <m/>
    <m/>
    <m/>
    <s v="01.02.2020"/>
    <m/>
    <n v="20200131"/>
    <n v="4900"/>
    <m/>
    <m/>
    <m/>
    <m/>
    <m/>
    <m/>
    <m/>
    <m/>
    <m/>
    <m/>
    <n v="340910490"/>
    <s v="JMADRID"/>
  </r>
  <r>
    <n v="3409"/>
    <s v="31.01.2020"/>
    <n v="2020"/>
    <d v="2020-01-01T00:00:00"/>
    <n v="62"/>
    <n v="900011629"/>
    <s v="WA"/>
    <n v="81"/>
    <x v="0"/>
    <n v="11500060"/>
    <x v="0"/>
    <n v="320.7"/>
    <s v="MXN"/>
    <n v="320.7"/>
    <x v="0"/>
    <m/>
    <m/>
    <m/>
    <m/>
    <m/>
    <m/>
    <m/>
    <m/>
    <s v="01.02.2020"/>
    <m/>
    <n v="20200131"/>
    <n v="320.7"/>
    <m/>
    <m/>
    <m/>
    <m/>
    <m/>
    <m/>
    <m/>
    <m/>
    <m/>
    <m/>
    <n v="340910490"/>
    <s v="JMADRID"/>
  </r>
  <r>
    <n v="3409"/>
    <s v="31.01.2020"/>
    <n v="2020"/>
    <d v="2020-01-01T00:00:00"/>
    <n v="68"/>
    <n v="900011629"/>
    <s v="WA"/>
    <n v="81"/>
    <x v="0"/>
    <n v="11500060"/>
    <x v="0"/>
    <n v="3500"/>
    <s v="MXN"/>
    <n v="3500"/>
    <x v="0"/>
    <m/>
    <m/>
    <m/>
    <m/>
    <m/>
    <m/>
    <m/>
    <m/>
    <s v="01.02.2020"/>
    <m/>
    <n v="20200131"/>
    <n v="3500"/>
    <m/>
    <m/>
    <m/>
    <m/>
    <m/>
    <m/>
    <m/>
    <m/>
    <m/>
    <m/>
    <n v="340910490"/>
    <s v="JMADRID"/>
  </r>
  <r>
    <n v="3409"/>
    <s v="31.01.2020"/>
    <n v="2020"/>
    <d v="2020-01-01T00:00:00"/>
    <n v="128"/>
    <n v="900011629"/>
    <s v="WA"/>
    <n v="81"/>
    <x v="0"/>
    <n v="11500060"/>
    <x v="0"/>
    <n v="1644.5"/>
    <s v="MXN"/>
    <n v="1644.5"/>
    <x v="0"/>
    <m/>
    <m/>
    <m/>
    <m/>
    <m/>
    <m/>
    <m/>
    <m/>
    <s v="01.02.2020"/>
    <m/>
    <n v="20200131"/>
    <n v="1644.5"/>
    <m/>
    <m/>
    <m/>
    <m/>
    <m/>
    <m/>
    <m/>
    <m/>
    <m/>
    <m/>
    <n v="340910490"/>
    <s v="JMADRID"/>
  </r>
  <r>
    <n v="3409"/>
    <s v="31.01.2020"/>
    <n v="2020"/>
    <d v="2020-01-01T00:00:00"/>
    <n v="130"/>
    <n v="900011629"/>
    <s v="WA"/>
    <n v="81"/>
    <x v="0"/>
    <n v="11500060"/>
    <x v="0"/>
    <n v="1514.25"/>
    <s v="MXN"/>
    <n v="1514.25"/>
    <x v="0"/>
    <m/>
    <m/>
    <m/>
    <m/>
    <m/>
    <m/>
    <m/>
    <m/>
    <s v="01.02.2020"/>
    <m/>
    <n v="20200131"/>
    <n v="1514.25"/>
    <m/>
    <m/>
    <m/>
    <m/>
    <m/>
    <m/>
    <m/>
    <m/>
    <m/>
    <m/>
    <n v="340910490"/>
    <s v="JMADRID"/>
  </r>
  <r>
    <n v="3401"/>
    <s v="31.01.2020"/>
    <n v="2020"/>
    <d v="2020-01-01T00:00:00"/>
    <n v="18"/>
    <n v="100031721"/>
    <s v="WA"/>
    <n v="81"/>
    <x v="0"/>
    <n v="11500060"/>
    <x v="0"/>
    <n v="1008"/>
    <s v="MXN"/>
    <n v="1008"/>
    <x v="0"/>
    <m/>
    <m/>
    <m/>
    <m/>
    <m/>
    <m/>
    <m/>
    <m/>
    <s v="31.01.2020"/>
    <m/>
    <n v="20200131"/>
    <n v="1008"/>
    <m/>
    <m/>
    <m/>
    <m/>
    <m/>
    <m/>
    <m/>
    <m/>
    <m/>
    <m/>
    <n v="340112890"/>
    <s v="FLUGO"/>
  </r>
  <r>
    <n v="3401"/>
    <s v="31.01.2020"/>
    <n v="2020"/>
    <d v="2020-01-01T00:00:00"/>
    <n v="20"/>
    <n v="100031721"/>
    <s v="WA"/>
    <n v="81"/>
    <x v="0"/>
    <n v="11500060"/>
    <x v="0"/>
    <n v="3440"/>
    <s v="MXN"/>
    <n v="3440"/>
    <x v="0"/>
    <m/>
    <m/>
    <m/>
    <m/>
    <m/>
    <m/>
    <m/>
    <m/>
    <s v="31.01.2020"/>
    <m/>
    <n v="20200131"/>
    <n v="3440"/>
    <m/>
    <m/>
    <m/>
    <m/>
    <m/>
    <m/>
    <m/>
    <m/>
    <m/>
    <m/>
    <n v="340112890"/>
    <s v="FLUGO"/>
  </r>
  <r>
    <n v="3401"/>
    <s v="31.01.2020"/>
    <n v="2020"/>
    <d v="2020-01-01T00:00:00"/>
    <n v="22"/>
    <n v="100031721"/>
    <s v="WA"/>
    <n v="81"/>
    <x v="0"/>
    <n v="11500060"/>
    <x v="0"/>
    <n v="976.92"/>
    <s v="MXN"/>
    <n v="976.92"/>
    <x v="0"/>
    <m/>
    <m/>
    <m/>
    <m/>
    <m/>
    <m/>
    <m/>
    <m/>
    <s v="31.01.2020"/>
    <m/>
    <n v="20200131"/>
    <n v="976.92"/>
    <m/>
    <m/>
    <m/>
    <m/>
    <m/>
    <m/>
    <m/>
    <m/>
    <m/>
    <m/>
    <n v="340112890"/>
    <s v="FLUGO"/>
  </r>
  <r>
    <n v="3401"/>
    <s v="31.01.2020"/>
    <n v="2020"/>
    <d v="2020-01-01T00:00:00"/>
    <n v="24"/>
    <n v="100031721"/>
    <s v="WA"/>
    <n v="81"/>
    <x v="0"/>
    <n v="11500060"/>
    <x v="0"/>
    <n v="1100"/>
    <s v="MXN"/>
    <n v="1100"/>
    <x v="0"/>
    <m/>
    <m/>
    <m/>
    <m/>
    <m/>
    <m/>
    <m/>
    <m/>
    <s v="31.01.2020"/>
    <m/>
    <n v="20200131"/>
    <n v="1100"/>
    <m/>
    <m/>
    <m/>
    <m/>
    <m/>
    <m/>
    <m/>
    <m/>
    <m/>
    <m/>
    <n v="340112890"/>
    <s v="FLUGO"/>
  </r>
  <r>
    <n v="3401"/>
    <s v="31.01.2020"/>
    <n v="2020"/>
    <d v="2020-01-01T00:00:00"/>
    <n v="26"/>
    <n v="100031721"/>
    <s v="WA"/>
    <n v="81"/>
    <x v="0"/>
    <n v="11500060"/>
    <x v="0"/>
    <n v="2569.5"/>
    <s v="MXN"/>
    <n v="2569.5"/>
    <x v="0"/>
    <m/>
    <m/>
    <m/>
    <m/>
    <m/>
    <m/>
    <m/>
    <m/>
    <s v="31.01.2020"/>
    <m/>
    <n v="20200131"/>
    <n v="2569.5"/>
    <m/>
    <m/>
    <m/>
    <m/>
    <m/>
    <m/>
    <m/>
    <m/>
    <m/>
    <m/>
    <n v="340112890"/>
    <s v="FLUGO"/>
  </r>
  <r>
    <n v="3401"/>
    <s v="31.01.2020"/>
    <n v="2020"/>
    <d v="2020-01-01T00:00:00"/>
    <n v="28"/>
    <n v="100031721"/>
    <s v="WA"/>
    <n v="81"/>
    <x v="0"/>
    <n v="11500060"/>
    <x v="0"/>
    <n v="3966.96"/>
    <s v="MXN"/>
    <n v="3966.96"/>
    <x v="0"/>
    <m/>
    <m/>
    <m/>
    <m/>
    <m/>
    <m/>
    <m/>
    <m/>
    <s v="31.01.2020"/>
    <m/>
    <n v="20200131"/>
    <n v="3966.96"/>
    <m/>
    <m/>
    <m/>
    <m/>
    <m/>
    <m/>
    <m/>
    <m/>
    <m/>
    <m/>
    <n v="340112890"/>
    <s v="FLUGO"/>
  </r>
  <r>
    <n v="3401"/>
    <s v="31.01.2020"/>
    <n v="2020"/>
    <d v="2020-01-01T00:00:00"/>
    <n v="30"/>
    <n v="100031721"/>
    <s v="WA"/>
    <n v="81"/>
    <x v="0"/>
    <n v="11500060"/>
    <x v="0"/>
    <n v="2481"/>
    <s v="MXN"/>
    <n v="2481"/>
    <x v="0"/>
    <m/>
    <m/>
    <m/>
    <m/>
    <m/>
    <m/>
    <m/>
    <m/>
    <s v="31.01.2020"/>
    <m/>
    <n v="20200131"/>
    <n v="2481"/>
    <m/>
    <m/>
    <m/>
    <m/>
    <m/>
    <m/>
    <m/>
    <m/>
    <m/>
    <m/>
    <n v="340112890"/>
    <s v="FLUGO"/>
  </r>
  <r>
    <n v="3401"/>
    <s v="31.01.2020"/>
    <n v="2020"/>
    <d v="2020-01-01T00:00:00"/>
    <n v="32"/>
    <n v="100031721"/>
    <s v="WA"/>
    <n v="81"/>
    <x v="0"/>
    <n v="11500060"/>
    <x v="0"/>
    <n v="262.82"/>
    <s v="MXN"/>
    <n v="262.82"/>
    <x v="0"/>
    <m/>
    <m/>
    <m/>
    <m/>
    <m/>
    <m/>
    <m/>
    <m/>
    <s v="31.01.2020"/>
    <m/>
    <n v="20200131"/>
    <n v="262.82"/>
    <m/>
    <m/>
    <m/>
    <m/>
    <m/>
    <m/>
    <m/>
    <m/>
    <m/>
    <m/>
    <n v="340112890"/>
    <s v="FLUGO"/>
  </r>
  <r>
    <n v="3401"/>
    <s v="31.01.2020"/>
    <n v="2020"/>
    <d v="2020-01-01T00:00:00"/>
    <n v="34"/>
    <n v="100031721"/>
    <s v="WA"/>
    <n v="81"/>
    <x v="0"/>
    <n v="11500060"/>
    <x v="0"/>
    <n v="371.36"/>
    <s v="MXN"/>
    <n v="371.36"/>
    <x v="0"/>
    <m/>
    <m/>
    <m/>
    <m/>
    <m/>
    <m/>
    <m/>
    <m/>
    <s v="31.01.2020"/>
    <m/>
    <n v="20200131"/>
    <n v="371.36"/>
    <m/>
    <m/>
    <m/>
    <m/>
    <m/>
    <m/>
    <m/>
    <m/>
    <m/>
    <m/>
    <n v="340112890"/>
    <s v="FLUGO"/>
  </r>
  <r>
    <n v="3401"/>
    <s v="31.01.2020"/>
    <n v="2020"/>
    <d v="2020-01-01T00:00:00"/>
    <n v="36"/>
    <n v="100031721"/>
    <s v="WA"/>
    <n v="81"/>
    <x v="0"/>
    <n v="11500060"/>
    <x v="0"/>
    <n v="128.80000000000001"/>
    <s v="MXN"/>
    <n v="128.80000000000001"/>
    <x v="0"/>
    <m/>
    <m/>
    <m/>
    <m/>
    <m/>
    <m/>
    <m/>
    <m/>
    <s v="31.01.2020"/>
    <m/>
    <n v="20200131"/>
    <n v="128.80000000000001"/>
    <m/>
    <m/>
    <m/>
    <m/>
    <m/>
    <m/>
    <m/>
    <m/>
    <m/>
    <m/>
    <n v="340112890"/>
    <s v="FLUGO"/>
  </r>
  <r>
    <n v="3401"/>
    <s v="31.01.2020"/>
    <n v="2020"/>
    <d v="2020-01-01T00:00:00"/>
    <n v="38"/>
    <n v="100031721"/>
    <s v="WA"/>
    <n v="81"/>
    <x v="0"/>
    <n v="11500060"/>
    <x v="0"/>
    <n v="110"/>
    <s v="MXN"/>
    <n v="110"/>
    <x v="0"/>
    <m/>
    <m/>
    <m/>
    <m/>
    <m/>
    <m/>
    <m/>
    <m/>
    <s v="31.01.2020"/>
    <m/>
    <n v="20200131"/>
    <n v="110"/>
    <m/>
    <m/>
    <m/>
    <m/>
    <m/>
    <m/>
    <m/>
    <m/>
    <m/>
    <m/>
    <n v="340112890"/>
    <s v="FLUGO"/>
  </r>
  <r>
    <n v="3401"/>
    <s v="31.01.2020"/>
    <n v="2020"/>
    <d v="2020-01-01T00:00:00"/>
    <n v="40"/>
    <n v="100031721"/>
    <s v="WA"/>
    <n v="81"/>
    <x v="0"/>
    <n v="11500060"/>
    <x v="0"/>
    <n v="2247.5"/>
    <s v="MXN"/>
    <n v="2247.5"/>
    <x v="0"/>
    <m/>
    <m/>
    <m/>
    <m/>
    <m/>
    <m/>
    <m/>
    <m/>
    <s v="31.01.2020"/>
    <m/>
    <n v="20200131"/>
    <n v="2247.5"/>
    <m/>
    <m/>
    <m/>
    <m/>
    <m/>
    <m/>
    <m/>
    <m/>
    <m/>
    <m/>
    <n v="340112890"/>
    <s v="FLUGO"/>
  </r>
  <r>
    <n v="3401"/>
    <s v="31.01.2020"/>
    <n v="2020"/>
    <d v="2020-01-01T00:00:00"/>
    <n v="42"/>
    <n v="100031721"/>
    <s v="WA"/>
    <n v="81"/>
    <x v="0"/>
    <n v="11500060"/>
    <x v="0"/>
    <n v="935"/>
    <s v="MXN"/>
    <n v="935"/>
    <x v="0"/>
    <m/>
    <m/>
    <m/>
    <m/>
    <m/>
    <m/>
    <m/>
    <m/>
    <s v="31.01.2020"/>
    <m/>
    <n v="20200131"/>
    <n v="935"/>
    <m/>
    <m/>
    <m/>
    <m/>
    <m/>
    <m/>
    <m/>
    <m/>
    <m/>
    <m/>
    <n v="340112890"/>
    <s v="FLUGO"/>
  </r>
  <r>
    <n v="3401"/>
    <s v="31.01.2020"/>
    <n v="2020"/>
    <d v="2020-01-01T00:00:00"/>
    <n v="44"/>
    <n v="100031721"/>
    <s v="WA"/>
    <n v="81"/>
    <x v="0"/>
    <n v="11500060"/>
    <x v="0"/>
    <n v="2448"/>
    <s v="MXN"/>
    <n v="2448"/>
    <x v="0"/>
    <m/>
    <m/>
    <m/>
    <m/>
    <m/>
    <m/>
    <m/>
    <m/>
    <s v="31.01.2020"/>
    <m/>
    <n v="20200131"/>
    <n v="2448"/>
    <m/>
    <m/>
    <m/>
    <m/>
    <m/>
    <m/>
    <m/>
    <m/>
    <m/>
    <m/>
    <n v="340112890"/>
    <s v="FLUGO"/>
  </r>
  <r>
    <n v="3401"/>
    <s v="31.01.2020"/>
    <n v="2020"/>
    <d v="2020-01-01T00:00:00"/>
    <n v="46"/>
    <n v="100031721"/>
    <s v="WA"/>
    <n v="81"/>
    <x v="0"/>
    <n v="11500060"/>
    <x v="0"/>
    <n v="2704.8"/>
    <s v="MXN"/>
    <n v="2704.8"/>
    <x v="0"/>
    <m/>
    <m/>
    <m/>
    <m/>
    <m/>
    <m/>
    <m/>
    <m/>
    <s v="31.01.2020"/>
    <m/>
    <n v="20200131"/>
    <n v="2704.8"/>
    <m/>
    <m/>
    <m/>
    <m/>
    <m/>
    <m/>
    <m/>
    <m/>
    <m/>
    <m/>
    <n v="340112890"/>
    <s v="FLUGO"/>
  </r>
  <r>
    <n v="3401"/>
    <s v="31.01.2020"/>
    <n v="2020"/>
    <d v="2020-01-01T00:00:00"/>
    <n v="52"/>
    <n v="100031721"/>
    <s v="WA"/>
    <n v="81"/>
    <x v="0"/>
    <n v="11500060"/>
    <x v="0"/>
    <n v="662.4"/>
    <s v="MXN"/>
    <n v="662.4"/>
    <x v="0"/>
    <m/>
    <m/>
    <m/>
    <m/>
    <m/>
    <m/>
    <m/>
    <m/>
    <s v="31.01.2020"/>
    <m/>
    <n v="20200131"/>
    <n v="662.4"/>
    <m/>
    <m/>
    <m/>
    <m/>
    <m/>
    <m/>
    <m/>
    <m/>
    <m/>
    <m/>
    <n v="340112890"/>
    <s v="FLUGO"/>
  </r>
  <r>
    <n v="3401"/>
    <s v="31.01.2020"/>
    <n v="2020"/>
    <d v="2020-01-01T00:00:00"/>
    <n v="60"/>
    <n v="100031721"/>
    <s v="WA"/>
    <n v="81"/>
    <x v="0"/>
    <n v="11500060"/>
    <x v="0"/>
    <n v="3562.08"/>
    <s v="MXN"/>
    <n v="3562.08"/>
    <x v="0"/>
    <m/>
    <m/>
    <m/>
    <m/>
    <m/>
    <m/>
    <m/>
    <m/>
    <s v="31.01.2020"/>
    <m/>
    <n v="20200131"/>
    <n v="3562.08"/>
    <m/>
    <m/>
    <m/>
    <m/>
    <m/>
    <m/>
    <m/>
    <m/>
    <m/>
    <m/>
    <n v="340112890"/>
    <s v="FLUGO"/>
  </r>
  <r>
    <n v="3401"/>
    <s v="31.01.2020"/>
    <n v="2020"/>
    <d v="2020-01-01T00:00:00"/>
    <n v="62"/>
    <n v="100031721"/>
    <s v="WA"/>
    <n v="81"/>
    <x v="0"/>
    <n v="11500060"/>
    <x v="0"/>
    <n v="13092.72"/>
    <s v="MXN"/>
    <n v="13092.72"/>
    <x v="0"/>
    <m/>
    <m/>
    <m/>
    <m/>
    <m/>
    <m/>
    <m/>
    <m/>
    <s v="31.01.2020"/>
    <m/>
    <n v="20200131"/>
    <n v="13092.72"/>
    <m/>
    <m/>
    <m/>
    <m/>
    <m/>
    <m/>
    <m/>
    <m/>
    <m/>
    <m/>
    <n v="340112890"/>
    <s v="FLUGO"/>
  </r>
  <r>
    <n v="3401"/>
    <s v="31.01.2020"/>
    <n v="2020"/>
    <d v="2020-01-01T00:00:00"/>
    <n v="64"/>
    <n v="100031721"/>
    <s v="WA"/>
    <n v="81"/>
    <x v="0"/>
    <n v="11500060"/>
    <x v="0"/>
    <n v="3077.97"/>
    <s v="MXN"/>
    <n v="3077.97"/>
    <x v="0"/>
    <m/>
    <m/>
    <m/>
    <m/>
    <m/>
    <m/>
    <m/>
    <m/>
    <s v="31.01.2020"/>
    <m/>
    <n v="20200131"/>
    <n v="3077.97"/>
    <m/>
    <m/>
    <m/>
    <m/>
    <m/>
    <m/>
    <m/>
    <m/>
    <m/>
    <m/>
    <n v="340112890"/>
    <s v="FLUGO"/>
  </r>
  <r>
    <n v="3401"/>
    <s v="31.01.2020"/>
    <n v="2020"/>
    <d v="2020-01-01T00:00:00"/>
    <n v="66"/>
    <n v="100031721"/>
    <s v="WA"/>
    <n v="81"/>
    <x v="0"/>
    <n v="11500060"/>
    <x v="0"/>
    <n v="3565.14"/>
    <s v="MXN"/>
    <n v="3565.14"/>
    <x v="0"/>
    <m/>
    <m/>
    <m/>
    <m/>
    <m/>
    <m/>
    <m/>
    <m/>
    <s v="31.01.2020"/>
    <m/>
    <n v="20200131"/>
    <n v="3565.14"/>
    <m/>
    <m/>
    <m/>
    <m/>
    <m/>
    <m/>
    <m/>
    <m/>
    <m/>
    <m/>
    <n v="340112890"/>
    <s v="FLUGO"/>
  </r>
  <r>
    <n v="3401"/>
    <s v="31.01.2020"/>
    <n v="2020"/>
    <d v="2020-01-01T00:00:00"/>
    <n v="68"/>
    <n v="100031721"/>
    <s v="WA"/>
    <n v="81"/>
    <x v="0"/>
    <n v="11500060"/>
    <x v="0"/>
    <n v="2785.68"/>
    <s v="MXN"/>
    <n v="2785.68"/>
    <x v="0"/>
    <m/>
    <m/>
    <m/>
    <m/>
    <m/>
    <m/>
    <m/>
    <m/>
    <s v="31.01.2020"/>
    <m/>
    <n v="20200131"/>
    <n v="2785.68"/>
    <m/>
    <m/>
    <m/>
    <m/>
    <m/>
    <m/>
    <m/>
    <m/>
    <m/>
    <m/>
    <n v="340112890"/>
    <s v="FLUGO"/>
  </r>
  <r>
    <n v="3401"/>
    <s v="31.01.2020"/>
    <n v="2020"/>
    <d v="2020-01-01T00:00:00"/>
    <n v="70"/>
    <n v="100031721"/>
    <s v="WA"/>
    <n v="81"/>
    <x v="0"/>
    <n v="11500060"/>
    <x v="0"/>
    <n v="4693.3500000000004"/>
    <s v="MXN"/>
    <n v="4693.3500000000004"/>
    <x v="0"/>
    <m/>
    <m/>
    <m/>
    <m/>
    <m/>
    <m/>
    <m/>
    <m/>
    <s v="31.01.2020"/>
    <m/>
    <n v="20200131"/>
    <n v="4693.3500000000004"/>
    <m/>
    <m/>
    <m/>
    <m/>
    <m/>
    <m/>
    <m/>
    <m/>
    <m/>
    <m/>
    <n v="340112890"/>
    <s v="FLUGO"/>
  </r>
  <r>
    <n v="3401"/>
    <s v="31.01.2020"/>
    <n v="2020"/>
    <d v="2020-01-01T00:00:00"/>
    <n v="72"/>
    <n v="100031721"/>
    <s v="WA"/>
    <n v="81"/>
    <x v="0"/>
    <n v="11500060"/>
    <x v="0"/>
    <n v="18292.25"/>
    <s v="MXN"/>
    <n v="18292.25"/>
    <x v="0"/>
    <m/>
    <m/>
    <m/>
    <m/>
    <m/>
    <m/>
    <m/>
    <m/>
    <s v="31.01.2020"/>
    <m/>
    <n v="20200131"/>
    <n v="18292.25"/>
    <m/>
    <m/>
    <m/>
    <m/>
    <m/>
    <m/>
    <m/>
    <m/>
    <m/>
    <m/>
    <n v="340112890"/>
    <s v="FLUGO"/>
  </r>
  <r>
    <n v="3401"/>
    <s v="31.01.2020"/>
    <n v="2020"/>
    <d v="2020-01-01T00:00:00"/>
    <n v="74"/>
    <n v="100031721"/>
    <s v="WA"/>
    <n v="81"/>
    <x v="0"/>
    <n v="11500060"/>
    <x v="0"/>
    <n v="26190.54"/>
    <s v="MXN"/>
    <n v="26190.54"/>
    <x v="0"/>
    <m/>
    <m/>
    <m/>
    <m/>
    <m/>
    <m/>
    <m/>
    <m/>
    <s v="31.01.2020"/>
    <m/>
    <n v="20200131"/>
    <n v="26190.54"/>
    <m/>
    <m/>
    <m/>
    <m/>
    <m/>
    <m/>
    <m/>
    <m/>
    <m/>
    <m/>
    <n v="340112890"/>
    <s v="FLUGO"/>
  </r>
  <r>
    <n v="3402"/>
    <s v="31.01.2020"/>
    <n v="2020"/>
    <d v="2020-01-01T00:00:00"/>
    <n v="18"/>
    <n v="200114606"/>
    <s v="WA"/>
    <n v="81"/>
    <x v="0"/>
    <n v="11500060"/>
    <x v="0"/>
    <n v="996.79"/>
    <s v="MXN"/>
    <n v="996.79"/>
    <x v="0"/>
    <m/>
    <m/>
    <m/>
    <m/>
    <m/>
    <m/>
    <m/>
    <m/>
    <s v="01.02.2020"/>
    <m/>
    <n v="20200131"/>
    <n v="996.79"/>
    <m/>
    <m/>
    <m/>
    <m/>
    <m/>
    <m/>
    <m/>
    <m/>
    <m/>
    <m/>
    <n v="340233190"/>
    <s v="AUXCOSTORVM"/>
  </r>
  <r>
    <n v="3402"/>
    <s v="31.01.2020"/>
    <n v="2020"/>
    <d v="2020-01-01T00:00:00"/>
    <n v="20"/>
    <n v="200114606"/>
    <s v="WA"/>
    <n v="81"/>
    <x v="0"/>
    <n v="11500060"/>
    <x v="0"/>
    <n v="3866.66"/>
    <s v="MXN"/>
    <n v="3866.66"/>
    <x v="0"/>
    <m/>
    <m/>
    <m/>
    <m/>
    <m/>
    <m/>
    <m/>
    <m/>
    <s v="01.02.2020"/>
    <m/>
    <n v="20200131"/>
    <n v="3866.66"/>
    <m/>
    <m/>
    <m/>
    <m/>
    <m/>
    <m/>
    <m/>
    <m/>
    <m/>
    <m/>
    <n v="340233190"/>
    <s v="AUXCOSTORVM"/>
  </r>
  <r>
    <n v="3402"/>
    <s v="31.01.2020"/>
    <n v="2020"/>
    <d v="2020-01-01T00:00:00"/>
    <n v="22"/>
    <n v="200114606"/>
    <s v="WA"/>
    <n v="81"/>
    <x v="0"/>
    <n v="11500060"/>
    <x v="0"/>
    <n v="2280.6999999999998"/>
    <s v="MXN"/>
    <n v="2280.6999999999998"/>
    <x v="0"/>
    <m/>
    <m/>
    <m/>
    <m/>
    <m/>
    <m/>
    <m/>
    <m/>
    <s v="01.02.2020"/>
    <m/>
    <n v="20200131"/>
    <n v="2280.6999999999998"/>
    <m/>
    <m/>
    <m/>
    <m/>
    <m/>
    <m/>
    <m/>
    <m/>
    <m/>
    <m/>
    <n v="340233190"/>
    <s v="AUXCOSTORVM"/>
  </r>
  <r>
    <n v="3402"/>
    <s v="31.01.2020"/>
    <n v="2020"/>
    <d v="2020-01-01T00:00:00"/>
    <n v="24"/>
    <n v="200114606"/>
    <s v="WA"/>
    <n v="81"/>
    <x v="0"/>
    <n v="11500060"/>
    <x v="0"/>
    <n v="11157.9"/>
    <s v="MXN"/>
    <n v="11157.9"/>
    <x v="0"/>
    <m/>
    <m/>
    <m/>
    <m/>
    <m/>
    <m/>
    <m/>
    <m/>
    <s v="01.02.2020"/>
    <m/>
    <n v="20200131"/>
    <n v="11157.9"/>
    <m/>
    <m/>
    <m/>
    <m/>
    <m/>
    <m/>
    <m/>
    <m/>
    <m/>
    <m/>
    <n v="340233190"/>
    <s v="AUXCOSTORVM"/>
  </r>
  <r>
    <n v="3406"/>
    <s v="31.01.2020"/>
    <n v="2020"/>
    <d v="2020-01-01T00:00:00"/>
    <n v="54"/>
    <n v="600031590"/>
    <s v="WA"/>
    <n v="81"/>
    <x v="0"/>
    <n v="11500020"/>
    <x v="0"/>
    <n v="3280.02"/>
    <s v="MXN"/>
    <n v="3280.02"/>
    <x v="0"/>
    <m/>
    <m/>
    <m/>
    <m/>
    <m/>
    <m/>
    <m/>
    <m/>
    <s v="01.02.2020"/>
    <m/>
    <n v="20200131"/>
    <n v="3280.02"/>
    <m/>
    <m/>
    <m/>
    <m/>
    <m/>
    <m/>
    <m/>
    <m/>
    <m/>
    <m/>
    <n v="340612390"/>
    <s v="JGARCIA"/>
  </r>
  <r>
    <n v="3407"/>
    <s v="31.01.2020"/>
    <n v="2020"/>
    <d v="2020-01-01T00:00:00"/>
    <n v="2"/>
    <n v="700041824"/>
    <s v="WA"/>
    <n v="81"/>
    <x v="0"/>
    <n v="11500030"/>
    <x v="0"/>
    <n v="425"/>
    <s v="MXN"/>
    <n v="425"/>
    <x v="0"/>
    <m/>
    <m/>
    <m/>
    <m/>
    <m/>
    <m/>
    <m/>
    <m/>
    <s v="02.02.2020"/>
    <m/>
    <n v="20200131"/>
    <n v="425"/>
    <m/>
    <m/>
    <m/>
    <m/>
    <m/>
    <m/>
    <m/>
    <m/>
    <m/>
    <m/>
    <n v="340733190"/>
    <s v="JCOSTOSHRLC"/>
  </r>
  <r>
    <n v="3407"/>
    <s v="31.01.2020"/>
    <n v="2020"/>
    <d v="2020-01-01T00:00:00"/>
    <n v="50"/>
    <n v="700041761"/>
    <s v="WA"/>
    <n v="81"/>
    <x v="0"/>
    <n v="11500060"/>
    <x v="0"/>
    <n v="1190.8800000000001"/>
    <s v="MXN"/>
    <n v="1190.8800000000001"/>
    <x v="0"/>
    <m/>
    <m/>
    <m/>
    <m/>
    <m/>
    <m/>
    <m/>
    <m/>
    <s v="02.02.2020"/>
    <m/>
    <n v="20200131"/>
    <n v="1190.8800000000001"/>
    <m/>
    <m/>
    <m/>
    <m/>
    <m/>
    <m/>
    <m/>
    <m/>
    <m/>
    <m/>
    <n v="340712390"/>
    <s v="AUXCOSTOHRLC"/>
  </r>
  <r>
    <n v="3401"/>
    <s v="31.01.2020"/>
    <n v="2020"/>
    <d v="2020-01-01T00:00:00"/>
    <n v="48"/>
    <n v="100031482"/>
    <s v="WA"/>
    <n v="81"/>
    <x v="0"/>
    <n v="11500030"/>
    <x v="0"/>
    <n v="546.66999999999996"/>
    <s v="MXN"/>
    <n v="546.66999999999996"/>
    <x v="0"/>
    <m/>
    <m/>
    <m/>
    <m/>
    <m/>
    <m/>
    <m/>
    <m/>
    <s v="31.01.2020"/>
    <m/>
    <n v="20200131"/>
    <n v="546.66999999999996"/>
    <m/>
    <m/>
    <m/>
    <m/>
    <m/>
    <m/>
    <m/>
    <m/>
    <m/>
    <m/>
    <n v="340115190"/>
    <s v="FLUGO"/>
  </r>
  <r>
    <n v="3401"/>
    <s v="31.01.2020"/>
    <n v="2020"/>
    <d v="2020-01-01T00:00:00"/>
    <n v="50"/>
    <n v="100031482"/>
    <s v="WA"/>
    <n v="81"/>
    <x v="0"/>
    <n v="11500030"/>
    <x v="0"/>
    <n v="214.52"/>
    <s v="MXN"/>
    <n v="214.52"/>
    <x v="0"/>
    <m/>
    <m/>
    <m/>
    <m/>
    <m/>
    <m/>
    <m/>
    <m/>
    <s v="31.01.2020"/>
    <m/>
    <n v="20200131"/>
    <n v="214.52"/>
    <m/>
    <m/>
    <m/>
    <m/>
    <m/>
    <m/>
    <m/>
    <m/>
    <m/>
    <m/>
    <n v="340115190"/>
    <s v="FLUGO"/>
  </r>
  <r>
    <n v="3401"/>
    <s v="31.01.2020"/>
    <n v="2020"/>
    <d v="2020-01-01T00:00:00"/>
    <n v="14"/>
    <n v="100031501"/>
    <s v="WA"/>
    <n v="81"/>
    <x v="0"/>
    <n v="11500020"/>
    <x v="0"/>
    <n v="1093.3399999999999"/>
    <s v="MXN"/>
    <n v="1093.3399999999999"/>
    <x v="0"/>
    <m/>
    <m/>
    <m/>
    <m/>
    <m/>
    <m/>
    <m/>
    <m/>
    <s v="31.01.2020"/>
    <m/>
    <n v="20200131"/>
    <n v="1093.3399999999999"/>
    <m/>
    <m/>
    <m/>
    <m/>
    <m/>
    <m/>
    <m/>
    <m/>
    <m/>
    <m/>
    <n v="340153890"/>
    <s v="FLUGO"/>
  </r>
  <r>
    <n v="3401"/>
    <s v="31.01.2020"/>
    <n v="2020"/>
    <d v="2020-01-01T00:00:00"/>
    <n v="16"/>
    <n v="100031507"/>
    <s v="WA"/>
    <n v="81"/>
    <x v="0"/>
    <n v="11500030"/>
    <x v="0"/>
    <n v="678.33"/>
    <s v="MXN"/>
    <n v="678.33"/>
    <x v="0"/>
    <m/>
    <m/>
    <m/>
    <m/>
    <m/>
    <m/>
    <m/>
    <m/>
    <s v="31.01.2020"/>
    <m/>
    <n v="20200131"/>
    <n v="678.33"/>
    <m/>
    <m/>
    <m/>
    <m/>
    <m/>
    <m/>
    <m/>
    <m/>
    <m/>
    <m/>
    <n v="340133190"/>
    <s v="FLUGO"/>
  </r>
  <r>
    <n v="3401"/>
    <s v="31.01.2020"/>
    <n v="2020"/>
    <d v="2020-01-01T00:00:00"/>
    <n v="18"/>
    <n v="100031507"/>
    <s v="WA"/>
    <n v="81"/>
    <x v="0"/>
    <n v="11500030"/>
    <x v="0"/>
    <n v="1859.65"/>
    <s v="MXN"/>
    <n v="1859.65"/>
    <x v="0"/>
    <m/>
    <m/>
    <m/>
    <m/>
    <m/>
    <m/>
    <m/>
    <m/>
    <s v="31.01.2020"/>
    <m/>
    <n v="20200131"/>
    <n v="1859.65"/>
    <m/>
    <m/>
    <m/>
    <m/>
    <m/>
    <m/>
    <m/>
    <m/>
    <m/>
    <m/>
    <n v="340133190"/>
    <s v="FLUGO"/>
  </r>
  <r>
    <n v="3401"/>
    <s v="31.01.2020"/>
    <n v="2020"/>
    <d v="2020-01-01T00:00:00"/>
    <n v="2"/>
    <n v="100031509"/>
    <s v="WA"/>
    <n v="81"/>
    <x v="0"/>
    <n v="11500060"/>
    <x v="0"/>
    <n v="712.5"/>
    <s v="MXN"/>
    <n v="712.5"/>
    <x v="0"/>
    <m/>
    <m/>
    <m/>
    <m/>
    <m/>
    <m/>
    <m/>
    <m/>
    <s v="31.01.2020"/>
    <m/>
    <n v="20200131"/>
    <n v="712.5"/>
    <m/>
    <m/>
    <m/>
    <m/>
    <m/>
    <m/>
    <m/>
    <m/>
    <m/>
    <m/>
    <n v="340127190"/>
    <s v="FLUGO"/>
  </r>
  <r>
    <n v="3401"/>
    <s v="31.01.2020"/>
    <n v="2020"/>
    <d v="2020-01-01T00:00:00"/>
    <n v="6"/>
    <n v="100031542"/>
    <s v="WA"/>
    <n v="81"/>
    <x v="0"/>
    <n v="11500050"/>
    <x v="0"/>
    <n v="8200.0499999999993"/>
    <s v="MXN"/>
    <n v="8200.0499999999993"/>
    <x v="0"/>
    <m/>
    <m/>
    <m/>
    <m/>
    <m/>
    <m/>
    <m/>
    <m/>
    <s v="31.01.2020"/>
    <m/>
    <n v="20200131"/>
    <n v="8200.0499999999993"/>
    <m/>
    <m/>
    <m/>
    <m/>
    <m/>
    <m/>
    <m/>
    <m/>
    <m/>
    <m/>
    <n v="340117690"/>
    <s v="FLUGO"/>
  </r>
  <r>
    <n v="3403"/>
    <s v="31.01.2020"/>
    <n v="2020"/>
    <d v="2020-01-01T00:00:00"/>
    <n v="60"/>
    <n v="300017606"/>
    <s v="WA"/>
    <n v="81"/>
    <x v="0"/>
    <n v="11500050"/>
    <x v="0"/>
    <n v="178.44"/>
    <s v="MXN"/>
    <n v="178.44"/>
    <x v="0"/>
    <m/>
    <m/>
    <m/>
    <m/>
    <m/>
    <m/>
    <m/>
    <m/>
    <s v="31.01.2020"/>
    <m/>
    <n v="20200131"/>
    <n v="178.44"/>
    <m/>
    <m/>
    <m/>
    <m/>
    <m/>
    <m/>
    <m/>
    <m/>
    <m/>
    <m/>
    <n v="340312890"/>
    <s v="JBAUTISTA"/>
  </r>
  <r>
    <n v="3403"/>
    <s v="31.01.2020"/>
    <n v="2020"/>
    <d v="2020-01-01T00:00:00"/>
    <n v="62"/>
    <n v="300017606"/>
    <s v="WA"/>
    <n v="81"/>
    <x v="0"/>
    <n v="11500050"/>
    <x v="0"/>
    <n v="177.6"/>
    <s v="MXN"/>
    <n v="177.6"/>
    <x v="0"/>
    <m/>
    <m/>
    <m/>
    <m/>
    <m/>
    <m/>
    <m/>
    <m/>
    <s v="31.01.2020"/>
    <m/>
    <n v="20200131"/>
    <n v="177.6"/>
    <m/>
    <m/>
    <m/>
    <m/>
    <m/>
    <m/>
    <m/>
    <m/>
    <m/>
    <m/>
    <n v="340312890"/>
    <s v="JBAUTISTA"/>
  </r>
  <r>
    <n v="3403"/>
    <s v="31.01.2020"/>
    <n v="2020"/>
    <d v="2020-01-01T00:00:00"/>
    <n v="64"/>
    <n v="300017606"/>
    <s v="WA"/>
    <n v="81"/>
    <x v="0"/>
    <n v="11500050"/>
    <x v="0"/>
    <n v="177.6"/>
    <s v="MXN"/>
    <n v="177.6"/>
    <x v="0"/>
    <m/>
    <m/>
    <m/>
    <m/>
    <m/>
    <m/>
    <m/>
    <m/>
    <s v="31.01.2020"/>
    <m/>
    <n v="20200131"/>
    <n v="177.6"/>
    <m/>
    <m/>
    <m/>
    <m/>
    <m/>
    <m/>
    <m/>
    <m/>
    <m/>
    <m/>
    <n v="340312890"/>
    <s v="JBAUTISTA"/>
  </r>
  <r>
    <n v="3401"/>
    <s v="31.01.2020"/>
    <n v="2020"/>
    <d v="2020-01-01T00:00:00"/>
    <n v="6"/>
    <n v="100031722"/>
    <s v="WA"/>
    <n v="81"/>
    <x v="0"/>
    <n v="11500060"/>
    <x v="0"/>
    <n v="9361.7999999999993"/>
    <s v="MXN"/>
    <n v="9361.7999999999993"/>
    <x v="0"/>
    <m/>
    <m/>
    <m/>
    <m/>
    <m/>
    <m/>
    <m/>
    <m/>
    <s v="31.01.2020"/>
    <m/>
    <n v="20200131"/>
    <n v="9361.7999999999993"/>
    <m/>
    <m/>
    <m/>
    <m/>
    <m/>
    <m/>
    <m/>
    <m/>
    <m/>
    <m/>
    <n v="340110590"/>
    <s v="FLUGO"/>
  </r>
  <r>
    <n v="3401"/>
    <s v="31.01.2020"/>
    <n v="2020"/>
    <d v="2020-01-01T00:00:00"/>
    <n v="8"/>
    <n v="100031722"/>
    <s v="WA"/>
    <n v="81"/>
    <x v="0"/>
    <n v="11500060"/>
    <x v="0"/>
    <n v="224"/>
    <s v="MXN"/>
    <n v="224"/>
    <x v="0"/>
    <m/>
    <m/>
    <m/>
    <m/>
    <m/>
    <m/>
    <m/>
    <m/>
    <s v="31.01.2020"/>
    <m/>
    <n v="20200131"/>
    <n v="224"/>
    <m/>
    <m/>
    <m/>
    <m/>
    <m/>
    <m/>
    <m/>
    <m/>
    <m/>
    <m/>
    <n v="340110590"/>
    <s v="FLUGO"/>
  </r>
  <r>
    <n v="3401"/>
    <s v="31.01.2020"/>
    <n v="2020"/>
    <d v="2020-01-01T00:00:00"/>
    <n v="10"/>
    <n v="100031722"/>
    <s v="WA"/>
    <n v="81"/>
    <x v="0"/>
    <n v="11500060"/>
    <x v="0"/>
    <n v="510"/>
    <s v="MXN"/>
    <n v="510"/>
    <x v="0"/>
    <m/>
    <m/>
    <m/>
    <m/>
    <m/>
    <m/>
    <m/>
    <m/>
    <s v="31.01.2020"/>
    <m/>
    <n v="20200131"/>
    <n v="510"/>
    <m/>
    <m/>
    <m/>
    <m/>
    <m/>
    <m/>
    <m/>
    <m/>
    <m/>
    <m/>
    <n v="340110590"/>
    <s v="FLUGO"/>
  </r>
  <r>
    <n v="3401"/>
    <s v="31.01.2020"/>
    <n v="2020"/>
    <d v="2020-01-01T00:00:00"/>
    <n v="12"/>
    <n v="100031722"/>
    <s v="WA"/>
    <n v="81"/>
    <x v="0"/>
    <n v="11500060"/>
    <x v="0"/>
    <n v="554.4"/>
    <s v="MXN"/>
    <n v="554.4"/>
    <x v="0"/>
    <m/>
    <m/>
    <m/>
    <m/>
    <m/>
    <m/>
    <m/>
    <m/>
    <s v="31.01.2020"/>
    <m/>
    <n v="20200131"/>
    <n v="554.4"/>
    <m/>
    <m/>
    <m/>
    <m/>
    <m/>
    <m/>
    <m/>
    <m/>
    <m/>
    <m/>
    <n v="340110590"/>
    <s v="FLUGO"/>
  </r>
  <r>
    <n v="3401"/>
    <s v="31.01.2020"/>
    <n v="2020"/>
    <d v="2020-01-01T00:00:00"/>
    <n v="14"/>
    <n v="100031722"/>
    <s v="WA"/>
    <n v="81"/>
    <x v="0"/>
    <n v="11500060"/>
    <x v="0"/>
    <n v="400"/>
    <s v="MXN"/>
    <n v="400"/>
    <x v="0"/>
    <m/>
    <m/>
    <m/>
    <m/>
    <m/>
    <m/>
    <m/>
    <m/>
    <s v="31.01.2020"/>
    <m/>
    <n v="20200131"/>
    <n v="400"/>
    <m/>
    <m/>
    <m/>
    <m/>
    <m/>
    <m/>
    <m/>
    <m/>
    <m/>
    <m/>
    <n v="340110590"/>
    <s v="FLUGO"/>
  </r>
  <r>
    <n v="3401"/>
    <s v="31.01.2020"/>
    <n v="2020"/>
    <d v="2020-01-01T00:00:00"/>
    <n v="16"/>
    <n v="100031722"/>
    <s v="WA"/>
    <n v="81"/>
    <x v="0"/>
    <n v="11500060"/>
    <x v="0"/>
    <n v="1713"/>
    <s v="MXN"/>
    <n v="1713"/>
    <x v="0"/>
    <m/>
    <m/>
    <m/>
    <m/>
    <m/>
    <m/>
    <m/>
    <m/>
    <s v="31.01.2020"/>
    <m/>
    <n v="20200131"/>
    <n v="1713"/>
    <m/>
    <m/>
    <m/>
    <m/>
    <m/>
    <m/>
    <m/>
    <m/>
    <m/>
    <m/>
    <n v="340110590"/>
    <s v="FLUGO"/>
  </r>
  <r>
    <n v="3401"/>
    <s v="31.01.2020"/>
    <n v="2020"/>
    <d v="2020-01-01T00:00:00"/>
    <n v="18"/>
    <n v="100031722"/>
    <s v="WA"/>
    <n v="81"/>
    <x v="0"/>
    <n v="11500060"/>
    <x v="0"/>
    <n v="55"/>
    <s v="MXN"/>
    <n v="55"/>
    <x v="0"/>
    <m/>
    <m/>
    <m/>
    <m/>
    <m/>
    <m/>
    <m/>
    <m/>
    <s v="31.01.2020"/>
    <m/>
    <n v="20200131"/>
    <n v="55"/>
    <m/>
    <m/>
    <m/>
    <m/>
    <m/>
    <m/>
    <m/>
    <m/>
    <m/>
    <m/>
    <n v="340110590"/>
    <s v="FLUGO"/>
  </r>
  <r>
    <n v="3401"/>
    <s v="31.01.2020"/>
    <n v="2020"/>
    <d v="2020-01-01T00:00:00"/>
    <n v="20"/>
    <n v="100031722"/>
    <s v="WA"/>
    <n v="81"/>
    <x v="0"/>
    <n v="11500060"/>
    <x v="0"/>
    <n v="155"/>
    <s v="MXN"/>
    <n v="155"/>
    <x v="0"/>
    <m/>
    <m/>
    <m/>
    <m/>
    <m/>
    <m/>
    <m/>
    <m/>
    <s v="31.01.2020"/>
    <m/>
    <n v="20200131"/>
    <n v="155"/>
    <m/>
    <m/>
    <m/>
    <m/>
    <m/>
    <m/>
    <m/>
    <m/>
    <m/>
    <m/>
    <n v="340110590"/>
    <s v="FLUGO"/>
  </r>
  <r>
    <n v="3401"/>
    <s v="31.01.2020"/>
    <n v="2020"/>
    <d v="2020-01-01T00:00:00"/>
    <n v="22"/>
    <n v="100031722"/>
    <s v="WA"/>
    <n v="81"/>
    <x v="0"/>
    <n v="11500060"/>
    <x v="0"/>
    <n v="830"/>
    <s v="MXN"/>
    <n v="830"/>
    <x v="0"/>
    <m/>
    <m/>
    <m/>
    <m/>
    <m/>
    <m/>
    <m/>
    <m/>
    <s v="31.01.2020"/>
    <m/>
    <n v="20200131"/>
    <n v="830"/>
    <m/>
    <m/>
    <m/>
    <m/>
    <m/>
    <m/>
    <m/>
    <m/>
    <m/>
    <m/>
    <n v="340110590"/>
    <s v="FLUGO"/>
  </r>
  <r>
    <n v="3401"/>
    <s v="31.01.2020"/>
    <n v="2020"/>
    <d v="2020-01-01T00:00:00"/>
    <n v="24"/>
    <n v="100031722"/>
    <s v="WA"/>
    <n v="81"/>
    <x v="0"/>
    <n v="11500060"/>
    <x v="0"/>
    <n v="187"/>
    <s v="MXN"/>
    <n v="187"/>
    <x v="0"/>
    <m/>
    <m/>
    <m/>
    <m/>
    <m/>
    <m/>
    <m/>
    <m/>
    <s v="31.01.2020"/>
    <m/>
    <n v="20200131"/>
    <n v="187"/>
    <m/>
    <m/>
    <m/>
    <m/>
    <m/>
    <m/>
    <m/>
    <m/>
    <m/>
    <m/>
    <n v="340110590"/>
    <s v="FLUGO"/>
  </r>
  <r>
    <n v="3401"/>
    <s v="31.01.2020"/>
    <n v="2020"/>
    <d v="2020-01-01T00:00:00"/>
    <n v="26"/>
    <n v="100031722"/>
    <s v="WA"/>
    <n v="81"/>
    <x v="0"/>
    <n v="11500060"/>
    <x v="0"/>
    <n v="612"/>
    <s v="MXN"/>
    <n v="612"/>
    <x v="0"/>
    <m/>
    <m/>
    <m/>
    <m/>
    <m/>
    <m/>
    <m/>
    <m/>
    <s v="31.01.2020"/>
    <m/>
    <n v="20200131"/>
    <n v="612"/>
    <m/>
    <m/>
    <m/>
    <m/>
    <m/>
    <m/>
    <m/>
    <m/>
    <m/>
    <m/>
    <n v="340110590"/>
    <s v="FLUGO"/>
  </r>
  <r>
    <n v="3401"/>
    <s v="31.01.2020"/>
    <n v="2020"/>
    <d v="2020-01-01T00:00:00"/>
    <n v="28"/>
    <n v="100031722"/>
    <s v="WA"/>
    <n v="81"/>
    <x v="0"/>
    <n v="11500060"/>
    <x v="0"/>
    <n v="1127"/>
    <s v="MXN"/>
    <n v="1127"/>
    <x v="0"/>
    <m/>
    <m/>
    <m/>
    <m/>
    <m/>
    <m/>
    <m/>
    <m/>
    <s v="31.01.2020"/>
    <m/>
    <n v="20200131"/>
    <n v="1127"/>
    <m/>
    <m/>
    <m/>
    <m/>
    <m/>
    <m/>
    <m/>
    <m/>
    <m/>
    <m/>
    <n v="340110590"/>
    <s v="FLUGO"/>
  </r>
  <r>
    <n v="3401"/>
    <s v="31.01.2020"/>
    <n v="2020"/>
    <d v="2020-01-01T00:00:00"/>
    <n v="30"/>
    <n v="100031722"/>
    <s v="WA"/>
    <n v="81"/>
    <x v="0"/>
    <n v="11500060"/>
    <x v="0"/>
    <n v="1620"/>
    <s v="MXN"/>
    <n v="1620"/>
    <x v="0"/>
    <m/>
    <m/>
    <m/>
    <m/>
    <m/>
    <m/>
    <m/>
    <m/>
    <s v="31.01.2020"/>
    <m/>
    <n v="20200131"/>
    <n v="1620"/>
    <m/>
    <m/>
    <m/>
    <m/>
    <m/>
    <m/>
    <m/>
    <m/>
    <m/>
    <m/>
    <n v="340110590"/>
    <s v="FLUGO"/>
  </r>
  <r>
    <n v="3401"/>
    <s v="31.01.2020"/>
    <n v="2020"/>
    <d v="2020-01-01T00:00:00"/>
    <n v="32"/>
    <n v="100031722"/>
    <s v="WA"/>
    <n v="81"/>
    <x v="0"/>
    <n v="11500060"/>
    <x v="0"/>
    <n v="810"/>
    <s v="MXN"/>
    <n v="810"/>
    <x v="0"/>
    <m/>
    <m/>
    <m/>
    <m/>
    <m/>
    <m/>
    <m/>
    <m/>
    <s v="31.01.2020"/>
    <m/>
    <n v="20200131"/>
    <n v="810"/>
    <m/>
    <m/>
    <m/>
    <m/>
    <m/>
    <m/>
    <m/>
    <m/>
    <m/>
    <m/>
    <n v="340110590"/>
    <s v="FLUGO"/>
  </r>
  <r>
    <n v="3401"/>
    <s v="31.01.2020"/>
    <n v="2020"/>
    <d v="2020-01-01T00:00:00"/>
    <n v="46"/>
    <n v="100031722"/>
    <s v="WA"/>
    <n v="81"/>
    <x v="0"/>
    <n v="11500060"/>
    <x v="0"/>
    <n v="6202"/>
    <s v="MXN"/>
    <n v="6202"/>
    <x v="0"/>
    <m/>
    <m/>
    <m/>
    <m/>
    <m/>
    <m/>
    <m/>
    <m/>
    <s v="31.01.2020"/>
    <m/>
    <n v="20200131"/>
    <n v="6202"/>
    <m/>
    <m/>
    <m/>
    <m/>
    <m/>
    <m/>
    <m/>
    <m/>
    <m/>
    <m/>
    <n v="340110590"/>
    <s v="FLUGO"/>
  </r>
  <r>
    <n v="3400"/>
    <s v="30.01.2020"/>
    <n v="2020"/>
    <d v="2020-01-01T00:00:00"/>
    <n v="1"/>
    <n v="880003902"/>
    <s v="Z6"/>
    <n v="40"/>
    <x v="1"/>
    <n v="11148112"/>
    <x v="1"/>
    <n v="4"/>
    <s v="MXN"/>
    <n v="4"/>
    <x v="0"/>
    <s v="D3"/>
    <m/>
    <m/>
    <m/>
    <m/>
    <m/>
    <m/>
    <m/>
    <s v="06.02.2020"/>
    <m/>
    <n v="20200130"/>
    <n v="4"/>
    <m/>
    <m/>
    <m/>
    <m/>
    <m/>
    <m/>
    <m/>
    <m/>
    <m/>
    <m/>
    <n v="340099150"/>
    <s v="JAVILES"/>
  </r>
  <r>
    <n v="3400"/>
    <s v="17.01.2020"/>
    <n v="2020"/>
    <d v="2020-01-01T00:00:00"/>
    <n v="1"/>
    <n v="880000507"/>
    <s v="Z6"/>
    <n v="40"/>
    <x v="1"/>
    <n v="11123192"/>
    <x v="1"/>
    <n v="27"/>
    <s v="USD"/>
    <n v="507.81"/>
    <x v="0"/>
    <m/>
    <m/>
    <m/>
    <m/>
    <m/>
    <m/>
    <m/>
    <m/>
    <s v="20.01.2020"/>
    <m/>
    <n v="20200117"/>
    <n v="27"/>
    <m/>
    <m/>
    <m/>
    <m/>
    <m/>
    <m/>
    <m/>
    <m/>
    <m/>
    <m/>
    <n v="340099150"/>
    <s v="BAVILA"/>
  </r>
  <r>
    <n v="3403"/>
    <s v="14.01.2020"/>
    <n v="2020"/>
    <d v="2020-01-01T00:00:00"/>
    <n v="8"/>
    <n v="300007931"/>
    <s v="WA"/>
    <n v="81"/>
    <x v="0"/>
    <n v="11500040"/>
    <x v="0"/>
    <n v="1050"/>
    <s v="MXN"/>
    <n v="1050"/>
    <x v="0"/>
    <m/>
    <m/>
    <m/>
    <m/>
    <m/>
    <m/>
    <m/>
    <m/>
    <s v="14.01.2020"/>
    <m/>
    <n v="20200114"/>
    <n v="1050"/>
    <m/>
    <m/>
    <m/>
    <m/>
    <m/>
    <m/>
    <m/>
    <m/>
    <m/>
    <m/>
    <n v="340333190"/>
    <s v="JBAUTISTA"/>
  </r>
  <r>
    <n v="3403"/>
    <s v="14.01.2020"/>
    <n v="2020"/>
    <d v="2020-01-01T00:00:00"/>
    <n v="28"/>
    <n v="300007931"/>
    <s v="WA"/>
    <n v="81"/>
    <x v="0"/>
    <n v="11500040"/>
    <x v="0"/>
    <n v="442.47"/>
    <s v="MXN"/>
    <n v="442.47"/>
    <x v="0"/>
    <m/>
    <m/>
    <m/>
    <m/>
    <m/>
    <m/>
    <m/>
    <m/>
    <s v="14.01.2020"/>
    <m/>
    <n v="20200114"/>
    <n v="442.47"/>
    <m/>
    <m/>
    <m/>
    <m/>
    <m/>
    <m/>
    <m/>
    <m/>
    <m/>
    <m/>
    <n v="340312490"/>
    <s v="JBAUTISTA"/>
  </r>
  <r>
    <n v="3403"/>
    <s v="14.01.2020"/>
    <n v="2020"/>
    <d v="2020-01-01T00:00:00"/>
    <n v="32"/>
    <n v="300007931"/>
    <s v="WA"/>
    <n v="81"/>
    <x v="0"/>
    <n v="11500040"/>
    <x v="0"/>
    <n v="205.2"/>
    <s v="MXN"/>
    <n v="205.2"/>
    <x v="0"/>
    <m/>
    <m/>
    <m/>
    <m/>
    <m/>
    <m/>
    <m/>
    <m/>
    <s v="14.01.2020"/>
    <m/>
    <n v="20200114"/>
    <n v="205.2"/>
    <m/>
    <m/>
    <m/>
    <m/>
    <m/>
    <m/>
    <m/>
    <m/>
    <m/>
    <m/>
    <n v="340312490"/>
    <s v="JBAUTISTA"/>
  </r>
  <r>
    <n v="3403"/>
    <s v="14.01.2020"/>
    <n v="2020"/>
    <d v="2020-01-01T00:00:00"/>
    <n v="34"/>
    <n v="300007931"/>
    <s v="WA"/>
    <n v="81"/>
    <x v="0"/>
    <n v="11500040"/>
    <x v="0"/>
    <n v="73.56"/>
    <s v="MXN"/>
    <n v="73.56"/>
    <x v="0"/>
    <m/>
    <m/>
    <m/>
    <m/>
    <m/>
    <m/>
    <m/>
    <m/>
    <s v="14.01.2020"/>
    <m/>
    <n v="20200114"/>
    <n v="73.56"/>
    <m/>
    <m/>
    <m/>
    <m/>
    <m/>
    <m/>
    <m/>
    <m/>
    <m/>
    <m/>
    <n v="340325290"/>
    <s v="JBAUTISTA"/>
  </r>
  <r>
    <n v="3403"/>
    <s v="14.01.2020"/>
    <n v="2020"/>
    <d v="2020-01-01T00:00:00"/>
    <n v="38"/>
    <n v="300007931"/>
    <s v="WA"/>
    <n v="81"/>
    <x v="0"/>
    <n v="11500040"/>
    <x v="0"/>
    <n v="3510"/>
    <s v="MXN"/>
    <n v="3510"/>
    <x v="0"/>
    <m/>
    <m/>
    <m/>
    <m/>
    <m/>
    <m/>
    <m/>
    <m/>
    <s v="14.01.2020"/>
    <m/>
    <n v="20200114"/>
    <n v="3510"/>
    <m/>
    <m/>
    <m/>
    <m/>
    <m/>
    <m/>
    <m/>
    <m/>
    <m/>
    <m/>
    <n v="340312890"/>
    <s v="JBAUTISTA"/>
  </r>
  <r>
    <n v="3403"/>
    <s v="14.01.2020"/>
    <n v="2020"/>
    <d v="2020-01-01T00:00:00"/>
    <n v="40"/>
    <n v="300007931"/>
    <s v="WA"/>
    <n v="81"/>
    <x v="0"/>
    <n v="11500040"/>
    <x v="0"/>
    <n v="360.87"/>
    <s v="MXN"/>
    <n v="360.87"/>
    <x v="0"/>
    <m/>
    <m/>
    <m/>
    <m/>
    <m/>
    <m/>
    <m/>
    <m/>
    <s v="14.01.2020"/>
    <m/>
    <n v="20200114"/>
    <n v="360.87"/>
    <m/>
    <m/>
    <m/>
    <m/>
    <m/>
    <m/>
    <m/>
    <m/>
    <m/>
    <m/>
    <n v="340312890"/>
    <s v="JBAUTISTA"/>
  </r>
  <r>
    <n v="3403"/>
    <s v="14.01.2020"/>
    <n v="2020"/>
    <d v="2020-01-01T00:00:00"/>
    <n v="54"/>
    <n v="300007931"/>
    <s v="WA"/>
    <n v="81"/>
    <x v="0"/>
    <n v="11500040"/>
    <x v="0"/>
    <n v="196.33"/>
    <s v="MXN"/>
    <n v="196.33"/>
    <x v="0"/>
    <m/>
    <m/>
    <m/>
    <m/>
    <m/>
    <m/>
    <m/>
    <m/>
    <s v="14.01.2020"/>
    <m/>
    <n v="20200114"/>
    <n v="196.33"/>
    <m/>
    <m/>
    <m/>
    <m/>
    <m/>
    <m/>
    <m/>
    <m/>
    <m/>
    <m/>
    <n v="340312890"/>
    <s v="JBAUTISTA"/>
  </r>
  <r>
    <n v="3403"/>
    <s v="14.01.2020"/>
    <n v="2020"/>
    <d v="2020-01-01T00:00:00"/>
    <n v="56"/>
    <n v="300007931"/>
    <s v="WA"/>
    <n v="81"/>
    <x v="0"/>
    <n v="11500040"/>
    <x v="0"/>
    <n v="177.6"/>
    <s v="MXN"/>
    <n v="177.6"/>
    <x v="0"/>
    <m/>
    <m/>
    <m/>
    <m/>
    <m/>
    <m/>
    <m/>
    <m/>
    <s v="14.01.2020"/>
    <m/>
    <n v="20200114"/>
    <n v="177.6"/>
    <m/>
    <m/>
    <m/>
    <m/>
    <m/>
    <m/>
    <m/>
    <m/>
    <m/>
    <m/>
    <n v="340312890"/>
    <s v="JBAUTISTA"/>
  </r>
  <r>
    <n v="3403"/>
    <s v="14.01.2020"/>
    <n v="2020"/>
    <d v="2020-01-01T00:00:00"/>
    <n v="58"/>
    <n v="300007931"/>
    <s v="WA"/>
    <n v="81"/>
    <x v="0"/>
    <n v="11500040"/>
    <x v="0"/>
    <n v="177.6"/>
    <s v="MXN"/>
    <n v="177.6"/>
    <x v="0"/>
    <m/>
    <m/>
    <m/>
    <m/>
    <m/>
    <m/>
    <m/>
    <m/>
    <s v="14.01.2020"/>
    <m/>
    <n v="20200114"/>
    <n v="177.6"/>
    <m/>
    <m/>
    <m/>
    <m/>
    <m/>
    <m/>
    <m/>
    <m/>
    <m/>
    <m/>
    <n v="340312890"/>
    <s v="JBAUTISTA"/>
  </r>
  <r>
    <n v="3401"/>
    <s v="31.01.2020"/>
    <n v="2020"/>
    <d v="2020-01-01T00:00:00"/>
    <n v="50"/>
    <n v="100031722"/>
    <s v="WA"/>
    <n v="81"/>
    <x v="0"/>
    <n v="11500060"/>
    <x v="0"/>
    <n v="1519.29"/>
    <s v="MXN"/>
    <n v="1519.29"/>
    <x v="0"/>
    <m/>
    <m/>
    <m/>
    <m/>
    <m/>
    <m/>
    <m/>
    <m/>
    <s v="31.01.2020"/>
    <m/>
    <n v="20200131"/>
    <n v="1519.29"/>
    <m/>
    <m/>
    <m/>
    <m/>
    <m/>
    <m/>
    <m/>
    <m/>
    <m/>
    <m/>
    <n v="340110590"/>
    <s v="FLUGO"/>
  </r>
  <r>
    <n v="3401"/>
    <s v="31.01.2020"/>
    <n v="2020"/>
    <d v="2020-01-01T00:00:00"/>
    <n v="52"/>
    <n v="100031722"/>
    <s v="WA"/>
    <n v="81"/>
    <x v="0"/>
    <n v="11500060"/>
    <x v="0"/>
    <n v="11832.26"/>
    <s v="MXN"/>
    <n v="11832.26"/>
    <x v="0"/>
    <m/>
    <m/>
    <m/>
    <m/>
    <m/>
    <m/>
    <m/>
    <m/>
    <s v="31.01.2020"/>
    <m/>
    <n v="20200131"/>
    <n v="11832.26"/>
    <m/>
    <m/>
    <m/>
    <m/>
    <m/>
    <m/>
    <m/>
    <m/>
    <m/>
    <m/>
    <n v="340110590"/>
    <s v="FLUGO"/>
  </r>
  <r>
    <n v="3401"/>
    <s v="31.01.2020"/>
    <n v="2020"/>
    <d v="2020-01-01T00:00:00"/>
    <n v="54"/>
    <n v="100031722"/>
    <s v="WA"/>
    <n v="81"/>
    <x v="0"/>
    <n v="11500060"/>
    <x v="0"/>
    <n v="1758.84"/>
    <s v="MXN"/>
    <n v="1758.84"/>
    <x v="0"/>
    <m/>
    <m/>
    <m/>
    <m/>
    <m/>
    <m/>
    <m/>
    <m/>
    <s v="31.01.2020"/>
    <m/>
    <n v="20200131"/>
    <n v="1758.84"/>
    <m/>
    <m/>
    <m/>
    <m/>
    <m/>
    <m/>
    <m/>
    <m/>
    <m/>
    <m/>
    <n v="340110590"/>
    <s v="FLUGO"/>
  </r>
  <r>
    <n v="3401"/>
    <s v="31.01.2020"/>
    <n v="2020"/>
    <d v="2020-01-01T00:00:00"/>
    <n v="56"/>
    <n v="100031722"/>
    <s v="WA"/>
    <n v="81"/>
    <x v="0"/>
    <n v="11500060"/>
    <x v="0"/>
    <n v="2376.7600000000002"/>
    <s v="MXN"/>
    <n v="2376.7600000000002"/>
    <x v="0"/>
    <m/>
    <m/>
    <m/>
    <m/>
    <m/>
    <m/>
    <m/>
    <m/>
    <s v="31.01.2020"/>
    <m/>
    <n v="20200131"/>
    <n v="2376.7600000000002"/>
    <m/>
    <m/>
    <m/>
    <m/>
    <m/>
    <m/>
    <m/>
    <m/>
    <m/>
    <m/>
    <n v="340110590"/>
    <s v="FLUGO"/>
  </r>
  <r>
    <n v="3401"/>
    <s v="31.01.2020"/>
    <n v="2020"/>
    <d v="2020-01-01T00:00:00"/>
    <n v="58"/>
    <n v="100031722"/>
    <s v="WA"/>
    <n v="81"/>
    <x v="0"/>
    <n v="11500060"/>
    <x v="0"/>
    <n v="7056.55"/>
    <s v="MXN"/>
    <n v="7056.55"/>
    <x v="0"/>
    <m/>
    <m/>
    <m/>
    <m/>
    <m/>
    <m/>
    <m/>
    <m/>
    <s v="31.01.2020"/>
    <m/>
    <n v="20200131"/>
    <n v="7056.55"/>
    <m/>
    <m/>
    <m/>
    <m/>
    <m/>
    <m/>
    <m/>
    <m/>
    <m/>
    <m/>
    <n v="340110590"/>
    <s v="FLUGO"/>
  </r>
  <r>
    <n v="3401"/>
    <s v="31.01.2020"/>
    <n v="2020"/>
    <d v="2020-01-01T00:00:00"/>
    <n v="60"/>
    <n v="100031722"/>
    <s v="WA"/>
    <n v="81"/>
    <x v="0"/>
    <n v="11500060"/>
    <x v="0"/>
    <n v="1315.44"/>
    <s v="MXN"/>
    <n v="1315.44"/>
    <x v="0"/>
    <m/>
    <m/>
    <m/>
    <m/>
    <m/>
    <m/>
    <m/>
    <m/>
    <s v="31.01.2020"/>
    <m/>
    <n v="20200131"/>
    <n v="1315.44"/>
    <m/>
    <m/>
    <m/>
    <m/>
    <m/>
    <m/>
    <m/>
    <m/>
    <m/>
    <m/>
    <n v="340110590"/>
    <s v="FLUGO"/>
  </r>
  <r>
    <n v="3401"/>
    <s v="31.01.2020"/>
    <n v="2020"/>
    <d v="2020-01-01T00:00:00"/>
    <n v="62"/>
    <n v="100031722"/>
    <s v="WA"/>
    <n v="81"/>
    <x v="0"/>
    <n v="11500060"/>
    <x v="0"/>
    <n v="2054.5"/>
    <s v="MXN"/>
    <n v="2054.5"/>
    <x v="0"/>
    <m/>
    <m/>
    <m/>
    <m/>
    <m/>
    <m/>
    <m/>
    <m/>
    <s v="31.01.2020"/>
    <m/>
    <n v="20200131"/>
    <n v="2054.5"/>
    <m/>
    <m/>
    <m/>
    <m/>
    <m/>
    <m/>
    <m/>
    <m/>
    <m/>
    <m/>
    <n v="340110590"/>
    <s v="FLUGO"/>
  </r>
  <r>
    <n v="3401"/>
    <s v="31.01.2020"/>
    <n v="2020"/>
    <d v="2020-01-01T00:00:00"/>
    <n v="64"/>
    <n v="100031722"/>
    <s v="WA"/>
    <n v="81"/>
    <x v="0"/>
    <n v="11500060"/>
    <x v="0"/>
    <n v="8336.07"/>
    <s v="MXN"/>
    <n v="8336.07"/>
    <x v="0"/>
    <m/>
    <m/>
    <m/>
    <m/>
    <m/>
    <m/>
    <m/>
    <m/>
    <s v="31.01.2020"/>
    <m/>
    <n v="20200131"/>
    <n v="8336.07"/>
    <m/>
    <m/>
    <m/>
    <m/>
    <m/>
    <m/>
    <m/>
    <m/>
    <m/>
    <m/>
    <n v="340110590"/>
    <s v="FLUGO"/>
  </r>
  <r>
    <n v="3401"/>
    <s v="31.01.2020"/>
    <n v="2020"/>
    <d v="2020-01-01T00:00:00"/>
    <n v="66"/>
    <n v="100031722"/>
    <s v="WA"/>
    <n v="81"/>
    <x v="0"/>
    <n v="11500060"/>
    <x v="0"/>
    <n v="1593.98"/>
    <s v="MXN"/>
    <n v="1593.98"/>
    <x v="0"/>
    <m/>
    <m/>
    <m/>
    <m/>
    <m/>
    <m/>
    <m/>
    <m/>
    <s v="31.01.2020"/>
    <m/>
    <n v="20200131"/>
    <n v="1593.98"/>
    <m/>
    <m/>
    <m/>
    <m/>
    <m/>
    <m/>
    <m/>
    <m/>
    <m/>
    <m/>
    <n v="340110590"/>
    <s v="FLUGO"/>
  </r>
  <r>
    <n v="3401"/>
    <s v="31.01.2020"/>
    <n v="2020"/>
    <d v="2020-01-01T00:00:00"/>
    <n v="68"/>
    <n v="100031722"/>
    <s v="WA"/>
    <n v="81"/>
    <x v="0"/>
    <n v="11500060"/>
    <x v="0"/>
    <n v="420"/>
    <s v="MXN"/>
    <n v="420"/>
    <x v="0"/>
    <m/>
    <m/>
    <m/>
    <m/>
    <m/>
    <m/>
    <m/>
    <m/>
    <s v="31.01.2020"/>
    <m/>
    <n v="20200131"/>
    <n v="420"/>
    <m/>
    <m/>
    <m/>
    <m/>
    <m/>
    <m/>
    <m/>
    <m/>
    <m/>
    <m/>
    <n v="340110590"/>
    <s v="FLUGO"/>
  </r>
  <r>
    <n v="3401"/>
    <s v="31.01.2020"/>
    <n v="2020"/>
    <d v="2020-01-01T00:00:00"/>
    <n v="70"/>
    <n v="100031722"/>
    <s v="WA"/>
    <n v="81"/>
    <x v="0"/>
    <n v="11500060"/>
    <x v="0"/>
    <n v="4920.03"/>
    <s v="MXN"/>
    <n v="4920.03"/>
    <x v="0"/>
    <m/>
    <m/>
    <m/>
    <m/>
    <m/>
    <m/>
    <m/>
    <m/>
    <s v="31.01.2020"/>
    <m/>
    <n v="20200131"/>
    <n v="4920.03"/>
    <m/>
    <m/>
    <m/>
    <m/>
    <m/>
    <m/>
    <m/>
    <m/>
    <m/>
    <m/>
    <n v="340110590"/>
    <s v="FLUGO"/>
  </r>
  <r>
    <n v="3401"/>
    <s v="31.01.2020"/>
    <n v="2020"/>
    <d v="2020-01-01T00:00:00"/>
    <n v="72"/>
    <n v="100031722"/>
    <s v="WA"/>
    <n v="81"/>
    <x v="0"/>
    <n v="11500060"/>
    <x v="0"/>
    <n v="3719.3"/>
    <s v="MXN"/>
    <n v="3719.3"/>
    <x v="0"/>
    <m/>
    <m/>
    <m/>
    <m/>
    <m/>
    <m/>
    <m/>
    <m/>
    <s v="31.01.2020"/>
    <m/>
    <n v="20200131"/>
    <n v="3719.3"/>
    <m/>
    <m/>
    <m/>
    <m/>
    <m/>
    <m/>
    <m/>
    <m/>
    <m/>
    <m/>
    <n v="340110590"/>
    <s v="FLUGO"/>
  </r>
  <r>
    <n v="3401"/>
    <s v="31.01.2020"/>
    <n v="2020"/>
    <d v="2020-01-01T00:00:00"/>
    <n v="74"/>
    <n v="100031722"/>
    <s v="WA"/>
    <n v="81"/>
    <x v="0"/>
    <n v="11500060"/>
    <x v="0"/>
    <n v="5148.45"/>
    <s v="MXN"/>
    <n v="5148.45"/>
    <x v="0"/>
    <m/>
    <m/>
    <m/>
    <m/>
    <m/>
    <m/>
    <m/>
    <m/>
    <s v="31.01.2020"/>
    <m/>
    <n v="20200131"/>
    <n v="5148.45"/>
    <m/>
    <m/>
    <m/>
    <m/>
    <m/>
    <m/>
    <m/>
    <m/>
    <m/>
    <m/>
    <n v="340110590"/>
    <s v="FLUGO"/>
  </r>
  <r>
    <n v="3403"/>
    <s v="31.01.2020"/>
    <n v="2020"/>
    <d v="2020-01-01T00:00:00"/>
    <n v="22"/>
    <n v="300017689"/>
    <s v="WA"/>
    <n v="81"/>
    <x v="0"/>
    <n v="11500060"/>
    <x v="0"/>
    <n v="2136"/>
    <s v="MXN"/>
    <n v="2136"/>
    <x v="0"/>
    <m/>
    <m/>
    <m/>
    <m/>
    <m/>
    <m/>
    <m/>
    <m/>
    <s v="31.01.2020"/>
    <m/>
    <n v="20200131"/>
    <n v="2136"/>
    <m/>
    <m/>
    <m/>
    <m/>
    <m/>
    <m/>
    <m/>
    <m/>
    <m/>
    <m/>
    <n v="340312890"/>
    <s v="JBAUTISTA"/>
  </r>
  <r>
    <n v="3403"/>
    <s v="31.01.2020"/>
    <n v="2020"/>
    <d v="2020-01-01T00:00:00"/>
    <n v="24"/>
    <n v="300017689"/>
    <s v="WA"/>
    <n v="81"/>
    <x v="0"/>
    <n v="11500060"/>
    <x v="0"/>
    <n v="278.88"/>
    <s v="MXN"/>
    <n v="278.88"/>
    <x v="0"/>
    <m/>
    <m/>
    <m/>
    <m/>
    <m/>
    <m/>
    <m/>
    <m/>
    <s v="31.01.2020"/>
    <m/>
    <n v="20200131"/>
    <n v="278.88"/>
    <m/>
    <m/>
    <m/>
    <m/>
    <m/>
    <m/>
    <m/>
    <m/>
    <m/>
    <m/>
    <n v="340312890"/>
    <s v="JBAUTISTA"/>
  </r>
  <r>
    <n v="3403"/>
    <s v="31.01.2020"/>
    <n v="2020"/>
    <d v="2020-01-01T00:00:00"/>
    <n v="26"/>
    <n v="300017689"/>
    <s v="WA"/>
    <n v="81"/>
    <x v="0"/>
    <n v="11500060"/>
    <x v="0"/>
    <n v="456"/>
    <s v="MXN"/>
    <n v="456"/>
    <x v="0"/>
    <m/>
    <m/>
    <m/>
    <m/>
    <m/>
    <m/>
    <m/>
    <m/>
    <s v="31.01.2020"/>
    <m/>
    <n v="20200131"/>
    <n v="456"/>
    <m/>
    <m/>
    <m/>
    <m/>
    <m/>
    <m/>
    <m/>
    <m/>
    <m/>
    <m/>
    <n v="340312890"/>
    <s v="JBAUTISTA"/>
  </r>
  <r>
    <n v="3403"/>
    <s v="31.01.2020"/>
    <n v="2020"/>
    <d v="2020-01-01T00:00:00"/>
    <n v="28"/>
    <n v="300017689"/>
    <s v="WA"/>
    <n v="81"/>
    <x v="0"/>
    <n v="11500060"/>
    <x v="0"/>
    <n v="1410"/>
    <s v="MXN"/>
    <n v="1410"/>
    <x v="0"/>
    <m/>
    <m/>
    <m/>
    <m/>
    <m/>
    <m/>
    <m/>
    <m/>
    <s v="31.01.2020"/>
    <m/>
    <n v="20200131"/>
    <n v="1410"/>
    <m/>
    <m/>
    <m/>
    <m/>
    <m/>
    <m/>
    <m/>
    <m/>
    <m/>
    <m/>
    <n v="340312890"/>
    <s v="JBAUTISTA"/>
  </r>
  <r>
    <n v="3403"/>
    <s v="31.01.2020"/>
    <n v="2020"/>
    <d v="2020-01-01T00:00:00"/>
    <n v="30"/>
    <n v="300017689"/>
    <s v="WA"/>
    <n v="81"/>
    <x v="0"/>
    <n v="11500060"/>
    <x v="0"/>
    <n v="877.8"/>
    <s v="MXN"/>
    <n v="877.8"/>
    <x v="0"/>
    <m/>
    <m/>
    <m/>
    <m/>
    <m/>
    <m/>
    <m/>
    <m/>
    <s v="31.01.2020"/>
    <m/>
    <n v="20200131"/>
    <n v="877.8"/>
    <m/>
    <m/>
    <m/>
    <m/>
    <m/>
    <m/>
    <m/>
    <m/>
    <m/>
    <m/>
    <n v="340312890"/>
    <s v="JBAUTISTA"/>
  </r>
  <r>
    <n v="3403"/>
    <s v="31.01.2020"/>
    <n v="2020"/>
    <d v="2020-01-01T00:00:00"/>
    <n v="32"/>
    <n v="300017689"/>
    <s v="WA"/>
    <n v="81"/>
    <x v="0"/>
    <n v="11500060"/>
    <x v="0"/>
    <n v="66.400000000000006"/>
    <s v="MXN"/>
    <n v="66.400000000000006"/>
    <x v="0"/>
    <m/>
    <m/>
    <m/>
    <m/>
    <m/>
    <m/>
    <m/>
    <m/>
    <s v="31.01.2020"/>
    <m/>
    <n v="20200131"/>
    <n v="66.400000000000006"/>
    <m/>
    <m/>
    <m/>
    <m/>
    <m/>
    <m/>
    <m/>
    <m/>
    <m/>
    <m/>
    <n v="340312890"/>
    <s v="JBAUTISTA"/>
  </r>
  <r>
    <n v="3403"/>
    <s v="31.01.2020"/>
    <n v="2020"/>
    <d v="2020-01-01T00:00:00"/>
    <n v="34"/>
    <n v="300017689"/>
    <s v="WA"/>
    <n v="81"/>
    <x v="0"/>
    <n v="11500060"/>
    <x v="0"/>
    <n v="67"/>
    <s v="MXN"/>
    <n v="67"/>
    <x v="0"/>
    <m/>
    <m/>
    <m/>
    <m/>
    <m/>
    <m/>
    <m/>
    <m/>
    <s v="31.01.2020"/>
    <m/>
    <n v="20200131"/>
    <n v="67"/>
    <m/>
    <m/>
    <m/>
    <m/>
    <m/>
    <m/>
    <m/>
    <m/>
    <m/>
    <m/>
    <n v="340312890"/>
    <s v="JBAUTISTA"/>
  </r>
  <r>
    <n v="3403"/>
    <s v="31.01.2020"/>
    <n v="2020"/>
    <d v="2020-01-01T00:00:00"/>
    <n v="36"/>
    <n v="300017689"/>
    <s v="WA"/>
    <n v="81"/>
    <x v="0"/>
    <n v="11500060"/>
    <x v="0"/>
    <n v="142"/>
    <s v="MXN"/>
    <n v="142"/>
    <x v="0"/>
    <m/>
    <m/>
    <m/>
    <m/>
    <m/>
    <m/>
    <m/>
    <m/>
    <s v="31.01.2020"/>
    <m/>
    <n v="20200131"/>
    <n v="142"/>
    <m/>
    <m/>
    <m/>
    <m/>
    <m/>
    <m/>
    <m/>
    <m/>
    <m/>
    <m/>
    <n v="340312890"/>
    <s v="JBAUTISTA"/>
  </r>
  <r>
    <n v="3403"/>
    <s v="31.01.2020"/>
    <n v="2020"/>
    <d v="2020-01-01T00:00:00"/>
    <n v="38"/>
    <n v="300017689"/>
    <s v="WA"/>
    <n v="81"/>
    <x v="0"/>
    <n v="11500060"/>
    <x v="0"/>
    <n v="142"/>
    <s v="MXN"/>
    <n v="142"/>
    <x v="0"/>
    <m/>
    <m/>
    <m/>
    <m/>
    <m/>
    <m/>
    <m/>
    <m/>
    <s v="31.01.2020"/>
    <m/>
    <n v="20200131"/>
    <n v="142"/>
    <m/>
    <m/>
    <m/>
    <m/>
    <m/>
    <m/>
    <m/>
    <m/>
    <m/>
    <m/>
    <n v="340312890"/>
    <s v="JBAUTISTA"/>
  </r>
  <r>
    <n v="3403"/>
    <s v="31.01.2020"/>
    <n v="2020"/>
    <d v="2020-01-01T00:00:00"/>
    <n v="40"/>
    <n v="300017689"/>
    <s v="WA"/>
    <n v="81"/>
    <x v="0"/>
    <n v="11500060"/>
    <x v="0"/>
    <n v="142"/>
    <s v="MXN"/>
    <n v="142"/>
    <x v="0"/>
    <m/>
    <m/>
    <m/>
    <m/>
    <m/>
    <m/>
    <m/>
    <m/>
    <s v="31.01.2020"/>
    <m/>
    <n v="20200131"/>
    <n v="142"/>
    <m/>
    <m/>
    <m/>
    <m/>
    <m/>
    <m/>
    <m/>
    <m/>
    <m/>
    <m/>
    <n v="340312890"/>
    <s v="JBAUTISTA"/>
  </r>
  <r>
    <n v="3403"/>
    <s v="31.01.2020"/>
    <n v="2020"/>
    <d v="2020-01-01T00:00:00"/>
    <n v="42"/>
    <n v="300017689"/>
    <s v="WA"/>
    <n v="81"/>
    <x v="0"/>
    <n v="11500060"/>
    <x v="0"/>
    <n v="190"/>
    <s v="MXN"/>
    <n v="190"/>
    <x v="0"/>
    <m/>
    <m/>
    <m/>
    <m/>
    <m/>
    <m/>
    <m/>
    <m/>
    <s v="31.01.2020"/>
    <m/>
    <n v="20200131"/>
    <n v="190"/>
    <m/>
    <m/>
    <m/>
    <m/>
    <m/>
    <m/>
    <m/>
    <m/>
    <m/>
    <m/>
    <n v="340312890"/>
    <s v="JBAUTISTA"/>
  </r>
  <r>
    <n v="3403"/>
    <s v="31.01.2020"/>
    <n v="2020"/>
    <d v="2020-01-01T00:00:00"/>
    <n v="44"/>
    <n v="300017689"/>
    <s v="WA"/>
    <n v="81"/>
    <x v="0"/>
    <n v="11500060"/>
    <x v="0"/>
    <n v="477.6"/>
    <s v="MXN"/>
    <n v="477.6"/>
    <x v="0"/>
    <m/>
    <m/>
    <m/>
    <m/>
    <m/>
    <m/>
    <m/>
    <m/>
    <s v="31.01.2020"/>
    <m/>
    <n v="20200131"/>
    <n v="477.6"/>
    <m/>
    <m/>
    <m/>
    <m/>
    <m/>
    <m/>
    <m/>
    <m/>
    <m/>
    <m/>
    <n v="340312890"/>
    <s v="JBAUTISTA"/>
  </r>
  <r>
    <n v="3403"/>
    <s v="31.01.2020"/>
    <n v="2020"/>
    <d v="2020-01-01T00:00:00"/>
    <n v="48"/>
    <n v="300017689"/>
    <s v="WA"/>
    <n v="81"/>
    <x v="0"/>
    <n v="11500060"/>
    <x v="0"/>
    <n v="3350.65"/>
    <s v="MXN"/>
    <n v="3350.65"/>
    <x v="0"/>
    <m/>
    <m/>
    <m/>
    <m/>
    <m/>
    <m/>
    <m/>
    <m/>
    <s v="31.01.2020"/>
    <m/>
    <n v="20200131"/>
    <n v="3350.65"/>
    <m/>
    <m/>
    <m/>
    <m/>
    <m/>
    <m/>
    <m/>
    <m/>
    <m/>
    <m/>
    <n v="340312890"/>
    <s v="JBAUTISTA"/>
  </r>
  <r>
    <n v="3403"/>
    <s v="31.01.2020"/>
    <n v="2020"/>
    <d v="2020-01-01T00:00:00"/>
    <n v="52"/>
    <n v="300017689"/>
    <s v="WA"/>
    <n v="81"/>
    <x v="0"/>
    <n v="11500060"/>
    <x v="0"/>
    <n v="1160"/>
    <s v="MXN"/>
    <n v="1160"/>
    <x v="0"/>
    <m/>
    <m/>
    <m/>
    <m/>
    <m/>
    <m/>
    <m/>
    <m/>
    <s v="31.01.2020"/>
    <m/>
    <n v="20200131"/>
    <n v="1160"/>
    <m/>
    <m/>
    <m/>
    <m/>
    <m/>
    <m/>
    <m/>
    <m/>
    <m/>
    <m/>
    <n v="340312890"/>
    <s v="JBAUTISTA"/>
  </r>
  <r>
    <n v="3403"/>
    <s v="31.01.2020"/>
    <n v="2020"/>
    <d v="2020-01-01T00:00:00"/>
    <n v="54"/>
    <n v="300017689"/>
    <s v="WA"/>
    <n v="81"/>
    <x v="0"/>
    <n v="11500060"/>
    <x v="0"/>
    <n v="1852"/>
    <s v="MXN"/>
    <n v="1852"/>
    <x v="0"/>
    <m/>
    <m/>
    <m/>
    <m/>
    <m/>
    <m/>
    <m/>
    <m/>
    <s v="31.01.2020"/>
    <m/>
    <n v="20200131"/>
    <n v="1852"/>
    <m/>
    <m/>
    <m/>
    <m/>
    <m/>
    <m/>
    <m/>
    <m/>
    <m/>
    <m/>
    <n v="340312890"/>
    <s v="JBAUTISTA"/>
  </r>
  <r>
    <n v="3403"/>
    <s v="31.01.2020"/>
    <n v="2020"/>
    <d v="2020-01-01T00:00:00"/>
    <n v="56"/>
    <n v="300017689"/>
    <s v="WA"/>
    <n v="81"/>
    <x v="0"/>
    <n v="11500060"/>
    <x v="0"/>
    <n v="2513.2800000000002"/>
    <s v="MXN"/>
    <n v="2513.2800000000002"/>
    <x v="0"/>
    <m/>
    <m/>
    <m/>
    <m/>
    <m/>
    <m/>
    <m/>
    <m/>
    <s v="31.01.2020"/>
    <m/>
    <n v="20200131"/>
    <n v="2513.2800000000002"/>
    <m/>
    <m/>
    <m/>
    <m/>
    <m/>
    <m/>
    <m/>
    <m/>
    <m/>
    <m/>
    <n v="340312890"/>
    <s v="JBAUTISTA"/>
  </r>
  <r>
    <n v="3403"/>
    <s v="31.01.2020"/>
    <n v="2020"/>
    <d v="2020-01-01T00:00:00"/>
    <n v="64"/>
    <n v="300017689"/>
    <s v="WA"/>
    <n v="81"/>
    <x v="0"/>
    <n v="11500060"/>
    <x v="0"/>
    <n v="2968.4"/>
    <s v="MXN"/>
    <n v="2968.4"/>
    <x v="0"/>
    <m/>
    <m/>
    <m/>
    <m/>
    <m/>
    <m/>
    <m/>
    <m/>
    <s v="31.01.2020"/>
    <m/>
    <n v="20200131"/>
    <n v="2968.4"/>
    <m/>
    <m/>
    <m/>
    <m/>
    <m/>
    <m/>
    <m/>
    <m/>
    <m/>
    <m/>
    <n v="340312890"/>
    <s v="JBAUTISTA"/>
  </r>
  <r>
    <n v="3403"/>
    <s v="31.01.2020"/>
    <n v="2020"/>
    <d v="2020-01-01T00:00:00"/>
    <n v="66"/>
    <n v="300017689"/>
    <s v="WA"/>
    <n v="81"/>
    <x v="0"/>
    <n v="11500060"/>
    <x v="0"/>
    <n v="1925.4"/>
    <s v="MXN"/>
    <n v="1925.4"/>
    <x v="0"/>
    <m/>
    <m/>
    <m/>
    <m/>
    <m/>
    <m/>
    <m/>
    <m/>
    <s v="31.01.2020"/>
    <m/>
    <n v="20200131"/>
    <n v="1925.4"/>
    <m/>
    <m/>
    <m/>
    <m/>
    <m/>
    <m/>
    <m/>
    <m/>
    <m/>
    <m/>
    <n v="340312890"/>
    <s v="JBAUTISTA"/>
  </r>
  <r>
    <n v="3403"/>
    <s v="31.01.2020"/>
    <n v="2020"/>
    <d v="2020-01-01T00:00:00"/>
    <n v="68"/>
    <n v="300017689"/>
    <s v="WA"/>
    <n v="81"/>
    <x v="0"/>
    <n v="11500060"/>
    <x v="0"/>
    <n v="1758.84"/>
    <s v="MXN"/>
    <n v="1758.84"/>
    <x v="0"/>
    <m/>
    <m/>
    <m/>
    <m/>
    <m/>
    <m/>
    <m/>
    <m/>
    <s v="31.01.2020"/>
    <m/>
    <n v="20200131"/>
    <n v="1758.84"/>
    <m/>
    <m/>
    <m/>
    <m/>
    <m/>
    <m/>
    <m/>
    <m/>
    <m/>
    <m/>
    <n v="340312890"/>
    <s v="JBAUTISTA"/>
  </r>
  <r>
    <n v="3403"/>
    <s v="31.01.2020"/>
    <n v="2020"/>
    <d v="2020-01-01T00:00:00"/>
    <n v="70"/>
    <n v="300017689"/>
    <s v="WA"/>
    <n v="81"/>
    <x v="0"/>
    <n v="11500060"/>
    <x v="0"/>
    <n v="9507.0400000000009"/>
    <s v="MXN"/>
    <n v="9507.0400000000009"/>
    <x v="0"/>
    <m/>
    <m/>
    <m/>
    <m/>
    <m/>
    <m/>
    <m/>
    <m/>
    <s v="31.01.2020"/>
    <m/>
    <n v="20200131"/>
    <n v="9507.0400000000009"/>
    <m/>
    <m/>
    <m/>
    <m/>
    <m/>
    <m/>
    <m/>
    <m/>
    <m/>
    <m/>
    <n v="340312890"/>
    <s v="JBAUTISTA"/>
  </r>
  <r>
    <n v="3403"/>
    <s v="31.01.2020"/>
    <n v="2020"/>
    <d v="2020-01-01T00:00:00"/>
    <n v="72"/>
    <n v="300017689"/>
    <s v="WA"/>
    <n v="81"/>
    <x v="0"/>
    <n v="11500060"/>
    <x v="0"/>
    <n v="6257.8"/>
    <s v="MXN"/>
    <n v="6257.8"/>
    <x v="0"/>
    <m/>
    <m/>
    <m/>
    <m/>
    <m/>
    <m/>
    <m/>
    <m/>
    <s v="31.01.2020"/>
    <m/>
    <n v="20200131"/>
    <n v="6257.8"/>
    <m/>
    <m/>
    <m/>
    <m/>
    <m/>
    <m/>
    <m/>
    <m/>
    <m/>
    <m/>
    <n v="340312890"/>
    <s v="JBAUTISTA"/>
  </r>
  <r>
    <n v="3403"/>
    <s v="31.01.2020"/>
    <n v="2020"/>
    <d v="2020-01-01T00:00:00"/>
    <n v="74"/>
    <n v="300017689"/>
    <s v="WA"/>
    <n v="81"/>
    <x v="0"/>
    <n v="11500060"/>
    <x v="0"/>
    <n v="5746.88"/>
    <s v="MXN"/>
    <n v="5746.88"/>
    <x v="0"/>
    <m/>
    <m/>
    <m/>
    <m/>
    <m/>
    <m/>
    <m/>
    <m/>
    <s v="31.01.2020"/>
    <m/>
    <n v="20200131"/>
    <n v="5746.88"/>
    <m/>
    <m/>
    <m/>
    <m/>
    <m/>
    <m/>
    <m/>
    <m/>
    <m/>
    <m/>
    <n v="340312890"/>
    <s v="JBAUTISTA"/>
  </r>
  <r>
    <n v="3403"/>
    <s v="31.01.2020"/>
    <n v="2020"/>
    <d v="2020-01-01T00:00:00"/>
    <n v="76"/>
    <n v="300017689"/>
    <s v="WA"/>
    <n v="81"/>
    <x v="0"/>
    <n v="11500060"/>
    <x v="0"/>
    <n v="12701.79"/>
    <s v="MXN"/>
    <n v="12701.79"/>
    <x v="0"/>
    <m/>
    <m/>
    <m/>
    <m/>
    <m/>
    <m/>
    <m/>
    <m/>
    <s v="31.01.2020"/>
    <m/>
    <n v="20200131"/>
    <n v="12701.79"/>
    <m/>
    <m/>
    <m/>
    <m/>
    <m/>
    <m/>
    <m/>
    <m/>
    <m/>
    <m/>
    <n v="340312890"/>
    <s v="JBAUTISTA"/>
  </r>
  <r>
    <n v="3403"/>
    <s v="31.01.2020"/>
    <n v="2020"/>
    <d v="2020-01-01T00:00:00"/>
    <n v="78"/>
    <n v="300017689"/>
    <s v="WA"/>
    <n v="81"/>
    <x v="0"/>
    <n v="11500060"/>
    <x v="0"/>
    <n v="10794"/>
    <s v="MXN"/>
    <n v="10794"/>
    <x v="0"/>
    <m/>
    <m/>
    <m/>
    <m/>
    <m/>
    <m/>
    <m/>
    <m/>
    <s v="31.01.2020"/>
    <m/>
    <n v="20200131"/>
    <n v="10794"/>
    <m/>
    <m/>
    <m/>
    <m/>
    <m/>
    <m/>
    <m/>
    <m/>
    <m/>
    <m/>
    <n v="340312890"/>
    <s v="JBAUTISTA"/>
  </r>
  <r>
    <n v="3403"/>
    <s v="31.01.2020"/>
    <n v="2020"/>
    <d v="2020-01-01T00:00:00"/>
    <n v="80"/>
    <n v="300017689"/>
    <s v="WA"/>
    <n v="81"/>
    <x v="0"/>
    <n v="11500060"/>
    <x v="0"/>
    <n v="404.25"/>
    <s v="MXN"/>
    <n v="404.25"/>
    <x v="0"/>
    <m/>
    <m/>
    <m/>
    <m/>
    <m/>
    <m/>
    <m/>
    <m/>
    <s v="31.01.2020"/>
    <m/>
    <n v="20200131"/>
    <n v="404.25"/>
    <m/>
    <m/>
    <m/>
    <m/>
    <m/>
    <m/>
    <m/>
    <m/>
    <m/>
    <m/>
    <n v="340312890"/>
    <s v="JBAUTISTA"/>
  </r>
  <r>
    <n v="3403"/>
    <s v="31.01.2020"/>
    <n v="2020"/>
    <d v="2020-01-01T00:00:00"/>
    <n v="82"/>
    <n v="300017689"/>
    <s v="WA"/>
    <n v="81"/>
    <x v="0"/>
    <n v="11500060"/>
    <x v="0"/>
    <n v="1680"/>
    <s v="MXN"/>
    <n v="1680"/>
    <x v="0"/>
    <m/>
    <m/>
    <m/>
    <m/>
    <m/>
    <m/>
    <m/>
    <m/>
    <s v="31.01.2020"/>
    <m/>
    <n v="20200131"/>
    <n v="1680"/>
    <m/>
    <m/>
    <m/>
    <m/>
    <m/>
    <m/>
    <m/>
    <m/>
    <m/>
    <m/>
    <n v="340312890"/>
    <s v="JBAUTISTA"/>
  </r>
  <r>
    <n v="3403"/>
    <s v="31.01.2020"/>
    <n v="2020"/>
    <d v="2020-01-01T00:00:00"/>
    <n v="84"/>
    <n v="300017689"/>
    <s v="WA"/>
    <n v="81"/>
    <x v="0"/>
    <n v="11500060"/>
    <x v="0"/>
    <n v="4630.3500000000004"/>
    <s v="MXN"/>
    <n v="4630.3500000000004"/>
    <x v="0"/>
    <m/>
    <m/>
    <m/>
    <m/>
    <m/>
    <m/>
    <m/>
    <m/>
    <s v="31.01.2020"/>
    <m/>
    <n v="20200131"/>
    <n v="4630.3500000000004"/>
    <m/>
    <m/>
    <m/>
    <m/>
    <m/>
    <m/>
    <m/>
    <m/>
    <m/>
    <m/>
    <n v="340312890"/>
    <s v="JBAUTISTA"/>
  </r>
  <r>
    <n v="3403"/>
    <s v="31.01.2020"/>
    <n v="2020"/>
    <d v="2020-01-01T00:00:00"/>
    <n v="86"/>
    <n v="300017689"/>
    <s v="WA"/>
    <n v="81"/>
    <x v="0"/>
    <n v="11500060"/>
    <x v="0"/>
    <n v="6000"/>
    <s v="MXN"/>
    <n v="6000"/>
    <x v="0"/>
    <m/>
    <m/>
    <m/>
    <m/>
    <m/>
    <m/>
    <m/>
    <m/>
    <s v="31.01.2020"/>
    <m/>
    <n v="20200131"/>
    <n v="6000"/>
    <m/>
    <m/>
    <m/>
    <m/>
    <m/>
    <m/>
    <m/>
    <m/>
    <m/>
    <m/>
    <n v="340312890"/>
    <s v="JBAUTISTA"/>
  </r>
  <r>
    <n v="3401"/>
    <s v="31.01.2020"/>
    <n v="2020"/>
    <d v="2020-01-01T00:00:00"/>
    <n v="2"/>
    <n v="100032657"/>
    <s v="WA"/>
    <n v="81"/>
    <x v="0"/>
    <n v="11500060"/>
    <x v="0"/>
    <n v="4557.87"/>
    <s v="MXN"/>
    <n v="4557.87"/>
    <x v="0"/>
    <m/>
    <m/>
    <m/>
    <m/>
    <m/>
    <m/>
    <m/>
    <m/>
    <s v="01.02.2020"/>
    <m/>
    <n v="20200131"/>
    <n v="4557.87"/>
    <m/>
    <m/>
    <m/>
    <m/>
    <m/>
    <m/>
    <m/>
    <m/>
    <m/>
    <m/>
    <n v="340110490"/>
    <s v="FLUGO"/>
  </r>
  <r>
    <n v="3401"/>
    <s v="31.01.2020"/>
    <n v="2020"/>
    <d v="2020-01-01T00:00:00"/>
    <n v="4"/>
    <n v="100032657"/>
    <s v="WA"/>
    <n v="81"/>
    <x v="0"/>
    <n v="11500060"/>
    <x v="0"/>
    <n v="10756.6"/>
    <s v="MXN"/>
    <n v="10756.6"/>
    <x v="0"/>
    <m/>
    <m/>
    <m/>
    <m/>
    <m/>
    <m/>
    <m/>
    <m/>
    <s v="01.02.2020"/>
    <m/>
    <n v="20200131"/>
    <n v="10756.6"/>
    <m/>
    <m/>
    <m/>
    <m/>
    <m/>
    <m/>
    <m/>
    <m/>
    <m/>
    <m/>
    <n v="340110490"/>
    <s v="FLUGO"/>
  </r>
  <r>
    <n v="3401"/>
    <s v="31.01.2020"/>
    <n v="2020"/>
    <d v="2020-01-01T00:00:00"/>
    <n v="6"/>
    <n v="100032657"/>
    <s v="WA"/>
    <n v="81"/>
    <x v="0"/>
    <n v="11500060"/>
    <x v="0"/>
    <n v="2198.5500000000002"/>
    <s v="MXN"/>
    <n v="2198.5500000000002"/>
    <x v="0"/>
    <m/>
    <m/>
    <m/>
    <m/>
    <m/>
    <m/>
    <m/>
    <m/>
    <s v="01.02.2020"/>
    <m/>
    <n v="20200131"/>
    <n v="2198.5500000000002"/>
    <m/>
    <m/>
    <m/>
    <m/>
    <m/>
    <m/>
    <m/>
    <m/>
    <m/>
    <m/>
    <n v="340110490"/>
    <s v="FLUGO"/>
  </r>
  <r>
    <n v="3401"/>
    <s v="31.01.2020"/>
    <n v="2020"/>
    <d v="2020-01-01T00:00:00"/>
    <n v="8"/>
    <n v="100032657"/>
    <s v="WA"/>
    <n v="81"/>
    <x v="0"/>
    <n v="11500060"/>
    <x v="0"/>
    <n v="1411.31"/>
    <s v="MXN"/>
    <n v="1411.31"/>
    <x v="0"/>
    <m/>
    <m/>
    <m/>
    <m/>
    <m/>
    <m/>
    <m/>
    <m/>
    <s v="01.02.2020"/>
    <m/>
    <n v="20200131"/>
    <n v="1411.31"/>
    <m/>
    <m/>
    <m/>
    <m/>
    <m/>
    <m/>
    <m/>
    <m/>
    <m/>
    <m/>
    <n v="340110490"/>
    <s v="FLUGO"/>
  </r>
  <r>
    <n v="3401"/>
    <s v="31.01.2020"/>
    <n v="2020"/>
    <d v="2020-01-01T00:00:00"/>
    <n v="10"/>
    <n v="100032657"/>
    <s v="WA"/>
    <n v="81"/>
    <x v="0"/>
    <n v="11500060"/>
    <x v="0"/>
    <n v="715.06"/>
    <s v="MXN"/>
    <n v="715.06"/>
    <x v="0"/>
    <m/>
    <m/>
    <m/>
    <m/>
    <m/>
    <m/>
    <m/>
    <m/>
    <s v="01.02.2020"/>
    <m/>
    <n v="20200131"/>
    <n v="715.06"/>
    <m/>
    <m/>
    <m/>
    <m/>
    <m/>
    <m/>
    <m/>
    <m/>
    <m/>
    <m/>
    <n v="340110490"/>
    <s v="FLUGO"/>
  </r>
  <r>
    <n v="3401"/>
    <s v="31.01.2020"/>
    <n v="2020"/>
    <d v="2020-01-01T00:00:00"/>
    <n v="12"/>
    <n v="100032657"/>
    <s v="WA"/>
    <n v="81"/>
    <x v="0"/>
    <n v="11500060"/>
    <x v="0"/>
    <n v="1315.44"/>
    <s v="MXN"/>
    <n v="1315.44"/>
    <x v="0"/>
    <m/>
    <m/>
    <m/>
    <m/>
    <m/>
    <m/>
    <m/>
    <m/>
    <s v="01.02.2020"/>
    <m/>
    <n v="20200131"/>
    <n v="1315.44"/>
    <m/>
    <m/>
    <m/>
    <m/>
    <m/>
    <m/>
    <m/>
    <m/>
    <m/>
    <m/>
    <n v="340110490"/>
    <s v="FLUGO"/>
  </r>
  <r>
    <n v="3401"/>
    <s v="31.01.2020"/>
    <n v="2020"/>
    <d v="2020-01-01T00:00:00"/>
    <n v="14"/>
    <n v="100032657"/>
    <s v="WA"/>
    <n v="81"/>
    <x v="0"/>
    <n v="11500060"/>
    <x v="0"/>
    <n v="554.78"/>
    <s v="MXN"/>
    <n v="554.78"/>
    <x v="0"/>
    <m/>
    <m/>
    <m/>
    <m/>
    <m/>
    <m/>
    <m/>
    <m/>
    <s v="01.02.2020"/>
    <m/>
    <n v="20200131"/>
    <n v="554.78"/>
    <m/>
    <m/>
    <m/>
    <m/>
    <m/>
    <m/>
    <m/>
    <m/>
    <m/>
    <m/>
    <n v="340110490"/>
    <s v="FLUGO"/>
  </r>
  <r>
    <n v="3401"/>
    <s v="31.01.2020"/>
    <n v="2020"/>
    <d v="2020-01-01T00:00:00"/>
    <n v="16"/>
    <n v="100032657"/>
    <s v="WA"/>
    <n v="81"/>
    <x v="0"/>
    <n v="11500060"/>
    <x v="0"/>
    <n v="6483.61"/>
    <s v="MXN"/>
    <n v="6483.61"/>
    <x v="0"/>
    <m/>
    <m/>
    <m/>
    <m/>
    <m/>
    <m/>
    <m/>
    <m/>
    <s v="01.02.2020"/>
    <m/>
    <n v="20200131"/>
    <n v="6483.61"/>
    <m/>
    <m/>
    <m/>
    <m/>
    <m/>
    <m/>
    <m/>
    <m/>
    <m/>
    <m/>
    <n v="340110490"/>
    <s v="FLUGO"/>
  </r>
  <r>
    <n v="3401"/>
    <s v="31.01.2020"/>
    <n v="2020"/>
    <d v="2020-01-01T00:00:00"/>
    <n v="18"/>
    <n v="100032657"/>
    <s v="WA"/>
    <n v="81"/>
    <x v="0"/>
    <n v="11500060"/>
    <x v="0"/>
    <n v="1136.72"/>
    <s v="MXN"/>
    <n v="1136.72"/>
    <x v="0"/>
    <m/>
    <m/>
    <m/>
    <m/>
    <m/>
    <m/>
    <m/>
    <m/>
    <s v="01.02.2020"/>
    <m/>
    <n v="20200131"/>
    <n v="1136.72"/>
    <m/>
    <m/>
    <m/>
    <m/>
    <m/>
    <m/>
    <m/>
    <m/>
    <m/>
    <m/>
    <n v="340110490"/>
    <s v="FLUGO"/>
  </r>
  <r>
    <n v="3401"/>
    <s v="31.01.2020"/>
    <n v="2020"/>
    <d v="2020-01-01T00:00:00"/>
    <n v="20"/>
    <n v="100032657"/>
    <s v="WA"/>
    <n v="81"/>
    <x v="0"/>
    <n v="11500060"/>
    <x v="0"/>
    <n v="8997.6"/>
    <s v="MXN"/>
    <n v="8997.6"/>
    <x v="0"/>
    <m/>
    <m/>
    <m/>
    <m/>
    <m/>
    <m/>
    <m/>
    <m/>
    <s v="01.02.2020"/>
    <m/>
    <n v="20200131"/>
    <n v="8997.6"/>
    <m/>
    <m/>
    <m/>
    <m/>
    <m/>
    <m/>
    <m/>
    <m/>
    <m/>
    <m/>
    <n v="340110490"/>
    <s v="FLUGO"/>
  </r>
  <r>
    <n v="3401"/>
    <s v="31.01.2020"/>
    <n v="2020"/>
    <d v="2020-01-01T00:00:00"/>
    <n v="22"/>
    <n v="100032657"/>
    <s v="WA"/>
    <n v="81"/>
    <x v="0"/>
    <n v="11500060"/>
    <x v="0"/>
    <n v="1054.46"/>
    <s v="MXN"/>
    <n v="1054.46"/>
    <x v="0"/>
    <m/>
    <m/>
    <m/>
    <m/>
    <m/>
    <m/>
    <m/>
    <m/>
    <s v="01.02.2020"/>
    <m/>
    <n v="20200131"/>
    <n v="1054.46"/>
    <m/>
    <m/>
    <m/>
    <m/>
    <m/>
    <m/>
    <m/>
    <m/>
    <m/>
    <m/>
    <n v="340110490"/>
    <s v="FLUGO"/>
  </r>
  <r>
    <n v="3401"/>
    <s v="31.01.2020"/>
    <n v="2020"/>
    <d v="2020-01-01T00:00:00"/>
    <n v="24"/>
    <n v="100032657"/>
    <s v="WA"/>
    <n v="81"/>
    <x v="0"/>
    <n v="11500060"/>
    <x v="0"/>
    <n v="2773.33"/>
    <s v="MXN"/>
    <n v="2773.33"/>
    <x v="0"/>
    <m/>
    <m/>
    <m/>
    <m/>
    <m/>
    <m/>
    <m/>
    <m/>
    <s v="01.02.2020"/>
    <m/>
    <n v="20200131"/>
    <n v="2773.33"/>
    <m/>
    <m/>
    <m/>
    <m/>
    <m/>
    <m/>
    <m/>
    <m/>
    <m/>
    <m/>
    <n v="340110490"/>
    <s v="FLUGO"/>
  </r>
  <r>
    <n v="3400"/>
    <s v="31.01.2020"/>
    <n v="2020"/>
    <d v="2020-01-01T00:00:00"/>
    <n v="4"/>
    <n v="100010846"/>
    <s v="WA"/>
    <n v="81"/>
    <x v="0"/>
    <n v="11500020"/>
    <x v="0"/>
    <n v="1512.45"/>
    <s v="MXN"/>
    <n v="1512.45"/>
    <x v="0"/>
    <m/>
    <m/>
    <m/>
    <m/>
    <m/>
    <m/>
    <m/>
    <m/>
    <s v="01.02.2020"/>
    <m/>
    <n v="20200131"/>
    <n v="1512.45"/>
    <m/>
    <m/>
    <m/>
    <m/>
    <m/>
    <m/>
    <m/>
    <m/>
    <m/>
    <m/>
    <n v="340041450"/>
    <s v="WGALLARDO"/>
  </r>
  <r>
    <n v="3402"/>
    <s v="31.01.2020"/>
    <n v="2020"/>
    <d v="2020-01-01T00:00:00"/>
    <n v="2"/>
    <n v="200114493"/>
    <s v="WA"/>
    <n v="81"/>
    <x v="0"/>
    <n v="11500020"/>
    <x v="0"/>
    <n v="428"/>
    <s v="MXN"/>
    <n v="428"/>
    <x v="0"/>
    <m/>
    <m/>
    <m/>
    <m/>
    <m/>
    <m/>
    <m/>
    <m/>
    <s v="01.02.2020"/>
    <m/>
    <n v="20200131"/>
    <n v="428"/>
    <m/>
    <m/>
    <m/>
    <m/>
    <m/>
    <m/>
    <m/>
    <m/>
    <m/>
    <m/>
    <n v="340213190"/>
    <s v="AMAY"/>
  </r>
  <r>
    <n v="3402"/>
    <s v="31.01.2020"/>
    <n v="2020"/>
    <d v="2020-01-01T00:00:00"/>
    <n v="2"/>
    <n v="200114518"/>
    <s v="WA"/>
    <n v="81"/>
    <x v="0"/>
    <n v="11500050"/>
    <x v="0"/>
    <n v="788.96"/>
    <s v="MXN"/>
    <n v="788.96"/>
    <x v="0"/>
    <m/>
    <m/>
    <m/>
    <m/>
    <m/>
    <m/>
    <m/>
    <m/>
    <s v="01.02.2020"/>
    <m/>
    <n v="20200131"/>
    <n v="788.96"/>
    <m/>
    <m/>
    <m/>
    <m/>
    <m/>
    <m/>
    <m/>
    <m/>
    <m/>
    <m/>
    <n v="340255290"/>
    <s v="AMAY"/>
  </r>
  <r>
    <n v="3402"/>
    <s v="31.01.2020"/>
    <n v="2020"/>
    <d v="2020-01-01T00:00:00"/>
    <n v="4"/>
    <n v="200114518"/>
    <s v="WA"/>
    <n v="81"/>
    <x v="0"/>
    <n v="11500050"/>
    <x v="0"/>
    <n v="2429.9899999999998"/>
    <s v="MXN"/>
    <n v="2429.9899999999998"/>
    <x v="0"/>
    <m/>
    <m/>
    <m/>
    <m/>
    <m/>
    <m/>
    <m/>
    <m/>
    <s v="01.02.2020"/>
    <m/>
    <n v="20200131"/>
    <n v="2429.9899999999998"/>
    <m/>
    <m/>
    <m/>
    <m/>
    <m/>
    <m/>
    <m/>
    <m/>
    <m/>
    <m/>
    <n v="340255290"/>
    <s v="AMAY"/>
  </r>
  <r>
    <n v="3402"/>
    <s v="31.01.2020"/>
    <n v="2020"/>
    <d v="2020-01-01T00:00:00"/>
    <n v="6"/>
    <n v="200114518"/>
    <s v="WA"/>
    <n v="81"/>
    <x v="0"/>
    <n v="11500050"/>
    <x v="0"/>
    <n v="810"/>
    <s v="MXN"/>
    <n v="810"/>
    <x v="0"/>
    <m/>
    <m/>
    <m/>
    <m/>
    <m/>
    <m/>
    <m/>
    <m/>
    <s v="01.02.2020"/>
    <m/>
    <n v="20200131"/>
    <n v="810"/>
    <m/>
    <m/>
    <m/>
    <m/>
    <m/>
    <m/>
    <m/>
    <m/>
    <m/>
    <m/>
    <n v="340255290"/>
    <s v="AMAY"/>
  </r>
  <r>
    <n v="3402"/>
    <s v="31.01.2020"/>
    <n v="2020"/>
    <d v="2020-01-01T00:00:00"/>
    <n v="8"/>
    <n v="200114518"/>
    <s v="WA"/>
    <n v="81"/>
    <x v="0"/>
    <n v="11500050"/>
    <x v="0"/>
    <n v="2656.2"/>
    <s v="MXN"/>
    <n v="2656.2"/>
    <x v="0"/>
    <m/>
    <m/>
    <m/>
    <m/>
    <m/>
    <m/>
    <m/>
    <m/>
    <s v="01.02.2020"/>
    <m/>
    <n v="20200131"/>
    <n v="2656.2"/>
    <m/>
    <m/>
    <m/>
    <m/>
    <m/>
    <m/>
    <m/>
    <m/>
    <m/>
    <m/>
    <n v="340255290"/>
    <s v="AMAY"/>
  </r>
  <r>
    <n v="3402"/>
    <s v="31.01.2020"/>
    <n v="2020"/>
    <d v="2020-01-01T00:00:00"/>
    <n v="2"/>
    <n v="200114520"/>
    <s v="WA"/>
    <n v="81"/>
    <x v="0"/>
    <n v="11500060"/>
    <x v="0"/>
    <n v="120"/>
    <s v="MXN"/>
    <n v="120"/>
    <x v="0"/>
    <m/>
    <m/>
    <m/>
    <m/>
    <m/>
    <m/>
    <m/>
    <m/>
    <s v="01.02.2020"/>
    <m/>
    <n v="20200131"/>
    <n v="120"/>
    <m/>
    <m/>
    <m/>
    <m/>
    <m/>
    <m/>
    <m/>
    <m/>
    <m/>
    <m/>
    <n v="340255290"/>
    <s v="AMAY"/>
  </r>
  <r>
    <n v="3402"/>
    <s v="31.01.2020"/>
    <n v="2020"/>
    <d v="2020-01-01T00:00:00"/>
    <n v="4"/>
    <n v="200114520"/>
    <s v="WA"/>
    <n v="81"/>
    <x v="0"/>
    <n v="11500060"/>
    <x v="0"/>
    <n v="991.74"/>
    <s v="MXN"/>
    <n v="991.74"/>
    <x v="0"/>
    <m/>
    <m/>
    <m/>
    <m/>
    <m/>
    <m/>
    <m/>
    <m/>
    <s v="01.02.2020"/>
    <m/>
    <n v="20200131"/>
    <n v="991.74"/>
    <m/>
    <m/>
    <m/>
    <m/>
    <m/>
    <m/>
    <m/>
    <m/>
    <m/>
    <m/>
    <n v="340255290"/>
    <s v="AMAY"/>
  </r>
  <r>
    <n v="3402"/>
    <s v="31.01.2020"/>
    <n v="2020"/>
    <d v="2020-01-01T00:00:00"/>
    <n v="6"/>
    <n v="200114520"/>
    <s v="WA"/>
    <n v="81"/>
    <x v="0"/>
    <n v="11500060"/>
    <x v="0"/>
    <n v="48.28"/>
    <s v="MXN"/>
    <n v="48.28"/>
    <x v="0"/>
    <m/>
    <m/>
    <m/>
    <m/>
    <m/>
    <m/>
    <m/>
    <m/>
    <s v="01.02.2020"/>
    <m/>
    <n v="20200131"/>
    <n v="48.28"/>
    <m/>
    <m/>
    <m/>
    <m/>
    <m/>
    <m/>
    <m/>
    <m/>
    <m/>
    <m/>
    <n v="340255290"/>
    <s v="AMAY"/>
  </r>
  <r>
    <n v="3402"/>
    <s v="31.01.2020"/>
    <n v="2020"/>
    <d v="2020-01-01T00:00:00"/>
    <n v="8"/>
    <n v="200114520"/>
    <s v="WA"/>
    <n v="81"/>
    <x v="0"/>
    <n v="11500060"/>
    <x v="0"/>
    <n v="676.2"/>
    <s v="MXN"/>
    <n v="676.2"/>
    <x v="0"/>
    <m/>
    <m/>
    <m/>
    <m/>
    <m/>
    <m/>
    <m/>
    <m/>
    <s v="01.02.2020"/>
    <m/>
    <n v="20200131"/>
    <n v="676.2"/>
    <m/>
    <m/>
    <m/>
    <m/>
    <m/>
    <m/>
    <m/>
    <m/>
    <m/>
    <m/>
    <n v="340255290"/>
    <s v="AMAY"/>
  </r>
  <r>
    <n v="3402"/>
    <s v="31.01.2020"/>
    <n v="2020"/>
    <d v="2020-01-01T00:00:00"/>
    <n v="14"/>
    <n v="200114520"/>
    <s v="WA"/>
    <n v="81"/>
    <x v="0"/>
    <n v="11500060"/>
    <x v="0"/>
    <n v="439.71"/>
    <s v="MXN"/>
    <n v="439.71"/>
    <x v="0"/>
    <m/>
    <m/>
    <m/>
    <m/>
    <m/>
    <m/>
    <m/>
    <m/>
    <s v="01.02.2020"/>
    <m/>
    <n v="20200131"/>
    <n v="439.71"/>
    <m/>
    <m/>
    <m/>
    <m/>
    <m/>
    <m/>
    <m/>
    <m/>
    <m/>
    <m/>
    <n v="340255290"/>
    <s v="AMAY"/>
  </r>
  <r>
    <n v="3402"/>
    <s v="31.01.2020"/>
    <n v="2020"/>
    <d v="2020-01-01T00:00:00"/>
    <n v="16"/>
    <n v="200114520"/>
    <s v="WA"/>
    <n v="81"/>
    <x v="0"/>
    <n v="11500060"/>
    <x v="0"/>
    <n v="657.72"/>
    <s v="MXN"/>
    <n v="657.72"/>
    <x v="0"/>
    <m/>
    <m/>
    <m/>
    <m/>
    <m/>
    <m/>
    <m/>
    <m/>
    <s v="01.02.2020"/>
    <m/>
    <n v="20200131"/>
    <n v="657.72"/>
    <m/>
    <m/>
    <m/>
    <m/>
    <m/>
    <m/>
    <m/>
    <m/>
    <m/>
    <m/>
    <n v="340255290"/>
    <s v="AMAY"/>
  </r>
  <r>
    <n v="3402"/>
    <s v="31.01.2020"/>
    <n v="2020"/>
    <d v="2020-01-01T00:00:00"/>
    <n v="18"/>
    <n v="200114520"/>
    <s v="WA"/>
    <n v="81"/>
    <x v="0"/>
    <n v="11500060"/>
    <x v="0"/>
    <n v="243.3"/>
    <s v="MXN"/>
    <n v="243.3"/>
    <x v="0"/>
    <m/>
    <m/>
    <m/>
    <m/>
    <m/>
    <m/>
    <m/>
    <m/>
    <s v="01.02.2020"/>
    <m/>
    <n v="20200131"/>
    <n v="243.3"/>
    <m/>
    <m/>
    <m/>
    <m/>
    <m/>
    <m/>
    <m/>
    <m/>
    <m/>
    <m/>
    <n v="340255290"/>
    <s v="AMAY"/>
  </r>
  <r>
    <n v="3402"/>
    <s v="31.01.2020"/>
    <n v="2020"/>
    <d v="2020-01-01T00:00:00"/>
    <n v="20"/>
    <n v="200114520"/>
    <s v="WA"/>
    <n v="81"/>
    <x v="0"/>
    <n v="11500060"/>
    <x v="0"/>
    <n v="4118.76"/>
    <s v="MXN"/>
    <n v="4118.76"/>
    <x v="0"/>
    <m/>
    <m/>
    <m/>
    <m/>
    <m/>
    <m/>
    <m/>
    <m/>
    <s v="01.02.2020"/>
    <m/>
    <n v="20200131"/>
    <n v="4118.76"/>
    <m/>
    <m/>
    <m/>
    <m/>
    <m/>
    <m/>
    <m/>
    <m/>
    <m/>
    <m/>
    <n v="340255290"/>
    <s v="AMAY"/>
  </r>
  <r>
    <n v="3406"/>
    <s v="31.01.2020"/>
    <n v="2020"/>
    <d v="2020-01-01T00:00:00"/>
    <n v="2"/>
    <n v="600031451"/>
    <s v="WA"/>
    <n v="81"/>
    <x v="0"/>
    <n v="11500060"/>
    <x v="0"/>
    <n v="278.88"/>
    <s v="MXN"/>
    <n v="278.88"/>
    <x v="0"/>
    <m/>
    <m/>
    <m/>
    <m/>
    <m/>
    <m/>
    <m/>
    <m/>
    <s v="01.02.2020"/>
    <m/>
    <n v="20200131"/>
    <n v="278.88"/>
    <m/>
    <m/>
    <m/>
    <m/>
    <m/>
    <m/>
    <m/>
    <m/>
    <m/>
    <m/>
    <n v="340632290"/>
    <s v="JGARCIA"/>
  </r>
  <r>
    <n v="3406"/>
    <s v="31.01.2020"/>
    <n v="2020"/>
    <d v="2020-01-01T00:00:00"/>
    <n v="4"/>
    <n v="600031451"/>
    <s v="WA"/>
    <n v="81"/>
    <x v="0"/>
    <n v="11500060"/>
    <x v="0"/>
    <n v="376.32"/>
    <s v="MXN"/>
    <n v="376.32"/>
    <x v="0"/>
    <m/>
    <m/>
    <m/>
    <m/>
    <m/>
    <m/>
    <m/>
    <m/>
    <s v="01.02.2020"/>
    <m/>
    <n v="20200131"/>
    <n v="376.32"/>
    <m/>
    <m/>
    <m/>
    <m/>
    <m/>
    <m/>
    <m/>
    <m/>
    <m/>
    <m/>
    <n v="340632290"/>
    <s v="JGARCIA"/>
  </r>
  <r>
    <n v="3406"/>
    <s v="31.01.2020"/>
    <n v="2020"/>
    <d v="2020-01-01T00:00:00"/>
    <n v="6"/>
    <n v="600031451"/>
    <s v="WA"/>
    <n v="81"/>
    <x v="0"/>
    <n v="11500060"/>
    <x v="0"/>
    <n v="242.4"/>
    <s v="MXN"/>
    <n v="242.4"/>
    <x v="0"/>
    <m/>
    <m/>
    <m/>
    <m/>
    <m/>
    <m/>
    <m/>
    <m/>
    <s v="01.02.2020"/>
    <m/>
    <n v="20200131"/>
    <n v="242.4"/>
    <m/>
    <m/>
    <m/>
    <m/>
    <m/>
    <m/>
    <m/>
    <m/>
    <m/>
    <m/>
    <n v="340632290"/>
    <s v="JGARCIA"/>
  </r>
  <r>
    <n v="3406"/>
    <s v="31.01.2020"/>
    <n v="2020"/>
    <d v="2020-01-01T00:00:00"/>
    <n v="8"/>
    <n v="600031451"/>
    <s v="WA"/>
    <n v="81"/>
    <x v="0"/>
    <n v="11500060"/>
    <x v="0"/>
    <n v="232.8"/>
    <s v="MXN"/>
    <n v="232.8"/>
    <x v="0"/>
    <m/>
    <m/>
    <m/>
    <m/>
    <m/>
    <m/>
    <m/>
    <m/>
    <s v="01.02.2020"/>
    <m/>
    <n v="20200131"/>
    <n v="232.8"/>
    <m/>
    <m/>
    <m/>
    <m/>
    <m/>
    <m/>
    <m/>
    <m/>
    <m/>
    <m/>
    <n v="340632290"/>
    <s v="JGARCIA"/>
  </r>
  <r>
    <n v="3406"/>
    <s v="31.01.2020"/>
    <n v="2020"/>
    <d v="2020-01-01T00:00:00"/>
    <n v="10"/>
    <n v="600031451"/>
    <s v="WA"/>
    <n v="81"/>
    <x v="0"/>
    <n v="11500060"/>
    <x v="0"/>
    <n v="608"/>
    <s v="MXN"/>
    <n v="608"/>
    <x v="0"/>
    <m/>
    <m/>
    <m/>
    <m/>
    <m/>
    <m/>
    <m/>
    <m/>
    <s v="01.02.2020"/>
    <m/>
    <n v="20200131"/>
    <n v="608"/>
    <m/>
    <m/>
    <m/>
    <m/>
    <m/>
    <m/>
    <m/>
    <m/>
    <m/>
    <m/>
    <n v="340632290"/>
    <s v="JGARCIA"/>
  </r>
  <r>
    <n v="3402"/>
    <s v="31.01.2020"/>
    <n v="2020"/>
    <d v="2020-01-01T00:00:00"/>
    <n v="2"/>
    <n v="200114559"/>
    <s v="WA"/>
    <n v="81"/>
    <x v="0"/>
    <n v="11500060"/>
    <x v="0"/>
    <n v="30.8"/>
    <s v="MXN"/>
    <n v="30.8"/>
    <x v="0"/>
    <m/>
    <m/>
    <m/>
    <m/>
    <m/>
    <m/>
    <m/>
    <m/>
    <s v="01.02.2020"/>
    <m/>
    <n v="20200131"/>
    <n v="30.8"/>
    <m/>
    <m/>
    <m/>
    <m/>
    <m/>
    <m/>
    <m/>
    <m/>
    <m/>
    <m/>
    <n v="340220490"/>
    <s v="AUXCOSTORVM2"/>
  </r>
  <r>
    <n v="3402"/>
    <s v="31.01.2020"/>
    <n v="2020"/>
    <d v="2020-01-01T00:00:00"/>
    <n v="4"/>
    <n v="200114559"/>
    <s v="WA"/>
    <n v="81"/>
    <x v="0"/>
    <n v="11500060"/>
    <x v="0"/>
    <n v="16.5"/>
    <s v="MXN"/>
    <n v="16.5"/>
    <x v="0"/>
    <m/>
    <m/>
    <m/>
    <m/>
    <m/>
    <m/>
    <m/>
    <m/>
    <s v="01.02.2020"/>
    <m/>
    <n v="20200131"/>
    <n v="16.5"/>
    <m/>
    <m/>
    <m/>
    <m/>
    <m/>
    <m/>
    <m/>
    <m/>
    <m/>
    <m/>
    <n v="340220490"/>
    <s v="AUXCOSTORVM2"/>
  </r>
  <r>
    <n v="3402"/>
    <s v="31.01.2020"/>
    <n v="2020"/>
    <d v="2020-01-01T00:00:00"/>
    <n v="8"/>
    <n v="200114559"/>
    <s v="WA"/>
    <n v="81"/>
    <x v="0"/>
    <n v="11500060"/>
    <x v="0"/>
    <n v="10.01"/>
    <s v="MXN"/>
    <n v="10.01"/>
    <x v="0"/>
    <m/>
    <m/>
    <m/>
    <m/>
    <m/>
    <m/>
    <m/>
    <m/>
    <s v="01.02.2020"/>
    <m/>
    <n v="20200131"/>
    <n v="10.01"/>
    <m/>
    <m/>
    <m/>
    <m/>
    <m/>
    <m/>
    <m/>
    <m/>
    <m/>
    <m/>
    <n v="340220490"/>
    <s v="AUXCOSTORVM2"/>
  </r>
  <r>
    <n v="3402"/>
    <s v="31.01.2020"/>
    <n v="2020"/>
    <d v="2020-01-01T00:00:00"/>
    <n v="12"/>
    <n v="200114559"/>
    <s v="WA"/>
    <n v="81"/>
    <x v="0"/>
    <n v="11500060"/>
    <x v="0"/>
    <n v="48.66"/>
    <s v="MXN"/>
    <n v="48.66"/>
    <x v="0"/>
    <m/>
    <m/>
    <m/>
    <m/>
    <m/>
    <m/>
    <m/>
    <m/>
    <s v="01.02.2020"/>
    <m/>
    <n v="20200131"/>
    <n v="48.66"/>
    <m/>
    <m/>
    <m/>
    <m/>
    <m/>
    <m/>
    <m/>
    <m/>
    <m/>
    <m/>
    <n v="340220490"/>
    <s v="AUXCOSTORVM2"/>
  </r>
  <r>
    <n v="3402"/>
    <s v="31.01.2020"/>
    <n v="2020"/>
    <d v="2020-01-01T00:00:00"/>
    <n v="16"/>
    <n v="200114559"/>
    <s v="WA"/>
    <n v="81"/>
    <x v="0"/>
    <n v="11500060"/>
    <x v="0"/>
    <n v="1093.3399999999999"/>
    <s v="MXN"/>
    <n v="1093.3399999999999"/>
    <x v="0"/>
    <m/>
    <m/>
    <m/>
    <m/>
    <m/>
    <m/>
    <m/>
    <m/>
    <s v="01.02.2020"/>
    <m/>
    <n v="20200131"/>
    <n v="1093.3399999999999"/>
    <m/>
    <m/>
    <m/>
    <m/>
    <m/>
    <m/>
    <m/>
    <m/>
    <m/>
    <m/>
    <n v="340220490"/>
    <s v="AUXCOSTORVM2"/>
  </r>
  <r>
    <n v="3403"/>
    <s v="31.01.2020"/>
    <n v="2020"/>
    <d v="2020-01-01T00:00:00"/>
    <n v="6"/>
    <n v="300018440"/>
    <s v="WA"/>
    <n v="81"/>
    <x v="0"/>
    <n v="11500060"/>
    <x v="0"/>
    <n v="40"/>
    <s v="MXN"/>
    <n v="40"/>
    <x v="0"/>
    <m/>
    <m/>
    <m/>
    <m/>
    <m/>
    <m/>
    <m/>
    <m/>
    <s v="01.02.2020"/>
    <m/>
    <n v="20200131"/>
    <n v="40"/>
    <m/>
    <m/>
    <m/>
    <m/>
    <m/>
    <m/>
    <m/>
    <m/>
    <m/>
    <m/>
    <n v="340310590"/>
    <s v="JBAUTISTA"/>
  </r>
  <r>
    <n v="3403"/>
    <s v="31.01.2020"/>
    <n v="2020"/>
    <d v="2020-01-01T00:00:00"/>
    <n v="8"/>
    <n v="300018440"/>
    <s v="WA"/>
    <n v="81"/>
    <x v="0"/>
    <n v="11500060"/>
    <x v="0"/>
    <n v="152"/>
    <s v="MXN"/>
    <n v="152"/>
    <x v="0"/>
    <m/>
    <m/>
    <m/>
    <m/>
    <m/>
    <m/>
    <m/>
    <m/>
    <s v="01.02.2020"/>
    <m/>
    <n v="20200131"/>
    <n v="152"/>
    <m/>
    <m/>
    <m/>
    <m/>
    <m/>
    <m/>
    <m/>
    <m/>
    <m/>
    <m/>
    <n v="340310590"/>
    <s v="JBAUTISTA"/>
  </r>
  <r>
    <n v="3403"/>
    <s v="31.01.2020"/>
    <n v="2020"/>
    <d v="2020-01-01T00:00:00"/>
    <n v="14"/>
    <n v="300018440"/>
    <s v="WA"/>
    <n v="81"/>
    <x v="0"/>
    <n v="11500060"/>
    <x v="0"/>
    <n v="2077.5300000000002"/>
    <s v="MXN"/>
    <n v="2077.5300000000002"/>
    <x v="0"/>
    <m/>
    <m/>
    <m/>
    <m/>
    <m/>
    <m/>
    <m/>
    <m/>
    <s v="01.02.2020"/>
    <m/>
    <n v="20200131"/>
    <n v="2077.5300000000002"/>
    <m/>
    <m/>
    <m/>
    <m/>
    <m/>
    <m/>
    <m/>
    <m/>
    <m/>
    <m/>
    <n v="340310590"/>
    <s v="JBAUTISTA"/>
  </r>
  <r>
    <n v="3403"/>
    <s v="31.01.2020"/>
    <n v="2020"/>
    <d v="2020-01-01T00:00:00"/>
    <n v="16"/>
    <n v="300018440"/>
    <s v="WA"/>
    <n v="81"/>
    <x v="0"/>
    <n v="11500060"/>
    <x v="0"/>
    <n v="3784"/>
    <s v="MXN"/>
    <n v="3784"/>
    <x v="0"/>
    <m/>
    <m/>
    <m/>
    <m/>
    <m/>
    <m/>
    <m/>
    <m/>
    <s v="01.02.2020"/>
    <m/>
    <n v="20200131"/>
    <n v="3784"/>
    <m/>
    <m/>
    <m/>
    <m/>
    <m/>
    <m/>
    <m/>
    <m/>
    <m/>
    <m/>
    <n v="340310590"/>
    <s v="JBAUTISTA"/>
  </r>
  <r>
    <n v="3403"/>
    <s v="31.01.2020"/>
    <n v="2020"/>
    <d v="2020-01-01T00:00:00"/>
    <n v="22"/>
    <n v="300018440"/>
    <s v="WA"/>
    <n v="81"/>
    <x v="0"/>
    <n v="11500060"/>
    <x v="0"/>
    <n v="1200"/>
    <s v="MXN"/>
    <n v="1200"/>
    <x v="0"/>
    <m/>
    <m/>
    <m/>
    <m/>
    <m/>
    <m/>
    <m/>
    <m/>
    <s v="01.02.2020"/>
    <m/>
    <n v="20200131"/>
    <n v="1200"/>
    <m/>
    <m/>
    <m/>
    <m/>
    <m/>
    <m/>
    <m/>
    <m/>
    <m/>
    <m/>
    <n v="340310590"/>
    <s v="JBAUTISTA"/>
  </r>
  <r>
    <n v="3403"/>
    <s v="31.01.2020"/>
    <n v="2020"/>
    <d v="2020-01-01T00:00:00"/>
    <n v="24"/>
    <n v="300018440"/>
    <s v="WA"/>
    <n v="81"/>
    <x v="0"/>
    <n v="11500060"/>
    <x v="0"/>
    <n v="600"/>
    <s v="MXN"/>
    <n v="600"/>
    <x v="0"/>
    <m/>
    <m/>
    <m/>
    <m/>
    <m/>
    <m/>
    <m/>
    <m/>
    <s v="01.02.2020"/>
    <m/>
    <n v="20200131"/>
    <n v="600"/>
    <m/>
    <m/>
    <m/>
    <m/>
    <m/>
    <m/>
    <m/>
    <m/>
    <m/>
    <m/>
    <n v="340310590"/>
    <s v="JBAUTISTA"/>
  </r>
  <r>
    <n v="3403"/>
    <s v="31.01.2020"/>
    <n v="2020"/>
    <d v="2020-01-01T00:00:00"/>
    <n v="26"/>
    <n v="300018440"/>
    <s v="WA"/>
    <n v="81"/>
    <x v="0"/>
    <n v="11500060"/>
    <x v="0"/>
    <n v="3089.07"/>
    <s v="MXN"/>
    <n v="3089.07"/>
    <x v="0"/>
    <m/>
    <m/>
    <m/>
    <m/>
    <m/>
    <m/>
    <m/>
    <m/>
    <s v="01.02.2020"/>
    <m/>
    <n v="20200131"/>
    <n v="3089.07"/>
    <m/>
    <m/>
    <m/>
    <m/>
    <m/>
    <m/>
    <m/>
    <m/>
    <m/>
    <m/>
    <n v="340310590"/>
    <s v="JBAUTISTA"/>
  </r>
  <r>
    <n v="3403"/>
    <s v="31.01.2020"/>
    <n v="2020"/>
    <d v="2020-01-01T00:00:00"/>
    <n v="24"/>
    <n v="300018441"/>
    <s v="WA"/>
    <n v="81"/>
    <x v="0"/>
    <n v="11500060"/>
    <x v="0"/>
    <n v="80"/>
    <s v="MXN"/>
    <n v="80"/>
    <x v="0"/>
    <m/>
    <m/>
    <m/>
    <m/>
    <m/>
    <m/>
    <m/>
    <m/>
    <s v="01.02.2020"/>
    <m/>
    <n v="20200131"/>
    <n v="80"/>
    <m/>
    <m/>
    <m/>
    <m/>
    <m/>
    <m/>
    <m/>
    <m/>
    <m/>
    <m/>
    <n v="340325290"/>
    <s v="JBAUTISTA"/>
  </r>
  <r>
    <n v="3406"/>
    <s v="31.01.2020"/>
    <n v="2020"/>
    <d v="2020-01-01T00:00:00"/>
    <n v="2"/>
    <n v="600031518"/>
    <s v="WA"/>
    <n v="81"/>
    <x v="0"/>
    <n v="11500060"/>
    <x v="0"/>
    <n v="4693.3500000000004"/>
    <s v="MXN"/>
    <n v="4693.3500000000004"/>
    <x v="0"/>
    <m/>
    <m/>
    <m/>
    <m/>
    <m/>
    <m/>
    <m/>
    <m/>
    <s v="01.02.2020"/>
    <m/>
    <n v="20200131"/>
    <n v="4693.3500000000004"/>
    <m/>
    <m/>
    <m/>
    <m/>
    <m/>
    <m/>
    <m/>
    <m/>
    <m/>
    <m/>
    <n v="340612890"/>
    <s v="JGARCIA"/>
  </r>
  <r>
    <n v="3406"/>
    <s v="31.01.2020"/>
    <n v="2020"/>
    <d v="2020-01-01T00:00:00"/>
    <n v="4"/>
    <n v="600031518"/>
    <s v="WA"/>
    <n v="81"/>
    <x v="0"/>
    <n v="11500060"/>
    <x v="0"/>
    <n v="2873.44"/>
    <s v="MXN"/>
    <n v="2873.44"/>
    <x v="0"/>
    <m/>
    <m/>
    <m/>
    <m/>
    <m/>
    <m/>
    <m/>
    <m/>
    <s v="01.02.2020"/>
    <m/>
    <n v="20200131"/>
    <n v="2873.44"/>
    <m/>
    <m/>
    <m/>
    <m/>
    <m/>
    <m/>
    <m/>
    <m/>
    <m/>
    <m/>
    <n v="340612890"/>
    <s v="JGARCIA"/>
  </r>
  <r>
    <n v="3406"/>
    <s v="31.01.2020"/>
    <n v="2020"/>
    <d v="2020-01-01T00:00:00"/>
    <n v="6"/>
    <n v="600031518"/>
    <s v="WA"/>
    <n v="81"/>
    <x v="0"/>
    <n v="11500060"/>
    <x v="0"/>
    <n v="11553"/>
    <s v="MXN"/>
    <n v="11553"/>
    <x v="0"/>
    <m/>
    <m/>
    <m/>
    <m/>
    <m/>
    <m/>
    <m/>
    <m/>
    <s v="01.02.2020"/>
    <m/>
    <n v="20200131"/>
    <n v="11553"/>
    <m/>
    <m/>
    <m/>
    <m/>
    <m/>
    <m/>
    <m/>
    <m/>
    <m/>
    <m/>
    <n v="340612890"/>
    <s v="JGARCIA"/>
  </r>
  <r>
    <n v="3406"/>
    <s v="31.01.2020"/>
    <n v="2020"/>
    <d v="2020-01-01T00:00:00"/>
    <n v="8"/>
    <n v="600031518"/>
    <s v="WA"/>
    <n v="81"/>
    <x v="0"/>
    <n v="11500060"/>
    <x v="0"/>
    <n v="1455.03"/>
    <s v="MXN"/>
    <n v="1455.03"/>
    <x v="0"/>
    <m/>
    <m/>
    <m/>
    <m/>
    <m/>
    <m/>
    <m/>
    <m/>
    <s v="01.02.2020"/>
    <m/>
    <n v="20200131"/>
    <n v="1455.03"/>
    <m/>
    <m/>
    <m/>
    <m/>
    <m/>
    <m/>
    <m/>
    <m/>
    <m/>
    <m/>
    <n v="340612890"/>
    <s v="JGARCIA"/>
  </r>
  <r>
    <n v="3406"/>
    <s v="31.01.2020"/>
    <n v="2020"/>
    <d v="2020-01-01T00:00:00"/>
    <n v="10"/>
    <n v="600031518"/>
    <s v="WA"/>
    <n v="81"/>
    <x v="0"/>
    <n v="11500060"/>
    <x v="0"/>
    <n v="4233.93"/>
    <s v="MXN"/>
    <n v="4233.93"/>
    <x v="0"/>
    <m/>
    <m/>
    <m/>
    <m/>
    <m/>
    <m/>
    <m/>
    <m/>
    <s v="01.02.2020"/>
    <m/>
    <n v="20200131"/>
    <n v="4233.93"/>
    <m/>
    <m/>
    <m/>
    <m/>
    <m/>
    <m/>
    <m/>
    <m/>
    <m/>
    <m/>
    <n v="340612890"/>
    <s v="JGARCIA"/>
  </r>
  <r>
    <n v="3406"/>
    <s v="31.01.2020"/>
    <n v="2020"/>
    <d v="2020-01-01T00:00:00"/>
    <n v="12"/>
    <n v="600031518"/>
    <s v="WA"/>
    <n v="81"/>
    <x v="0"/>
    <n v="11500060"/>
    <x v="0"/>
    <n v="2698.5"/>
    <s v="MXN"/>
    <n v="2698.5"/>
    <x v="0"/>
    <m/>
    <m/>
    <m/>
    <m/>
    <m/>
    <m/>
    <m/>
    <m/>
    <s v="01.02.2020"/>
    <m/>
    <n v="20200131"/>
    <n v="2698.5"/>
    <m/>
    <m/>
    <m/>
    <m/>
    <m/>
    <m/>
    <m/>
    <m/>
    <m/>
    <m/>
    <n v="340612890"/>
    <s v="JGARCIA"/>
  </r>
  <r>
    <n v="3406"/>
    <s v="31.01.2020"/>
    <n v="2020"/>
    <d v="2020-01-01T00:00:00"/>
    <n v="14"/>
    <n v="600031518"/>
    <s v="WA"/>
    <n v="81"/>
    <x v="0"/>
    <n v="11500060"/>
    <x v="0"/>
    <n v="404.25"/>
    <s v="MXN"/>
    <n v="404.25"/>
    <x v="0"/>
    <m/>
    <m/>
    <m/>
    <m/>
    <m/>
    <m/>
    <m/>
    <m/>
    <s v="01.02.2020"/>
    <m/>
    <n v="20200131"/>
    <n v="404.25"/>
    <m/>
    <m/>
    <m/>
    <m/>
    <m/>
    <m/>
    <m/>
    <m/>
    <m/>
    <m/>
    <n v="340612890"/>
    <s v="JGARCIA"/>
  </r>
  <r>
    <n v="3406"/>
    <s v="31.01.2020"/>
    <n v="2020"/>
    <d v="2020-01-01T00:00:00"/>
    <n v="16"/>
    <n v="600031518"/>
    <s v="WA"/>
    <n v="81"/>
    <x v="0"/>
    <n v="11500060"/>
    <x v="0"/>
    <n v="3611.56"/>
    <s v="MXN"/>
    <n v="3611.56"/>
    <x v="0"/>
    <m/>
    <m/>
    <m/>
    <m/>
    <m/>
    <m/>
    <m/>
    <m/>
    <s v="01.02.2020"/>
    <m/>
    <n v="20200131"/>
    <n v="3611.56"/>
    <m/>
    <m/>
    <m/>
    <m/>
    <m/>
    <m/>
    <m/>
    <m/>
    <m/>
    <m/>
    <n v="340612890"/>
    <s v="JGARCIA"/>
  </r>
  <r>
    <n v="3406"/>
    <s v="31.01.2020"/>
    <n v="2020"/>
    <d v="2020-01-01T00:00:00"/>
    <n v="18"/>
    <n v="600031518"/>
    <s v="WA"/>
    <n v="81"/>
    <x v="0"/>
    <n v="11500060"/>
    <x v="0"/>
    <n v="909.62"/>
    <s v="MXN"/>
    <n v="909.62"/>
    <x v="0"/>
    <m/>
    <m/>
    <m/>
    <m/>
    <m/>
    <m/>
    <m/>
    <m/>
    <s v="01.02.2020"/>
    <m/>
    <n v="20200131"/>
    <n v="909.62"/>
    <m/>
    <m/>
    <m/>
    <m/>
    <m/>
    <m/>
    <m/>
    <m/>
    <m/>
    <m/>
    <n v="340612890"/>
    <s v="JGARCIA"/>
  </r>
  <r>
    <n v="3406"/>
    <s v="31.01.2020"/>
    <n v="2020"/>
    <d v="2020-01-01T00:00:00"/>
    <n v="20"/>
    <n v="600031518"/>
    <s v="WA"/>
    <n v="81"/>
    <x v="0"/>
    <n v="11500060"/>
    <x v="0"/>
    <n v="145.97999999999999"/>
    <s v="MXN"/>
    <n v="145.97999999999999"/>
    <x v="0"/>
    <m/>
    <m/>
    <m/>
    <m/>
    <m/>
    <m/>
    <m/>
    <m/>
    <s v="01.02.2020"/>
    <m/>
    <n v="20200131"/>
    <n v="145.97999999999999"/>
    <m/>
    <m/>
    <m/>
    <m/>
    <m/>
    <m/>
    <m/>
    <m/>
    <m/>
    <m/>
    <n v="340612890"/>
    <s v="JGARCIA"/>
  </r>
  <r>
    <n v="3406"/>
    <s v="31.01.2020"/>
    <n v="2020"/>
    <d v="2020-01-01T00:00:00"/>
    <n v="22"/>
    <n v="600031518"/>
    <s v="WA"/>
    <n v="81"/>
    <x v="0"/>
    <n v="11500060"/>
    <x v="0"/>
    <n v="3922.5"/>
    <s v="MXN"/>
    <n v="3922.5"/>
    <x v="0"/>
    <m/>
    <m/>
    <m/>
    <m/>
    <m/>
    <m/>
    <m/>
    <m/>
    <s v="01.02.2020"/>
    <m/>
    <n v="20200131"/>
    <n v="3922.5"/>
    <m/>
    <m/>
    <m/>
    <m/>
    <m/>
    <m/>
    <m/>
    <m/>
    <m/>
    <m/>
    <n v="340612890"/>
    <s v="JGARCIA"/>
  </r>
  <r>
    <n v="3406"/>
    <s v="31.01.2020"/>
    <n v="2020"/>
    <d v="2020-01-01T00:00:00"/>
    <n v="24"/>
    <n v="600031518"/>
    <s v="WA"/>
    <n v="81"/>
    <x v="0"/>
    <n v="11500060"/>
    <x v="0"/>
    <n v="4104"/>
    <s v="MXN"/>
    <n v="4104"/>
    <x v="0"/>
    <m/>
    <m/>
    <m/>
    <m/>
    <m/>
    <m/>
    <m/>
    <m/>
    <s v="01.02.2020"/>
    <m/>
    <n v="20200131"/>
    <n v="4104"/>
    <m/>
    <m/>
    <m/>
    <m/>
    <m/>
    <m/>
    <m/>
    <m/>
    <m/>
    <m/>
    <n v="340612890"/>
    <s v="JGARCIA"/>
  </r>
  <r>
    <n v="3406"/>
    <s v="31.01.2020"/>
    <n v="2020"/>
    <d v="2020-01-01T00:00:00"/>
    <n v="26"/>
    <n v="600031518"/>
    <s v="WA"/>
    <n v="81"/>
    <x v="0"/>
    <n v="11500060"/>
    <x v="0"/>
    <n v="16400.099999999999"/>
    <s v="MXN"/>
    <n v="16400.099999999999"/>
    <x v="0"/>
    <m/>
    <m/>
    <m/>
    <m/>
    <m/>
    <m/>
    <m/>
    <m/>
    <s v="01.02.2020"/>
    <m/>
    <n v="20200131"/>
    <n v="16400.099999999999"/>
    <m/>
    <m/>
    <m/>
    <m/>
    <m/>
    <m/>
    <m/>
    <m/>
    <m/>
    <m/>
    <n v="340612890"/>
    <s v="JGARCIA"/>
  </r>
  <r>
    <n v="3406"/>
    <s v="31.01.2020"/>
    <n v="2020"/>
    <d v="2020-01-01T00:00:00"/>
    <n v="30"/>
    <n v="600031518"/>
    <s v="WA"/>
    <n v="81"/>
    <x v="0"/>
    <n v="11500060"/>
    <x v="0"/>
    <n v="6178.14"/>
    <s v="MXN"/>
    <n v="6178.14"/>
    <x v="0"/>
    <m/>
    <m/>
    <m/>
    <m/>
    <m/>
    <m/>
    <m/>
    <m/>
    <s v="01.02.2020"/>
    <m/>
    <n v="20200131"/>
    <n v="6178.14"/>
    <m/>
    <m/>
    <m/>
    <m/>
    <m/>
    <m/>
    <m/>
    <m/>
    <m/>
    <m/>
    <n v="340612890"/>
    <s v="JGARCIA"/>
  </r>
  <r>
    <n v="3406"/>
    <s v="31.01.2020"/>
    <n v="2020"/>
    <d v="2020-01-01T00:00:00"/>
    <n v="44"/>
    <n v="600031518"/>
    <s v="WA"/>
    <n v="81"/>
    <x v="0"/>
    <n v="11500060"/>
    <x v="0"/>
    <n v="369.6"/>
    <s v="MXN"/>
    <n v="369.6"/>
    <x v="0"/>
    <m/>
    <m/>
    <m/>
    <m/>
    <m/>
    <m/>
    <m/>
    <m/>
    <s v="01.02.2020"/>
    <m/>
    <n v="20200131"/>
    <n v="369.6"/>
    <m/>
    <m/>
    <m/>
    <m/>
    <m/>
    <m/>
    <m/>
    <m/>
    <m/>
    <m/>
    <n v="340612890"/>
    <s v="JGARCIA"/>
  </r>
  <r>
    <n v="3406"/>
    <s v="31.01.2020"/>
    <n v="2020"/>
    <d v="2020-01-01T00:00:00"/>
    <n v="46"/>
    <n v="600031518"/>
    <s v="WA"/>
    <n v="81"/>
    <x v="0"/>
    <n v="11500060"/>
    <x v="0"/>
    <n v="92.36"/>
    <s v="MXN"/>
    <n v="92.36"/>
    <x v="0"/>
    <m/>
    <m/>
    <m/>
    <m/>
    <m/>
    <m/>
    <m/>
    <m/>
    <s v="01.02.2020"/>
    <m/>
    <n v="20200131"/>
    <n v="92.36"/>
    <m/>
    <m/>
    <m/>
    <m/>
    <m/>
    <m/>
    <m/>
    <m/>
    <m/>
    <m/>
    <n v="340612890"/>
    <s v="JGARCIA"/>
  </r>
  <r>
    <n v="3406"/>
    <s v="31.01.2020"/>
    <n v="2020"/>
    <d v="2020-01-01T00:00:00"/>
    <n v="48"/>
    <n v="600031518"/>
    <s v="WA"/>
    <n v="81"/>
    <x v="0"/>
    <n v="11500060"/>
    <x v="0"/>
    <n v="1628.2"/>
    <s v="MXN"/>
    <n v="1628.2"/>
    <x v="0"/>
    <m/>
    <m/>
    <m/>
    <m/>
    <m/>
    <m/>
    <m/>
    <m/>
    <s v="01.02.2020"/>
    <m/>
    <n v="20200131"/>
    <n v="1628.2"/>
    <m/>
    <m/>
    <m/>
    <m/>
    <m/>
    <m/>
    <m/>
    <m/>
    <m/>
    <m/>
    <n v="340612890"/>
    <s v="JGARCIA"/>
  </r>
  <r>
    <n v="3406"/>
    <s v="31.01.2020"/>
    <n v="2020"/>
    <d v="2020-01-01T00:00:00"/>
    <n v="50"/>
    <n v="600031518"/>
    <s v="WA"/>
    <n v="81"/>
    <x v="0"/>
    <n v="11500060"/>
    <x v="0"/>
    <n v="580"/>
    <s v="MXN"/>
    <n v="580"/>
    <x v="0"/>
    <m/>
    <m/>
    <m/>
    <m/>
    <m/>
    <m/>
    <m/>
    <m/>
    <s v="01.02.2020"/>
    <m/>
    <n v="20200131"/>
    <n v="580"/>
    <m/>
    <m/>
    <m/>
    <m/>
    <m/>
    <m/>
    <m/>
    <m/>
    <m/>
    <m/>
    <n v="340612890"/>
    <s v="JGARCIA"/>
  </r>
  <r>
    <n v="3406"/>
    <s v="31.01.2020"/>
    <n v="2020"/>
    <d v="2020-01-01T00:00:00"/>
    <n v="52"/>
    <n v="600031518"/>
    <s v="WA"/>
    <n v="81"/>
    <x v="0"/>
    <n v="11500060"/>
    <x v="0"/>
    <n v="856.5"/>
    <s v="MXN"/>
    <n v="856.5"/>
    <x v="0"/>
    <m/>
    <m/>
    <m/>
    <m/>
    <m/>
    <m/>
    <m/>
    <m/>
    <s v="01.02.2020"/>
    <m/>
    <n v="20200131"/>
    <n v="856.5"/>
    <m/>
    <m/>
    <m/>
    <m/>
    <m/>
    <m/>
    <m/>
    <m/>
    <m/>
    <m/>
    <n v="340612890"/>
    <s v="JGARCIA"/>
  </r>
  <r>
    <n v="3406"/>
    <s v="31.01.2020"/>
    <n v="2020"/>
    <d v="2020-01-01T00:00:00"/>
    <n v="54"/>
    <n v="600031518"/>
    <s v="WA"/>
    <n v="81"/>
    <x v="0"/>
    <n v="11500060"/>
    <x v="0"/>
    <n v="495.87"/>
    <s v="MXN"/>
    <n v="495.87"/>
    <x v="0"/>
    <m/>
    <m/>
    <m/>
    <m/>
    <m/>
    <m/>
    <m/>
    <m/>
    <s v="01.02.2020"/>
    <m/>
    <n v="20200131"/>
    <n v="495.87"/>
    <m/>
    <m/>
    <m/>
    <m/>
    <m/>
    <m/>
    <m/>
    <m/>
    <m/>
    <m/>
    <n v="340612890"/>
    <s v="JGARCIA"/>
  </r>
  <r>
    <n v="3406"/>
    <s v="31.01.2020"/>
    <n v="2020"/>
    <d v="2020-01-01T00:00:00"/>
    <n v="56"/>
    <n v="600031518"/>
    <s v="WA"/>
    <n v="81"/>
    <x v="0"/>
    <n v="11500060"/>
    <x v="0"/>
    <n v="19"/>
    <s v="MXN"/>
    <n v="19"/>
    <x v="0"/>
    <m/>
    <m/>
    <m/>
    <m/>
    <m/>
    <m/>
    <m/>
    <m/>
    <s v="01.02.2020"/>
    <m/>
    <n v="20200131"/>
    <n v="19"/>
    <m/>
    <m/>
    <m/>
    <m/>
    <m/>
    <m/>
    <m/>
    <m/>
    <m/>
    <m/>
    <n v="340612890"/>
    <s v="JGARCIA"/>
  </r>
  <r>
    <n v="3406"/>
    <s v="31.01.2020"/>
    <n v="2020"/>
    <d v="2020-01-01T00:00:00"/>
    <n v="58"/>
    <n v="600031518"/>
    <s v="WA"/>
    <n v="81"/>
    <x v="0"/>
    <n v="11500060"/>
    <x v="0"/>
    <n v="1033.75"/>
    <s v="MXN"/>
    <n v="1033.75"/>
    <x v="0"/>
    <m/>
    <m/>
    <m/>
    <m/>
    <m/>
    <m/>
    <m/>
    <m/>
    <s v="01.02.2020"/>
    <m/>
    <n v="20200131"/>
    <n v="1033.75"/>
    <m/>
    <m/>
    <m/>
    <m/>
    <m/>
    <m/>
    <m/>
    <m/>
    <m/>
    <m/>
    <n v="340612890"/>
    <s v="JGARCIA"/>
  </r>
  <r>
    <n v="3406"/>
    <s v="31.01.2020"/>
    <n v="2020"/>
    <d v="2020-01-01T00:00:00"/>
    <n v="60"/>
    <n v="600031518"/>
    <s v="WA"/>
    <n v="81"/>
    <x v="0"/>
    <n v="11500060"/>
    <x v="0"/>
    <n v="162.47"/>
    <s v="MXN"/>
    <n v="162.47"/>
    <x v="0"/>
    <m/>
    <m/>
    <m/>
    <m/>
    <m/>
    <m/>
    <m/>
    <m/>
    <s v="01.02.2020"/>
    <m/>
    <n v="20200131"/>
    <n v="162.47"/>
    <m/>
    <m/>
    <m/>
    <m/>
    <m/>
    <m/>
    <m/>
    <m/>
    <m/>
    <m/>
    <n v="340612890"/>
    <s v="JGARCIA"/>
  </r>
  <r>
    <n v="3406"/>
    <s v="31.01.2020"/>
    <n v="2020"/>
    <d v="2020-01-01T00:00:00"/>
    <n v="62"/>
    <n v="600031518"/>
    <s v="WA"/>
    <n v="81"/>
    <x v="0"/>
    <n v="11500060"/>
    <x v="0"/>
    <n v="8.0500000000000007"/>
    <s v="MXN"/>
    <n v="8.0500000000000007"/>
    <x v="0"/>
    <m/>
    <m/>
    <m/>
    <m/>
    <m/>
    <m/>
    <m/>
    <m/>
    <s v="01.02.2020"/>
    <m/>
    <n v="20200131"/>
    <n v="8.0500000000000007"/>
    <m/>
    <m/>
    <m/>
    <m/>
    <m/>
    <m/>
    <m/>
    <m/>
    <m/>
    <m/>
    <n v="340612890"/>
    <s v="JGARCIA"/>
  </r>
  <r>
    <n v="3406"/>
    <s v="31.01.2020"/>
    <n v="2020"/>
    <d v="2020-01-01T00:00:00"/>
    <n v="64"/>
    <n v="600031518"/>
    <s v="WA"/>
    <n v="81"/>
    <x v="0"/>
    <n v="11500060"/>
    <x v="0"/>
    <n v="568"/>
    <s v="MXN"/>
    <n v="568"/>
    <x v="0"/>
    <m/>
    <m/>
    <m/>
    <m/>
    <m/>
    <m/>
    <m/>
    <m/>
    <s v="01.02.2020"/>
    <m/>
    <n v="20200131"/>
    <n v="568"/>
    <m/>
    <m/>
    <m/>
    <m/>
    <m/>
    <m/>
    <m/>
    <m/>
    <m/>
    <m/>
    <n v="340612890"/>
    <s v="JGARCIA"/>
  </r>
  <r>
    <n v="3406"/>
    <s v="31.01.2020"/>
    <n v="2020"/>
    <d v="2020-01-01T00:00:00"/>
    <n v="66"/>
    <n v="600031518"/>
    <s v="WA"/>
    <n v="81"/>
    <x v="0"/>
    <n v="11500060"/>
    <x v="0"/>
    <n v="143.88"/>
    <s v="MXN"/>
    <n v="143.88"/>
    <x v="0"/>
    <m/>
    <m/>
    <m/>
    <m/>
    <m/>
    <m/>
    <m/>
    <m/>
    <s v="01.02.2020"/>
    <m/>
    <n v="20200131"/>
    <n v="143.88"/>
    <m/>
    <m/>
    <m/>
    <m/>
    <m/>
    <m/>
    <m/>
    <m/>
    <m/>
    <m/>
    <n v="340612890"/>
    <s v="JGARCIA"/>
  </r>
  <r>
    <n v="3406"/>
    <s v="31.01.2020"/>
    <n v="2020"/>
    <d v="2020-01-01T00:00:00"/>
    <n v="68"/>
    <n v="600031518"/>
    <s v="WA"/>
    <n v="81"/>
    <x v="0"/>
    <n v="11500060"/>
    <x v="0"/>
    <n v="97.32"/>
    <s v="MXN"/>
    <n v="97.32"/>
    <x v="0"/>
    <m/>
    <m/>
    <m/>
    <m/>
    <m/>
    <m/>
    <m/>
    <m/>
    <s v="01.02.2020"/>
    <m/>
    <n v="20200131"/>
    <n v="97.32"/>
    <m/>
    <m/>
    <m/>
    <m/>
    <m/>
    <m/>
    <m/>
    <m/>
    <m/>
    <m/>
    <n v="340612890"/>
    <s v="JGARCIA"/>
  </r>
  <r>
    <n v="3406"/>
    <s v="31.01.2020"/>
    <n v="2020"/>
    <d v="2020-01-01T00:00:00"/>
    <n v="70"/>
    <n v="600031518"/>
    <s v="WA"/>
    <n v="81"/>
    <x v="0"/>
    <n v="11500060"/>
    <x v="0"/>
    <n v="918"/>
    <s v="MXN"/>
    <n v="918"/>
    <x v="0"/>
    <m/>
    <m/>
    <m/>
    <m/>
    <m/>
    <m/>
    <m/>
    <m/>
    <s v="01.02.2020"/>
    <m/>
    <n v="20200131"/>
    <n v="918"/>
    <m/>
    <m/>
    <m/>
    <m/>
    <m/>
    <m/>
    <m/>
    <m/>
    <m/>
    <m/>
    <n v="340612890"/>
    <s v="JGARCIA"/>
  </r>
  <r>
    <n v="3406"/>
    <s v="31.01.2020"/>
    <n v="2020"/>
    <d v="2020-01-01T00:00:00"/>
    <n v="76"/>
    <n v="600031518"/>
    <s v="WA"/>
    <n v="81"/>
    <x v="0"/>
    <n v="11500060"/>
    <x v="0"/>
    <n v="1673.28"/>
    <s v="MXN"/>
    <n v="1673.28"/>
    <x v="0"/>
    <m/>
    <m/>
    <m/>
    <m/>
    <m/>
    <m/>
    <m/>
    <m/>
    <s v="01.02.2020"/>
    <m/>
    <n v="20200131"/>
    <n v="1673.28"/>
    <m/>
    <m/>
    <m/>
    <m/>
    <m/>
    <m/>
    <m/>
    <m/>
    <m/>
    <m/>
    <n v="340612890"/>
    <s v="JGARCIA"/>
  </r>
  <r>
    <n v="3406"/>
    <s v="31.01.2020"/>
    <n v="2020"/>
    <d v="2020-01-01T00:00:00"/>
    <n v="78"/>
    <n v="600031518"/>
    <s v="WA"/>
    <n v="81"/>
    <x v="0"/>
    <n v="11500060"/>
    <x v="0"/>
    <n v="848.4"/>
    <s v="MXN"/>
    <n v="848.4"/>
    <x v="0"/>
    <m/>
    <m/>
    <m/>
    <m/>
    <m/>
    <m/>
    <m/>
    <m/>
    <s v="01.02.2020"/>
    <m/>
    <n v="20200131"/>
    <n v="848.4"/>
    <m/>
    <m/>
    <m/>
    <m/>
    <m/>
    <m/>
    <m/>
    <m/>
    <m/>
    <m/>
    <n v="340612890"/>
    <s v="JGARCIA"/>
  </r>
  <r>
    <n v="3406"/>
    <s v="31.01.2020"/>
    <n v="2020"/>
    <d v="2020-01-01T00:00:00"/>
    <n v="82"/>
    <n v="600031518"/>
    <s v="WA"/>
    <n v="81"/>
    <x v="0"/>
    <n v="11500060"/>
    <x v="0"/>
    <n v="9627"/>
    <s v="MXN"/>
    <n v="9627"/>
    <x v="0"/>
    <m/>
    <m/>
    <m/>
    <m/>
    <m/>
    <m/>
    <m/>
    <m/>
    <s v="01.02.2020"/>
    <m/>
    <n v="20200131"/>
    <n v="9627"/>
    <m/>
    <m/>
    <m/>
    <m/>
    <m/>
    <m/>
    <m/>
    <m/>
    <m/>
    <m/>
    <n v="340612890"/>
    <s v="JGARCIA"/>
  </r>
  <r>
    <n v="3406"/>
    <s v="31.01.2020"/>
    <n v="2020"/>
    <d v="2020-01-01T00:00:00"/>
    <n v="84"/>
    <n v="600031518"/>
    <s v="WA"/>
    <n v="81"/>
    <x v="0"/>
    <n v="11500060"/>
    <x v="0"/>
    <n v="1758.84"/>
    <s v="MXN"/>
    <n v="1758.84"/>
    <x v="0"/>
    <m/>
    <m/>
    <m/>
    <m/>
    <m/>
    <m/>
    <m/>
    <m/>
    <s v="01.02.2020"/>
    <m/>
    <n v="20200131"/>
    <n v="1758.84"/>
    <m/>
    <m/>
    <m/>
    <m/>
    <m/>
    <m/>
    <m/>
    <m/>
    <m/>
    <m/>
    <n v="340612890"/>
    <s v="JGARCIA"/>
  </r>
  <r>
    <n v="3406"/>
    <s v="31.01.2020"/>
    <n v="2020"/>
    <d v="2020-01-01T00:00:00"/>
    <n v="86"/>
    <n v="600031518"/>
    <s v="WA"/>
    <n v="81"/>
    <x v="0"/>
    <n v="11500060"/>
    <x v="0"/>
    <n v="594.19000000000005"/>
    <s v="MXN"/>
    <n v="594.19000000000005"/>
    <x v="0"/>
    <m/>
    <m/>
    <m/>
    <m/>
    <m/>
    <m/>
    <m/>
    <m/>
    <s v="01.02.2020"/>
    <m/>
    <n v="20200131"/>
    <n v="594.19000000000005"/>
    <m/>
    <m/>
    <m/>
    <m/>
    <m/>
    <m/>
    <m/>
    <m/>
    <m/>
    <m/>
    <n v="340612890"/>
    <s v="JGARCIA"/>
  </r>
  <r>
    <n v="3406"/>
    <s v="31.01.2020"/>
    <n v="2020"/>
    <d v="2020-01-01T00:00:00"/>
    <n v="88"/>
    <n v="600031518"/>
    <s v="WA"/>
    <n v="81"/>
    <x v="0"/>
    <n v="11500060"/>
    <x v="0"/>
    <n v="5571.36"/>
    <s v="MXN"/>
    <n v="5571.36"/>
    <x v="0"/>
    <m/>
    <m/>
    <m/>
    <m/>
    <m/>
    <m/>
    <m/>
    <m/>
    <s v="01.02.2020"/>
    <m/>
    <n v="20200131"/>
    <n v="5571.36"/>
    <m/>
    <m/>
    <m/>
    <m/>
    <m/>
    <m/>
    <m/>
    <m/>
    <m/>
    <m/>
    <n v="340612890"/>
    <s v="JGARCIA"/>
  </r>
  <r>
    <n v="3406"/>
    <s v="31.01.2020"/>
    <n v="2020"/>
    <d v="2020-01-01T00:00:00"/>
    <n v="4"/>
    <n v="600031528"/>
    <s v="WA"/>
    <n v="81"/>
    <x v="0"/>
    <n v="11500060"/>
    <x v="0"/>
    <n v="7207.83"/>
    <s v="MXN"/>
    <n v="7207.83"/>
    <x v="0"/>
    <m/>
    <m/>
    <m/>
    <m/>
    <m/>
    <m/>
    <m/>
    <m/>
    <s v="01.02.2020"/>
    <m/>
    <n v="20200131"/>
    <n v="7207.83"/>
    <m/>
    <m/>
    <m/>
    <m/>
    <m/>
    <m/>
    <m/>
    <m/>
    <m/>
    <m/>
    <n v="340610590"/>
    <s v="JGARCIA"/>
  </r>
  <r>
    <n v="3406"/>
    <s v="31.01.2020"/>
    <n v="2020"/>
    <d v="2020-01-01T00:00:00"/>
    <n v="6"/>
    <n v="600031528"/>
    <s v="WA"/>
    <n v="81"/>
    <x v="0"/>
    <n v="11500060"/>
    <x v="0"/>
    <n v="4373.3599999999997"/>
    <s v="MXN"/>
    <n v="4373.3599999999997"/>
    <x v="0"/>
    <m/>
    <m/>
    <m/>
    <m/>
    <m/>
    <m/>
    <m/>
    <m/>
    <s v="01.02.2020"/>
    <m/>
    <n v="20200131"/>
    <n v="4373.3599999999997"/>
    <m/>
    <m/>
    <m/>
    <m/>
    <m/>
    <m/>
    <m/>
    <m/>
    <m/>
    <m/>
    <n v="340610590"/>
    <s v="JGARCIA"/>
  </r>
  <r>
    <n v="3406"/>
    <s v="31.01.2020"/>
    <n v="2020"/>
    <d v="2020-01-01T00:00:00"/>
    <n v="8"/>
    <n v="600031528"/>
    <s v="WA"/>
    <n v="81"/>
    <x v="0"/>
    <n v="11500060"/>
    <x v="0"/>
    <n v="678.33"/>
    <s v="MXN"/>
    <n v="678.33"/>
    <x v="0"/>
    <m/>
    <m/>
    <m/>
    <m/>
    <m/>
    <m/>
    <m/>
    <m/>
    <s v="01.02.2020"/>
    <m/>
    <n v="20200131"/>
    <n v="678.33"/>
    <m/>
    <m/>
    <m/>
    <m/>
    <m/>
    <m/>
    <m/>
    <m/>
    <m/>
    <m/>
    <n v="340610590"/>
    <s v="JGARCIA"/>
  </r>
  <r>
    <n v="3406"/>
    <s v="31.01.2020"/>
    <n v="2020"/>
    <d v="2020-01-01T00:00:00"/>
    <n v="10"/>
    <n v="600031528"/>
    <s v="WA"/>
    <n v="81"/>
    <x v="0"/>
    <n v="11500060"/>
    <x v="0"/>
    <n v="121.65"/>
    <s v="MXN"/>
    <n v="121.65"/>
    <x v="0"/>
    <m/>
    <m/>
    <m/>
    <m/>
    <m/>
    <m/>
    <m/>
    <m/>
    <s v="01.02.2020"/>
    <m/>
    <n v="20200131"/>
    <n v="121.65"/>
    <m/>
    <m/>
    <m/>
    <m/>
    <m/>
    <m/>
    <m/>
    <m/>
    <m/>
    <m/>
    <n v="340610590"/>
    <s v="JGARCIA"/>
  </r>
  <r>
    <n v="3406"/>
    <s v="31.01.2020"/>
    <n v="2020"/>
    <d v="2020-01-01T00:00:00"/>
    <n v="12"/>
    <n v="600031528"/>
    <s v="WA"/>
    <n v="81"/>
    <x v="0"/>
    <n v="11500060"/>
    <x v="0"/>
    <n v="6514.2"/>
    <s v="MXN"/>
    <n v="6514.2"/>
    <x v="0"/>
    <m/>
    <m/>
    <m/>
    <m/>
    <m/>
    <m/>
    <m/>
    <m/>
    <s v="01.02.2020"/>
    <m/>
    <n v="20200131"/>
    <n v="6514.2"/>
    <m/>
    <m/>
    <m/>
    <m/>
    <m/>
    <m/>
    <m/>
    <m/>
    <m/>
    <m/>
    <n v="340610590"/>
    <s v="JGARCIA"/>
  </r>
  <r>
    <n v="3406"/>
    <s v="31.01.2020"/>
    <n v="2020"/>
    <d v="2020-01-01T00:00:00"/>
    <n v="14"/>
    <n v="600031528"/>
    <s v="WA"/>
    <n v="81"/>
    <x v="0"/>
    <n v="11500060"/>
    <x v="0"/>
    <n v="2692.8"/>
    <s v="MXN"/>
    <n v="2692.8"/>
    <x v="0"/>
    <m/>
    <m/>
    <m/>
    <m/>
    <m/>
    <m/>
    <m/>
    <m/>
    <s v="01.02.2020"/>
    <m/>
    <n v="20200131"/>
    <n v="2692.8"/>
    <m/>
    <m/>
    <m/>
    <m/>
    <m/>
    <m/>
    <m/>
    <m/>
    <m/>
    <m/>
    <n v="340610590"/>
    <s v="JGARCIA"/>
  </r>
  <r>
    <n v="3406"/>
    <s v="31.01.2020"/>
    <n v="2020"/>
    <d v="2020-01-01T00:00:00"/>
    <n v="16"/>
    <n v="600031528"/>
    <s v="WA"/>
    <n v="81"/>
    <x v="0"/>
    <n v="11500060"/>
    <x v="0"/>
    <n v="2781.3"/>
    <s v="MXN"/>
    <n v="2781.3"/>
    <x v="0"/>
    <m/>
    <m/>
    <m/>
    <m/>
    <m/>
    <m/>
    <m/>
    <m/>
    <s v="01.02.2020"/>
    <m/>
    <n v="20200131"/>
    <n v="2781.3"/>
    <m/>
    <m/>
    <m/>
    <m/>
    <m/>
    <m/>
    <m/>
    <m/>
    <m/>
    <m/>
    <n v="340610590"/>
    <s v="JGARCIA"/>
  </r>
  <r>
    <n v="3406"/>
    <s v="31.01.2020"/>
    <n v="2020"/>
    <d v="2020-01-01T00:00:00"/>
    <n v="18"/>
    <n v="600031528"/>
    <s v="WA"/>
    <n v="81"/>
    <x v="0"/>
    <n v="11500060"/>
    <x v="0"/>
    <n v="1852.46"/>
    <s v="MXN"/>
    <n v="1852.46"/>
    <x v="0"/>
    <m/>
    <m/>
    <m/>
    <m/>
    <m/>
    <m/>
    <m/>
    <m/>
    <s v="01.02.2020"/>
    <m/>
    <n v="20200131"/>
    <n v="1852.46"/>
    <m/>
    <m/>
    <m/>
    <m/>
    <m/>
    <m/>
    <m/>
    <m/>
    <m/>
    <m/>
    <n v="340610590"/>
    <s v="JGARCIA"/>
  </r>
  <r>
    <n v="3406"/>
    <s v="31.01.2020"/>
    <n v="2020"/>
    <d v="2020-01-01T00:00:00"/>
    <n v="20"/>
    <n v="600031528"/>
    <s v="WA"/>
    <n v="81"/>
    <x v="0"/>
    <n v="11500060"/>
    <x v="0"/>
    <n v="1411.31"/>
    <s v="MXN"/>
    <n v="1411.31"/>
    <x v="0"/>
    <m/>
    <m/>
    <m/>
    <m/>
    <m/>
    <m/>
    <m/>
    <m/>
    <s v="01.02.2020"/>
    <m/>
    <n v="20200131"/>
    <n v="1411.31"/>
    <m/>
    <m/>
    <m/>
    <m/>
    <m/>
    <m/>
    <m/>
    <m/>
    <m/>
    <m/>
    <n v="340610590"/>
    <s v="JGARCIA"/>
  </r>
  <r>
    <n v="3406"/>
    <s v="31.01.2020"/>
    <n v="2020"/>
    <d v="2020-01-01T00:00:00"/>
    <n v="22"/>
    <n v="600031528"/>
    <s v="WA"/>
    <n v="81"/>
    <x v="0"/>
    <n v="11500060"/>
    <x v="0"/>
    <n v="1319.13"/>
    <s v="MXN"/>
    <n v="1319.13"/>
    <x v="0"/>
    <m/>
    <m/>
    <m/>
    <m/>
    <m/>
    <m/>
    <m/>
    <m/>
    <s v="01.02.2020"/>
    <m/>
    <n v="20200131"/>
    <n v="1319.13"/>
    <m/>
    <m/>
    <m/>
    <m/>
    <m/>
    <m/>
    <m/>
    <m/>
    <m/>
    <m/>
    <n v="340610590"/>
    <s v="JGARCIA"/>
  </r>
  <r>
    <n v="3406"/>
    <s v="31.01.2020"/>
    <n v="2020"/>
    <d v="2020-01-01T00:00:00"/>
    <n v="24"/>
    <n v="600031528"/>
    <s v="WA"/>
    <n v="81"/>
    <x v="0"/>
    <n v="11500060"/>
    <x v="0"/>
    <n v="3062.55"/>
    <s v="MXN"/>
    <n v="3062.55"/>
    <x v="0"/>
    <m/>
    <m/>
    <m/>
    <m/>
    <m/>
    <m/>
    <m/>
    <m/>
    <s v="01.02.2020"/>
    <m/>
    <n v="20200131"/>
    <n v="3062.55"/>
    <m/>
    <m/>
    <m/>
    <m/>
    <m/>
    <m/>
    <m/>
    <m/>
    <m/>
    <m/>
    <n v="340610590"/>
    <s v="JGARCIA"/>
  </r>
  <r>
    <n v="3406"/>
    <s v="31.01.2020"/>
    <n v="2020"/>
    <d v="2020-01-01T00:00:00"/>
    <n v="32"/>
    <n v="600031528"/>
    <s v="WA"/>
    <n v="81"/>
    <x v="0"/>
    <n v="11500060"/>
    <x v="0"/>
    <n v="484.8"/>
    <s v="MXN"/>
    <n v="484.8"/>
    <x v="0"/>
    <m/>
    <m/>
    <m/>
    <m/>
    <m/>
    <m/>
    <m/>
    <m/>
    <s v="01.02.2020"/>
    <m/>
    <n v="20200131"/>
    <n v="484.8"/>
    <m/>
    <m/>
    <m/>
    <m/>
    <m/>
    <m/>
    <m/>
    <m/>
    <m/>
    <m/>
    <n v="340610590"/>
    <s v="JGARCIA"/>
  </r>
  <r>
    <n v="3406"/>
    <s v="31.01.2020"/>
    <n v="2020"/>
    <d v="2020-01-01T00:00:00"/>
    <n v="36"/>
    <n v="600031528"/>
    <s v="WA"/>
    <n v="81"/>
    <x v="0"/>
    <n v="11500060"/>
    <x v="0"/>
    <n v="563.5"/>
    <s v="MXN"/>
    <n v="563.5"/>
    <x v="0"/>
    <m/>
    <m/>
    <m/>
    <m/>
    <m/>
    <m/>
    <m/>
    <m/>
    <s v="01.02.2020"/>
    <m/>
    <n v="20200131"/>
    <n v="563.5"/>
    <m/>
    <m/>
    <m/>
    <m/>
    <m/>
    <m/>
    <m/>
    <m/>
    <m/>
    <m/>
    <n v="340610590"/>
    <s v="JGARCIA"/>
  </r>
  <r>
    <n v="3406"/>
    <s v="31.01.2020"/>
    <n v="2020"/>
    <d v="2020-01-01T00:00:00"/>
    <n v="38"/>
    <n v="600031528"/>
    <s v="WA"/>
    <n v="81"/>
    <x v="0"/>
    <n v="11500060"/>
    <x v="0"/>
    <n v="166"/>
    <s v="MXN"/>
    <n v="166"/>
    <x v="0"/>
    <m/>
    <m/>
    <m/>
    <m/>
    <m/>
    <m/>
    <m/>
    <m/>
    <s v="01.02.2020"/>
    <m/>
    <n v="20200131"/>
    <n v="166"/>
    <m/>
    <m/>
    <m/>
    <m/>
    <m/>
    <m/>
    <m/>
    <m/>
    <m/>
    <m/>
    <n v="340610590"/>
    <s v="JGARCIA"/>
  </r>
  <r>
    <n v="3406"/>
    <s v="31.01.2020"/>
    <n v="2020"/>
    <d v="2020-01-01T00:00:00"/>
    <n v="40"/>
    <n v="600031528"/>
    <s v="WA"/>
    <n v="81"/>
    <x v="0"/>
    <n v="11500060"/>
    <x v="0"/>
    <n v="310"/>
    <s v="MXN"/>
    <n v="310"/>
    <x v="0"/>
    <m/>
    <m/>
    <m/>
    <m/>
    <m/>
    <m/>
    <m/>
    <m/>
    <s v="01.02.2020"/>
    <m/>
    <n v="20200131"/>
    <n v="310"/>
    <m/>
    <m/>
    <m/>
    <m/>
    <m/>
    <m/>
    <m/>
    <m/>
    <m/>
    <m/>
    <n v="340610590"/>
    <s v="JGARCIA"/>
  </r>
  <r>
    <n v="3406"/>
    <s v="31.01.2020"/>
    <n v="2020"/>
    <d v="2020-01-01T00:00:00"/>
    <n v="42"/>
    <n v="600031528"/>
    <s v="WA"/>
    <n v="81"/>
    <x v="0"/>
    <n v="11500060"/>
    <x v="0"/>
    <n v="27.5"/>
    <s v="MXN"/>
    <n v="27.5"/>
    <x v="0"/>
    <m/>
    <m/>
    <m/>
    <m/>
    <m/>
    <m/>
    <m/>
    <m/>
    <s v="01.02.2020"/>
    <m/>
    <n v="20200131"/>
    <n v="27.5"/>
    <m/>
    <m/>
    <m/>
    <m/>
    <m/>
    <m/>
    <m/>
    <m/>
    <m/>
    <m/>
    <n v="340610590"/>
    <s v="JGARCIA"/>
  </r>
  <r>
    <n v="3406"/>
    <s v="31.01.2020"/>
    <n v="2020"/>
    <d v="2020-01-01T00:00:00"/>
    <n v="44"/>
    <n v="600031528"/>
    <s v="WA"/>
    <n v="81"/>
    <x v="0"/>
    <n v="11500060"/>
    <x v="0"/>
    <n v="38"/>
    <s v="MXN"/>
    <n v="38"/>
    <x v="0"/>
    <m/>
    <m/>
    <m/>
    <m/>
    <m/>
    <m/>
    <m/>
    <m/>
    <s v="01.02.2020"/>
    <m/>
    <n v="20200131"/>
    <n v="38"/>
    <m/>
    <m/>
    <m/>
    <m/>
    <m/>
    <m/>
    <m/>
    <m/>
    <m/>
    <m/>
    <n v="340610590"/>
    <s v="JGARCIA"/>
  </r>
  <r>
    <n v="3406"/>
    <s v="31.01.2020"/>
    <n v="2020"/>
    <d v="2020-01-01T00:00:00"/>
    <n v="46"/>
    <n v="600031528"/>
    <s v="WA"/>
    <n v="81"/>
    <x v="0"/>
    <n v="11500060"/>
    <x v="0"/>
    <n v="1157.03"/>
    <s v="MXN"/>
    <n v="1157.03"/>
    <x v="0"/>
    <m/>
    <m/>
    <m/>
    <m/>
    <m/>
    <m/>
    <m/>
    <m/>
    <s v="01.02.2020"/>
    <m/>
    <n v="20200131"/>
    <n v="1157.03"/>
    <m/>
    <m/>
    <m/>
    <m/>
    <m/>
    <m/>
    <m/>
    <m/>
    <m/>
    <m/>
    <n v="340610590"/>
    <s v="JGARCIA"/>
  </r>
  <r>
    <n v="3406"/>
    <s v="31.01.2020"/>
    <n v="2020"/>
    <d v="2020-01-01T00:00:00"/>
    <n v="48"/>
    <n v="600031528"/>
    <s v="WA"/>
    <n v="81"/>
    <x v="0"/>
    <n v="11500060"/>
    <x v="0"/>
    <n v="856.5"/>
    <s v="MXN"/>
    <n v="856.5"/>
    <x v="0"/>
    <m/>
    <m/>
    <m/>
    <m/>
    <m/>
    <m/>
    <m/>
    <m/>
    <s v="01.02.2020"/>
    <m/>
    <n v="20200131"/>
    <n v="856.5"/>
    <m/>
    <m/>
    <m/>
    <m/>
    <m/>
    <m/>
    <m/>
    <m/>
    <m/>
    <m/>
    <n v="340610590"/>
    <s v="JGARCIA"/>
  </r>
  <r>
    <n v="3406"/>
    <s v="31.01.2020"/>
    <n v="2020"/>
    <d v="2020-01-01T00:00:00"/>
    <n v="50"/>
    <n v="600031528"/>
    <s v="WA"/>
    <n v="81"/>
    <x v="0"/>
    <n v="11500060"/>
    <x v="0"/>
    <n v="240"/>
    <s v="MXN"/>
    <n v="240"/>
    <x v="0"/>
    <m/>
    <m/>
    <m/>
    <m/>
    <m/>
    <m/>
    <m/>
    <m/>
    <s v="01.02.2020"/>
    <m/>
    <n v="20200131"/>
    <n v="240"/>
    <m/>
    <m/>
    <m/>
    <m/>
    <m/>
    <m/>
    <m/>
    <m/>
    <m/>
    <m/>
    <n v="340610590"/>
    <s v="JGARCIA"/>
  </r>
  <r>
    <n v="3406"/>
    <s v="31.01.2020"/>
    <n v="2020"/>
    <d v="2020-01-01T00:00:00"/>
    <n v="52"/>
    <n v="600031528"/>
    <s v="WA"/>
    <n v="81"/>
    <x v="0"/>
    <n v="11500060"/>
    <x v="0"/>
    <n v="184.73"/>
    <s v="MXN"/>
    <n v="184.73"/>
    <x v="0"/>
    <m/>
    <m/>
    <m/>
    <m/>
    <m/>
    <m/>
    <m/>
    <m/>
    <s v="01.02.2020"/>
    <m/>
    <n v="20200131"/>
    <n v="184.73"/>
    <m/>
    <m/>
    <m/>
    <m/>
    <m/>
    <m/>
    <m/>
    <m/>
    <m/>
    <m/>
    <n v="340610590"/>
    <s v="JGARCIA"/>
  </r>
  <r>
    <n v="3403"/>
    <s v="31.01.2020"/>
    <n v="2020"/>
    <d v="2020-01-01T00:00:00"/>
    <n v="6"/>
    <n v="300018501"/>
    <s v="WA"/>
    <n v="81"/>
    <x v="0"/>
    <n v="11500030"/>
    <x v="0"/>
    <n v="20"/>
    <s v="MXN"/>
    <n v="20"/>
    <x v="0"/>
    <m/>
    <m/>
    <m/>
    <m/>
    <m/>
    <m/>
    <m/>
    <m/>
    <s v="01.02.2020"/>
    <m/>
    <n v="20200131"/>
    <n v="20"/>
    <m/>
    <m/>
    <m/>
    <m/>
    <m/>
    <m/>
    <m/>
    <m/>
    <m/>
    <m/>
    <n v="340353290"/>
    <s v="JBAUTISTA"/>
  </r>
  <r>
    <n v="3403"/>
    <s v="31.01.2020"/>
    <n v="2020"/>
    <d v="2020-01-01T00:00:00"/>
    <n v="8"/>
    <n v="300018501"/>
    <s v="WA"/>
    <n v="81"/>
    <x v="0"/>
    <n v="11500030"/>
    <x v="0"/>
    <n v="31.9"/>
    <s v="MXN"/>
    <n v="31.9"/>
    <x v="0"/>
    <m/>
    <m/>
    <m/>
    <m/>
    <m/>
    <m/>
    <m/>
    <m/>
    <s v="01.02.2020"/>
    <m/>
    <n v="20200131"/>
    <n v="31.9"/>
    <m/>
    <m/>
    <m/>
    <m/>
    <m/>
    <m/>
    <m/>
    <m/>
    <m/>
    <m/>
    <n v="340353290"/>
    <s v="JBAUTISTA"/>
  </r>
  <r>
    <n v="3403"/>
    <s v="31.01.2020"/>
    <n v="2020"/>
    <d v="2020-01-01T00:00:00"/>
    <n v="10"/>
    <n v="300018501"/>
    <s v="WA"/>
    <n v="81"/>
    <x v="0"/>
    <n v="11500030"/>
    <x v="0"/>
    <n v="49.36"/>
    <s v="MXN"/>
    <n v="49.36"/>
    <x v="0"/>
    <m/>
    <m/>
    <m/>
    <m/>
    <m/>
    <m/>
    <m/>
    <m/>
    <s v="01.02.2020"/>
    <m/>
    <n v="20200131"/>
    <n v="49.36"/>
    <m/>
    <m/>
    <m/>
    <m/>
    <m/>
    <m/>
    <m/>
    <m/>
    <m/>
    <m/>
    <n v="340353290"/>
    <s v="JBAUTISTA"/>
  </r>
  <r>
    <n v="3403"/>
    <s v="31.01.2020"/>
    <n v="2020"/>
    <d v="2020-01-01T00:00:00"/>
    <n v="12"/>
    <n v="300018501"/>
    <s v="WA"/>
    <n v="81"/>
    <x v="0"/>
    <n v="11500030"/>
    <x v="0"/>
    <n v="36.33"/>
    <s v="MXN"/>
    <n v="36.33"/>
    <x v="0"/>
    <m/>
    <m/>
    <m/>
    <m/>
    <m/>
    <m/>
    <m/>
    <m/>
    <s v="01.02.2020"/>
    <m/>
    <n v="20200131"/>
    <n v="36.33"/>
    <m/>
    <m/>
    <m/>
    <m/>
    <m/>
    <m/>
    <m/>
    <m/>
    <m/>
    <m/>
    <n v="340353290"/>
    <s v="JBAUTISTA"/>
  </r>
  <r>
    <n v="3403"/>
    <s v="31.01.2020"/>
    <n v="2020"/>
    <d v="2020-01-01T00:00:00"/>
    <n v="24"/>
    <n v="300018501"/>
    <s v="WA"/>
    <n v="81"/>
    <x v="0"/>
    <n v="11500030"/>
    <x v="0"/>
    <n v="71"/>
    <s v="MXN"/>
    <n v="71"/>
    <x v="0"/>
    <m/>
    <m/>
    <m/>
    <m/>
    <m/>
    <m/>
    <m/>
    <m/>
    <s v="01.02.2020"/>
    <m/>
    <n v="20200131"/>
    <n v="71"/>
    <m/>
    <m/>
    <m/>
    <m/>
    <m/>
    <m/>
    <m/>
    <m/>
    <m/>
    <m/>
    <n v="340353290"/>
    <s v="JBAUTISTA"/>
  </r>
  <r>
    <n v="3403"/>
    <s v="31.01.2020"/>
    <n v="2020"/>
    <d v="2020-01-01T00:00:00"/>
    <n v="30"/>
    <n v="300018501"/>
    <s v="WA"/>
    <n v="81"/>
    <x v="0"/>
    <n v="11500030"/>
    <x v="0"/>
    <n v="253.84"/>
    <s v="MXN"/>
    <n v="253.84"/>
    <x v="0"/>
    <m/>
    <m/>
    <m/>
    <m/>
    <m/>
    <m/>
    <m/>
    <m/>
    <s v="01.02.2020"/>
    <m/>
    <n v="20200131"/>
    <n v="253.84"/>
    <m/>
    <m/>
    <m/>
    <m/>
    <m/>
    <m/>
    <m/>
    <m/>
    <m/>
    <m/>
    <n v="340353290"/>
    <s v="JBAUTISTA"/>
  </r>
  <r>
    <n v="3403"/>
    <s v="31.01.2020"/>
    <n v="2020"/>
    <d v="2020-01-01T00:00:00"/>
    <n v="34"/>
    <n v="300018501"/>
    <s v="WA"/>
    <n v="81"/>
    <x v="0"/>
    <n v="11500030"/>
    <x v="0"/>
    <n v="45.32"/>
    <s v="MXN"/>
    <n v="45.32"/>
    <x v="0"/>
    <m/>
    <m/>
    <m/>
    <m/>
    <m/>
    <m/>
    <m/>
    <m/>
    <s v="01.02.2020"/>
    <m/>
    <n v="20200131"/>
    <n v="45.32"/>
    <m/>
    <m/>
    <m/>
    <m/>
    <m/>
    <m/>
    <m/>
    <m/>
    <m/>
    <m/>
    <n v="340353290"/>
    <s v="JBAUTISTA"/>
  </r>
  <r>
    <n v="3403"/>
    <s v="31.01.2020"/>
    <n v="2020"/>
    <d v="2020-01-01T00:00:00"/>
    <n v="40"/>
    <n v="300018501"/>
    <s v="WA"/>
    <n v="81"/>
    <x v="0"/>
    <n v="11500030"/>
    <x v="0"/>
    <n v="18.45"/>
    <s v="MXN"/>
    <n v="18.45"/>
    <x v="0"/>
    <m/>
    <m/>
    <m/>
    <m/>
    <m/>
    <m/>
    <m/>
    <m/>
    <s v="01.02.2020"/>
    <m/>
    <n v="20200131"/>
    <n v="18.45"/>
    <m/>
    <m/>
    <m/>
    <m/>
    <m/>
    <m/>
    <m/>
    <m/>
    <m/>
    <m/>
    <n v="340353290"/>
    <s v="JBAUTISTA"/>
  </r>
  <r>
    <n v="3402"/>
    <s v="31.01.2020"/>
    <n v="2020"/>
    <d v="2020-01-01T00:00:00"/>
    <n v="12"/>
    <n v="200114624"/>
    <s v="WA"/>
    <n v="81"/>
    <x v="0"/>
    <n v="11500050"/>
    <x v="0"/>
    <n v="41.34"/>
    <s v="MXN"/>
    <n v="41.34"/>
    <x v="0"/>
    <m/>
    <m/>
    <m/>
    <m/>
    <m/>
    <m/>
    <m/>
    <m/>
    <s v="01.02.2020"/>
    <m/>
    <n v="20200131"/>
    <n v="41.34"/>
    <m/>
    <m/>
    <m/>
    <m/>
    <m/>
    <m/>
    <m/>
    <m/>
    <m/>
    <m/>
    <n v="340232290"/>
    <s v="AMAY"/>
  </r>
  <r>
    <n v="3402"/>
    <s v="31.01.2020"/>
    <n v="2020"/>
    <d v="2020-01-01T00:00:00"/>
    <n v="14"/>
    <n v="200114624"/>
    <s v="WA"/>
    <n v="81"/>
    <x v="0"/>
    <n v="11500050"/>
    <x v="0"/>
    <n v="68.5"/>
    <s v="MXN"/>
    <n v="68.5"/>
    <x v="0"/>
    <m/>
    <m/>
    <m/>
    <m/>
    <m/>
    <m/>
    <m/>
    <m/>
    <s v="01.02.2020"/>
    <m/>
    <n v="20200131"/>
    <n v="68.5"/>
    <m/>
    <m/>
    <m/>
    <m/>
    <m/>
    <m/>
    <m/>
    <m/>
    <m/>
    <m/>
    <n v="340232290"/>
    <s v="AMAY"/>
  </r>
  <r>
    <n v="3402"/>
    <s v="31.01.2020"/>
    <n v="2020"/>
    <d v="2020-01-01T00:00:00"/>
    <n v="16"/>
    <n v="200114624"/>
    <s v="WA"/>
    <n v="81"/>
    <x v="0"/>
    <n v="11500050"/>
    <x v="0"/>
    <n v="503.27"/>
    <s v="MXN"/>
    <n v="503.27"/>
    <x v="0"/>
    <m/>
    <m/>
    <m/>
    <m/>
    <m/>
    <m/>
    <m/>
    <m/>
    <s v="01.02.2020"/>
    <m/>
    <n v="20200131"/>
    <n v="503.27"/>
    <m/>
    <m/>
    <m/>
    <m/>
    <m/>
    <m/>
    <m/>
    <m/>
    <m/>
    <m/>
    <n v="340232290"/>
    <s v="AMAY"/>
  </r>
  <r>
    <n v="3402"/>
    <s v="31.01.2020"/>
    <n v="2020"/>
    <d v="2020-01-01T00:00:00"/>
    <n v="18"/>
    <n v="200114624"/>
    <s v="WA"/>
    <n v="81"/>
    <x v="0"/>
    <n v="11500050"/>
    <x v="0"/>
    <n v="300.41000000000003"/>
    <s v="MXN"/>
    <n v="300.41000000000003"/>
    <x v="0"/>
    <m/>
    <m/>
    <m/>
    <m/>
    <m/>
    <m/>
    <m/>
    <m/>
    <s v="01.02.2020"/>
    <m/>
    <n v="20200131"/>
    <n v="300.41000000000003"/>
    <m/>
    <m/>
    <m/>
    <m/>
    <m/>
    <m/>
    <m/>
    <m/>
    <m/>
    <m/>
    <n v="340232290"/>
    <s v="AMAY"/>
  </r>
  <r>
    <n v="3402"/>
    <s v="31.01.2020"/>
    <n v="2020"/>
    <d v="2020-01-01T00:00:00"/>
    <n v="20"/>
    <n v="200114624"/>
    <s v="WA"/>
    <n v="81"/>
    <x v="0"/>
    <n v="11500050"/>
    <x v="0"/>
    <n v="3699.84"/>
    <s v="MXN"/>
    <n v="3699.84"/>
    <x v="0"/>
    <m/>
    <m/>
    <m/>
    <m/>
    <m/>
    <m/>
    <m/>
    <m/>
    <s v="01.02.2020"/>
    <m/>
    <n v="20200131"/>
    <n v="3699.84"/>
    <m/>
    <m/>
    <m/>
    <m/>
    <m/>
    <m/>
    <m/>
    <m/>
    <m/>
    <m/>
    <n v="340232290"/>
    <s v="AMAY"/>
  </r>
  <r>
    <n v="3402"/>
    <s v="31.01.2020"/>
    <n v="2020"/>
    <d v="2020-01-01T00:00:00"/>
    <n v="22"/>
    <n v="200114624"/>
    <s v="WA"/>
    <n v="81"/>
    <x v="0"/>
    <n v="11500050"/>
    <x v="0"/>
    <n v="1732.02"/>
    <s v="MXN"/>
    <n v="1732.02"/>
    <x v="0"/>
    <m/>
    <m/>
    <m/>
    <m/>
    <m/>
    <m/>
    <m/>
    <m/>
    <s v="01.02.2020"/>
    <m/>
    <n v="20200131"/>
    <n v="1732.02"/>
    <m/>
    <m/>
    <m/>
    <m/>
    <m/>
    <m/>
    <m/>
    <m/>
    <m/>
    <m/>
    <n v="340232290"/>
    <s v="AMAY"/>
  </r>
  <r>
    <n v="3402"/>
    <s v="31.01.2020"/>
    <n v="2020"/>
    <d v="2020-01-01T00:00:00"/>
    <n v="24"/>
    <n v="200114624"/>
    <s v="WA"/>
    <n v="81"/>
    <x v="0"/>
    <n v="11500050"/>
    <x v="0"/>
    <n v="931.2"/>
    <s v="MXN"/>
    <n v="931.2"/>
    <x v="0"/>
    <m/>
    <m/>
    <m/>
    <m/>
    <m/>
    <m/>
    <m/>
    <m/>
    <s v="01.02.2020"/>
    <m/>
    <n v="20200131"/>
    <n v="931.2"/>
    <m/>
    <m/>
    <m/>
    <m/>
    <m/>
    <m/>
    <m/>
    <m/>
    <m/>
    <m/>
    <n v="340232290"/>
    <s v="AMAY"/>
  </r>
  <r>
    <n v="3402"/>
    <s v="31.01.2020"/>
    <n v="2020"/>
    <d v="2020-01-01T00:00:00"/>
    <n v="26"/>
    <n v="200114624"/>
    <s v="WA"/>
    <n v="81"/>
    <x v="0"/>
    <n v="11500050"/>
    <x v="0"/>
    <n v="2733.35"/>
    <s v="MXN"/>
    <n v="2733.35"/>
    <x v="0"/>
    <m/>
    <m/>
    <m/>
    <m/>
    <m/>
    <m/>
    <m/>
    <m/>
    <s v="01.02.2020"/>
    <m/>
    <n v="20200131"/>
    <n v="2733.35"/>
    <m/>
    <m/>
    <m/>
    <m/>
    <m/>
    <m/>
    <m/>
    <m/>
    <m/>
    <m/>
    <n v="340232290"/>
    <s v="AMAY"/>
  </r>
  <r>
    <n v="3402"/>
    <s v="31.01.2020"/>
    <n v="2020"/>
    <d v="2020-01-01T00:00:00"/>
    <n v="2"/>
    <n v="200114640"/>
    <s v="WA"/>
    <n v="81"/>
    <x v="0"/>
    <n v="11500060"/>
    <x v="0"/>
    <n v="750.75"/>
    <s v="MXN"/>
    <n v="750.75"/>
    <x v="0"/>
    <m/>
    <m/>
    <m/>
    <m/>
    <m/>
    <m/>
    <m/>
    <m/>
    <s v="01.02.2020"/>
    <m/>
    <n v="20200131"/>
    <n v="750.75"/>
    <m/>
    <m/>
    <m/>
    <m/>
    <m/>
    <m/>
    <m/>
    <m/>
    <m/>
    <m/>
    <n v="340275190"/>
    <s v="AUXCOSTORVM"/>
  </r>
  <r>
    <n v="3402"/>
    <s v="31.01.2020"/>
    <n v="2020"/>
    <d v="2020-01-01T00:00:00"/>
    <n v="10"/>
    <n v="200114656"/>
    <s v="WA"/>
    <n v="81"/>
    <x v="0"/>
    <n v="11500060"/>
    <x v="0"/>
    <n v="21866.799999999999"/>
    <s v="MXN"/>
    <n v="21866.799999999999"/>
    <x v="0"/>
    <m/>
    <m/>
    <m/>
    <m/>
    <m/>
    <m/>
    <m/>
    <m/>
    <s v="01.02.2020"/>
    <m/>
    <n v="20200131"/>
    <n v="21866.799999999999"/>
    <m/>
    <m/>
    <m/>
    <m/>
    <m/>
    <m/>
    <m/>
    <m/>
    <m/>
    <m/>
    <n v="340212890"/>
    <s v="AUXCOSTORVM"/>
  </r>
  <r>
    <n v="3402"/>
    <s v="31.01.2020"/>
    <n v="2020"/>
    <d v="2020-01-01T00:00:00"/>
    <n v="12"/>
    <n v="200114656"/>
    <s v="WA"/>
    <n v="81"/>
    <x v="0"/>
    <n v="11500060"/>
    <x v="0"/>
    <n v="2277.91"/>
    <s v="MXN"/>
    <n v="2277.91"/>
    <x v="0"/>
    <m/>
    <m/>
    <m/>
    <m/>
    <m/>
    <m/>
    <m/>
    <m/>
    <s v="01.02.2020"/>
    <m/>
    <n v="20200131"/>
    <n v="2277.91"/>
    <m/>
    <m/>
    <m/>
    <m/>
    <m/>
    <m/>
    <m/>
    <m/>
    <m/>
    <m/>
    <n v="340212890"/>
    <s v="AUXCOSTORVM"/>
  </r>
  <r>
    <n v="3402"/>
    <s v="31.01.2020"/>
    <n v="2020"/>
    <d v="2020-01-01T00:00:00"/>
    <n v="14"/>
    <n v="200114656"/>
    <s v="WA"/>
    <n v="81"/>
    <x v="0"/>
    <n v="11500060"/>
    <x v="0"/>
    <n v="291.95999999999998"/>
    <s v="MXN"/>
    <n v="291.95999999999998"/>
    <x v="0"/>
    <m/>
    <m/>
    <m/>
    <m/>
    <m/>
    <m/>
    <m/>
    <m/>
    <s v="01.02.2020"/>
    <m/>
    <n v="20200131"/>
    <n v="291.95999999999998"/>
    <m/>
    <m/>
    <m/>
    <m/>
    <m/>
    <m/>
    <m/>
    <m/>
    <m/>
    <m/>
    <n v="340212890"/>
    <s v="AUXCOSTORVM"/>
  </r>
  <r>
    <n v="3402"/>
    <s v="31.01.2020"/>
    <n v="2020"/>
    <d v="2020-01-01T00:00:00"/>
    <n v="20"/>
    <n v="200114656"/>
    <s v="WA"/>
    <n v="81"/>
    <x v="0"/>
    <n v="11500060"/>
    <x v="0"/>
    <n v="9999.57"/>
    <s v="MXN"/>
    <n v="9999.57"/>
    <x v="0"/>
    <m/>
    <m/>
    <m/>
    <m/>
    <m/>
    <m/>
    <m/>
    <m/>
    <s v="01.02.2020"/>
    <m/>
    <n v="20200131"/>
    <n v="9999.57"/>
    <m/>
    <m/>
    <m/>
    <m/>
    <m/>
    <m/>
    <m/>
    <m/>
    <m/>
    <m/>
    <n v="340212890"/>
    <s v="AUXCOSTORVM"/>
  </r>
  <r>
    <n v="3402"/>
    <s v="31.01.2020"/>
    <n v="2020"/>
    <d v="2020-01-01T00:00:00"/>
    <n v="24"/>
    <n v="200114656"/>
    <s v="WA"/>
    <n v="81"/>
    <x v="0"/>
    <n v="11500060"/>
    <x v="0"/>
    <n v="10794"/>
    <s v="MXN"/>
    <n v="10794"/>
    <x v="0"/>
    <m/>
    <m/>
    <m/>
    <m/>
    <m/>
    <m/>
    <m/>
    <m/>
    <s v="01.02.2020"/>
    <m/>
    <n v="20200131"/>
    <n v="10794"/>
    <m/>
    <m/>
    <m/>
    <m/>
    <m/>
    <m/>
    <m/>
    <m/>
    <m/>
    <m/>
    <n v="340212890"/>
    <s v="AUXCOSTORVM"/>
  </r>
  <r>
    <n v="3402"/>
    <s v="31.01.2020"/>
    <n v="2020"/>
    <d v="2020-01-01T00:00:00"/>
    <n v="26"/>
    <n v="200114656"/>
    <s v="WA"/>
    <n v="81"/>
    <x v="0"/>
    <n v="11500060"/>
    <x v="0"/>
    <n v="8550.36"/>
    <s v="MXN"/>
    <n v="8550.36"/>
    <x v="0"/>
    <m/>
    <m/>
    <m/>
    <m/>
    <m/>
    <m/>
    <m/>
    <m/>
    <s v="01.02.2020"/>
    <m/>
    <n v="20200131"/>
    <n v="8550.36"/>
    <m/>
    <m/>
    <m/>
    <m/>
    <m/>
    <m/>
    <m/>
    <m/>
    <m/>
    <m/>
    <n v="340212890"/>
    <s v="AUXCOSTORVM"/>
  </r>
  <r>
    <n v="3402"/>
    <s v="31.01.2020"/>
    <n v="2020"/>
    <d v="2020-01-01T00:00:00"/>
    <n v="28"/>
    <n v="200114656"/>
    <s v="WA"/>
    <n v="81"/>
    <x v="0"/>
    <n v="11500060"/>
    <x v="0"/>
    <n v="8467.86"/>
    <s v="MXN"/>
    <n v="8467.86"/>
    <x v="0"/>
    <m/>
    <m/>
    <m/>
    <m/>
    <m/>
    <m/>
    <m/>
    <m/>
    <s v="01.02.2020"/>
    <m/>
    <n v="20200131"/>
    <n v="8467.86"/>
    <m/>
    <m/>
    <m/>
    <m/>
    <m/>
    <m/>
    <m/>
    <m/>
    <m/>
    <m/>
    <n v="340212890"/>
    <s v="AUXCOSTORVM"/>
  </r>
  <r>
    <n v="3402"/>
    <s v="31.01.2020"/>
    <n v="2020"/>
    <d v="2020-01-01T00:00:00"/>
    <n v="30"/>
    <n v="200114656"/>
    <s v="WA"/>
    <n v="81"/>
    <x v="0"/>
    <n v="11500060"/>
    <x v="0"/>
    <n v="34920.720000000001"/>
    <s v="MXN"/>
    <n v="34920.720000000001"/>
    <x v="0"/>
    <m/>
    <m/>
    <m/>
    <m/>
    <m/>
    <m/>
    <m/>
    <m/>
    <s v="01.02.2020"/>
    <m/>
    <n v="20200131"/>
    <n v="34920.720000000001"/>
    <m/>
    <m/>
    <m/>
    <m/>
    <m/>
    <m/>
    <m/>
    <m/>
    <m/>
    <m/>
    <n v="340212890"/>
    <s v="AUXCOSTORVM"/>
  </r>
  <r>
    <n v="3402"/>
    <s v="31.01.2020"/>
    <n v="2020"/>
    <d v="2020-01-01T00:00:00"/>
    <n v="32"/>
    <n v="200114656"/>
    <s v="WA"/>
    <n v="81"/>
    <x v="0"/>
    <n v="11500060"/>
    <x v="0"/>
    <n v="4813.75"/>
    <s v="MXN"/>
    <n v="4813.75"/>
    <x v="0"/>
    <m/>
    <m/>
    <m/>
    <m/>
    <m/>
    <m/>
    <m/>
    <m/>
    <s v="01.02.2020"/>
    <m/>
    <n v="20200131"/>
    <n v="4813.75"/>
    <m/>
    <m/>
    <m/>
    <m/>
    <m/>
    <m/>
    <m/>
    <m/>
    <m/>
    <m/>
    <n v="340212890"/>
    <s v="AUXCOSTORVM"/>
  </r>
  <r>
    <n v="3402"/>
    <s v="31.01.2020"/>
    <n v="2020"/>
    <d v="2020-01-01T00:00:00"/>
    <n v="34"/>
    <n v="200114656"/>
    <s v="WA"/>
    <n v="81"/>
    <x v="0"/>
    <n v="11500060"/>
    <x v="0"/>
    <n v="3128.9"/>
    <s v="MXN"/>
    <n v="3128.9"/>
    <x v="0"/>
    <m/>
    <m/>
    <m/>
    <m/>
    <m/>
    <m/>
    <m/>
    <m/>
    <s v="01.02.2020"/>
    <m/>
    <n v="20200131"/>
    <n v="3128.9"/>
    <m/>
    <m/>
    <m/>
    <m/>
    <m/>
    <m/>
    <m/>
    <m/>
    <m/>
    <m/>
    <n v="340212890"/>
    <s v="AUXCOSTORVM"/>
  </r>
  <r>
    <n v="3402"/>
    <s v="31.01.2020"/>
    <n v="2020"/>
    <d v="2020-01-01T00:00:00"/>
    <n v="36"/>
    <n v="200114656"/>
    <s v="WA"/>
    <n v="81"/>
    <x v="0"/>
    <n v="11500060"/>
    <x v="0"/>
    <n v="12071.28"/>
    <s v="MXN"/>
    <n v="12071.28"/>
    <x v="0"/>
    <m/>
    <m/>
    <m/>
    <m/>
    <m/>
    <m/>
    <m/>
    <m/>
    <s v="01.02.2020"/>
    <m/>
    <n v="20200131"/>
    <n v="12071.28"/>
    <m/>
    <m/>
    <m/>
    <m/>
    <m/>
    <m/>
    <m/>
    <m/>
    <m/>
    <m/>
    <n v="340212890"/>
    <s v="AUXCOSTORVM"/>
  </r>
  <r>
    <n v="3402"/>
    <s v="31.01.2020"/>
    <n v="2020"/>
    <d v="2020-01-01T00:00:00"/>
    <n v="38"/>
    <n v="200114656"/>
    <s v="WA"/>
    <n v="81"/>
    <x v="0"/>
    <n v="11500060"/>
    <x v="0"/>
    <n v="1782.57"/>
    <s v="MXN"/>
    <n v="1782.57"/>
    <x v="0"/>
    <m/>
    <m/>
    <m/>
    <m/>
    <m/>
    <m/>
    <m/>
    <m/>
    <s v="01.02.2020"/>
    <m/>
    <n v="20200131"/>
    <n v="1782.57"/>
    <m/>
    <m/>
    <m/>
    <m/>
    <m/>
    <m/>
    <m/>
    <m/>
    <m/>
    <m/>
    <n v="340212890"/>
    <s v="AUXCOSTORVM"/>
  </r>
  <r>
    <n v="3402"/>
    <s v="31.01.2020"/>
    <n v="2020"/>
    <d v="2020-01-01T00:00:00"/>
    <n v="40"/>
    <n v="200114656"/>
    <s v="WA"/>
    <n v="81"/>
    <x v="0"/>
    <n v="11500060"/>
    <x v="0"/>
    <n v="1758.84"/>
    <s v="MXN"/>
    <n v="1758.84"/>
    <x v="0"/>
    <m/>
    <m/>
    <m/>
    <m/>
    <m/>
    <m/>
    <m/>
    <m/>
    <s v="01.02.2020"/>
    <m/>
    <n v="20200131"/>
    <n v="1758.84"/>
    <m/>
    <m/>
    <m/>
    <m/>
    <m/>
    <m/>
    <m/>
    <m/>
    <m/>
    <m/>
    <n v="340212890"/>
    <s v="AUXCOSTORVM"/>
  </r>
  <r>
    <n v="3402"/>
    <s v="31.01.2020"/>
    <n v="2020"/>
    <d v="2020-01-01T00:00:00"/>
    <n v="42"/>
    <n v="200114656"/>
    <s v="WA"/>
    <n v="81"/>
    <x v="0"/>
    <n v="11500060"/>
    <x v="0"/>
    <n v="3465.72"/>
    <s v="MXN"/>
    <n v="3465.72"/>
    <x v="0"/>
    <m/>
    <m/>
    <m/>
    <m/>
    <m/>
    <m/>
    <m/>
    <m/>
    <s v="01.02.2020"/>
    <m/>
    <n v="20200131"/>
    <n v="3465.72"/>
    <m/>
    <m/>
    <m/>
    <m/>
    <m/>
    <m/>
    <m/>
    <m/>
    <m/>
    <m/>
    <n v="340212890"/>
    <s v="AUXCOSTORVM"/>
  </r>
  <r>
    <n v="3402"/>
    <s v="31.01.2020"/>
    <n v="2020"/>
    <d v="2020-01-01T00:00:00"/>
    <n v="44"/>
    <n v="200114656"/>
    <s v="WA"/>
    <n v="81"/>
    <x v="0"/>
    <n v="11500060"/>
    <x v="0"/>
    <n v="4749.4399999999996"/>
    <s v="MXN"/>
    <n v="4749.4399999999996"/>
    <x v="0"/>
    <m/>
    <m/>
    <m/>
    <m/>
    <m/>
    <m/>
    <m/>
    <m/>
    <s v="01.02.2020"/>
    <m/>
    <n v="20200131"/>
    <n v="4749.4399999999996"/>
    <m/>
    <m/>
    <m/>
    <m/>
    <m/>
    <m/>
    <m/>
    <m/>
    <m/>
    <m/>
    <n v="340212890"/>
    <s v="AUXCOSTORVM"/>
  </r>
  <r>
    <n v="3402"/>
    <s v="31.01.2020"/>
    <n v="2020"/>
    <d v="2020-01-01T00:00:00"/>
    <n v="46"/>
    <n v="200114656"/>
    <s v="WA"/>
    <n v="81"/>
    <x v="0"/>
    <n v="11500060"/>
    <x v="0"/>
    <n v="8520"/>
    <s v="MXN"/>
    <n v="8520"/>
    <x v="0"/>
    <m/>
    <m/>
    <m/>
    <m/>
    <m/>
    <m/>
    <m/>
    <m/>
    <s v="01.02.2020"/>
    <m/>
    <n v="20200131"/>
    <n v="8520"/>
    <m/>
    <m/>
    <m/>
    <m/>
    <m/>
    <m/>
    <m/>
    <m/>
    <m/>
    <m/>
    <n v="340212890"/>
    <s v="AUXCOSTORVM"/>
  </r>
  <r>
    <n v="3402"/>
    <s v="31.01.2020"/>
    <n v="2020"/>
    <d v="2020-01-01T00:00:00"/>
    <n v="60"/>
    <n v="200114656"/>
    <s v="WA"/>
    <n v="81"/>
    <x v="0"/>
    <n v="11500060"/>
    <x v="0"/>
    <n v="2448"/>
    <s v="MXN"/>
    <n v="2448"/>
    <x v="0"/>
    <m/>
    <m/>
    <m/>
    <m/>
    <m/>
    <m/>
    <m/>
    <m/>
    <s v="01.02.2020"/>
    <m/>
    <n v="20200131"/>
    <n v="2448"/>
    <m/>
    <m/>
    <m/>
    <m/>
    <m/>
    <m/>
    <m/>
    <m/>
    <m/>
    <m/>
    <n v="340212890"/>
    <s v="AUXCOSTORVM"/>
  </r>
  <r>
    <n v="3402"/>
    <s v="31.01.2020"/>
    <n v="2020"/>
    <d v="2020-01-01T00:00:00"/>
    <n v="62"/>
    <n v="200114656"/>
    <s v="WA"/>
    <n v="81"/>
    <x v="0"/>
    <n v="11500060"/>
    <x v="0"/>
    <n v="2030"/>
    <s v="MXN"/>
    <n v="2030"/>
    <x v="0"/>
    <m/>
    <m/>
    <m/>
    <m/>
    <m/>
    <m/>
    <m/>
    <m/>
    <s v="01.02.2020"/>
    <m/>
    <n v="20200131"/>
    <n v="2030"/>
    <m/>
    <m/>
    <m/>
    <m/>
    <m/>
    <m/>
    <m/>
    <m/>
    <m/>
    <m/>
    <n v="340212890"/>
    <s v="AUXCOSTORVM"/>
  </r>
  <r>
    <n v="3402"/>
    <s v="31.01.2020"/>
    <n v="2020"/>
    <d v="2020-01-01T00:00:00"/>
    <n v="64"/>
    <n v="200114656"/>
    <s v="WA"/>
    <n v="81"/>
    <x v="0"/>
    <n v="11500060"/>
    <x v="0"/>
    <n v="142.74"/>
    <s v="MXN"/>
    <n v="142.74"/>
    <x v="0"/>
    <m/>
    <m/>
    <m/>
    <m/>
    <m/>
    <m/>
    <m/>
    <m/>
    <s v="01.02.2020"/>
    <m/>
    <n v="20200131"/>
    <n v="142.74"/>
    <m/>
    <m/>
    <m/>
    <m/>
    <m/>
    <m/>
    <m/>
    <m/>
    <m/>
    <m/>
    <n v="340212890"/>
    <s v="AUXCOSTORVM"/>
  </r>
  <r>
    <n v="3402"/>
    <s v="31.01.2020"/>
    <n v="2020"/>
    <d v="2020-01-01T00:00:00"/>
    <n v="66"/>
    <n v="200114656"/>
    <s v="WA"/>
    <n v="81"/>
    <x v="0"/>
    <n v="11500060"/>
    <x v="0"/>
    <n v="142.32"/>
    <s v="MXN"/>
    <n v="142.32"/>
    <x v="0"/>
    <m/>
    <m/>
    <m/>
    <m/>
    <m/>
    <m/>
    <m/>
    <m/>
    <s v="01.02.2020"/>
    <m/>
    <n v="20200131"/>
    <n v="142.32"/>
    <m/>
    <m/>
    <m/>
    <m/>
    <m/>
    <m/>
    <m/>
    <m/>
    <m/>
    <m/>
    <n v="340212890"/>
    <s v="AUXCOSTORVM"/>
  </r>
  <r>
    <n v="3402"/>
    <s v="31.01.2020"/>
    <n v="2020"/>
    <d v="2020-01-01T00:00:00"/>
    <n v="68"/>
    <n v="200114656"/>
    <s v="WA"/>
    <n v="81"/>
    <x v="0"/>
    <n v="11500060"/>
    <x v="0"/>
    <n v="994"/>
    <s v="MXN"/>
    <n v="994"/>
    <x v="0"/>
    <m/>
    <m/>
    <m/>
    <m/>
    <m/>
    <m/>
    <m/>
    <m/>
    <s v="01.02.2020"/>
    <m/>
    <n v="20200131"/>
    <n v="994"/>
    <m/>
    <m/>
    <m/>
    <m/>
    <m/>
    <m/>
    <m/>
    <m/>
    <m/>
    <m/>
    <n v="340212890"/>
    <s v="AUXCOSTORVM"/>
  </r>
  <r>
    <n v="3402"/>
    <s v="31.01.2020"/>
    <n v="2020"/>
    <d v="2020-01-01T00:00:00"/>
    <n v="70"/>
    <n v="200114656"/>
    <s v="WA"/>
    <n v="81"/>
    <x v="0"/>
    <n v="11500060"/>
    <x v="0"/>
    <n v="852"/>
    <s v="MXN"/>
    <n v="852"/>
    <x v="0"/>
    <m/>
    <m/>
    <m/>
    <m/>
    <m/>
    <m/>
    <m/>
    <m/>
    <s v="01.02.2020"/>
    <m/>
    <n v="20200131"/>
    <n v="852"/>
    <m/>
    <m/>
    <m/>
    <m/>
    <m/>
    <m/>
    <m/>
    <m/>
    <m/>
    <m/>
    <n v="340212890"/>
    <s v="AUXCOSTORVM"/>
  </r>
  <r>
    <n v="3402"/>
    <s v="31.01.2020"/>
    <n v="2020"/>
    <d v="2020-01-01T00:00:00"/>
    <n v="72"/>
    <n v="200114656"/>
    <s v="WA"/>
    <n v="81"/>
    <x v="0"/>
    <n v="11500060"/>
    <x v="0"/>
    <n v="710"/>
    <s v="MXN"/>
    <n v="710"/>
    <x v="0"/>
    <m/>
    <m/>
    <m/>
    <m/>
    <m/>
    <m/>
    <m/>
    <m/>
    <s v="01.02.2020"/>
    <m/>
    <n v="20200131"/>
    <n v="710"/>
    <m/>
    <m/>
    <m/>
    <m/>
    <m/>
    <m/>
    <m/>
    <m/>
    <m/>
    <m/>
    <n v="340212890"/>
    <s v="AUXCOSTORVM"/>
  </r>
  <r>
    <n v="3402"/>
    <s v="31.01.2020"/>
    <n v="2020"/>
    <d v="2020-01-01T00:00:00"/>
    <n v="74"/>
    <n v="200114656"/>
    <s v="WA"/>
    <n v="81"/>
    <x v="0"/>
    <n v="11500060"/>
    <x v="0"/>
    <n v="1136"/>
    <s v="MXN"/>
    <n v="1136"/>
    <x v="0"/>
    <m/>
    <m/>
    <m/>
    <m/>
    <m/>
    <m/>
    <m/>
    <m/>
    <s v="01.02.2020"/>
    <m/>
    <n v="20200131"/>
    <n v="1136"/>
    <m/>
    <m/>
    <m/>
    <m/>
    <m/>
    <m/>
    <m/>
    <m/>
    <m/>
    <m/>
    <n v="340212890"/>
    <s v="AUXCOSTORVM"/>
  </r>
  <r>
    <n v="3402"/>
    <s v="31.01.2020"/>
    <n v="2020"/>
    <d v="2020-01-01T00:00:00"/>
    <n v="76"/>
    <n v="200114656"/>
    <s v="WA"/>
    <n v="81"/>
    <x v="0"/>
    <n v="11500060"/>
    <x v="0"/>
    <n v="284"/>
    <s v="MXN"/>
    <n v="284"/>
    <x v="0"/>
    <m/>
    <m/>
    <m/>
    <m/>
    <m/>
    <m/>
    <m/>
    <m/>
    <s v="01.02.2020"/>
    <m/>
    <n v="20200131"/>
    <n v="284"/>
    <m/>
    <m/>
    <m/>
    <m/>
    <m/>
    <m/>
    <m/>
    <m/>
    <m/>
    <m/>
    <n v="340212890"/>
    <s v="AUXCOSTORVM"/>
  </r>
  <r>
    <n v="3402"/>
    <s v="31.01.2020"/>
    <n v="2020"/>
    <d v="2020-01-01T00:00:00"/>
    <n v="78"/>
    <n v="200114656"/>
    <s v="WA"/>
    <n v="81"/>
    <x v="0"/>
    <n v="11500060"/>
    <x v="0"/>
    <n v="3968.98"/>
    <s v="MXN"/>
    <n v="3968.98"/>
    <x v="0"/>
    <m/>
    <m/>
    <m/>
    <m/>
    <m/>
    <m/>
    <m/>
    <m/>
    <s v="01.02.2020"/>
    <m/>
    <n v="20200131"/>
    <n v="3968.98"/>
    <m/>
    <m/>
    <m/>
    <m/>
    <m/>
    <m/>
    <m/>
    <m/>
    <m/>
    <m/>
    <n v="340212890"/>
    <s v="AUXCOSTORVM"/>
  </r>
  <r>
    <n v="3402"/>
    <s v="31.01.2020"/>
    <n v="2020"/>
    <d v="2020-01-01T00:00:00"/>
    <n v="80"/>
    <n v="200114656"/>
    <s v="WA"/>
    <n v="81"/>
    <x v="0"/>
    <n v="11500060"/>
    <x v="0"/>
    <n v="960"/>
    <s v="MXN"/>
    <n v="960"/>
    <x v="0"/>
    <m/>
    <m/>
    <m/>
    <m/>
    <m/>
    <m/>
    <m/>
    <m/>
    <s v="01.02.2020"/>
    <m/>
    <n v="20200131"/>
    <n v="960"/>
    <m/>
    <m/>
    <m/>
    <m/>
    <m/>
    <m/>
    <m/>
    <m/>
    <m/>
    <m/>
    <n v="340212890"/>
    <s v="AUXCOSTORVM"/>
  </r>
  <r>
    <n v="3402"/>
    <s v="31.01.2020"/>
    <n v="2020"/>
    <d v="2020-01-01T00:00:00"/>
    <n v="82"/>
    <n v="200114656"/>
    <s v="WA"/>
    <n v="81"/>
    <x v="0"/>
    <n v="11500060"/>
    <x v="0"/>
    <n v="4300"/>
    <s v="MXN"/>
    <n v="4300"/>
    <x v="0"/>
    <m/>
    <m/>
    <m/>
    <m/>
    <m/>
    <m/>
    <m/>
    <m/>
    <s v="01.02.2020"/>
    <m/>
    <n v="20200131"/>
    <n v="4300"/>
    <m/>
    <m/>
    <m/>
    <m/>
    <m/>
    <m/>
    <m/>
    <m/>
    <m/>
    <m/>
    <n v="340212890"/>
    <s v="AUXCOSTORVM"/>
  </r>
  <r>
    <n v="3402"/>
    <s v="31.01.2020"/>
    <n v="2020"/>
    <d v="2020-01-01T00:00:00"/>
    <n v="84"/>
    <n v="200114656"/>
    <s v="WA"/>
    <n v="81"/>
    <x v="0"/>
    <n v="11500060"/>
    <x v="0"/>
    <n v="179.31"/>
    <s v="MXN"/>
    <n v="179.31"/>
    <x v="0"/>
    <m/>
    <m/>
    <m/>
    <m/>
    <m/>
    <m/>
    <m/>
    <m/>
    <s v="01.02.2020"/>
    <m/>
    <n v="20200131"/>
    <n v="179.31"/>
    <m/>
    <m/>
    <m/>
    <m/>
    <m/>
    <m/>
    <m/>
    <m/>
    <m/>
    <m/>
    <n v="340212890"/>
    <s v="AUXCOSTORVM"/>
  </r>
  <r>
    <n v="3402"/>
    <s v="31.01.2020"/>
    <n v="2020"/>
    <d v="2020-01-01T00:00:00"/>
    <n v="86"/>
    <n v="200114656"/>
    <s v="WA"/>
    <n v="81"/>
    <x v="0"/>
    <n v="11500060"/>
    <x v="0"/>
    <n v="55.92"/>
    <s v="MXN"/>
    <n v="55.92"/>
    <x v="0"/>
    <m/>
    <m/>
    <m/>
    <m/>
    <m/>
    <m/>
    <m/>
    <m/>
    <s v="01.02.2020"/>
    <m/>
    <n v="20200131"/>
    <n v="55.92"/>
    <m/>
    <m/>
    <m/>
    <m/>
    <m/>
    <m/>
    <m/>
    <m/>
    <m/>
    <m/>
    <n v="340212890"/>
    <s v="AUXCOSTORVM"/>
  </r>
  <r>
    <n v="3402"/>
    <s v="31.01.2020"/>
    <n v="2020"/>
    <d v="2020-01-01T00:00:00"/>
    <n v="90"/>
    <n v="200114656"/>
    <s v="WA"/>
    <n v="81"/>
    <x v="0"/>
    <n v="11500060"/>
    <x v="0"/>
    <n v="214"/>
    <s v="MXN"/>
    <n v="214"/>
    <x v="0"/>
    <m/>
    <m/>
    <m/>
    <m/>
    <m/>
    <m/>
    <m/>
    <m/>
    <s v="01.02.2020"/>
    <m/>
    <n v="20200131"/>
    <n v="214"/>
    <m/>
    <m/>
    <m/>
    <m/>
    <m/>
    <m/>
    <m/>
    <m/>
    <m/>
    <m/>
    <n v="340212890"/>
    <s v="AUXCOSTORVM"/>
  </r>
  <r>
    <n v="3402"/>
    <s v="31.01.2020"/>
    <n v="2020"/>
    <d v="2020-01-01T00:00:00"/>
    <n v="2"/>
    <n v="200114669"/>
    <s v="WA"/>
    <n v="81"/>
    <x v="0"/>
    <n v="11500040"/>
    <x v="0"/>
    <n v="879.42"/>
    <s v="MXN"/>
    <n v="879.42"/>
    <x v="0"/>
    <m/>
    <m/>
    <m/>
    <m/>
    <m/>
    <m/>
    <m/>
    <m/>
    <s v="01.02.2020"/>
    <m/>
    <n v="20200131"/>
    <n v="879.42"/>
    <m/>
    <m/>
    <m/>
    <m/>
    <m/>
    <m/>
    <m/>
    <m/>
    <m/>
    <m/>
    <n v="340210590"/>
    <s v="AUXCOSTORVM2"/>
  </r>
  <r>
    <n v="3402"/>
    <s v="31.01.2020"/>
    <n v="2020"/>
    <d v="2020-01-01T00:00:00"/>
    <n v="4"/>
    <n v="200114669"/>
    <s v="WA"/>
    <n v="81"/>
    <x v="0"/>
    <n v="11500040"/>
    <x v="0"/>
    <n v="3505.3"/>
    <s v="MXN"/>
    <n v="3505.3"/>
    <x v="0"/>
    <m/>
    <m/>
    <m/>
    <m/>
    <m/>
    <m/>
    <m/>
    <m/>
    <s v="01.02.2020"/>
    <m/>
    <n v="20200131"/>
    <n v="3505.3"/>
    <m/>
    <m/>
    <m/>
    <m/>
    <m/>
    <m/>
    <m/>
    <m/>
    <m/>
    <m/>
    <n v="340210590"/>
    <s v="AUXCOSTORVM2"/>
  </r>
  <r>
    <n v="3402"/>
    <s v="31.01.2020"/>
    <n v="2020"/>
    <d v="2020-01-01T00:00:00"/>
    <n v="6"/>
    <n v="200114669"/>
    <s v="WA"/>
    <n v="81"/>
    <x v="0"/>
    <n v="11500040"/>
    <x v="0"/>
    <n v="2822.62"/>
    <s v="MXN"/>
    <n v="2822.62"/>
    <x v="0"/>
    <m/>
    <m/>
    <m/>
    <m/>
    <m/>
    <m/>
    <m/>
    <m/>
    <s v="01.02.2020"/>
    <m/>
    <n v="20200131"/>
    <n v="2822.62"/>
    <m/>
    <m/>
    <m/>
    <m/>
    <m/>
    <m/>
    <m/>
    <m/>
    <m/>
    <m/>
    <n v="340210590"/>
    <s v="AUXCOSTORVM2"/>
  </r>
  <r>
    <n v="3402"/>
    <s v="31.01.2020"/>
    <n v="2020"/>
    <d v="2020-01-01T00:00:00"/>
    <n v="8"/>
    <n v="200114669"/>
    <s v="WA"/>
    <n v="81"/>
    <x v="0"/>
    <n v="11500040"/>
    <x v="0"/>
    <n v="2219.12"/>
    <s v="MXN"/>
    <n v="2219.12"/>
    <x v="0"/>
    <m/>
    <m/>
    <m/>
    <m/>
    <m/>
    <m/>
    <m/>
    <m/>
    <s v="01.02.2020"/>
    <m/>
    <n v="20200131"/>
    <n v="2219.12"/>
    <m/>
    <m/>
    <m/>
    <m/>
    <m/>
    <m/>
    <m/>
    <m/>
    <m/>
    <m/>
    <n v="340210590"/>
    <s v="AUXCOSTORVM2"/>
  </r>
  <r>
    <n v="3402"/>
    <s v="31.01.2020"/>
    <n v="2020"/>
    <d v="2020-01-01T00:00:00"/>
    <n v="10"/>
    <n v="200114669"/>
    <s v="WA"/>
    <n v="81"/>
    <x v="0"/>
    <n v="11500040"/>
    <x v="0"/>
    <n v="2054.5"/>
    <s v="MXN"/>
    <n v="2054.5"/>
    <x v="0"/>
    <m/>
    <m/>
    <m/>
    <m/>
    <m/>
    <m/>
    <m/>
    <m/>
    <s v="01.02.2020"/>
    <m/>
    <n v="20200131"/>
    <n v="2054.5"/>
    <m/>
    <m/>
    <m/>
    <m/>
    <m/>
    <m/>
    <m/>
    <m/>
    <m/>
    <m/>
    <n v="340210590"/>
    <s v="AUXCOSTORVM2"/>
  </r>
  <r>
    <n v="3402"/>
    <s v="31.01.2020"/>
    <n v="2020"/>
    <d v="2020-01-01T00:00:00"/>
    <n v="12"/>
    <n v="200114669"/>
    <s v="WA"/>
    <n v="81"/>
    <x v="0"/>
    <n v="11500040"/>
    <x v="0"/>
    <n v="3704.92"/>
    <s v="MXN"/>
    <n v="3704.92"/>
    <x v="0"/>
    <m/>
    <m/>
    <m/>
    <m/>
    <m/>
    <m/>
    <m/>
    <m/>
    <s v="01.02.2020"/>
    <m/>
    <n v="20200131"/>
    <n v="3704.92"/>
    <m/>
    <m/>
    <m/>
    <m/>
    <m/>
    <m/>
    <m/>
    <m/>
    <m/>
    <m/>
    <n v="340210590"/>
    <s v="AUXCOSTORVM2"/>
  </r>
  <r>
    <n v="3402"/>
    <s v="31.01.2020"/>
    <n v="2020"/>
    <d v="2020-01-01T00:00:00"/>
    <n v="14"/>
    <n v="200114669"/>
    <s v="WA"/>
    <n v="81"/>
    <x v="0"/>
    <n v="11500040"/>
    <x v="0"/>
    <n v="1324.62"/>
    <s v="MXN"/>
    <n v="1324.62"/>
    <x v="0"/>
    <m/>
    <m/>
    <m/>
    <m/>
    <m/>
    <m/>
    <m/>
    <m/>
    <s v="01.02.2020"/>
    <m/>
    <n v="20200131"/>
    <n v="1324.62"/>
    <m/>
    <m/>
    <m/>
    <m/>
    <m/>
    <m/>
    <m/>
    <m/>
    <m/>
    <m/>
    <n v="340210590"/>
    <s v="AUXCOSTORVM2"/>
  </r>
  <r>
    <n v="3402"/>
    <s v="31.01.2020"/>
    <n v="2020"/>
    <d v="2020-01-01T00:00:00"/>
    <n v="16"/>
    <n v="200114669"/>
    <s v="WA"/>
    <n v="81"/>
    <x v="0"/>
    <n v="11500040"/>
    <x v="0"/>
    <n v="176"/>
    <s v="MXN"/>
    <n v="176"/>
    <x v="0"/>
    <m/>
    <m/>
    <m/>
    <m/>
    <m/>
    <m/>
    <m/>
    <m/>
    <s v="01.02.2020"/>
    <m/>
    <n v="20200131"/>
    <n v="176"/>
    <m/>
    <m/>
    <m/>
    <m/>
    <m/>
    <m/>
    <m/>
    <m/>
    <m/>
    <m/>
    <n v="340210590"/>
    <s v="AUXCOSTORVM2"/>
  </r>
  <r>
    <n v="3402"/>
    <s v="31.01.2020"/>
    <n v="2020"/>
    <d v="2020-01-01T00:00:00"/>
    <n v="18"/>
    <n v="200114669"/>
    <s v="WA"/>
    <n v="81"/>
    <x v="0"/>
    <n v="11500040"/>
    <x v="0"/>
    <n v="2416.9699999999998"/>
    <s v="MXN"/>
    <n v="2416.9699999999998"/>
    <x v="0"/>
    <m/>
    <m/>
    <m/>
    <m/>
    <m/>
    <m/>
    <m/>
    <m/>
    <s v="01.02.2020"/>
    <m/>
    <n v="20200131"/>
    <n v="2416.9699999999998"/>
    <m/>
    <m/>
    <m/>
    <m/>
    <m/>
    <m/>
    <m/>
    <m/>
    <m/>
    <m/>
    <n v="340210590"/>
    <s v="AUXCOSTORVM2"/>
  </r>
  <r>
    <n v="3402"/>
    <s v="31.01.2020"/>
    <n v="2020"/>
    <d v="2020-01-01T00:00:00"/>
    <n v="20"/>
    <n v="200114669"/>
    <s v="WA"/>
    <n v="81"/>
    <x v="0"/>
    <n v="11500040"/>
    <x v="0"/>
    <n v="1703.1"/>
    <s v="MXN"/>
    <n v="1703.1"/>
    <x v="0"/>
    <m/>
    <m/>
    <m/>
    <m/>
    <m/>
    <m/>
    <m/>
    <m/>
    <s v="01.02.2020"/>
    <m/>
    <n v="20200131"/>
    <n v="1703.1"/>
    <m/>
    <m/>
    <m/>
    <m/>
    <m/>
    <m/>
    <m/>
    <m/>
    <m/>
    <m/>
    <n v="340210590"/>
    <s v="AUXCOSTORVM2"/>
  </r>
  <r>
    <n v="3402"/>
    <s v="31.01.2020"/>
    <n v="2020"/>
    <d v="2020-01-01T00:00:00"/>
    <n v="22"/>
    <n v="200114669"/>
    <s v="WA"/>
    <n v="81"/>
    <x v="0"/>
    <n v="11500040"/>
    <x v="0"/>
    <n v="2100"/>
    <s v="MXN"/>
    <n v="2100"/>
    <x v="0"/>
    <m/>
    <m/>
    <m/>
    <m/>
    <m/>
    <m/>
    <m/>
    <m/>
    <s v="01.02.2020"/>
    <m/>
    <n v="20200131"/>
    <n v="2100"/>
    <m/>
    <m/>
    <m/>
    <m/>
    <m/>
    <m/>
    <m/>
    <m/>
    <m/>
    <m/>
    <n v="340210590"/>
    <s v="AUXCOSTORVM2"/>
  </r>
  <r>
    <n v="3402"/>
    <s v="31.01.2020"/>
    <n v="2020"/>
    <d v="2020-01-01T00:00:00"/>
    <n v="24"/>
    <n v="200114669"/>
    <s v="WA"/>
    <n v="81"/>
    <x v="0"/>
    <n v="11500040"/>
    <x v="0"/>
    <n v="6560.04"/>
    <s v="MXN"/>
    <n v="6560.04"/>
    <x v="0"/>
    <m/>
    <m/>
    <m/>
    <m/>
    <m/>
    <m/>
    <m/>
    <m/>
    <s v="01.02.2020"/>
    <m/>
    <n v="20200131"/>
    <n v="6560.04"/>
    <m/>
    <m/>
    <m/>
    <m/>
    <m/>
    <m/>
    <m/>
    <m/>
    <m/>
    <m/>
    <n v="340210590"/>
    <s v="AUXCOSTORVM2"/>
  </r>
  <r>
    <n v="3402"/>
    <s v="31.01.2020"/>
    <n v="2020"/>
    <d v="2020-01-01T00:00:00"/>
    <n v="26"/>
    <n v="200114669"/>
    <s v="WA"/>
    <n v="81"/>
    <x v="0"/>
    <n v="11500040"/>
    <x v="0"/>
    <n v="5578.95"/>
    <s v="MXN"/>
    <n v="5578.95"/>
    <x v="0"/>
    <m/>
    <m/>
    <m/>
    <m/>
    <m/>
    <m/>
    <m/>
    <m/>
    <s v="01.02.2020"/>
    <m/>
    <n v="20200131"/>
    <n v="5578.95"/>
    <m/>
    <m/>
    <m/>
    <m/>
    <m/>
    <m/>
    <m/>
    <m/>
    <m/>
    <m/>
    <n v="340210590"/>
    <s v="AUXCOSTORVM2"/>
  </r>
  <r>
    <n v="3402"/>
    <s v="31.01.2020"/>
    <n v="2020"/>
    <d v="2020-01-01T00:00:00"/>
    <n v="44"/>
    <n v="200114669"/>
    <s v="WA"/>
    <n v="81"/>
    <x v="0"/>
    <n v="11500040"/>
    <x v="0"/>
    <n v="10141.950000000001"/>
    <s v="MXN"/>
    <n v="10141.950000000001"/>
    <x v="0"/>
    <m/>
    <m/>
    <m/>
    <m/>
    <m/>
    <m/>
    <m/>
    <m/>
    <s v="01.02.2020"/>
    <m/>
    <n v="20200131"/>
    <n v="10141.950000000001"/>
    <m/>
    <m/>
    <m/>
    <m/>
    <m/>
    <m/>
    <m/>
    <m/>
    <m/>
    <m/>
    <n v="340210590"/>
    <s v="AUXCOSTORVM2"/>
  </r>
  <r>
    <n v="3402"/>
    <s v="31.01.2020"/>
    <n v="2020"/>
    <d v="2020-01-01T00:00:00"/>
    <n v="46"/>
    <n v="200114669"/>
    <s v="WA"/>
    <n v="81"/>
    <x v="0"/>
    <n v="11500040"/>
    <x v="0"/>
    <n v="306"/>
    <s v="MXN"/>
    <n v="306"/>
    <x v="0"/>
    <m/>
    <m/>
    <m/>
    <m/>
    <m/>
    <m/>
    <m/>
    <m/>
    <s v="01.02.2020"/>
    <m/>
    <n v="20200131"/>
    <n v="306"/>
    <m/>
    <m/>
    <m/>
    <m/>
    <m/>
    <m/>
    <m/>
    <m/>
    <m/>
    <m/>
    <n v="340210590"/>
    <s v="AUXCOSTORVM2"/>
  </r>
  <r>
    <n v="3402"/>
    <s v="31.01.2020"/>
    <n v="2020"/>
    <d v="2020-01-01T00:00:00"/>
    <n v="48"/>
    <n v="200114669"/>
    <s v="WA"/>
    <n v="81"/>
    <x v="0"/>
    <n v="11500040"/>
    <x v="0"/>
    <n v="646.79999999999995"/>
    <s v="MXN"/>
    <n v="646.79999999999995"/>
    <x v="0"/>
    <m/>
    <m/>
    <m/>
    <m/>
    <m/>
    <m/>
    <m/>
    <m/>
    <s v="01.02.2020"/>
    <m/>
    <n v="20200131"/>
    <n v="646.79999999999995"/>
    <m/>
    <m/>
    <m/>
    <m/>
    <m/>
    <m/>
    <m/>
    <m/>
    <m/>
    <m/>
    <n v="340210590"/>
    <s v="AUXCOSTORVM2"/>
  </r>
  <r>
    <n v="3402"/>
    <s v="31.01.2020"/>
    <n v="2020"/>
    <d v="2020-01-01T00:00:00"/>
    <n v="50"/>
    <n v="200114669"/>
    <s v="WA"/>
    <n v="81"/>
    <x v="0"/>
    <n v="11500040"/>
    <x v="0"/>
    <n v="1200"/>
    <s v="MXN"/>
    <n v="1200"/>
    <x v="0"/>
    <m/>
    <m/>
    <m/>
    <m/>
    <m/>
    <m/>
    <m/>
    <m/>
    <s v="01.02.2020"/>
    <m/>
    <n v="20200131"/>
    <n v="1200"/>
    <m/>
    <m/>
    <m/>
    <m/>
    <m/>
    <m/>
    <m/>
    <m/>
    <m/>
    <m/>
    <n v="340210590"/>
    <s v="AUXCOSTORVM2"/>
  </r>
  <r>
    <n v="3402"/>
    <s v="31.01.2020"/>
    <n v="2020"/>
    <d v="2020-01-01T00:00:00"/>
    <n v="52"/>
    <n v="200114669"/>
    <s v="WA"/>
    <n v="81"/>
    <x v="0"/>
    <n v="11500040"/>
    <x v="0"/>
    <n v="2479.35"/>
    <s v="MXN"/>
    <n v="2479.35"/>
    <x v="0"/>
    <m/>
    <m/>
    <m/>
    <m/>
    <m/>
    <m/>
    <m/>
    <m/>
    <s v="01.02.2020"/>
    <m/>
    <n v="20200131"/>
    <n v="2479.35"/>
    <m/>
    <m/>
    <m/>
    <m/>
    <m/>
    <m/>
    <m/>
    <m/>
    <m/>
    <m/>
    <n v="340210590"/>
    <s v="AUXCOSTORVM2"/>
  </r>
  <r>
    <n v="3402"/>
    <s v="31.01.2020"/>
    <n v="2020"/>
    <d v="2020-01-01T00:00:00"/>
    <n v="54"/>
    <n v="200114669"/>
    <s v="WA"/>
    <n v="81"/>
    <x v="0"/>
    <n v="11500040"/>
    <x v="0"/>
    <n v="68.400000000000006"/>
    <s v="MXN"/>
    <n v="68.400000000000006"/>
    <x v="0"/>
    <m/>
    <m/>
    <m/>
    <m/>
    <m/>
    <m/>
    <m/>
    <m/>
    <s v="01.02.2020"/>
    <m/>
    <n v="20200131"/>
    <n v="68.400000000000006"/>
    <m/>
    <m/>
    <m/>
    <m/>
    <m/>
    <m/>
    <m/>
    <m/>
    <m/>
    <m/>
    <n v="340210590"/>
    <s v="AUXCOSTORVM2"/>
  </r>
  <r>
    <n v="3402"/>
    <s v="31.01.2020"/>
    <n v="2020"/>
    <d v="2020-01-01T00:00:00"/>
    <n v="56"/>
    <n v="200114669"/>
    <s v="WA"/>
    <n v="81"/>
    <x v="0"/>
    <n v="11500040"/>
    <x v="0"/>
    <n v="160.93"/>
    <s v="MXN"/>
    <n v="160.93"/>
    <x v="0"/>
    <m/>
    <m/>
    <m/>
    <m/>
    <m/>
    <m/>
    <m/>
    <m/>
    <s v="01.02.2020"/>
    <m/>
    <n v="20200131"/>
    <n v="160.93"/>
    <m/>
    <m/>
    <m/>
    <m/>
    <m/>
    <m/>
    <m/>
    <m/>
    <m/>
    <m/>
    <n v="340210590"/>
    <s v="AUXCOSTORVM2"/>
  </r>
  <r>
    <n v="3402"/>
    <s v="31.01.2020"/>
    <n v="2020"/>
    <d v="2020-01-01T00:00:00"/>
    <n v="58"/>
    <n v="200114669"/>
    <s v="WA"/>
    <n v="81"/>
    <x v="0"/>
    <n v="11500040"/>
    <x v="0"/>
    <n v="54.99"/>
    <s v="MXN"/>
    <n v="54.99"/>
    <x v="0"/>
    <m/>
    <m/>
    <m/>
    <m/>
    <m/>
    <m/>
    <m/>
    <m/>
    <s v="01.02.2020"/>
    <m/>
    <n v="20200131"/>
    <n v="54.99"/>
    <m/>
    <m/>
    <m/>
    <m/>
    <m/>
    <m/>
    <m/>
    <m/>
    <m/>
    <m/>
    <n v="340210590"/>
    <s v="AUXCOSTORVM2"/>
  </r>
  <r>
    <n v="3402"/>
    <s v="31.01.2020"/>
    <n v="2020"/>
    <d v="2020-01-01T00:00:00"/>
    <n v="60"/>
    <n v="200114669"/>
    <s v="WA"/>
    <n v="81"/>
    <x v="0"/>
    <n v="11500040"/>
    <x v="0"/>
    <n v="805.99"/>
    <s v="MXN"/>
    <n v="805.99"/>
    <x v="0"/>
    <m/>
    <m/>
    <m/>
    <m/>
    <m/>
    <m/>
    <m/>
    <m/>
    <s v="01.02.2020"/>
    <m/>
    <n v="20200131"/>
    <n v="805.99"/>
    <m/>
    <m/>
    <m/>
    <m/>
    <m/>
    <m/>
    <m/>
    <m/>
    <m/>
    <m/>
    <n v="340210590"/>
    <s v="AUXCOSTORVM2"/>
  </r>
  <r>
    <n v="3402"/>
    <s v="31.01.2020"/>
    <n v="2020"/>
    <d v="2020-01-01T00:00:00"/>
    <n v="62"/>
    <n v="200114669"/>
    <s v="WA"/>
    <n v="81"/>
    <x v="0"/>
    <n v="11500040"/>
    <x v="0"/>
    <n v="165.98"/>
    <s v="MXN"/>
    <n v="165.98"/>
    <x v="0"/>
    <m/>
    <m/>
    <m/>
    <m/>
    <m/>
    <m/>
    <m/>
    <m/>
    <s v="01.02.2020"/>
    <m/>
    <n v="20200131"/>
    <n v="165.98"/>
    <m/>
    <m/>
    <m/>
    <m/>
    <m/>
    <m/>
    <m/>
    <m/>
    <m/>
    <m/>
    <n v="340210590"/>
    <s v="AUXCOSTORVM2"/>
  </r>
  <r>
    <n v="3402"/>
    <s v="31.01.2020"/>
    <n v="2020"/>
    <d v="2020-01-01T00:00:00"/>
    <n v="64"/>
    <n v="200114669"/>
    <s v="WA"/>
    <n v="81"/>
    <x v="0"/>
    <n v="11500040"/>
    <x v="0"/>
    <n v="166"/>
    <s v="MXN"/>
    <n v="166"/>
    <x v="0"/>
    <m/>
    <m/>
    <m/>
    <m/>
    <m/>
    <m/>
    <m/>
    <m/>
    <s v="01.02.2020"/>
    <m/>
    <n v="20200131"/>
    <n v="166"/>
    <m/>
    <m/>
    <m/>
    <m/>
    <m/>
    <m/>
    <m/>
    <m/>
    <m/>
    <m/>
    <n v="340210590"/>
    <s v="AUXCOSTORVM2"/>
  </r>
  <r>
    <n v="3402"/>
    <s v="31.01.2020"/>
    <n v="2020"/>
    <d v="2020-01-01T00:00:00"/>
    <n v="66"/>
    <n v="200114669"/>
    <s v="WA"/>
    <n v="81"/>
    <x v="0"/>
    <n v="11500040"/>
    <x v="0"/>
    <n v="306"/>
    <s v="MXN"/>
    <n v="306"/>
    <x v="0"/>
    <m/>
    <m/>
    <m/>
    <m/>
    <m/>
    <m/>
    <m/>
    <m/>
    <s v="01.02.2020"/>
    <m/>
    <n v="20200131"/>
    <n v="306"/>
    <m/>
    <m/>
    <m/>
    <m/>
    <m/>
    <m/>
    <m/>
    <m/>
    <m/>
    <m/>
    <n v="340210590"/>
    <s v="AUXCOSTORVM2"/>
  </r>
  <r>
    <n v="3402"/>
    <s v="31.01.2020"/>
    <n v="2020"/>
    <d v="2020-01-01T00:00:00"/>
    <n v="68"/>
    <n v="200114669"/>
    <s v="WA"/>
    <n v="81"/>
    <x v="0"/>
    <n v="11500040"/>
    <x v="0"/>
    <n v="1690.5"/>
    <s v="MXN"/>
    <n v="1690.5"/>
    <x v="0"/>
    <m/>
    <m/>
    <m/>
    <m/>
    <m/>
    <m/>
    <m/>
    <m/>
    <s v="01.02.2020"/>
    <m/>
    <n v="20200131"/>
    <n v="1690.5"/>
    <m/>
    <m/>
    <m/>
    <m/>
    <m/>
    <m/>
    <m/>
    <m/>
    <m/>
    <m/>
    <n v="340210590"/>
    <s v="AUXCOSTORVM2"/>
  </r>
  <r>
    <n v="3402"/>
    <s v="31.01.2020"/>
    <n v="2020"/>
    <d v="2020-01-01T00:00:00"/>
    <n v="70"/>
    <n v="200114669"/>
    <s v="WA"/>
    <n v="81"/>
    <x v="0"/>
    <n v="11500040"/>
    <x v="0"/>
    <n v="14580"/>
    <s v="MXN"/>
    <n v="14580"/>
    <x v="0"/>
    <m/>
    <m/>
    <m/>
    <m/>
    <m/>
    <m/>
    <m/>
    <m/>
    <s v="01.02.2020"/>
    <m/>
    <n v="20200131"/>
    <n v="14580"/>
    <m/>
    <m/>
    <m/>
    <m/>
    <m/>
    <m/>
    <m/>
    <m/>
    <m/>
    <m/>
    <n v="340210590"/>
    <s v="AUXCOSTORVM2"/>
  </r>
  <r>
    <n v="3402"/>
    <s v="31.01.2020"/>
    <n v="2020"/>
    <d v="2020-01-01T00:00:00"/>
    <n v="82"/>
    <n v="200114669"/>
    <s v="WA"/>
    <n v="81"/>
    <x v="0"/>
    <n v="11500040"/>
    <x v="0"/>
    <n v="417.55"/>
    <s v="MXN"/>
    <n v="417.55"/>
    <x v="0"/>
    <m/>
    <m/>
    <m/>
    <m/>
    <m/>
    <m/>
    <m/>
    <m/>
    <s v="01.02.2020"/>
    <m/>
    <n v="20200131"/>
    <n v="417.55"/>
    <m/>
    <m/>
    <m/>
    <m/>
    <m/>
    <m/>
    <m/>
    <m/>
    <m/>
    <m/>
    <n v="340210590"/>
    <s v="AUXCOSTORVM2"/>
  </r>
  <r>
    <n v="3402"/>
    <s v="31.01.2020"/>
    <n v="2020"/>
    <d v="2020-01-01T00:00:00"/>
    <n v="84"/>
    <n v="200114669"/>
    <s v="WA"/>
    <n v="81"/>
    <x v="0"/>
    <n v="11500040"/>
    <x v="0"/>
    <n v="561.6"/>
    <s v="MXN"/>
    <n v="561.6"/>
    <x v="0"/>
    <m/>
    <m/>
    <m/>
    <m/>
    <m/>
    <m/>
    <m/>
    <m/>
    <s v="01.02.2020"/>
    <m/>
    <n v="20200131"/>
    <n v="561.6"/>
    <m/>
    <m/>
    <m/>
    <m/>
    <m/>
    <m/>
    <m/>
    <m/>
    <m/>
    <m/>
    <n v="340210590"/>
    <s v="AUXCOSTORVM2"/>
  </r>
  <r>
    <n v="3402"/>
    <s v="31.01.2020"/>
    <n v="2020"/>
    <d v="2020-01-01T00:00:00"/>
    <n v="86"/>
    <n v="200114669"/>
    <s v="WA"/>
    <n v="81"/>
    <x v="0"/>
    <n v="11500040"/>
    <x v="0"/>
    <n v="3020.6"/>
    <s v="MXN"/>
    <n v="3020.6"/>
    <x v="0"/>
    <m/>
    <m/>
    <m/>
    <m/>
    <m/>
    <m/>
    <m/>
    <m/>
    <s v="01.02.2020"/>
    <m/>
    <n v="20200131"/>
    <n v="3020.6"/>
    <m/>
    <m/>
    <m/>
    <m/>
    <m/>
    <m/>
    <m/>
    <m/>
    <m/>
    <m/>
    <n v="340210590"/>
    <s v="AUXCOSTORVM2"/>
  </r>
  <r>
    <n v="3402"/>
    <s v="31.01.2020"/>
    <n v="2020"/>
    <d v="2020-01-01T00:00:00"/>
    <n v="10"/>
    <n v="200114670"/>
    <s v="WA"/>
    <n v="81"/>
    <x v="0"/>
    <n v="11500050"/>
    <x v="0"/>
    <n v="16946.77"/>
    <s v="MXN"/>
    <n v="16946.77"/>
    <x v="0"/>
    <m/>
    <m/>
    <m/>
    <m/>
    <m/>
    <m/>
    <m/>
    <m/>
    <s v="01.02.2020"/>
    <m/>
    <n v="20200131"/>
    <n v="16946.77"/>
    <m/>
    <m/>
    <m/>
    <m/>
    <m/>
    <m/>
    <m/>
    <m/>
    <m/>
    <m/>
    <n v="340217690"/>
    <s v="AMAY"/>
  </r>
  <r>
    <n v="3402"/>
    <s v="31.01.2020"/>
    <n v="2020"/>
    <d v="2020-01-01T00:00:00"/>
    <n v="12"/>
    <n v="200114670"/>
    <s v="WA"/>
    <n v="81"/>
    <x v="0"/>
    <n v="11500050"/>
    <x v="0"/>
    <n v="152"/>
    <s v="MXN"/>
    <n v="152"/>
    <x v="0"/>
    <m/>
    <m/>
    <m/>
    <m/>
    <m/>
    <m/>
    <m/>
    <m/>
    <s v="01.02.2020"/>
    <m/>
    <n v="20200131"/>
    <n v="152"/>
    <m/>
    <m/>
    <m/>
    <m/>
    <m/>
    <m/>
    <m/>
    <m/>
    <m/>
    <m/>
    <n v="340217690"/>
    <s v="AMAY"/>
  </r>
  <r>
    <n v="3402"/>
    <s v="31.01.2020"/>
    <n v="2020"/>
    <d v="2020-01-01T00:00:00"/>
    <n v="14"/>
    <n v="200114670"/>
    <s v="WA"/>
    <n v="81"/>
    <x v="0"/>
    <n v="11500050"/>
    <x v="0"/>
    <n v="996.78"/>
    <s v="MXN"/>
    <n v="996.78"/>
    <x v="0"/>
    <m/>
    <m/>
    <m/>
    <m/>
    <m/>
    <m/>
    <m/>
    <m/>
    <s v="01.02.2020"/>
    <m/>
    <n v="20200131"/>
    <n v="996.78"/>
    <m/>
    <m/>
    <m/>
    <m/>
    <m/>
    <m/>
    <m/>
    <m/>
    <m/>
    <m/>
    <n v="340217690"/>
    <s v="AMAY"/>
  </r>
  <r>
    <n v="3406"/>
    <s v="31.01.2020"/>
    <n v="2020"/>
    <d v="2020-01-01T00:00:00"/>
    <n v="70"/>
    <n v="600031582"/>
    <s v="WA"/>
    <n v="81"/>
    <x v="0"/>
    <n v="11500070"/>
    <x v="0"/>
    <n v="92.36"/>
    <s v="MXN"/>
    <n v="92.36"/>
    <x v="0"/>
    <m/>
    <m/>
    <m/>
    <m/>
    <m/>
    <m/>
    <m/>
    <m/>
    <s v="01.02.2020"/>
    <m/>
    <n v="20200131"/>
    <n v="92.36"/>
    <m/>
    <m/>
    <m/>
    <m/>
    <m/>
    <m/>
    <m/>
    <m/>
    <m/>
    <m/>
    <n v="340615190"/>
    <s v="JGARCIA"/>
  </r>
  <r>
    <n v="3406"/>
    <s v="31.01.2020"/>
    <n v="2020"/>
    <d v="2020-01-01T00:00:00"/>
    <n v="72"/>
    <n v="600031582"/>
    <s v="WA"/>
    <n v="81"/>
    <x v="0"/>
    <n v="11500070"/>
    <x v="0"/>
    <n v="1411.31"/>
    <s v="MXN"/>
    <n v="1411.31"/>
    <x v="0"/>
    <m/>
    <m/>
    <m/>
    <m/>
    <m/>
    <m/>
    <m/>
    <m/>
    <s v="01.02.2020"/>
    <m/>
    <n v="20200131"/>
    <n v="1411.31"/>
    <m/>
    <m/>
    <m/>
    <m/>
    <m/>
    <m/>
    <m/>
    <m/>
    <m/>
    <m/>
    <n v="340615190"/>
    <s v="JGARCIA"/>
  </r>
  <r>
    <n v="3406"/>
    <s v="31.01.2020"/>
    <n v="2020"/>
    <d v="2020-01-01T00:00:00"/>
    <n v="74"/>
    <n v="600031582"/>
    <s v="WA"/>
    <n v="81"/>
    <x v="0"/>
    <n v="11500070"/>
    <x v="0"/>
    <n v="1029.69"/>
    <s v="MXN"/>
    <n v="1029.69"/>
    <x v="0"/>
    <m/>
    <m/>
    <m/>
    <m/>
    <m/>
    <m/>
    <m/>
    <m/>
    <s v="01.02.2020"/>
    <m/>
    <n v="20200131"/>
    <n v="1029.69"/>
    <m/>
    <m/>
    <m/>
    <m/>
    <m/>
    <m/>
    <m/>
    <m/>
    <m/>
    <m/>
    <n v="340615190"/>
    <s v="JGARCIA"/>
  </r>
  <r>
    <n v="3403"/>
    <s v="31.01.2020"/>
    <n v="2020"/>
    <d v="2020-01-01T00:00:00"/>
    <n v="2"/>
    <n v="300018529"/>
    <s v="WA"/>
    <n v="81"/>
    <x v="0"/>
    <n v="11500060"/>
    <x v="0"/>
    <n v="40.35"/>
    <s v="MXN"/>
    <n v="40.35"/>
    <x v="0"/>
    <m/>
    <m/>
    <m/>
    <m/>
    <m/>
    <m/>
    <m/>
    <m/>
    <s v="01.02.2020"/>
    <m/>
    <n v="20200131"/>
    <n v="40.35"/>
    <m/>
    <m/>
    <m/>
    <m/>
    <m/>
    <m/>
    <m/>
    <m/>
    <m/>
    <m/>
    <n v="340315190"/>
    <s v="JBAUTISTA"/>
  </r>
  <r>
    <n v="3406"/>
    <s v="31.01.2020"/>
    <n v="2020"/>
    <d v="2020-01-01T00:00:00"/>
    <n v="2"/>
    <n v="600031603"/>
    <s v="WA"/>
    <n v="81"/>
    <x v="0"/>
    <n v="11500010"/>
    <x v="0"/>
    <n v="731.49"/>
    <s v="MXN"/>
    <n v="731.49"/>
    <x v="0"/>
    <m/>
    <m/>
    <m/>
    <m/>
    <m/>
    <m/>
    <m/>
    <m/>
    <s v="01.02.2020"/>
    <m/>
    <n v="20200131"/>
    <n v="731.49"/>
    <m/>
    <m/>
    <m/>
    <m/>
    <m/>
    <m/>
    <m/>
    <m/>
    <m/>
    <m/>
    <n v="340612590"/>
    <s v="JGARCIA"/>
  </r>
  <r>
    <n v="3403"/>
    <s v="31.01.2020"/>
    <n v="2020"/>
    <d v="2020-01-01T00:00:00"/>
    <n v="24"/>
    <n v="300018554"/>
    <s v="WA"/>
    <n v="91"/>
    <x v="0"/>
    <n v="11500060"/>
    <x v="0"/>
    <n v="80"/>
    <s v="MXN"/>
    <n v="80"/>
    <x v="0"/>
    <m/>
    <m/>
    <m/>
    <m/>
    <m/>
    <m/>
    <m/>
    <m/>
    <s v="01.02.2020"/>
    <m/>
    <n v="20200131"/>
    <n v="80"/>
    <m/>
    <m/>
    <m/>
    <m/>
    <m/>
    <m/>
    <m/>
    <m/>
    <m/>
    <m/>
    <n v="340325290"/>
    <s v="JBAUTISTA"/>
  </r>
  <r>
    <n v="3403"/>
    <s v="31.01.2020"/>
    <n v="2020"/>
    <d v="2020-01-01T00:00:00"/>
    <n v="60"/>
    <n v="300018558"/>
    <s v="WA"/>
    <n v="91"/>
    <x v="0"/>
    <n v="11500050"/>
    <x v="0"/>
    <n v="178.44"/>
    <s v="MXN"/>
    <n v="178.44"/>
    <x v="0"/>
    <m/>
    <m/>
    <m/>
    <m/>
    <m/>
    <m/>
    <m/>
    <m/>
    <s v="01.02.2020"/>
    <m/>
    <n v="20200131"/>
    <n v="178.44"/>
    <m/>
    <m/>
    <m/>
    <m/>
    <m/>
    <m/>
    <m/>
    <m/>
    <m/>
    <m/>
    <n v="340312890"/>
    <s v="JBAUTISTA"/>
  </r>
  <r>
    <n v="3403"/>
    <s v="31.01.2020"/>
    <n v="2020"/>
    <d v="2020-01-01T00:00:00"/>
    <n v="62"/>
    <n v="300018558"/>
    <s v="WA"/>
    <n v="91"/>
    <x v="0"/>
    <n v="11500050"/>
    <x v="0"/>
    <n v="177.6"/>
    <s v="MXN"/>
    <n v="177.6"/>
    <x v="0"/>
    <m/>
    <m/>
    <m/>
    <m/>
    <m/>
    <m/>
    <m/>
    <m/>
    <s v="01.02.2020"/>
    <m/>
    <n v="20200131"/>
    <n v="177.6"/>
    <m/>
    <m/>
    <m/>
    <m/>
    <m/>
    <m/>
    <m/>
    <m/>
    <m/>
    <m/>
    <n v="340312890"/>
    <s v="JBAUTISTA"/>
  </r>
  <r>
    <n v="3403"/>
    <s v="31.01.2020"/>
    <n v="2020"/>
    <d v="2020-01-01T00:00:00"/>
    <n v="64"/>
    <n v="300018558"/>
    <s v="WA"/>
    <n v="91"/>
    <x v="0"/>
    <n v="11500050"/>
    <x v="0"/>
    <n v="177.6"/>
    <s v="MXN"/>
    <n v="177.6"/>
    <x v="0"/>
    <m/>
    <m/>
    <m/>
    <m/>
    <m/>
    <m/>
    <m/>
    <m/>
    <s v="01.02.2020"/>
    <m/>
    <n v="20200131"/>
    <n v="177.6"/>
    <m/>
    <m/>
    <m/>
    <m/>
    <m/>
    <m/>
    <m/>
    <m/>
    <m/>
    <m/>
    <n v="340312890"/>
    <s v="JBAUTISTA"/>
  </r>
  <r>
    <n v="3409"/>
    <s v="31.01.2020"/>
    <n v="2020"/>
    <d v="2020-01-01T00:00:00"/>
    <n v="2"/>
    <n v="900011609"/>
    <s v="WA"/>
    <n v="81"/>
    <x v="0"/>
    <n v="11500030"/>
    <x v="0"/>
    <n v="53.08"/>
    <s v="MXN"/>
    <n v="53.08"/>
    <x v="0"/>
    <m/>
    <m/>
    <m/>
    <m/>
    <m/>
    <m/>
    <m/>
    <m/>
    <s v="01.02.2020"/>
    <m/>
    <n v="20200131"/>
    <n v="53.08"/>
    <m/>
    <m/>
    <m/>
    <m/>
    <m/>
    <m/>
    <m/>
    <m/>
    <m/>
    <m/>
    <n v="340953290"/>
    <s v="AUXCOSTONOBU"/>
  </r>
  <r>
    <n v="3409"/>
    <s v="31.01.2020"/>
    <n v="2020"/>
    <d v="2020-01-01T00:00:00"/>
    <n v="8"/>
    <n v="900011609"/>
    <s v="WA"/>
    <n v="81"/>
    <x v="0"/>
    <n v="11500030"/>
    <x v="0"/>
    <n v="84"/>
    <s v="MXN"/>
    <n v="84"/>
    <x v="0"/>
    <m/>
    <m/>
    <m/>
    <m/>
    <m/>
    <m/>
    <m/>
    <m/>
    <s v="01.02.2020"/>
    <m/>
    <n v="20200131"/>
    <n v="84"/>
    <m/>
    <m/>
    <m/>
    <m/>
    <m/>
    <m/>
    <m/>
    <m/>
    <m/>
    <m/>
    <n v="340953290"/>
    <s v="AUXCOSTONOBU"/>
  </r>
  <r>
    <n v="3409"/>
    <s v="31.01.2020"/>
    <n v="2020"/>
    <d v="2020-01-01T00:00:00"/>
    <n v="2"/>
    <n v="900011610"/>
    <s v="WA"/>
    <n v="81"/>
    <x v="0"/>
    <n v="11500060"/>
    <x v="0"/>
    <n v="60.34"/>
    <s v="MXN"/>
    <n v="60.34"/>
    <x v="0"/>
    <m/>
    <m/>
    <m/>
    <m/>
    <m/>
    <m/>
    <m/>
    <m/>
    <s v="01.02.2020"/>
    <m/>
    <n v="20200131"/>
    <n v="60.34"/>
    <m/>
    <m/>
    <m/>
    <m/>
    <m/>
    <m/>
    <m/>
    <m/>
    <m/>
    <m/>
    <n v="340915190"/>
    <s v="AUXCOSTONOBU"/>
  </r>
  <r>
    <n v="3409"/>
    <s v="31.01.2020"/>
    <n v="2020"/>
    <d v="2020-01-01T00:00:00"/>
    <n v="4"/>
    <n v="900011610"/>
    <s v="WA"/>
    <n v="81"/>
    <x v="0"/>
    <n v="11500060"/>
    <x v="0"/>
    <n v="9.3800000000000008"/>
    <s v="MXN"/>
    <n v="9.3800000000000008"/>
    <x v="0"/>
    <m/>
    <m/>
    <m/>
    <m/>
    <m/>
    <m/>
    <m/>
    <m/>
    <s v="01.02.2020"/>
    <m/>
    <n v="20200131"/>
    <n v="9.3800000000000008"/>
    <m/>
    <m/>
    <m/>
    <m/>
    <m/>
    <m/>
    <m/>
    <m/>
    <m/>
    <m/>
    <n v="340915190"/>
    <s v="AUXCOSTONOBU"/>
  </r>
  <r>
    <n v="3409"/>
    <s v="31.01.2020"/>
    <n v="2020"/>
    <d v="2020-01-01T00:00:00"/>
    <n v="6"/>
    <n v="900011610"/>
    <s v="WA"/>
    <n v="81"/>
    <x v="0"/>
    <n v="11500060"/>
    <x v="0"/>
    <n v="78.5"/>
    <s v="MXN"/>
    <n v="78.5"/>
    <x v="0"/>
    <m/>
    <m/>
    <m/>
    <m/>
    <m/>
    <m/>
    <m/>
    <m/>
    <s v="01.02.2020"/>
    <m/>
    <n v="20200131"/>
    <n v="78.5"/>
    <m/>
    <m/>
    <m/>
    <m/>
    <m/>
    <m/>
    <m/>
    <m/>
    <m/>
    <m/>
    <n v="340915190"/>
    <s v="AUXCOSTONOBU"/>
  </r>
  <r>
    <n v="3409"/>
    <s v="31.01.2020"/>
    <n v="2020"/>
    <d v="2020-01-01T00:00:00"/>
    <n v="8"/>
    <n v="900011610"/>
    <s v="WA"/>
    <n v="81"/>
    <x v="0"/>
    <n v="11500060"/>
    <x v="0"/>
    <n v="47.58"/>
    <s v="MXN"/>
    <n v="47.58"/>
    <x v="0"/>
    <m/>
    <m/>
    <m/>
    <m/>
    <m/>
    <m/>
    <m/>
    <m/>
    <s v="01.02.2020"/>
    <m/>
    <n v="20200131"/>
    <n v="47.58"/>
    <m/>
    <m/>
    <m/>
    <m/>
    <m/>
    <m/>
    <m/>
    <m/>
    <m/>
    <m/>
    <n v="340915190"/>
    <s v="AUXCOSTONOBU"/>
  </r>
  <r>
    <n v="3409"/>
    <s v="31.01.2020"/>
    <n v="2020"/>
    <d v="2020-01-01T00:00:00"/>
    <n v="10"/>
    <n v="900011610"/>
    <s v="WA"/>
    <n v="81"/>
    <x v="0"/>
    <n v="11500060"/>
    <x v="0"/>
    <n v="24.81"/>
    <s v="MXN"/>
    <n v="24.81"/>
    <x v="0"/>
    <m/>
    <m/>
    <m/>
    <m/>
    <m/>
    <m/>
    <m/>
    <m/>
    <s v="01.02.2020"/>
    <m/>
    <n v="20200131"/>
    <n v="24.81"/>
    <m/>
    <m/>
    <m/>
    <m/>
    <m/>
    <m/>
    <m/>
    <m/>
    <m/>
    <m/>
    <n v="340915190"/>
    <s v="AUXCOSTONOBU"/>
  </r>
  <r>
    <n v="3409"/>
    <s v="31.01.2020"/>
    <n v="2020"/>
    <d v="2020-01-01T00:00:00"/>
    <n v="6"/>
    <n v="900011614"/>
    <s v="WA"/>
    <n v="81"/>
    <x v="0"/>
    <n v="11500060"/>
    <x v="0"/>
    <n v="592.26"/>
    <s v="MXN"/>
    <n v="592.26"/>
    <x v="0"/>
    <m/>
    <m/>
    <m/>
    <m/>
    <m/>
    <m/>
    <m/>
    <m/>
    <s v="01.02.2020"/>
    <m/>
    <n v="20200131"/>
    <n v="592.26"/>
    <m/>
    <m/>
    <m/>
    <m/>
    <m/>
    <m/>
    <m/>
    <m/>
    <m/>
    <m/>
    <n v="340913090"/>
    <s v="AUXCOSTOHR"/>
  </r>
  <r>
    <n v="3409"/>
    <s v="31.01.2020"/>
    <n v="2020"/>
    <d v="2020-01-01T00:00:00"/>
    <n v="10"/>
    <n v="900011625"/>
    <s v="WA"/>
    <n v="81"/>
    <x v="0"/>
    <n v="11500060"/>
    <x v="0"/>
    <n v="317.33"/>
    <s v="MXN"/>
    <n v="317.33"/>
    <x v="0"/>
    <m/>
    <m/>
    <m/>
    <m/>
    <m/>
    <m/>
    <m/>
    <m/>
    <s v="01.02.2020"/>
    <m/>
    <n v="20200131"/>
    <n v="317.33"/>
    <m/>
    <m/>
    <m/>
    <m/>
    <m/>
    <m/>
    <m/>
    <m/>
    <m/>
    <m/>
    <n v="340912890"/>
    <s v="AUXCOSTONOBU"/>
  </r>
  <r>
    <n v="3409"/>
    <s v="31.01.2020"/>
    <n v="2020"/>
    <d v="2020-01-01T00:00:00"/>
    <n v="12"/>
    <n v="900011625"/>
    <s v="WA"/>
    <n v="81"/>
    <x v="0"/>
    <n v="11500060"/>
    <x v="0"/>
    <n v="77.150000000000006"/>
    <s v="MXN"/>
    <n v="77.150000000000006"/>
    <x v="0"/>
    <m/>
    <m/>
    <m/>
    <m/>
    <m/>
    <m/>
    <m/>
    <m/>
    <s v="01.02.2020"/>
    <m/>
    <n v="20200131"/>
    <n v="77.150000000000006"/>
    <m/>
    <m/>
    <m/>
    <m/>
    <m/>
    <m/>
    <m/>
    <m/>
    <m/>
    <m/>
    <n v="340912890"/>
    <s v="AUXCOSTONOBU"/>
  </r>
  <r>
    <n v="3409"/>
    <s v="31.01.2020"/>
    <n v="2020"/>
    <d v="2020-01-01T00:00:00"/>
    <n v="22"/>
    <n v="900011625"/>
    <s v="WA"/>
    <n v="81"/>
    <x v="0"/>
    <n v="11500060"/>
    <x v="0"/>
    <n v="1155.24"/>
    <s v="MXN"/>
    <n v="1155.24"/>
    <x v="0"/>
    <m/>
    <m/>
    <m/>
    <m/>
    <m/>
    <m/>
    <m/>
    <m/>
    <s v="01.02.2020"/>
    <m/>
    <n v="20200131"/>
    <n v="1155.24"/>
    <m/>
    <m/>
    <m/>
    <m/>
    <m/>
    <m/>
    <m/>
    <m/>
    <m/>
    <m/>
    <n v="340912890"/>
    <s v="AUXCOSTONOBU"/>
  </r>
  <r>
    <n v="3409"/>
    <s v="31.01.2020"/>
    <n v="2020"/>
    <d v="2020-01-01T00:00:00"/>
    <n v="24"/>
    <n v="900011625"/>
    <s v="WA"/>
    <n v="81"/>
    <x v="0"/>
    <n v="11500060"/>
    <x v="0"/>
    <n v="5397"/>
    <s v="MXN"/>
    <n v="5397"/>
    <x v="0"/>
    <m/>
    <m/>
    <m/>
    <m/>
    <m/>
    <m/>
    <m/>
    <m/>
    <s v="01.02.2020"/>
    <m/>
    <n v="20200131"/>
    <n v="5397"/>
    <m/>
    <m/>
    <m/>
    <m/>
    <m/>
    <m/>
    <m/>
    <m/>
    <m/>
    <m/>
    <n v="340912890"/>
    <s v="AUXCOSTONOBU"/>
  </r>
  <r>
    <n v="3409"/>
    <s v="31.01.2020"/>
    <n v="2020"/>
    <d v="2020-01-01T00:00:00"/>
    <n v="26"/>
    <n v="900011625"/>
    <s v="WA"/>
    <n v="81"/>
    <x v="0"/>
    <n v="11500060"/>
    <x v="0"/>
    <n v="2731.32"/>
    <s v="MXN"/>
    <n v="2731.32"/>
    <x v="0"/>
    <m/>
    <m/>
    <m/>
    <m/>
    <m/>
    <m/>
    <m/>
    <m/>
    <s v="01.02.2020"/>
    <m/>
    <n v="20200131"/>
    <n v="2731.32"/>
    <m/>
    <m/>
    <m/>
    <m/>
    <m/>
    <m/>
    <m/>
    <m/>
    <m/>
    <m/>
    <n v="340912890"/>
    <s v="AUXCOSTONOBU"/>
  </r>
  <r>
    <n v="3409"/>
    <s v="31.01.2020"/>
    <n v="2020"/>
    <d v="2020-01-01T00:00:00"/>
    <n v="28"/>
    <n v="900011625"/>
    <s v="WA"/>
    <n v="81"/>
    <x v="0"/>
    <n v="11500060"/>
    <x v="0"/>
    <n v="1860.58"/>
    <s v="MXN"/>
    <n v="1860.58"/>
    <x v="0"/>
    <m/>
    <m/>
    <m/>
    <m/>
    <m/>
    <m/>
    <m/>
    <m/>
    <s v="01.02.2020"/>
    <m/>
    <n v="20200131"/>
    <n v="1860.58"/>
    <m/>
    <m/>
    <m/>
    <m/>
    <m/>
    <m/>
    <m/>
    <m/>
    <m/>
    <m/>
    <n v="340912890"/>
    <s v="AUXCOSTONOBU"/>
  </r>
  <r>
    <n v="3409"/>
    <s v="31.01.2020"/>
    <n v="2020"/>
    <d v="2020-01-01T00:00:00"/>
    <n v="30"/>
    <n v="900011625"/>
    <s v="WA"/>
    <n v="81"/>
    <x v="0"/>
    <n v="11500060"/>
    <x v="0"/>
    <n v="1365"/>
    <s v="MXN"/>
    <n v="1365"/>
    <x v="0"/>
    <m/>
    <m/>
    <m/>
    <m/>
    <m/>
    <m/>
    <m/>
    <m/>
    <s v="01.02.2020"/>
    <m/>
    <n v="20200131"/>
    <n v="1365"/>
    <m/>
    <m/>
    <m/>
    <m/>
    <m/>
    <m/>
    <m/>
    <m/>
    <m/>
    <m/>
    <n v="340912890"/>
    <s v="AUXCOSTONOBU"/>
  </r>
  <r>
    <n v="3409"/>
    <s v="31.01.2020"/>
    <n v="2020"/>
    <d v="2020-01-01T00:00:00"/>
    <n v="32"/>
    <n v="900011625"/>
    <s v="WA"/>
    <n v="81"/>
    <x v="0"/>
    <n v="11500060"/>
    <x v="0"/>
    <n v="1852.14"/>
    <s v="MXN"/>
    <n v="1852.14"/>
    <x v="0"/>
    <m/>
    <m/>
    <m/>
    <m/>
    <m/>
    <m/>
    <m/>
    <m/>
    <s v="01.02.2020"/>
    <m/>
    <n v="20200131"/>
    <n v="1852.14"/>
    <m/>
    <m/>
    <m/>
    <m/>
    <m/>
    <m/>
    <m/>
    <m/>
    <m/>
    <m/>
    <n v="340912890"/>
    <s v="AUXCOSTONOBU"/>
  </r>
  <r>
    <n v="3409"/>
    <s v="31.01.2020"/>
    <n v="2020"/>
    <d v="2020-01-01T00:00:00"/>
    <n v="34"/>
    <n v="900011625"/>
    <s v="WA"/>
    <n v="81"/>
    <x v="0"/>
    <n v="11500060"/>
    <x v="0"/>
    <n v="2108.92"/>
    <s v="MXN"/>
    <n v="2108.92"/>
    <x v="0"/>
    <m/>
    <m/>
    <m/>
    <m/>
    <m/>
    <m/>
    <m/>
    <m/>
    <s v="01.02.2020"/>
    <m/>
    <n v="20200131"/>
    <n v="2108.92"/>
    <m/>
    <m/>
    <m/>
    <m/>
    <m/>
    <m/>
    <m/>
    <m/>
    <m/>
    <m/>
    <n v="340912890"/>
    <s v="AUXCOSTONOBU"/>
  </r>
  <r>
    <n v="3409"/>
    <s v="31.01.2020"/>
    <n v="2020"/>
    <d v="2020-01-01T00:00:00"/>
    <n v="36"/>
    <n v="900011625"/>
    <s v="WA"/>
    <n v="81"/>
    <x v="0"/>
    <n v="11500060"/>
    <x v="0"/>
    <n v="2873.44"/>
    <s v="MXN"/>
    <n v="2873.44"/>
    <x v="0"/>
    <m/>
    <m/>
    <m/>
    <m/>
    <m/>
    <m/>
    <m/>
    <m/>
    <s v="01.02.2020"/>
    <m/>
    <n v="20200131"/>
    <n v="2873.44"/>
    <m/>
    <m/>
    <m/>
    <m/>
    <m/>
    <m/>
    <m/>
    <m/>
    <m/>
    <m/>
    <n v="340912890"/>
    <s v="AUXCOSTONOBU"/>
  </r>
  <r>
    <n v="3409"/>
    <s v="31.01.2020"/>
    <n v="2020"/>
    <d v="2020-01-01T00:00:00"/>
    <n v="38"/>
    <n v="900011625"/>
    <s v="WA"/>
    <n v="81"/>
    <x v="0"/>
    <n v="11500060"/>
    <x v="0"/>
    <n v="2317.56"/>
    <s v="MXN"/>
    <n v="2317.56"/>
    <x v="0"/>
    <m/>
    <m/>
    <m/>
    <m/>
    <m/>
    <m/>
    <m/>
    <m/>
    <s v="01.02.2020"/>
    <m/>
    <n v="20200131"/>
    <n v="2317.56"/>
    <m/>
    <m/>
    <m/>
    <m/>
    <m/>
    <m/>
    <m/>
    <m/>
    <m/>
    <m/>
    <n v="340912890"/>
    <s v="AUXCOSTONOBU"/>
  </r>
  <r>
    <n v="3409"/>
    <s v="31.01.2020"/>
    <n v="2020"/>
    <d v="2020-01-01T00:00:00"/>
    <n v="40"/>
    <n v="900011625"/>
    <s v="WA"/>
    <n v="81"/>
    <x v="0"/>
    <n v="11500060"/>
    <x v="0"/>
    <n v="210"/>
    <s v="MXN"/>
    <n v="210"/>
    <x v="0"/>
    <m/>
    <m/>
    <m/>
    <m/>
    <m/>
    <m/>
    <m/>
    <m/>
    <s v="01.02.2020"/>
    <m/>
    <n v="20200131"/>
    <n v="210"/>
    <m/>
    <m/>
    <m/>
    <m/>
    <m/>
    <m/>
    <m/>
    <m/>
    <m/>
    <m/>
    <n v="340912890"/>
    <s v="AUXCOSTONOBU"/>
  </r>
  <r>
    <n v="3409"/>
    <s v="31.01.2020"/>
    <n v="2020"/>
    <d v="2020-01-01T00:00:00"/>
    <n v="42"/>
    <n v="900011625"/>
    <s v="WA"/>
    <n v="81"/>
    <x v="0"/>
    <n v="11500060"/>
    <x v="0"/>
    <n v="1735.62"/>
    <s v="MXN"/>
    <n v="1735.62"/>
    <x v="0"/>
    <m/>
    <m/>
    <m/>
    <m/>
    <m/>
    <m/>
    <m/>
    <m/>
    <s v="01.02.2020"/>
    <m/>
    <n v="20200131"/>
    <n v="1735.62"/>
    <m/>
    <m/>
    <m/>
    <m/>
    <m/>
    <m/>
    <m/>
    <m/>
    <m/>
    <m/>
    <n v="340912890"/>
    <s v="AUXCOSTONOBU"/>
  </r>
  <r>
    <n v="3409"/>
    <s v="31.01.2020"/>
    <n v="2020"/>
    <d v="2020-01-01T00:00:00"/>
    <n v="46"/>
    <n v="900011625"/>
    <s v="WA"/>
    <n v="81"/>
    <x v="0"/>
    <n v="11500060"/>
    <x v="0"/>
    <n v="1029.69"/>
    <s v="MXN"/>
    <n v="1029.69"/>
    <x v="0"/>
    <m/>
    <m/>
    <m/>
    <m/>
    <m/>
    <m/>
    <m/>
    <m/>
    <s v="01.02.2020"/>
    <m/>
    <n v="20200131"/>
    <n v="1029.69"/>
    <m/>
    <m/>
    <m/>
    <m/>
    <m/>
    <m/>
    <m/>
    <m/>
    <m/>
    <m/>
    <n v="340912890"/>
    <s v="AUXCOSTONOBU"/>
  </r>
  <r>
    <n v="3409"/>
    <s v="31.01.2020"/>
    <n v="2020"/>
    <d v="2020-01-01T00:00:00"/>
    <n v="48"/>
    <n v="900011625"/>
    <s v="WA"/>
    <n v="81"/>
    <x v="0"/>
    <n v="11500060"/>
    <x v="0"/>
    <n v="1300"/>
    <s v="MXN"/>
    <n v="1300"/>
    <x v="0"/>
    <m/>
    <m/>
    <m/>
    <m/>
    <m/>
    <m/>
    <m/>
    <m/>
    <s v="01.02.2020"/>
    <m/>
    <n v="20200131"/>
    <n v="1300"/>
    <m/>
    <m/>
    <m/>
    <m/>
    <m/>
    <m/>
    <m/>
    <m/>
    <m/>
    <m/>
    <n v="340912890"/>
    <s v="AUXCOSTONOBU"/>
  </r>
  <r>
    <n v="3409"/>
    <s v="31.01.2020"/>
    <n v="2020"/>
    <d v="2020-01-01T00:00:00"/>
    <n v="50"/>
    <n v="900011625"/>
    <s v="WA"/>
    <n v="81"/>
    <x v="0"/>
    <n v="11500060"/>
    <x v="0"/>
    <n v="1336"/>
    <s v="MXN"/>
    <n v="1336"/>
    <x v="0"/>
    <m/>
    <m/>
    <m/>
    <m/>
    <m/>
    <m/>
    <m/>
    <m/>
    <s v="01.02.2020"/>
    <m/>
    <n v="20200131"/>
    <n v="1336"/>
    <m/>
    <m/>
    <m/>
    <m/>
    <m/>
    <m/>
    <m/>
    <m/>
    <m/>
    <m/>
    <n v="340912890"/>
    <s v="AUXCOSTONOBU"/>
  </r>
  <r>
    <n v="3409"/>
    <s v="31.01.2020"/>
    <n v="2020"/>
    <d v="2020-01-01T00:00:00"/>
    <n v="54"/>
    <n v="900011625"/>
    <s v="WA"/>
    <n v="81"/>
    <x v="0"/>
    <n v="11500060"/>
    <x v="0"/>
    <n v="266.86"/>
    <s v="MXN"/>
    <n v="266.86"/>
    <x v="0"/>
    <m/>
    <m/>
    <m/>
    <m/>
    <m/>
    <m/>
    <m/>
    <m/>
    <s v="01.02.2020"/>
    <m/>
    <n v="20200131"/>
    <n v="266.86"/>
    <m/>
    <m/>
    <m/>
    <m/>
    <m/>
    <m/>
    <m/>
    <m/>
    <m/>
    <m/>
    <n v="340912890"/>
    <s v="AUXCOSTONOBU"/>
  </r>
  <r>
    <n v="3409"/>
    <s v="31.01.2020"/>
    <n v="2020"/>
    <d v="2020-01-01T00:00:00"/>
    <n v="56"/>
    <n v="900011625"/>
    <s v="WA"/>
    <n v="81"/>
    <x v="0"/>
    <n v="11500060"/>
    <x v="0"/>
    <n v="524"/>
    <s v="MXN"/>
    <n v="524"/>
    <x v="0"/>
    <m/>
    <m/>
    <m/>
    <m/>
    <m/>
    <m/>
    <m/>
    <m/>
    <s v="01.02.2020"/>
    <m/>
    <n v="20200131"/>
    <n v="524"/>
    <m/>
    <m/>
    <m/>
    <m/>
    <m/>
    <m/>
    <m/>
    <m/>
    <m/>
    <m/>
    <n v="340912890"/>
    <s v="AUXCOSTONOBU"/>
  </r>
  <r>
    <n v="3409"/>
    <s v="31.01.2020"/>
    <n v="2020"/>
    <d v="2020-01-01T00:00:00"/>
    <n v="58"/>
    <n v="900011625"/>
    <s v="WA"/>
    <n v="81"/>
    <x v="0"/>
    <n v="11500060"/>
    <x v="0"/>
    <n v="448.54"/>
    <s v="MXN"/>
    <n v="448.54"/>
    <x v="0"/>
    <m/>
    <m/>
    <m/>
    <m/>
    <m/>
    <m/>
    <m/>
    <m/>
    <s v="01.02.2020"/>
    <m/>
    <n v="20200131"/>
    <n v="448.54"/>
    <m/>
    <m/>
    <m/>
    <m/>
    <m/>
    <m/>
    <m/>
    <m/>
    <m/>
    <m/>
    <n v="340912890"/>
    <s v="AUXCOSTONOBU"/>
  </r>
  <r>
    <n v="3409"/>
    <s v="31.01.2020"/>
    <n v="2020"/>
    <d v="2020-01-01T00:00:00"/>
    <n v="60"/>
    <n v="900011625"/>
    <s v="WA"/>
    <n v="81"/>
    <x v="0"/>
    <n v="11500060"/>
    <x v="0"/>
    <n v="213.3"/>
    <s v="MXN"/>
    <n v="213.3"/>
    <x v="0"/>
    <m/>
    <m/>
    <m/>
    <m/>
    <m/>
    <m/>
    <m/>
    <m/>
    <s v="01.02.2020"/>
    <m/>
    <n v="20200131"/>
    <n v="213.3"/>
    <m/>
    <m/>
    <m/>
    <m/>
    <m/>
    <m/>
    <m/>
    <m/>
    <m/>
    <m/>
    <n v="340912890"/>
    <s v="AUXCOSTONOBU"/>
  </r>
  <r>
    <n v="3409"/>
    <s v="31.01.2020"/>
    <n v="2020"/>
    <d v="2020-01-01T00:00:00"/>
    <n v="62"/>
    <n v="900011625"/>
    <s v="WA"/>
    <n v="81"/>
    <x v="0"/>
    <n v="11500060"/>
    <x v="0"/>
    <n v="1187.3599999999999"/>
    <s v="MXN"/>
    <n v="1187.3599999999999"/>
    <x v="0"/>
    <m/>
    <m/>
    <m/>
    <m/>
    <m/>
    <m/>
    <m/>
    <m/>
    <s v="01.02.2020"/>
    <m/>
    <n v="20200131"/>
    <n v="1187.3599999999999"/>
    <m/>
    <m/>
    <m/>
    <m/>
    <m/>
    <m/>
    <m/>
    <m/>
    <m/>
    <m/>
    <n v="340912890"/>
    <s v="AUXCOSTONOBU"/>
  </r>
  <r>
    <n v="3409"/>
    <s v="31.01.2020"/>
    <n v="2020"/>
    <d v="2020-01-01T00:00:00"/>
    <n v="64"/>
    <n v="900011625"/>
    <s v="WA"/>
    <n v="81"/>
    <x v="0"/>
    <n v="11500060"/>
    <x v="0"/>
    <n v="1564.45"/>
    <s v="MXN"/>
    <n v="1564.45"/>
    <x v="0"/>
    <m/>
    <m/>
    <m/>
    <m/>
    <m/>
    <m/>
    <m/>
    <m/>
    <s v="01.02.2020"/>
    <m/>
    <n v="20200131"/>
    <n v="1564.45"/>
    <m/>
    <m/>
    <m/>
    <m/>
    <m/>
    <m/>
    <m/>
    <m/>
    <m/>
    <m/>
    <n v="340912890"/>
    <s v="AUXCOSTONOBU"/>
  </r>
  <r>
    <n v="3409"/>
    <s v="31.01.2020"/>
    <n v="2020"/>
    <d v="2020-01-01T00:00:00"/>
    <n v="66"/>
    <n v="900011625"/>
    <s v="WA"/>
    <n v="81"/>
    <x v="0"/>
    <n v="11500060"/>
    <x v="0"/>
    <n v="1411.31"/>
    <s v="MXN"/>
    <n v="1411.31"/>
    <x v="0"/>
    <m/>
    <m/>
    <m/>
    <m/>
    <m/>
    <m/>
    <m/>
    <m/>
    <s v="01.02.2020"/>
    <m/>
    <n v="20200131"/>
    <n v="1411.31"/>
    <m/>
    <m/>
    <m/>
    <m/>
    <m/>
    <m/>
    <m/>
    <m/>
    <m/>
    <m/>
    <n v="340912890"/>
    <s v="AUXCOSTONOBU"/>
  </r>
  <r>
    <n v="3409"/>
    <s v="31.01.2020"/>
    <n v="2020"/>
    <d v="2020-01-01T00:00:00"/>
    <n v="68"/>
    <n v="900011625"/>
    <s v="WA"/>
    <n v="81"/>
    <x v="0"/>
    <n v="11500060"/>
    <x v="0"/>
    <n v="381.46"/>
    <s v="MXN"/>
    <n v="381.46"/>
    <x v="0"/>
    <m/>
    <m/>
    <m/>
    <m/>
    <m/>
    <m/>
    <m/>
    <m/>
    <s v="01.02.2020"/>
    <m/>
    <n v="20200131"/>
    <n v="381.46"/>
    <m/>
    <m/>
    <m/>
    <m/>
    <m/>
    <m/>
    <m/>
    <m/>
    <m/>
    <m/>
    <n v="340912890"/>
    <s v="AUXCOSTONOBU"/>
  </r>
  <r>
    <n v="3409"/>
    <s v="31.01.2020"/>
    <n v="2020"/>
    <d v="2020-01-01T00:00:00"/>
    <n v="76"/>
    <n v="900011625"/>
    <s v="WA"/>
    <n v="81"/>
    <x v="0"/>
    <n v="11500060"/>
    <x v="0"/>
    <n v="672"/>
    <s v="MXN"/>
    <n v="672"/>
    <x v="0"/>
    <m/>
    <m/>
    <m/>
    <m/>
    <m/>
    <m/>
    <m/>
    <m/>
    <s v="01.02.2020"/>
    <m/>
    <n v="20200131"/>
    <n v="672"/>
    <m/>
    <m/>
    <m/>
    <m/>
    <m/>
    <m/>
    <m/>
    <m/>
    <m/>
    <m/>
    <n v="340912890"/>
    <s v="AUXCOSTONOBU"/>
  </r>
  <r>
    <n v="3409"/>
    <s v="31.01.2020"/>
    <n v="2020"/>
    <d v="2020-01-01T00:00:00"/>
    <n v="78"/>
    <n v="900011625"/>
    <s v="WA"/>
    <n v="81"/>
    <x v="0"/>
    <n v="11500060"/>
    <x v="0"/>
    <n v="393.28"/>
    <s v="MXN"/>
    <n v="393.28"/>
    <x v="0"/>
    <m/>
    <m/>
    <m/>
    <m/>
    <m/>
    <m/>
    <m/>
    <m/>
    <s v="01.02.2020"/>
    <m/>
    <n v="20200131"/>
    <n v="393.28"/>
    <m/>
    <m/>
    <m/>
    <m/>
    <m/>
    <m/>
    <m/>
    <m/>
    <m/>
    <m/>
    <n v="340912890"/>
    <s v="AUXCOSTONOBU"/>
  </r>
  <r>
    <n v="3409"/>
    <s v="31.01.2020"/>
    <n v="2020"/>
    <d v="2020-01-01T00:00:00"/>
    <n v="80"/>
    <n v="900011625"/>
    <s v="WA"/>
    <n v="81"/>
    <x v="0"/>
    <n v="11500060"/>
    <x v="0"/>
    <n v="393.28"/>
    <s v="MXN"/>
    <n v="393.28"/>
    <x v="0"/>
    <m/>
    <m/>
    <m/>
    <m/>
    <m/>
    <m/>
    <m/>
    <m/>
    <s v="01.02.2020"/>
    <m/>
    <n v="20200131"/>
    <n v="393.28"/>
    <m/>
    <m/>
    <m/>
    <m/>
    <m/>
    <m/>
    <m/>
    <m/>
    <m/>
    <m/>
    <n v="340912890"/>
    <s v="AUXCOSTONOBU"/>
  </r>
  <r>
    <n v="3409"/>
    <s v="31.01.2020"/>
    <n v="2020"/>
    <d v="2020-01-01T00:00:00"/>
    <n v="100"/>
    <n v="900011625"/>
    <s v="WA"/>
    <n v="81"/>
    <x v="0"/>
    <n v="11500060"/>
    <x v="0"/>
    <n v="984.22"/>
    <s v="MXN"/>
    <n v="984.22"/>
    <x v="0"/>
    <m/>
    <m/>
    <m/>
    <m/>
    <m/>
    <m/>
    <m/>
    <m/>
    <s v="01.02.2020"/>
    <m/>
    <n v="20200131"/>
    <n v="984.22"/>
    <m/>
    <m/>
    <m/>
    <m/>
    <m/>
    <m/>
    <m/>
    <m/>
    <m/>
    <m/>
    <n v="340912890"/>
    <s v="AUXCOSTONOBU"/>
  </r>
  <r>
    <n v="3409"/>
    <s v="31.01.2020"/>
    <n v="2020"/>
    <d v="2020-01-01T00:00:00"/>
    <n v="102"/>
    <n v="900011625"/>
    <s v="WA"/>
    <n v="81"/>
    <x v="0"/>
    <n v="11500060"/>
    <x v="0"/>
    <n v="6181.04"/>
    <s v="MXN"/>
    <n v="6181.04"/>
    <x v="0"/>
    <m/>
    <m/>
    <m/>
    <m/>
    <m/>
    <m/>
    <m/>
    <m/>
    <s v="01.02.2020"/>
    <m/>
    <n v="20200131"/>
    <n v="6181.04"/>
    <m/>
    <m/>
    <m/>
    <m/>
    <m/>
    <m/>
    <m/>
    <m/>
    <m/>
    <m/>
    <n v="340912890"/>
    <s v="AUXCOSTONOBU"/>
  </r>
  <r>
    <n v="3409"/>
    <s v="31.01.2020"/>
    <n v="2020"/>
    <d v="2020-01-01T00:00:00"/>
    <n v="14"/>
    <n v="900011635"/>
    <s v="WA"/>
    <n v="81"/>
    <x v="0"/>
    <n v="11500030"/>
    <x v="0"/>
    <n v="160.97"/>
    <s v="MXN"/>
    <n v="160.97"/>
    <x v="0"/>
    <m/>
    <m/>
    <m/>
    <m/>
    <m/>
    <m/>
    <m/>
    <m/>
    <s v="01.02.2020"/>
    <m/>
    <n v="20200131"/>
    <n v="160.97"/>
    <m/>
    <m/>
    <m/>
    <m/>
    <m/>
    <m/>
    <m/>
    <m/>
    <m/>
    <m/>
    <n v="340932290"/>
    <s v="AUXCOSTONOBU"/>
  </r>
  <r>
    <n v="3409"/>
    <s v="31.01.2020"/>
    <n v="2020"/>
    <d v="2020-01-01T00:00:00"/>
    <n v="4"/>
    <n v="900011651"/>
    <s v="WA"/>
    <n v="81"/>
    <x v="0"/>
    <n v="11500060"/>
    <x v="0"/>
    <n v="2519.85"/>
    <s v="MXN"/>
    <n v="2519.85"/>
    <x v="0"/>
    <m/>
    <m/>
    <m/>
    <m/>
    <m/>
    <m/>
    <m/>
    <m/>
    <s v="01.02.2020"/>
    <m/>
    <n v="20200131"/>
    <n v="2519.85"/>
    <m/>
    <m/>
    <m/>
    <m/>
    <m/>
    <m/>
    <m/>
    <m/>
    <m/>
    <m/>
    <n v="340910590"/>
    <s v="AUXCOSTONOBU"/>
  </r>
  <r>
    <n v="3409"/>
    <s v="31.01.2020"/>
    <n v="2020"/>
    <d v="2020-01-01T00:00:00"/>
    <n v="6"/>
    <n v="900011651"/>
    <s v="WA"/>
    <n v="81"/>
    <x v="0"/>
    <n v="11500060"/>
    <x v="0"/>
    <n v="717.66"/>
    <s v="MXN"/>
    <n v="717.66"/>
    <x v="0"/>
    <m/>
    <m/>
    <m/>
    <m/>
    <m/>
    <m/>
    <m/>
    <m/>
    <s v="01.02.2020"/>
    <m/>
    <n v="20200131"/>
    <n v="717.66"/>
    <m/>
    <m/>
    <m/>
    <m/>
    <m/>
    <m/>
    <m/>
    <m/>
    <m/>
    <m/>
    <n v="340910590"/>
    <s v="AUXCOSTONOBU"/>
  </r>
  <r>
    <n v="3409"/>
    <s v="31.01.2020"/>
    <n v="2020"/>
    <d v="2020-01-01T00:00:00"/>
    <n v="10"/>
    <n v="900011651"/>
    <s v="WA"/>
    <n v="81"/>
    <x v="0"/>
    <n v="11500060"/>
    <x v="0"/>
    <n v="696"/>
    <s v="MXN"/>
    <n v="696"/>
    <x v="0"/>
    <m/>
    <m/>
    <m/>
    <m/>
    <m/>
    <m/>
    <m/>
    <m/>
    <s v="01.02.2020"/>
    <m/>
    <n v="20200131"/>
    <n v="696"/>
    <m/>
    <m/>
    <m/>
    <m/>
    <m/>
    <m/>
    <m/>
    <m/>
    <m/>
    <m/>
    <n v="340910590"/>
    <s v="AUXCOSTONOBU"/>
  </r>
  <r>
    <n v="3409"/>
    <s v="31.01.2020"/>
    <n v="2020"/>
    <d v="2020-01-01T00:00:00"/>
    <n v="12"/>
    <n v="900011651"/>
    <s v="WA"/>
    <n v="81"/>
    <x v="0"/>
    <n v="11500060"/>
    <x v="0"/>
    <n v="715.06"/>
    <s v="MXN"/>
    <n v="715.06"/>
    <x v="0"/>
    <m/>
    <m/>
    <m/>
    <m/>
    <m/>
    <m/>
    <m/>
    <m/>
    <s v="01.02.2020"/>
    <m/>
    <n v="20200131"/>
    <n v="715.06"/>
    <m/>
    <m/>
    <m/>
    <m/>
    <m/>
    <m/>
    <m/>
    <m/>
    <m/>
    <m/>
    <n v="340910590"/>
    <s v="AUXCOSTONOBU"/>
  </r>
  <r>
    <n v="3409"/>
    <s v="31.01.2020"/>
    <n v="2020"/>
    <d v="2020-01-01T00:00:00"/>
    <n v="14"/>
    <n v="900011651"/>
    <s v="WA"/>
    <n v="81"/>
    <x v="0"/>
    <n v="11500060"/>
    <x v="0"/>
    <n v="4342.8"/>
    <s v="MXN"/>
    <n v="4342.8"/>
    <x v="0"/>
    <m/>
    <m/>
    <m/>
    <m/>
    <m/>
    <m/>
    <m/>
    <m/>
    <s v="01.02.2020"/>
    <m/>
    <n v="20200131"/>
    <n v="4342.8"/>
    <m/>
    <m/>
    <m/>
    <m/>
    <m/>
    <m/>
    <m/>
    <m/>
    <m/>
    <m/>
    <n v="340910590"/>
    <s v="AUXCOSTONOBU"/>
  </r>
  <r>
    <n v="3409"/>
    <s v="31.01.2020"/>
    <n v="2020"/>
    <d v="2020-01-01T00:00:00"/>
    <n v="16"/>
    <n v="900011651"/>
    <s v="WA"/>
    <n v="81"/>
    <x v="0"/>
    <n v="11500060"/>
    <x v="0"/>
    <n v="105"/>
    <s v="MXN"/>
    <n v="105"/>
    <x v="0"/>
    <m/>
    <m/>
    <m/>
    <m/>
    <m/>
    <m/>
    <m/>
    <m/>
    <s v="01.02.2020"/>
    <m/>
    <n v="20200131"/>
    <n v="105"/>
    <m/>
    <m/>
    <m/>
    <m/>
    <m/>
    <m/>
    <m/>
    <m/>
    <m/>
    <m/>
    <n v="340910590"/>
    <s v="AUXCOSTONOBU"/>
  </r>
  <r>
    <n v="3409"/>
    <s v="31.01.2020"/>
    <n v="2020"/>
    <d v="2020-01-01T00:00:00"/>
    <n v="20"/>
    <n v="900011651"/>
    <s v="WA"/>
    <n v="81"/>
    <x v="0"/>
    <n v="11500060"/>
    <x v="0"/>
    <n v="1299"/>
    <s v="MXN"/>
    <n v="1299"/>
    <x v="0"/>
    <m/>
    <m/>
    <m/>
    <m/>
    <m/>
    <m/>
    <m/>
    <m/>
    <s v="01.02.2020"/>
    <m/>
    <n v="20200131"/>
    <n v="1299"/>
    <m/>
    <m/>
    <m/>
    <m/>
    <m/>
    <m/>
    <m/>
    <m/>
    <m/>
    <m/>
    <n v="340910590"/>
    <s v="AUXCOSTONOBU"/>
  </r>
  <r>
    <n v="3403"/>
    <s v="31.01.2020"/>
    <n v="2020"/>
    <d v="2020-01-01T00:00:00"/>
    <n v="60"/>
    <n v="300018573"/>
    <s v="WA"/>
    <n v="81"/>
    <x v="0"/>
    <n v="11500050"/>
    <x v="0"/>
    <n v="178.44"/>
    <s v="MXN"/>
    <n v="178.44"/>
    <x v="0"/>
    <m/>
    <m/>
    <m/>
    <m/>
    <m/>
    <m/>
    <m/>
    <m/>
    <s v="01.02.2020"/>
    <m/>
    <n v="20200131"/>
    <n v="178.44"/>
    <m/>
    <m/>
    <m/>
    <m/>
    <m/>
    <m/>
    <m/>
    <m/>
    <m/>
    <m/>
    <n v="340312890"/>
    <s v="JBAUTISTA"/>
  </r>
  <r>
    <n v="3403"/>
    <s v="31.01.2020"/>
    <n v="2020"/>
    <d v="2020-01-01T00:00:00"/>
    <n v="62"/>
    <n v="300018573"/>
    <s v="WA"/>
    <n v="81"/>
    <x v="0"/>
    <n v="11500050"/>
    <x v="0"/>
    <n v="177.6"/>
    <s v="MXN"/>
    <n v="177.6"/>
    <x v="0"/>
    <m/>
    <m/>
    <m/>
    <m/>
    <m/>
    <m/>
    <m/>
    <m/>
    <s v="01.02.2020"/>
    <m/>
    <n v="20200131"/>
    <n v="177.6"/>
    <m/>
    <m/>
    <m/>
    <m/>
    <m/>
    <m/>
    <m/>
    <m/>
    <m/>
    <m/>
    <n v="340312890"/>
    <s v="JBAUTISTA"/>
  </r>
  <r>
    <n v="3403"/>
    <s v="31.01.2020"/>
    <n v="2020"/>
    <d v="2020-01-01T00:00:00"/>
    <n v="64"/>
    <n v="300018573"/>
    <s v="WA"/>
    <n v="81"/>
    <x v="0"/>
    <n v="11500050"/>
    <x v="0"/>
    <n v="177.6"/>
    <s v="MXN"/>
    <n v="177.6"/>
    <x v="0"/>
    <m/>
    <m/>
    <m/>
    <m/>
    <m/>
    <m/>
    <m/>
    <m/>
    <s v="01.02.2020"/>
    <m/>
    <n v="20200131"/>
    <n v="177.6"/>
    <m/>
    <m/>
    <m/>
    <m/>
    <m/>
    <m/>
    <m/>
    <m/>
    <m/>
    <m/>
    <n v="340312890"/>
    <s v="JBAUTISTA"/>
  </r>
  <r>
    <n v="3403"/>
    <s v="31.01.2020"/>
    <n v="2020"/>
    <d v="2020-01-01T00:00:00"/>
    <n v="24"/>
    <n v="300019147"/>
    <s v="WA"/>
    <n v="81"/>
    <x v="0"/>
    <n v="11500060"/>
    <x v="0"/>
    <n v="80"/>
    <s v="MXN"/>
    <n v="80"/>
    <x v="0"/>
    <m/>
    <m/>
    <m/>
    <m/>
    <m/>
    <m/>
    <m/>
    <m/>
    <s v="02.02.2020"/>
    <m/>
    <n v="20200131"/>
    <n v="80"/>
    <m/>
    <m/>
    <m/>
    <m/>
    <m/>
    <m/>
    <m/>
    <m/>
    <m/>
    <m/>
    <n v="340325290"/>
    <s v="JBAUTISTA"/>
  </r>
  <r>
    <n v="3407"/>
    <s v="31.01.2020"/>
    <n v="2020"/>
    <d v="2020-01-01T00:00:00"/>
    <n v="2"/>
    <n v="700041737"/>
    <s v="WA"/>
    <n v="81"/>
    <x v="0"/>
    <n v="11500060"/>
    <x v="0"/>
    <n v="13897.68"/>
    <s v="MXN"/>
    <n v="13897.68"/>
    <x v="0"/>
    <m/>
    <m/>
    <m/>
    <m/>
    <m/>
    <m/>
    <m/>
    <m/>
    <s v="02.02.2020"/>
    <m/>
    <n v="20200131"/>
    <n v="13897.68"/>
    <m/>
    <m/>
    <m/>
    <m/>
    <m/>
    <m/>
    <m/>
    <m/>
    <m/>
    <m/>
    <n v="340710590"/>
    <s v="AUXCOSTOHRLC"/>
  </r>
  <r>
    <n v="3407"/>
    <s v="31.01.2020"/>
    <n v="2020"/>
    <d v="2020-01-01T00:00:00"/>
    <n v="10"/>
    <n v="700041737"/>
    <s v="WA"/>
    <n v="81"/>
    <x v="0"/>
    <n v="11500060"/>
    <x v="0"/>
    <n v="221.39"/>
    <s v="MXN"/>
    <n v="221.39"/>
    <x v="0"/>
    <m/>
    <m/>
    <m/>
    <m/>
    <m/>
    <m/>
    <m/>
    <m/>
    <s v="02.02.2020"/>
    <m/>
    <n v="20200131"/>
    <n v="221.39"/>
    <m/>
    <m/>
    <m/>
    <m/>
    <m/>
    <m/>
    <m/>
    <m/>
    <m/>
    <m/>
    <n v="340710590"/>
    <s v="AUXCOSTOHRLC"/>
  </r>
  <r>
    <n v="3407"/>
    <s v="31.01.2020"/>
    <n v="2020"/>
    <d v="2020-01-01T00:00:00"/>
    <n v="12"/>
    <n v="700041737"/>
    <s v="WA"/>
    <n v="81"/>
    <x v="0"/>
    <n v="11500060"/>
    <x v="0"/>
    <n v="285"/>
    <s v="MXN"/>
    <n v="285"/>
    <x v="0"/>
    <m/>
    <m/>
    <m/>
    <m/>
    <m/>
    <m/>
    <m/>
    <m/>
    <s v="02.02.2020"/>
    <m/>
    <n v="20200131"/>
    <n v="285"/>
    <m/>
    <m/>
    <m/>
    <m/>
    <m/>
    <m/>
    <m/>
    <m/>
    <m/>
    <m/>
    <n v="340710590"/>
    <s v="AUXCOSTOHRLC"/>
  </r>
  <r>
    <n v="3407"/>
    <s v="31.01.2020"/>
    <n v="2020"/>
    <d v="2020-01-01T00:00:00"/>
    <n v="14"/>
    <n v="700041737"/>
    <s v="WA"/>
    <n v="81"/>
    <x v="0"/>
    <n v="11500060"/>
    <x v="0"/>
    <n v="1192.8"/>
    <s v="MXN"/>
    <n v="1192.8"/>
    <x v="0"/>
    <m/>
    <m/>
    <m/>
    <m/>
    <m/>
    <m/>
    <m/>
    <m/>
    <s v="02.02.2020"/>
    <m/>
    <n v="20200131"/>
    <n v="1192.8"/>
    <m/>
    <m/>
    <m/>
    <m/>
    <m/>
    <m/>
    <m/>
    <m/>
    <m/>
    <m/>
    <n v="340710590"/>
    <s v="AUXCOSTOHRLC"/>
  </r>
  <r>
    <n v="3407"/>
    <s v="31.01.2020"/>
    <n v="2020"/>
    <d v="2020-01-01T00:00:00"/>
    <n v="16"/>
    <n v="700041737"/>
    <s v="WA"/>
    <n v="81"/>
    <x v="0"/>
    <n v="11500060"/>
    <x v="0"/>
    <n v="76"/>
    <s v="MXN"/>
    <n v="76"/>
    <x v="0"/>
    <m/>
    <m/>
    <m/>
    <m/>
    <m/>
    <m/>
    <m/>
    <m/>
    <s v="02.02.2020"/>
    <m/>
    <n v="20200131"/>
    <n v="76"/>
    <m/>
    <m/>
    <m/>
    <m/>
    <m/>
    <m/>
    <m/>
    <m/>
    <m/>
    <m/>
    <n v="340710590"/>
    <s v="AUXCOSTOHRLC"/>
  </r>
  <r>
    <n v="3407"/>
    <s v="31.01.2020"/>
    <n v="2020"/>
    <d v="2020-01-01T00:00:00"/>
    <n v="24"/>
    <n v="700041737"/>
    <s v="WA"/>
    <n v="81"/>
    <x v="0"/>
    <n v="11500060"/>
    <x v="0"/>
    <n v="792"/>
    <s v="MXN"/>
    <n v="792"/>
    <x v="0"/>
    <m/>
    <m/>
    <m/>
    <m/>
    <m/>
    <m/>
    <m/>
    <m/>
    <s v="02.02.2020"/>
    <m/>
    <n v="20200131"/>
    <n v="792"/>
    <m/>
    <m/>
    <m/>
    <m/>
    <m/>
    <m/>
    <m/>
    <m/>
    <m/>
    <m/>
    <n v="340710590"/>
    <s v="AUXCOSTOHRLC"/>
  </r>
  <r>
    <n v="3407"/>
    <s v="31.01.2020"/>
    <n v="2020"/>
    <d v="2020-01-01T00:00:00"/>
    <n v="28"/>
    <n v="700041737"/>
    <s v="WA"/>
    <n v="81"/>
    <x v="0"/>
    <n v="11500060"/>
    <x v="0"/>
    <n v="3127.1"/>
    <s v="MXN"/>
    <n v="3127.1"/>
    <x v="0"/>
    <m/>
    <m/>
    <m/>
    <m/>
    <m/>
    <m/>
    <m/>
    <m/>
    <s v="02.02.2020"/>
    <m/>
    <n v="20200131"/>
    <n v="3127.1"/>
    <m/>
    <m/>
    <m/>
    <m/>
    <m/>
    <m/>
    <m/>
    <m/>
    <m/>
    <m/>
    <n v="340710590"/>
    <s v="AUXCOSTOHRLC"/>
  </r>
  <r>
    <n v="3407"/>
    <s v="31.01.2020"/>
    <n v="2020"/>
    <d v="2020-01-01T00:00:00"/>
    <n v="30"/>
    <n v="700041737"/>
    <s v="WA"/>
    <n v="81"/>
    <x v="0"/>
    <n v="11500060"/>
    <x v="0"/>
    <n v="23104.799999999999"/>
    <s v="MXN"/>
    <n v="23104.799999999999"/>
    <x v="0"/>
    <m/>
    <m/>
    <m/>
    <m/>
    <m/>
    <m/>
    <m/>
    <m/>
    <s v="02.02.2020"/>
    <m/>
    <n v="20200131"/>
    <n v="23104.799999999999"/>
    <m/>
    <m/>
    <m/>
    <m/>
    <m/>
    <m/>
    <m/>
    <m/>
    <m/>
    <m/>
    <n v="340710590"/>
    <s v="AUXCOSTOHRLC"/>
  </r>
  <r>
    <n v="3407"/>
    <s v="31.01.2020"/>
    <n v="2020"/>
    <d v="2020-01-01T00:00:00"/>
    <n v="32"/>
    <n v="700041737"/>
    <s v="WA"/>
    <n v="81"/>
    <x v="0"/>
    <n v="11500060"/>
    <x v="0"/>
    <n v="26382.6"/>
    <s v="MXN"/>
    <n v="26382.6"/>
    <x v="0"/>
    <m/>
    <m/>
    <m/>
    <m/>
    <m/>
    <m/>
    <m/>
    <m/>
    <s v="02.02.2020"/>
    <m/>
    <n v="20200131"/>
    <n v="26382.6"/>
    <m/>
    <m/>
    <m/>
    <m/>
    <m/>
    <m/>
    <m/>
    <m/>
    <m/>
    <m/>
    <n v="340710590"/>
    <s v="AUXCOSTOHRLC"/>
  </r>
  <r>
    <n v="3407"/>
    <s v="31.01.2020"/>
    <n v="2020"/>
    <d v="2020-01-01T00:00:00"/>
    <n v="34"/>
    <n v="700041737"/>
    <s v="WA"/>
    <n v="81"/>
    <x v="0"/>
    <n v="11500060"/>
    <x v="0"/>
    <n v="7056.55"/>
    <s v="MXN"/>
    <n v="7056.55"/>
    <x v="0"/>
    <m/>
    <m/>
    <m/>
    <m/>
    <m/>
    <m/>
    <m/>
    <m/>
    <s v="02.02.2020"/>
    <m/>
    <n v="20200131"/>
    <n v="7056.55"/>
    <m/>
    <m/>
    <m/>
    <m/>
    <m/>
    <m/>
    <m/>
    <m/>
    <m/>
    <m/>
    <n v="340710590"/>
    <s v="AUXCOSTOHRLC"/>
  </r>
  <r>
    <n v="3407"/>
    <s v="31.01.2020"/>
    <n v="2020"/>
    <d v="2020-01-01T00:00:00"/>
    <n v="36"/>
    <n v="700041737"/>
    <s v="WA"/>
    <n v="81"/>
    <x v="0"/>
    <n v="11500060"/>
    <x v="0"/>
    <n v="3704.92"/>
    <s v="MXN"/>
    <n v="3704.92"/>
    <x v="0"/>
    <m/>
    <m/>
    <m/>
    <m/>
    <m/>
    <m/>
    <m/>
    <m/>
    <s v="02.02.2020"/>
    <m/>
    <n v="20200131"/>
    <n v="3704.92"/>
    <m/>
    <m/>
    <m/>
    <m/>
    <m/>
    <m/>
    <m/>
    <m/>
    <m/>
    <m/>
    <n v="340710590"/>
    <s v="AUXCOSTOHRLC"/>
  </r>
  <r>
    <n v="3407"/>
    <s v="31.01.2020"/>
    <n v="2020"/>
    <d v="2020-01-01T00:00:00"/>
    <n v="38"/>
    <n v="700041737"/>
    <s v="WA"/>
    <n v="81"/>
    <x v="0"/>
    <n v="11500060"/>
    <x v="0"/>
    <n v="2591.7199999999998"/>
    <s v="MXN"/>
    <n v="2591.7199999999998"/>
    <x v="0"/>
    <m/>
    <m/>
    <m/>
    <m/>
    <m/>
    <m/>
    <m/>
    <m/>
    <s v="02.02.2020"/>
    <m/>
    <n v="20200131"/>
    <n v="2591.7199999999998"/>
    <m/>
    <m/>
    <m/>
    <m/>
    <m/>
    <m/>
    <m/>
    <m/>
    <m/>
    <m/>
    <n v="340710590"/>
    <s v="AUXCOSTOHRLC"/>
  </r>
  <r>
    <n v="3407"/>
    <s v="31.01.2020"/>
    <n v="2020"/>
    <d v="2020-01-01T00:00:00"/>
    <n v="40"/>
    <n v="700041737"/>
    <s v="WA"/>
    <n v="81"/>
    <x v="0"/>
    <n v="11500060"/>
    <x v="0"/>
    <n v="2294.46"/>
    <s v="MXN"/>
    <n v="2294.46"/>
    <x v="0"/>
    <m/>
    <m/>
    <m/>
    <m/>
    <m/>
    <m/>
    <m/>
    <m/>
    <s v="02.02.2020"/>
    <m/>
    <n v="20200131"/>
    <n v="2294.46"/>
    <m/>
    <m/>
    <m/>
    <m/>
    <m/>
    <m/>
    <m/>
    <m/>
    <m/>
    <m/>
    <n v="340710590"/>
    <s v="AUXCOSTOHRLC"/>
  </r>
  <r>
    <n v="3407"/>
    <s v="31.01.2020"/>
    <n v="2020"/>
    <d v="2020-01-01T00:00:00"/>
    <n v="42"/>
    <n v="700041737"/>
    <s v="WA"/>
    <n v="81"/>
    <x v="0"/>
    <n v="11500060"/>
    <x v="0"/>
    <n v="3101.25"/>
    <s v="MXN"/>
    <n v="3101.25"/>
    <x v="0"/>
    <m/>
    <m/>
    <m/>
    <m/>
    <m/>
    <m/>
    <m/>
    <m/>
    <s v="02.02.2020"/>
    <m/>
    <n v="20200131"/>
    <n v="3101.25"/>
    <m/>
    <m/>
    <m/>
    <m/>
    <m/>
    <m/>
    <m/>
    <m/>
    <m/>
    <m/>
    <n v="340710590"/>
    <s v="AUXCOSTOHRLC"/>
  </r>
  <r>
    <n v="3407"/>
    <s v="31.01.2020"/>
    <n v="2020"/>
    <d v="2020-01-01T00:00:00"/>
    <n v="44"/>
    <n v="700041737"/>
    <s v="WA"/>
    <n v="81"/>
    <x v="0"/>
    <n v="11500060"/>
    <x v="0"/>
    <n v="420"/>
    <s v="MXN"/>
    <n v="420"/>
    <x v="0"/>
    <m/>
    <m/>
    <m/>
    <m/>
    <m/>
    <m/>
    <m/>
    <m/>
    <s v="02.02.2020"/>
    <m/>
    <n v="20200131"/>
    <n v="420"/>
    <m/>
    <m/>
    <m/>
    <m/>
    <m/>
    <m/>
    <m/>
    <m/>
    <m/>
    <m/>
    <n v="340710590"/>
    <s v="AUXCOSTOHRLC"/>
  </r>
  <r>
    <n v="3407"/>
    <s v="31.01.2020"/>
    <n v="2020"/>
    <d v="2020-01-01T00:00:00"/>
    <n v="46"/>
    <n v="700041737"/>
    <s v="WA"/>
    <n v="81"/>
    <x v="0"/>
    <n v="11500060"/>
    <x v="0"/>
    <n v="1181.92"/>
    <s v="MXN"/>
    <n v="1181.92"/>
    <x v="0"/>
    <m/>
    <m/>
    <m/>
    <m/>
    <m/>
    <m/>
    <m/>
    <m/>
    <s v="02.02.2020"/>
    <m/>
    <n v="20200131"/>
    <n v="1181.92"/>
    <m/>
    <m/>
    <m/>
    <m/>
    <m/>
    <m/>
    <m/>
    <m/>
    <m/>
    <m/>
    <n v="340710590"/>
    <s v="AUXCOSTOHRLC"/>
  </r>
  <r>
    <n v="3407"/>
    <s v="31.01.2020"/>
    <n v="2020"/>
    <d v="2020-01-01T00:00:00"/>
    <n v="48"/>
    <n v="700041737"/>
    <s v="WA"/>
    <n v="81"/>
    <x v="0"/>
    <n v="11500060"/>
    <x v="0"/>
    <n v="2600"/>
    <s v="MXN"/>
    <n v="2600"/>
    <x v="0"/>
    <m/>
    <m/>
    <m/>
    <m/>
    <m/>
    <m/>
    <m/>
    <m/>
    <s v="02.02.2020"/>
    <m/>
    <n v="20200131"/>
    <n v="2600"/>
    <m/>
    <m/>
    <m/>
    <m/>
    <m/>
    <m/>
    <m/>
    <m/>
    <m/>
    <m/>
    <n v="340710590"/>
    <s v="AUXCOSTOHRLC"/>
  </r>
  <r>
    <n v="3407"/>
    <s v="31.01.2020"/>
    <n v="2020"/>
    <d v="2020-01-01T00:00:00"/>
    <n v="8"/>
    <n v="700041738"/>
    <s v="WA"/>
    <n v="81"/>
    <x v="0"/>
    <n v="11500060"/>
    <x v="0"/>
    <n v="9381.2900000000009"/>
    <s v="MXN"/>
    <n v="9381.2900000000009"/>
    <x v="0"/>
    <m/>
    <m/>
    <m/>
    <m/>
    <m/>
    <m/>
    <m/>
    <m/>
    <s v="02.02.2020"/>
    <m/>
    <n v="20200131"/>
    <n v="9381.2900000000009"/>
    <m/>
    <m/>
    <m/>
    <m/>
    <m/>
    <m/>
    <m/>
    <m/>
    <m/>
    <m/>
    <n v="340712890"/>
    <s v="JCOSTOSHRLC"/>
  </r>
  <r>
    <n v="3407"/>
    <s v="31.01.2020"/>
    <n v="2020"/>
    <d v="2020-01-01T00:00:00"/>
    <n v="10"/>
    <n v="700041738"/>
    <s v="WA"/>
    <n v="81"/>
    <x v="0"/>
    <n v="11500060"/>
    <x v="0"/>
    <n v="1781.04"/>
    <s v="MXN"/>
    <n v="1781.04"/>
    <x v="0"/>
    <m/>
    <m/>
    <m/>
    <m/>
    <m/>
    <m/>
    <m/>
    <m/>
    <s v="02.02.2020"/>
    <m/>
    <n v="20200131"/>
    <n v="1781.04"/>
    <m/>
    <m/>
    <m/>
    <m/>
    <m/>
    <m/>
    <m/>
    <m/>
    <m/>
    <m/>
    <n v="340712890"/>
    <s v="JCOSTOSHRLC"/>
  </r>
  <r>
    <n v="3407"/>
    <s v="31.01.2020"/>
    <n v="2020"/>
    <d v="2020-01-01T00:00:00"/>
    <n v="12"/>
    <n v="700041738"/>
    <s v="WA"/>
    <n v="81"/>
    <x v="0"/>
    <n v="11500060"/>
    <x v="0"/>
    <n v="11937.48"/>
    <s v="MXN"/>
    <n v="11937.48"/>
    <x v="0"/>
    <m/>
    <m/>
    <m/>
    <m/>
    <m/>
    <m/>
    <m/>
    <m/>
    <s v="02.02.2020"/>
    <m/>
    <n v="20200131"/>
    <n v="11937.48"/>
    <m/>
    <m/>
    <m/>
    <m/>
    <m/>
    <m/>
    <m/>
    <m/>
    <m/>
    <m/>
    <n v="340712890"/>
    <s v="JCOSTOSHRLC"/>
  </r>
  <r>
    <n v="3407"/>
    <s v="31.01.2020"/>
    <n v="2020"/>
    <d v="2020-01-01T00:00:00"/>
    <n v="14"/>
    <n v="700041738"/>
    <s v="WA"/>
    <n v="91"/>
    <x v="0"/>
    <n v="71101060"/>
    <x v="0"/>
    <n v="1319.13"/>
    <s v="MXN"/>
    <n v="1319.13"/>
    <x v="0"/>
    <m/>
    <m/>
    <m/>
    <m/>
    <m/>
    <m/>
    <m/>
    <m/>
    <s v="02.02.2020"/>
    <m/>
    <n v="20200131"/>
    <n v="1319.13"/>
    <m/>
    <m/>
    <m/>
    <m/>
    <m/>
    <m/>
    <m/>
    <m/>
    <m/>
    <m/>
    <n v="340712890"/>
    <s v="JCOSTOSHRLC"/>
  </r>
  <r>
    <n v="3407"/>
    <s v="31.01.2020"/>
    <n v="2020"/>
    <d v="2020-01-01T00:00:00"/>
    <n v="16"/>
    <n v="700041738"/>
    <s v="WA"/>
    <n v="81"/>
    <x v="0"/>
    <n v="11500060"/>
    <x v="0"/>
    <n v="1436.72"/>
    <s v="MXN"/>
    <n v="1436.72"/>
    <x v="0"/>
    <m/>
    <m/>
    <m/>
    <m/>
    <m/>
    <m/>
    <m/>
    <m/>
    <s v="02.02.2020"/>
    <m/>
    <n v="20200131"/>
    <n v="1436.72"/>
    <m/>
    <m/>
    <m/>
    <m/>
    <m/>
    <m/>
    <m/>
    <m/>
    <m/>
    <m/>
    <n v="340712890"/>
    <s v="JCOSTOSHRLC"/>
  </r>
  <r>
    <n v="3407"/>
    <s v="31.01.2020"/>
    <n v="2020"/>
    <d v="2020-01-01T00:00:00"/>
    <n v="18"/>
    <n v="700041738"/>
    <s v="WA"/>
    <n v="81"/>
    <x v="0"/>
    <n v="11500060"/>
    <x v="0"/>
    <n v="2822.62"/>
    <s v="MXN"/>
    <n v="2822.62"/>
    <x v="0"/>
    <m/>
    <m/>
    <m/>
    <m/>
    <m/>
    <m/>
    <m/>
    <m/>
    <s v="02.02.2020"/>
    <m/>
    <n v="20200131"/>
    <n v="2822.62"/>
    <m/>
    <m/>
    <m/>
    <m/>
    <m/>
    <m/>
    <m/>
    <m/>
    <m/>
    <m/>
    <n v="340712890"/>
    <s v="JCOSTOSHRLC"/>
  </r>
  <r>
    <n v="3407"/>
    <s v="31.01.2020"/>
    <n v="2020"/>
    <d v="2020-01-01T00:00:00"/>
    <n v="20"/>
    <n v="700041738"/>
    <s v="WA"/>
    <n v="81"/>
    <x v="0"/>
    <n v="11500060"/>
    <x v="0"/>
    <n v="1525.82"/>
    <s v="MXN"/>
    <n v="1525.82"/>
    <x v="0"/>
    <m/>
    <m/>
    <m/>
    <m/>
    <m/>
    <m/>
    <m/>
    <m/>
    <s v="02.02.2020"/>
    <m/>
    <n v="20200131"/>
    <n v="1525.82"/>
    <m/>
    <m/>
    <m/>
    <m/>
    <m/>
    <m/>
    <m/>
    <m/>
    <m/>
    <m/>
    <n v="340712890"/>
    <s v="JCOSTOSHRLC"/>
  </r>
  <r>
    <n v="3407"/>
    <s v="31.01.2020"/>
    <n v="2020"/>
    <d v="2020-01-01T00:00:00"/>
    <n v="22"/>
    <n v="700041738"/>
    <s v="WA"/>
    <n v="81"/>
    <x v="0"/>
    <n v="11500060"/>
    <x v="0"/>
    <n v="45874.5"/>
    <s v="MXN"/>
    <n v="45874.5"/>
    <x v="0"/>
    <m/>
    <m/>
    <m/>
    <m/>
    <m/>
    <m/>
    <m/>
    <m/>
    <s v="02.02.2020"/>
    <m/>
    <n v="20200131"/>
    <n v="45874.5"/>
    <m/>
    <m/>
    <m/>
    <m/>
    <m/>
    <m/>
    <m/>
    <m/>
    <m/>
    <m/>
    <n v="340712890"/>
    <s v="JCOSTOSHRLC"/>
  </r>
  <r>
    <n v="3407"/>
    <s v="31.01.2020"/>
    <n v="2020"/>
    <d v="2020-01-01T00:00:00"/>
    <n v="24"/>
    <n v="700041738"/>
    <s v="WA"/>
    <n v="81"/>
    <x v="0"/>
    <n v="11500060"/>
    <x v="0"/>
    <n v="29529.98"/>
    <s v="MXN"/>
    <n v="29529.98"/>
    <x v="0"/>
    <m/>
    <m/>
    <m/>
    <m/>
    <m/>
    <m/>
    <m/>
    <m/>
    <s v="02.02.2020"/>
    <m/>
    <n v="20200131"/>
    <n v="29529.98"/>
    <m/>
    <m/>
    <m/>
    <m/>
    <m/>
    <m/>
    <m/>
    <m/>
    <m/>
    <m/>
    <n v="340712890"/>
    <s v="JCOSTOSHRLC"/>
  </r>
  <r>
    <n v="3407"/>
    <s v="31.01.2020"/>
    <n v="2020"/>
    <d v="2020-01-01T00:00:00"/>
    <n v="26"/>
    <n v="700041738"/>
    <s v="WA"/>
    <n v="81"/>
    <x v="0"/>
    <n v="11500060"/>
    <x v="0"/>
    <n v="23820.02"/>
    <s v="MXN"/>
    <n v="23820.02"/>
    <x v="0"/>
    <m/>
    <m/>
    <m/>
    <m/>
    <m/>
    <m/>
    <m/>
    <m/>
    <s v="02.02.2020"/>
    <m/>
    <n v="20200131"/>
    <n v="23820.02"/>
    <m/>
    <m/>
    <m/>
    <m/>
    <m/>
    <m/>
    <m/>
    <m/>
    <m/>
    <m/>
    <n v="340712890"/>
    <s v="JCOSTOSHRLC"/>
  </r>
  <r>
    <n v="3407"/>
    <s v="31.01.2020"/>
    <n v="2020"/>
    <d v="2020-01-01T00:00:00"/>
    <n v="28"/>
    <n v="700041738"/>
    <s v="WA"/>
    <n v="81"/>
    <x v="0"/>
    <n v="11500060"/>
    <x v="0"/>
    <n v="20373.55"/>
    <s v="MXN"/>
    <n v="20373.55"/>
    <x v="0"/>
    <m/>
    <m/>
    <m/>
    <m/>
    <m/>
    <m/>
    <m/>
    <m/>
    <s v="02.02.2020"/>
    <m/>
    <n v="20200131"/>
    <n v="20373.55"/>
    <m/>
    <m/>
    <m/>
    <m/>
    <m/>
    <m/>
    <m/>
    <m/>
    <m/>
    <m/>
    <n v="340712890"/>
    <s v="JCOSTOSHRLC"/>
  </r>
  <r>
    <n v="3407"/>
    <s v="31.01.2020"/>
    <n v="2020"/>
    <d v="2020-01-01T00:00:00"/>
    <n v="30"/>
    <n v="700041738"/>
    <s v="WA"/>
    <n v="81"/>
    <x v="0"/>
    <n v="11500060"/>
    <x v="0"/>
    <n v="30579.34"/>
    <s v="MXN"/>
    <n v="30579.34"/>
    <x v="0"/>
    <m/>
    <m/>
    <m/>
    <m/>
    <m/>
    <m/>
    <m/>
    <m/>
    <s v="02.02.2020"/>
    <m/>
    <n v="20200131"/>
    <n v="30579.34"/>
    <m/>
    <m/>
    <m/>
    <m/>
    <m/>
    <m/>
    <m/>
    <m/>
    <m/>
    <m/>
    <n v="340712890"/>
    <s v="JCOSTOSHRLC"/>
  </r>
  <r>
    <n v="3407"/>
    <s v="31.01.2020"/>
    <n v="2020"/>
    <d v="2020-01-01T00:00:00"/>
    <n v="32"/>
    <n v="700041738"/>
    <s v="WA"/>
    <n v="81"/>
    <x v="0"/>
    <n v="11500060"/>
    <x v="0"/>
    <n v="10010.84"/>
    <s v="MXN"/>
    <n v="10010.84"/>
    <x v="0"/>
    <m/>
    <m/>
    <m/>
    <m/>
    <m/>
    <m/>
    <m/>
    <m/>
    <s v="02.02.2020"/>
    <m/>
    <n v="20200131"/>
    <n v="10010.84"/>
    <m/>
    <m/>
    <m/>
    <m/>
    <m/>
    <m/>
    <m/>
    <m/>
    <m/>
    <m/>
    <n v="340712890"/>
    <s v="JCOSTOSHRLC"/>
  </r>
  <r>
    <n v="3407"/>
    <s v="31.01.2020"/>
    <n v="2020"/>
    <d v="2020-01-01T00:00:00"/>
    <n v="2"/>
    <n v="700041739"/>
    <s v="WA"/>
    <n v="81"/>
    <x v="0"/>
    <n v="11500060"/>
    <x v="0"/>
    <n v="9580"/>
    <s v="MXN"/>
    <n v="9580"/>
    <x v="0"/>
    <m/>
    <m/>
    <m/>
    <m/>
    <m/>
    <m/>
    <m/>
    <m/>
    <s v="02.02.2020"/>
    <m/>
    <n v="20200131"/>
    <n v="9580"/>
    <m/>
    <m/>
    <m/>
    <m/>
    <m/>
    <m/>
    <m/>
    <m/>
    <m/>
    <m/>
    <n v="340732290"/>
    <s v="AUXCOSTOHRLC"/>
  </r>
  <r>
    <n v="3407"/>
    <s v="31.01.2020"/>
    <n v="2020"/>
    <d v="2020-01-01T00:00:00"/>
    <n v="4"/>
    <n v="700041739"/>
    <s v="WA"/>
    <n v="81"/>
    <x v="0"/>
    <n v="11500060"/>
    <x v="0"/>
    <n v="755.25"/>
    <s v="MXN"/>
    <n v="755.25"/>
    <x v="0"/>
    <m/>
    <m/>
    <m/>
    <m/>
    <m/>
    <m/>
    <m/>
    <m/>
    <s v="02.02.2020"/>
    <m/>
    <n v="20200131"/>
    <n v="755.25"/>
    <m/>
    <m/>
    <m/>
    <m/>
    <m/>
    <m/>
    <m/>
    <m/>
    <m/>
    <m/>
    <n v="340732290"/>
    <s v="AUXCOSTOHRLC"/>
  </r>
  <r>
    <n v="3407"/>
    <s v="31.01.2020"/>
    <n v="2020"/>
    <d v="2020-01-01T00:00:00"/>
    <n v="60"/>
    <n v="700041759"/>
    <s v="WA"/>
    <n v="81"/>
    <x v="0"/>
    <n v="11500060"/>
    <x v="0"/>
    <n v="327.60000000000002"/>
    <s v="MXN"/>
    <n v="327.60000000000002"/>
    <x v="0"/>
    <m/>
    <m/>
    <m/>
    <m/>
    <m/>
    <m/>
    <m/>
    <m/>
    <s v="02.02.2020"/>
    <m/>
    <n v="20200131"/>
    <n v="327.60000000000002"/>
    <m/>
    <m/>
    <m/>
    <m/>
    <m/>
    <m/>
    <m/>
    <m/>
    <m/>
    <m/>
    <n v="340719290"/>
    <s v="AUXCOSTOHRLC"/>
  </r>
  <r>
    <n v="3407"/>
    <s v="31.01.2020"/>
    <n v="2020"/>
    <d v="2020-01-01T00:00:00"/>
    <n v="6"/>
    <n v="700041805"/>
    <s v="WA"/>
    <n v="81"/>
    <x v="0"/>
    <n v="11500060"/>
    <x v="0"/>
    <n v="1300"/>
    <s v="MXN"/>
    <n v="1300"/>
    <x v="0"/>
    <m/>
    <m/>
    <m/>
    <m/>
    <m/>
    <m/>
    <m/>
    <m/>
    <s v="02.02.2020"/>
    <m/>
    <n v="20200131"/>
    <n v="1300"/>
    <m/>
    <m/>
    <m/>
    <m/>
    <m/>
    <m/>
    <m/>
    <m/>
    <m/>
    <m/>
    <n v="340712690"/>
    <s v="JCOSTOSHRLC"/>
  </r>
  <r>
    <n v="3407"/>
    <s v="31.01.2020"/>
    <n v="2020"/>
    <d v="2020-01-01T00:00:00"/>
    <n v="2"/>
    <n v="700041808"/>
    <s v="WA"/>
    <n v="81"/>
    <x v="0"/>
    <n v="11500060"/>
    <x v="0"/>
    <n v="1224"/>
    <s v="MXN"/>
    <n v="1224"/>
    <x v="0"/>
    <m/>
    <m/>
    <m/>
    <m/>
    <m/>
    <m/>
    <m/>
    <m/>
    <s v="02.02.2020"/>
    <m/>
    <n v="20200131"/>
    <n v="1224"/>
    <m/>
    <m/>
    <m/>
    <m/>
    <m/>
    <m/>
    <m/>
    <m/>
    <m/>
    <m/>
    <n v="340712590"/>
    <s v="AUXCOSTOHRLC"/>
  </r>
  <r>
    <n v="3407"/>
    <s v="31.01.2020"/>
    <n v="2020"/>
    <d v="2020-01-01T00:00:00"/>
    <n v="4"/>
    <n v="700041808"/>
    <s v="WA"/>
    <n v="81"/>
    <x v="0"/>
    <n v="11500060"/>
    <x v="0"/>
    <n v="2481"/>
    <s v="MXN"/>
    <n v="2481"/>
    <x v="0"/>
    <m/>
    <m/>
    <m/>
    <m/>
    <m/>
    <m/>
    <m/>
    <m/>
    <s v="02.02.2020"/>
    <m/>
    <n v="20200131"/>
    <n v="2481"/>
    <m/>
    <m/>
    <m/>
    <m/>
    <m/>
    <m/>
    <m/>
    <m/>
    <m/>
    <m/>
    <n v="340712590"/>
    <s v="AUXCOSTOHRLC"/>
  </r>
  <r>
    <n v="3407"/>
    <s v="31.01.2020"/>
    <n v="2020"/>
    <d v="2020-01-01T00:00:00"/>
    <n v="6"/>
    <n v="700041808"/>
    <s v="WA"/>
    <n v="81"/>
    <x v="0"/>
    <n v="11500060"/>
    <x v="0"/>
    <n v="2600"/>
    <s v="MXN"/>
    <n v="2600"/>
    <x v="0"/>
    <m/>
    <m/>
    <m/>
    <m/>
    <m/>
    <m/>
    <m/>
    <m/>
    <s v="02.02.2020"/>
    <m/>
    <n v="20200131"/>
    <n v="2600"/>
    <m/>
    <m/>
    <m/>
    <m/>
    <m/>
    <m/>
    <m/>
    <m/>
    <m/>
    <m/>
    <n v="340712590"/>
    <s v="AUXCOSTOHRLC"/>
  </r>
  <r>
    <n v="3407"/>
    <s v="31.01.2020"/>
    <n v="2020"/>
    <d v="2020-01-01T00:00:00"/>
    <n v="50"/>
    <n v="700041808"/>
    <s v="WA"/>
    <n v="81"/>
    <x v="0"/>
    <n v="11500060"/>
    <x v="0"/>
    <n v="160.08000000000001"/>
    <s v="MXN"/>
    <n v="160.08000000000001"/>
    <x v="0"/>
    <m/>
    <m/>
    <m/>
    <m/>
    <m/>
    <m/>
    <m/>
    <m/>
    <s v="02.02.2020"/>
    <m/>
    <n v="20200131"/>
    <n v="160.08000000000001"/>
    <m/>
    <m/>
    <m/>
    <m/>
    <m/>
    <m/>
    <m/>
    <m/>
    <m/>
    <m/>
    <n v="340712590"/>
    <s v="AUXCOSTOHRLC"/>
  </r>
  <r>
    <n v="3407"/>
    <s v="31.01.2020"/>
    <n v="2020"/>
    <d v="2020-01-01T00:00:00"/>
    <n v="52"/>
    <n v="700041808"/>
    <s v="WA"/>
    <n v="81"/>
    <x v="0"/>
    <n v="11500060"/>
    <x v="0"/>
    <n v="350"/>
    <s v="MXN"/>
    <n v="350"/>
    <x v="0"/>
    <m/>
    <m/>
    <m/>
    <m/>
    <m/>
    <m/>
    <m/>
    <m/>
    <s v="02.02.2020"/>
    <m/>
    <n v="20200131"/>
    <n v="350"/>
    <m/>
    <m/>
    <m/>
    <m/>
    <m/>
    <m/>
    <m/>
    <m/>
    <m/>
    <m/>
    <n v="340712590"/>
    <s v="AUXCOSTOHRLC"/>
  </r>
  <r>
    <n v="3407"/>
    <s v="31.01.2020"/>
    <n v="2020"/>
    <d v="2020-01-01T00:00:00"/>
    <n v="54"/>
    <n v="700041808"/>
    <s v="WA"/>
    <n v="81"/>
    <x v="0"/>
    <n v="11500060"/>
    <x v="0"/>
    <n v="66.5"/>
    <s v="MXN"/>
    <n v="66.5"/>
    <x v="0"/>
    <m/>
    <m/>
    <m/>
    <m/>
    <m/>
    <m/>
    <m/>
    <m/>
    <s v="02.02.2020"/>
    <m/>
    <n v="20200131"/>
    <n v="66.5"/>
    <m/>
    <m/>
    <m/>
    <m/>
    <m/>
    <m/>
    <m/>
    <m/>
    <m/>
    <m/>
    <n v="340712590"/>
    <s v="AUXCOSTOHRLC"/>
  </r>
  <r>
    <n v="3407"/>
    <s v="31.01.2020"/>
    <n v="2020"/>
    <d v="2020-01-01T00:00:00"/>
    <n v="56"/>
    <n v="700041808"/>
    <s v="WA"/>
    <n v="81"/>
    <x v="0"/>
    <n v="11500060"/>
    <x v="0"/>
    <n v="480"/>
    <s v="MXN"/>
    <n v="480"/>
    <x v="0"/>
    <m/>
    <m/>
    <m/>
    <m/>
    <m/>
    <m/>
    <m/>
    <m/>
    <s v="02.02.2020"/>
    <m/>
    <n v="20200131"/>
    <n v="480"/>
    <m/>
    <m/>
    <m/>
    <m/>
    <m/>
    <m/>
    <m/>
    <m/>
    <m/>
    <m/>
    <n v="340712590"/>
    <s v="AUXCOSTOHRLC"/>
  </r>
  <r>
    <n v="3407"/>
    <s v="31.01.2020"/>
    <n v="2020"/>
    <d v="2020-01-01T00:00:00"/>
    <n v="2"/>
    <n v="700041809"/>
    <s v="WA"/>
    <n v="81"/>
    <x v="0"/>
    <n v="11500060"/>
    <x v="0"/>
    <n v="203.1"/>
    <s v="MXN"/>
    <n v="203.1"/>
    <x v="0"/>
    <m/>
    <m/>
    <m/>
    <m/>
    <m/>
    <m/>
    <m/>
    <m/>
    <s v="02.02.2020"/>
    <m/>
    <n v="20200131"/>
    <n v="203.1"/>
    <m/>
    <m/>
    <m/>
    <m/>
    <m/>
    <m/>
    <m/>
    <m/>
    <m/>
    <m/>
    <n v="340712590"/>
    <s v="AUXCOSTOHRLC"/>
  </r>
  <r>
    <n v="3407"/>
    <s v="31.01.2020"/>
    <n v="2020"/>
    <d v="2020-01-01T00:00:00"/>
    <n v="6"/>
    <n v="700041819"/>
    <s v="WA"/>
    <n v="81"/>
    <x v="0"/>
    <n v="11500060"/>
    <x v="0"/>
    <n v="51"/>
    <s v="MXN"/>
    <n v="51"/>
    <x v="0"/>
    <m/>
    <m/>
    <m/>
    <m/>
    <m/>
    <m/>
    <m/>
    <m/>
    <s v="02.02.2020"/>
    <m/>
    <n v="20200131"/>
    <n v="51"/>
    <m/>
    <m/>
    <m/>
    <m/>
    <m/>
    <m/>
    <m/>
    <m/>
    <m/>
    <m/>
    <n v="340712590"/>
    <s v="JCOSTOSHRLC"/>
  </r>
  <r>
    <n v="3407"/>
    <s v="31.01.2020"/>
    <n v="2020"/>
    <d v="2020-01-01T00:00:00"/>
    <n v="10"/>
    <n v="700041819"/>
    <s v="WA"/>
    <n v="81"/>
    <x v="0"/>
    <n v="11500060"/>
    <x v="0"/>
    <n v="650"/>
    <s v="MXN"/>
    <n v="650"/>
    <x v="0"/>
    <m/>
    <m/>
    <m/>
    <m/>
    <m/>
    <m/>
    <m/>
    <m/>
    <s v="02.02.2020"/>
    <m/>
    <n v="20200131"/>
    <n v="650"/>
    <m/>
    <m/>
    <m/>
    <m/>
    <m/>
    <m/>
    <m/>
    <m/>
    <m/>
    <m/>
    <n v="340712590"/>
    <s v="JCOSTOSHRLC"/>
  </r>
  <r>
    <n v="3407"/>
    <s v="31.01.2020"/>
    <n v="2020"/>
    <d v="2020-01-01T00:00:00"/>
    <n v="2"/>
    <n v="700041820"/>
    <s v="WA"/>
    <n v="81"/>
    <x v="0"/>
    <n v="11500060"/>
    <x v="0"/>
    <n v="650"/>
    <s v="MXN"/>
    <n v="650"/>
    <x v="0"/>
    <m/>
    <m/>
    <m/>
    <m/>
    <m/>
    <m/>
    <m/>
    <m/>
    <s v="02.02.2020"/>
    <m/>
    <n v="20200131"/>
    <n v="650"/>
    <m/>
    <m/>
    <m/>
    <m/>
    <m/>
    <m/>
    <m/>
    <m/>
    <m/>
    <m/>
    <n v="340712590"/>
    <s v="AUXCOSTOHRLC"/>
  </r>
  <r>
    <n v="3407"/>
    <s v="31.01.2020"/>
    <n v="2020"/>
    <d v="2020-01-01T00:00:00"/>
    <n v="22"/>
    <n v="700041822"/>
    <s v="WA"/>
    <n v="81"/>
    <x v="0"/>
    <n v="11500010"/>
    <x v="0"/>
    <n v="150"/>
    <s v="MXN"/>
    <n v="150"/>
    <x v="0"/>
    <m/>
    <m/>
    <m/>
    <m/>
    <m/>
    <m/>
    <m/>
    <m/>
    <s v="02.02.2020"/>
    <m/>
    <n v="20200131"/>
    <n v="150"/>
    <m/>
    <m/>
    <m/>
    <m/>
    <m/>
    <m/>
    <m/>
    <m/>
    <m/>
    <m/>
    <n v="340712590"/>
    <s v="AUXCOSTOHRLC"/>
  </r>
  <r>
    <n v="3407"/>
    <s v="31.01.2020"/>
    <n v="2020"/>
    <d v="2020-01-01T00:00:00"/>
    <n v="24"/>
    <n v="700041822"/>
    <s v="WA"/>
    <n v="81"/>
    <x v="0"/>
    <n v="11500010"/>
    <x v="0"/>
    <n v="120"/>
    <s v="MXN"/>
    <n v="120"/>
    <x v="0"/>
    <m/>
    <m/>
    <m/>
    <m/>
    <m/>
    <m/>
    <m/>
    <m/>
    <s v="02.02.2020"/>
    <m/>
    <n v="20200131"/>
    <n v="120"/>
    <m/>
    <m/>
    <m/>
    <m/>
    <m/>
    <m/>
    <m/>
    <m/>
    <m/>
    <m/>
    <n v="340712590"/>
    <s v="AUXCOSTOHRLC"/>
  </r>
  <r>
    <n v="3407"/>
    <s v="31.01.2020"/>
    <n v="2020"/>
    <d v="2020-01-01T00:00:00"/>
    <n v="6"/>
    <n v="700041828"/>
    <s v="WA"/>
    <n v="81"/>
    <x v="0"/>
    <n v="11500060"/>
    <x v="0"/>
    <n v="125"/>
    <s v="MXN"/>
    <n v="125"/>
    <x v="0"/>
    <m/>
    <m/>
    <m/>
    <m/>
    <m/>
    <m/>
    <m/>
    <m/>
    <s v="02.02.2020"/>
    <m/>
    <n v="20200131"/>
    <n v="125"/>
    <m/>
    <m/>
    <m/>
    <m/>
    <m/>
    <m/>
    <m/>
    <m/>
    <m/>
    <m/>
    <n v="340712590"/>
    <s v="AUXCOSTOHRLC"/>
  </r>
  <r>
    <n v="3407"/>
    <s v="31.01.2020"/>
    <n v="2020"/>
    <d v="2020-01-01T00:00:00"/>
    <n v="8"/>
    <n v="700041828"/>
    <s v="WA"/>
    <n v="81"/>
    <x v="0"/>
    <n v="11500060"/>
    <x v="0"/>
    <n v="284.33999999999997"/>
    <s v="MXN"/>
    <n v="284.33999999999997"/>
    <x v="0"/>
    <m/>
    <m/>
    <m/>
    <m/>
    <m/>
    <m/>
    <m/>
    <m/>
    <s v="02.02.2020"/>
    <m/>
    <n v="20200131"/>
    <n v="284.33999999999997"/>
    <m/>
    <m/>
    <m/>
    <m/>
    <m/>
    <m/>
    <m/>
    <m/>
    <m/>
    <m/>
    <n v="340712590"/>
    <s v="AUXCOSTOHRLC"/>
  </r>
  <r>
    <n v="3407"/>
    <s v="31.01.2020"/>
    <n v="2020"/>
    <d v="2020-01-01T00:00:00"/>
    <n v="10"/>
    <n v="700041828"/>
    <s v="WA"/>
    <n v="81"/>
    <x v="0"/>
    <n v="11500060"/>
    <x v="0"/>
    <n v="180"/>
    <s v="MXN"/>
    <n v="180"/>
    <x v="0"/>
    <m/>
    <m/>
    <m/>
    <m/>
    <m/>
    <m/>
    <m/>
    <m/>
    <s v="02.02.2020"/>
    <m/>
    <n v="20200131"/>
    <n v="180"/>
    <m/>
    <m/>
    <m/>
    <m/>
    <m/>
    <m/>
    <m/>
    <m/>
    <m/>
    <m/>
    <n v="340712590"/>
    <s v="AUXCOSTOHRLC"/>
  </r>
  <r>
    <n v="3407"/>
    <s v="31.01.2020"/>
    <n v="2020"/>
    <d v="2020-01-01T00:00:00"/>
    <n v="14"/>
    <n v="700041828"/>
    <s v="WA"/>
    <n v="81"/>
    <x v="0"/>
    <n v="11500060"/>
    <x v="0"/>
    <n v="1950"/>
    <s v="MXN"/>
    <n v="1950"/>
    <x v="0"/>
    <m/>
    <m/>
    <m/>
    <m/>
    <m/>
    <m/>
    <m/>
    <m/>
    <s v="02.02.2020"/>
    <m/>
    <n v="20200131"/>
    <n v="1950"/>
    <m/>
    <m/>
    <m/>
    <m/>
    <m/>
    <m/>
    <m/>
    <m/>
    <m/>
    <m/>
    <n v="340712590"/>
    <s v="AUXCOSTOHRLC"/>
  </r>
  <r>
    <n v="3400"/>
    <s v="27.01.2020"/>
    <n v="2020"/>
    <d v="2020-01-01T00:00:00"/>
    <n v="1"/>
    <n v="880001127"/>
    <s v="Z6"/>
    <n v="40"/>
    <x v="1"/>
    <n v="11127102"/>
    <x v="1"/>
    <n v="579.5"/>
    <s v="MXN"/>
    <n v="579.5"/>
    <x v="0"/>
    <s v="D3"/>
    <m/>
    <m/>
    <m/>
    <m/>
    <m/>
    <m/>
    <m/>
    <s v="29.01.2020"/>
    <m/>
    <s v="COM BANCARIAS"/>
    <n v="579.5"/>
    <m/>
    <m/>
    <m/>
    <s v="COM BANCARIAS HSBC 9092 AL 29.01.2020"/>
    <m/>
    <m/>
    <m/>
    <m/>
    <m/>
    <m/>
    <n v="340099150"/>
    <s v="JAVILES"/>
  </r>
  <r>
    <n v="3400"/>
    <s v="30.01.2020"/>
    <n v="2020"/>
    <d v="2020-01-01T00:00:00"/>
    <n v="1"/>
    <n v="880003544"/>
    <s v="Z6"/>
    <n v="40"/>
    <x v="1"/>
    <n v="11125102"/>
    <x v="1"/>
    <n v="162"/>
    <s v="MXN"/>
    <n v="162"/>
    <x v="0"/>
    <s v="D3"/>
    <m/>
    <m/>
    <m/>
    <m/>
    <m/>
    <m/>
    <m/>
    <s v="03.02.2020"/>
    <m/>
    <s v="COM BANCARIAS"/>
    <n v="162"/>
    <m/>
    <m/>
    <m/>
    <s v="COM BANCARIAS BBVA 9070 AL 30.01.2020"/>
    <m/>
    <m/>
    <m/>
    <m/>
    <m/>
    <m/>
    <n v="340099150"/>
    <s v="JAVILES"/>
  </r>
  <r>
    <n v="3400"/>
    <s v="31.01.2020"/>
    <n v="2020"/>
    <d v="2020-01-01T00:00:00"/>
    <n v="1"/>
    <n v="880003547"/>
    <s v="Z6"/>
    <n v="40"/>
    <x v="1"/>
    <n v="11127102"/>
    <x v="1"/>
    <n v="596.5"/>
    <s v="MXN"/>
    <n v="596.5"/>
    <x v="0"/>
    <s v="D3"/>
    <m/>
    <m/>
    <m/>
    <m/>
    <m/>
    <m/>
    <m/>
    <s v="03.02.2020"/>
    <m/>
    <s v="COM BANCARIAS"/>
    <n v="596.5"/>
    <m/>
    <m/>
    <m/>
    <s v="COM BANCARIAS HSBC 9092 AL 31.01.2020"/>
    <m/>
    <m/>
    <m/>
    <m/>
    <m/>
    <m/>
    <n v="340099150"/>
    <s v="JAVILES"/>
  </r>
  <r>
    <n v="3400"/>
    <s v="31.01.2020"/>
    <n v="2020"/>
    <d v="2020-01-01T00:00:00"/>
    <n v="1"/>
    <n v="880003549"/>
    <s v="Z6"/>
    <n v="40"/>
    <x v="1"/>
    <n v="11127132"/>
    <x v="1"/>
    <n v="14"/>
    <s v="MXN"/>
    <n v="14"/>
    <x v="0"/>
    <s v="D3"/>
    <m/>
    <m/>
    <m/>
    <m/>
    <m/>
    <m/>
    <m/>
    <s v="03.02.2020"/>
    <m/>
    <s v="COM BANCARIAS"/>
    <n v="14"/>
    <m/>
    <m/>
    <m/>
    <s v="COM BANCARIAS HSBC 9142 AL 31.01.2020"/>
    <m/>
    <m/>
    <m/>
    <m/>
    <m/>
    <m/>
    <n v="340099150"/>
    <s v="JAVILES"/>
  </r>
  <r>
    <n v="3400"/>
    <s v="31.01.2020"/>
    <n v="2020"/>
    <d v="2020-01-01T00:00:00"/>
    <n v="1"/>
    <n v="880003550"/>
    <s v="Z6"/>
    <n v="40"/>
    <x v="1"/>
    <n v="11127112"/>
    <x v="1"/>
    <n v="35.229999999999997"/>
    <s v="USD"/>
    <n v="659.03"/>
    <x v="0"/>
    <s v="D3"/>
    <m/>
    <m/>
    <m/>
    <m/>
    <m/>
    <m/>
    <m/>
    <s v="03.02.2020"/>
    <m/>
    <s v="COM BANCARIAS"/>
    <n v="35.229999999999997"/>
    <m/>
    <m/>
    <m/>
    <s v="COM BANCARIAS HSBC 4796 AL 31.01.2020"/>
    <m/>
    <m/>
    <m/>
    <m/>
    <m/>
    <m/>
    <n v="340099150"/>
    <s v="JAVILES"/>
  </r>
  <r>
    <n v="3400"/>
    <s v="31.01.2020"/>
    <n v="2020"/>
    <d v="2020-01-01T00:00:00"/>
    <n v="1"/>
    <n v="880003552"/>
    <s v="Z6"/>
    <n v="40"/>
    <x v="1"/>
    <n v="11128102"/>
    <x v="1"/>
    <n v="1000"/>
    <s v="MXN"/>
    <n v="1000"/>
    <x v="0"/>
    <s v="D3"/>
    <m/>
    <m/>
    <m/>
    <m/>
    <m/>
    <m/>
    <m/>
    <s v="03.02.2020"/>
    <m/>
    <s v="COM BANCARIAS"/>
    <n v="1000"/>
    <m/>
    <m/>
    <m/>
    <s v="COM BANCARIAS SANTANDER 1595 AL 30.01.2020"/>
    <m/>
    <m/>
    <m/>
    <m/>
    <m/>
    <m/>
    <n v="340099150"/>
    <s v="JAVILES"/>
  </r>
  <r>
    <n v="3400"/>
    <s v="30.01.2020"/>
    <n v="2020"/>
    <d v="2020-01-01T00:00:00"/>
    <n v="1"/>
    <n v="880003554"/>
    <s v="Z6"/>
    <n v="40"/>
    <x v="1"/>
    <n v="11128112"/>
    <x v="1"/>
    <n v="6977.47"/>
    <s v="USD"/>
    <n v="131191.78"/>
    <x v="0"/>
    <s v="D3"/>
    <m/>
    <m/>
    <m/>
    <m/>
    <m/>
    <m/>
    <m/>
    <s v="03.02.2020"/>
    <m/>
    <s v="COM BANCARIAS"/>
    <n v="6977.47"/>
    <m/>
    <m/>
    <m/>
    <s v="COM BANCARIAS SANTANDER 3341 AL 30.01.2020"/>
    <m/>
    <m/>
    <m/>
    <m/>
    <m/>
    <m/>
    <n v="340099150"/>
    <s v="JAVILES"/>
  </r>
  <r>
    <n v="3400"/>
    <s v="31.01.2020"/>
    <n v="2020"/>
    <d v="2020-01-01T00:00:00"/>
    <n v="1"/>
    <n v="880003721"/>
    <s v="Z6"/>
    <n v="40"/>
    <x v="1"/>
    <n v="11125102"/>
    <x v="1"/>
    <n v="19158.11"/>
    <s v="MXN"/>
    <n v="19158.11"/>
    <x v="0"/>
    <s v="D3"/>
    <m/>
    <m/>
    <m/>
    <m/>
    <m/>
    <m/>
    <m/>
    <s v="04.02.2020"/>
    <m/>
    <s v="COM BANCARIAS"/>
    <n v="19158.11"/>
    <m/>
    <m/>
    <m/>
    <s v="COM BANCARIAS BBVA 9070 AL 31.01.2020"/>
    <m/>
    <m/>
    <m/>
    <m/>
    <m/>
    <m/>
    <n v="340099150"/>
    <s v="JAVILES"/>
  </r>
  <r>
    <n v="3403"/>
    <s v="31.01.2020"/>
    <n v="2020"/>
    <d v="2020-01-01T00:00:00"/>
    <n v="220"/>
    <n v="300018538"/>
    <s v="WA"/>
    <n v="81"/>
    <x v="0"/>
    <n v="11500070"/>
    <x v="0"/>
    <n v="443"/>
    <s v="MXN"/>
    <n v="443"/>
    <x v="0"/>
    <m/>
    <m/>
    <m/>
    <m/>
    <m/>
    <m/>
    <m/>
    <m/>
    <s v="01.02.2020"/>
    <m/>
    <n v="20200131"/>
    <n v="443"/>
    <m/>
    <m/>
    <m/>
    <m/>
    <m/>
    <m/>
    <m/>
    <m/>
    <m/>
    <m/>
    <n v="340353290"/>
    <s v="JBAUTISTA"/>
  </r>
  <r>
    <n v="3403"/>
    <s v="31.01.2020"/>
    <n v="2020"/>
    <d v="2020-01-01T00:00:00"/>
    <n v="222"/>
    <n v="300018538"/>
    <s v="WA"/>
    <n v="81"/>
    <x v="0"/>
    <n v="11500070"/>
    <x v="0"/>
    <n v="268.98"/>
    <s v="MXN"/>
    <n v="268.98"/>
    <x v="0"/>
    <m/>
    <m/>
    <m/>
    <m/>
    <m/>
    <m/>
    <m/>
    <m/>
    <s v="01.02.2020"/>
    <m/>
    <n v="20200131"/>
    <n v="268.98"/>
    <m/>
    <m/>
    <m/>
    <m/>
    <m/>
    <m/>
    <m/>
    <m/>
    <m/>
    <m/>
    <n v="340353290"/>
    <s v="JBAUTISTA"/>
  </r>
  <r>
    <n v="3403"/>
    <s v="31.01.2020"/>
    <n v="2020"/>
    <d v="2020-01-01T00:00:00"/>
    <n v="228"/>
    <n v="300018538"/>
    <s v="WA"/>
    <n v="81"/>
    <x v="0"/>
    <n v="11500070"/>
    <x v="0"/>
    <n v="5.63"/>
    <s v="MXN"/>
    <n v="5.63"/>
    <x v="0"/>
    <m/>
    <m/>
    <m/>
    <m/>
    <m/>
    <m/>
    <m/>
    <m/>
    <s v="01.02.2020"/>
    <m/>
    <n v="20200131"/>
    <n v="5.63"/>
    <m/>
    <m/>
    <m/>
    <m/>
    <m/>
    <m/>
    <m/>
    <m/>
    <m/>
    <m/>
    <n v="340353290"/>
    <s v="JBAUTISTA"/>
  </r>
  <r>
    <n v="3403"/>
    <s v="31.01.2020"/>
    <n v="2020"/>
    <d v="2020-01-01T00:00:00"/>
    <n v="232"/>
    <n v="300018538"/>
    <s v="WA"/>
    <n v="81"/>
    <x v="0"/>
    <n v="11500070"/>
    <x v="0"/>
    <n v="397.06"/>
    <s v="MXN"/>
    <n v="397.06"/>
    <x v="0"/>
    <m/>
    <m/>
    <m/>
    <m/>
    <m/>
    <m/>
    <m/>
    <m/>
    <s v="01.02.2020"/>
    <m/>
    <n v="20200131"/>
    <n v="397.06"/>
    <m/>
    <m/>
    <m/>
    <m/>
    <m/>
    <m/>
    <m/>
    <m/>
    <m/>
    <m/>
    <n v="340353290"/>
    <s v="JBAUTISTA"/>
  </r>
  <r>
    <n v="3402"/>
    <s v="31.01.2020"/>
    <n v="2020"/>
    <d v="2020-01-01T00:00:00"/>
    <n v="76"/>
    <n v="200114679"/>
    <s v="WA"/>
    <n v="81"/>
    <x v="0"/>
    <n v="11500020"/>
    <x v="0"/>
    <n v="1177"/>
    <s v="MXN"/>
    <n v="1177"/>
    <x v="0"/>
    <m/>
    <m/>
    <m/>
    <m/>
    <m/>
    <m/>
    <m/>
    <m/>
    <s v="01.02.2020"/>
    <m/>
    <n v="20200131"/>
    <n v="1177"/>
    <m/>
    <m/>
    <m/>
    <m/>
    <m/>
    <m/>
    <m/>
    <m/>
    <m/>
    <m/>
    <n v="340212490"/>
    <s v="AUXCOSTORVM1"/>
  </r>
  <r>
    <n v="3402"/>
    <s v="31.01.2020"/>
    <n v="2020"/>
    <d v="2020-01-01T00:00:00"/>
    <n v="120"/>
    <n v="200114679"/>
    <s v="WA"/>
    <n v="81"/>
    <x v="0"/>
    <n v="11500020"/>
    <x v="0"/>
    <n v="9666.65"/>
    <s v="MXN"/>
    <n v="9666.65"/>
    <x v="0"/>
    <m/>
    <m/>
    <m/>
    <m/>
    <m/>
    <m/>
    <m/>
    <m/>
    <s v="01.02.2020"/>
    <m/>
    <n v="20200131"/>
    <n v="9666.65"/>
    <m/>
    <m/>
    <m/>
    <m/>
    <m/>
    <m/>
    <m/>
    <m/>
    <m/>
    <m/>
    <n v="340212490"/>
    <s v="AUXCOSTORVM1"/>
  </r>
  <r>
    <n v="3402"/>
    <s v="31.01.2020"/>
    <n v="2020"/>
    <d v="2020-01-01T00:00:00"/>
    <n v="122"/>
    <n v="200114679"/>
    <s v="WA"/>
    <n v="81"/>
    <x v="0"/>
    <n v="11500020"/>
    <x v="0"/>
    <n v="14877.2"/>
    <s v="MXN"/>
    <n v="14877.2"/>
    <x v="0"/>
    <m/>
    <m/>
    <m/>
    <m/>
    <m/>
    <m/>
    <m/>
    <m/>
    <s v="01.02.2020"/>
    <m/>
    <n v="20200131"/>
    <n v="14877.2"/>
    <m/>
    <m/>
    <m/>
    <m/>
    <m/>
    <m/>
    <m/>
    <m/>
    <m/>
    <m/>
    <n v="340212490"/>
    <s v="AUXCOSTORVM1"/>
  </r>
  <r>
    <n v="3402"/>
    <s v="31.01.2020"/>
    <n v="2020"/>
    <d v="2020-01-01T00:00:00"/>
    <n v="104"/>
    <n v="200114664"/>
    <s v="WA"/>
    <n v="81"/>
    <x v="0"/>
    <n v="11500070"/>
    <x v="0"/>
    <n v="1620"/>
    <s v="MXN"/>
    <n v="1620"/>
    <x v="0"/>
    <m/>
    <m/>
    <m/>
    <m/>
    <m/>
    <m/>
    <m/>
    <m/>
    <s v="01.02.2020"/>
    <m/>
    <n v="20200131"/>
    <n v="1620"/>
    <m/>
    <m/>
    <m/>
    <m/>
    <m/>
    <m/>
    <m/>
    <m/>
    <m/>
    <m/>
    <n v="340253290"/>
    <s v="AUXCOSTORVM"/>
  </r>
  <r>
    <n v="3402"/>
    <s v="31.01.2020"/>
    <n v="2020"/>
    <d v="2020-01-01T00:00:00"/>
    <n v="144"/>
    <n v="200114664"/>
    <s v="WA"/>
    <n v="81"/>
    <x v="0"/>
    <n v="11500070"/>
    <x v="0"/>
    <n v="1510.3"/>
    <s v="MXN"/>
    <n v="1510.3"/>
    <x v="0"/>
    <m/>
    <m/>
    <m/>
    <m/>
    <m/>
    <m/>
    <m/>
    <m/>
    <s v="01.02.2020"/>
    <m/>
    <n v="20200131"/>
    <n v="1510.3"/>
    <m/>
    <m/>
    <m/>
    <m/>
    <m/>
    <m/>
    <m/>
    <m/>
    <m/>
    <m/>
    <n v="340253290"/>
    <s v="AUXCOSTORVM"/>
  </r>
  <r>
    <n v="3402"/>
    <s v="31.01.2020"/>
    <n v="2020"/>
    <d v="2020-01-01T00:00:00"/>
    <n v="156"/>
    <n v="200114664"/>
    <s v="WA"/>
    <n v="81"/>
    <x v="0"/>
    <n v="11500070"/>
    <x v="0"/>
    <n v="2059.38"/>
    <s v="MXN"/>
    <n v="2059.38"/>
    <x v="0"/>
    <m/>
    <m/>
    <m/>
    <m/>
    <m/>
    <m/>
    <m/>
    <m/>
    <s v="01.02.2020"/>
    <m/>
    <n v="20200131"/>
    <n v="2059.38"/>
    <m/>
    <m/>
    <m/>
    <m/>
    <m/>
    <m/>
    <m/>
    <m/>
    <m/>
    <m/>
    <n v="340253290"/>
    <s v="AUXCOSTORVM"/>
  </r>
  <r>
    <n v="3402"/>
    <s v="15.01.2020"/>
    <n v="2020"/>
    <d v="2020-01-01T00:00:00"/>
    <n v="2"/>
    <n v="200042661"/>
    <s v="WA"/>
    <n v="81"/>
    <x v="0"/>
    <n v="11500060"/>
    <x v="0"/>
    <n v="71.25"/>
    <s v="MXN"/>
    <n v="71.25"/>
    <x v="0"/>
    <m/>
    <m/>
    <m/>
    <m/>
    <m/>
    <m/>
    <m/>
    <m/>
    <s v="16.01.2020"/>
    <n v="15012020"/>
    <n v="20200115"/>
    <n v="71.25"/>
    <m/>
    <m/>
    <m/>
    <s v="Guante latex de cirujano con 100 pza"/>
    <m/>
    <m/>
    <m/>
    <m/>
    <m/>
    <m/>
    <n v="340219190"/>
    <s v="AUXCOSTORVM"/>
  </r>
  <r>
    <n v="3402"/>
    <s v="15.01.2020"/>
    <n v="2020"/>
    <d v="2020-01-01T00:00:00"/>
    <n v="2"/>
    <n v="200042663"/>
    <s v="WA"/>
    <n v="81"/>
    <x v="0"/>
    <n v="11500050"/>
    <x v="0"/>
    <n v="30"/>
    <s v="MXN"/>
    <n v="30"/>
    <x v="0"/>
    <m/>
    <m/>
    <m/>
    <m/>
    <m/>
    <m/>
    <m/>
    <m/>
    <s v="16.01.2020"/>
    <n v="15012020"/>
    <n v="20200115"/>
    <n v="30"/>
    <m/>
    <m/>
    <m/>
    <s v="Cintilla plastico 3.6x203 mm"/>
    <m/>
    <m/>
    <m/>
    <m/>
    <m/>
    <m/>
    <n v="340219190"/>
    <s v="AMAY"/>
  </r>
  <r>
    <n v="3402"/>
    <s v="15.01.2020"/>
    <n v="2020"/>
    <d v="2020-01-01T00:00:00"/>
    <n v="2"/>
    <n v="200042683"/>
    <s v="WA"/>
    <n v="91"/>
    <x v="0"/>
    <n v="11500050"/>
    <x v="0"/>
    <n v="30"/>
    <s v="MXN"/>
    <n v="30"/>
    <x v="0"/>
    <m/>
    <m/>
    <m/>
    <m/>
    <m/>
    <m/>
    <m/>
    <m/>
    <s v="16.01.2020"/>
    <n v="15012020"/>
    <n v="20200115"/>
    <n v="30"/>
    <m/>
    <m/>
    <m/>
    <s v="Cintilla plastico 3.6x203 mm"/>
    <m/>
    <m/>
    <m/>
    <m/>
    <m/>
    <m/>
    <n v="340219190"/>
    <s v="AMAY"/>
  </r>
  <r>
    <n v="3409"/>
    <s v="15.01.2020"/>
    <n v="2020"/>
    <d v="2020-01-01T00:00:00"/>
    <n v="61"/>
    <n v="900005283"/>
    <s v="Z4"/>
    <n v="40"/>
    <x v="1"/>
    <n v="5000001"/>
    <x v="1"/>
    <n v="20"/>
    <s v="USD"/>
    <n v="376.43"/>
    <x v="0"/>
    <m/>
    <m/>
    <m/>
    <m/>
    <m/>
    <m/>
    <m/>
    <m/>
    <s v="16.01.2020"/>
    <m/>
    <n v="20200115"/>
    <n v="20"/>
    <m/>
    <m/>
    <m/>
    <s v="BOFA 2501 200106656781 BB 2211221 06.01.2020 $20 U"/>
    <m/>
    <m/>
    <m/>
    <m/>
    <m/>
    <m/>
    <n v="340940390"/>
    <s v="PIRFC"/>
  </r>
  <r>
    <n v="3400"/>
    <s v="15.01.2020"/>
    <n v="2020"/>
    <d v="2020-01-01T00:00:00"/>
    <n v="1"/>
    <n v="880000351"/>
    <s v="Z6"/>
    <n v="40"/>
    <x v="1"/>
    <n v="11128102"/>
    <x v="1"/>
    <n v="11279.32"/>
    <s v="MXN"/>
    <n v="11279.32"/>
    <x v="0"/>
    <s v="D3"/>
    <m/>
    <m/>
    <m/>
    <m/>
    <m/>
    <m/>
    <m/>
    <s v="16.01.2020"/>
    <m/>
    <n v="20200115"/>
    <n v="11279.32"/>
    <m/>
    <m/>
    <m/>
    <s v="comisiones 1595 stdr"/>
    <m/>
    <m/>
    <m/>
    <m/>
    <m/>
    <m/>
    <n v="340099150"/>
    <s v="BAVILA"/>
  </r>
  <r>
    <n v="3400"/>
    <s v="15.01.2020"/>
    <n v="2020"/>
    <d v="2020-01-01T00:00:00"/>
    <n v="1"/>
    <n v="880000356"/>
    <s v="Z6"/>
    <n v="40"/>
    <x v="1"/>
    <n v="11127102"/>
    <x v="1"/>
    <n v="621.5"/>
    <s v="MXN"/>
    <n v="621.5"/>
    <x v="0"/>
    <s v="D3"/>
    <m/>
    <m/>
    <m/>
    <m/>
    <m/>
    <m/>
    <m/>
    <s v="16.01.2020"/>
    <m/>
    <n v="20200115"/>
    <n v="621.5"/>
    <m/>
    <m/>
    <m/>
    <s v="comisiones 9092 hsbc"/>
    <m/>
    <m/>
    <m/>
    <m/>
    <m/>
    <m/>
    <n v="340099150"/>
    <s v="BAVILA"/>
  </r>
  <r>
    <n v="3402"/>
    <s v="15.01.2020"/>
    <n v="2020"/>
    <d v="2020-01-01T00:00:00"/>
    <n v="2"/>
    <n v="200042632"/>
    <s v="WA"/>
    <n v="81"/>
    <x v="0"/>
    <n v="11500060"/>
    <x v="0"/>
    <n v="142.5"/>
    <s v="MXN"/>
    <n v="142.5"/>
    <x v="0"/>
    <m/>
    <m/>
    <m/>
    <m/>
    <m/>
    <m/>
    <m/>
    <m/>
    <s v="16.01.2020"/>
    <n v="15012020"/>
    <n v="20200115"/>
    <n v="142.5"/>
    <m/>
    <m/>
    <m/>
    <s v="Guante latex de cirujano con 100 pza"/>
    <m/>
    <m/>
    <m/>
    <m/>
    <m/>
    <m/>
    <n v="340253890"/>
    <s v="AUXCOSTORVM"/>
  </r>
  <r>
    <n v="3402"/>
    <s v="15.01.2020"/>
    <n v="2020"/>
    <d v="2020-01-01T00:00:00"/>
    <n v="4"/>
    <n v="200042697"/>
    <s v="WA"/>
    <n v="81"/>
    <x v="0"/>
    <n v="11500050"/>
    <x v="0"/>
    <n v="30"/>
    <s v="MXN"/>
    <n v="30"/>
    <x v="0"/>
    <m/>
    <m/>
    <m/>
    <m/>
    <m/>
    <m/>
    <m/>
    <m/>
    <s v="16.01.2020"/>
    <n v="15012020"/>
    <n v="20200115"/>
    <n v="30"/>
    <m/>
    <m/>
    <m/>
    <s v="Cintilla plastico 3.6x203 mm"/>
    <m/>
    <m/>
    <m/>
    <m/>
    <m/>
    <m/>
    <n v="340210590"/>
    <s v="AMAY"/>
  </r>
  <r>
    <n v="3406"/>
    <s v="15.01.2020"/>
    <n v="2020"/>
    <d v="2020-01-01T00:00:00"/>
    <n v="2"/>
    <n v="600013722"/>
    <s v="WA"/>
    <n v="81"/>
    <x v="0"/>
    <n v="11500060"/>
    <x v="0"/>
    <n v="71.25"/>
    <s v="MXN"/>
    <n v="71.25"/>
    <x v="0"/>
    <m/>
    <m/>
    <m/>
    <m/>
    <m/>
    <m/>
    <m/>
    <m/>
    <s v="16.01.2020"/>
    <n v="15012020"/>
    <n v="20200115"/>
    <n v="71.25"/>
    <m/>
    <m/>
    <m/>
    <s v="Guante latex de cirujano con 100 pza"/>
    <m/>
    <m/>
    <m/>
    <m/>
    <m/>
    <m/>
    <n v="340619190"/>
    <s v="JGARCIA"/>
  </r>
  <r>
    <n v="3400"/>
    <s v="15.01.2020"/>
    <n v="2020"/>
    <d v="2020-01-01T00:00:00"/>
    <n v="1"/>
    <n v="880000755"/>
    <s v="Z6"/>
    <n v="40"/>
    <x v="1"/>
    <n v="11123162"/>
    <x v="1"/>
    <n v="36395.949999999997"/>
    <s v="USD"/>
    <n v="685026.37"/>
    <x v="0"/>
    <m/>
    <m/>
    <m/>
    <m/>
    <m/>
    <m/>
    <m/>
    <m/>
    <s v="21.01.2020"/>
    <m/>
    <n v="20200115"/>
    <n v="36395.949999999997"/>
    <m/>
    <m/>
    <m/>
    <s v="NONREF 12/19 ACCT ANALYSIS FEE DIC"/>
    <m/>
    <m/>
    <m/>
    <m/>
    <m/>
    <m/>
    <n v="340099150"/>
    <s v="JAVILES"/>
  </r>
  <r>
    <n v="3407"/>
    <s v="31.01.2020"/>
    <n v="2020"/>
    <d v="2020-01-01T00:00:00"/>
    <n v="122"/>
    <n v="700041818"/>
    <s v="WA"/>
    <n v="81"/>
    <x v="0"/>
    <n v="11500010"/>
    <x v="0"/>
    <n v="150"/>
    <s v="MXN"/>
    <n v="150"/>
    <x v="0"/>
    <m/>
    <m/>
    <m/>
    <m/>
    <m/>
    <m/>
    <m/>
    <m/>
    <s v="02.02.2020"/>
    <m/>
    <n v="20200131"/>
    <n v="150"/>
    <m/>
    <m/>
    <m/>
    <m/>
    <m/>
    <m/>
    <m/>
    <m/>
    <m/>
    <m/>
    <n v="340712590"/>
    <s v="JCOSTOSHRLC"/>
  </r>
  <r>
    <n v="3407"/>
    <s v="31.01.2020"/>
    <n v="2020"/>
    <d v="2020-01-01T00:00:00"/>
    <n v="128"/>
    <n v="700041818"/>
    <s v="WA"/>
    <n v="81"/>
    <x v="0"/>
    <n v="11500010"/>
    <x v="0"/>
    <n v="215.67"/>
    <s v="MXN"/>
    <n v="215.67"/>
    <x v="0"/>
    <m/>
    <m/>
    <m/>
    <m/>
    <m/>
    <m/>
    <m/>
    <m/>
    <s v="02.02.2020"/>
    <m/>
    <n v="20200131"/>
    <n v="215.67"/>
    <m/>
    <m/>
    <m/>
    <m/>
    <m/>
    <m/>
    <m/>
    <m/>
    <m/>
    <m/>
    <n v="340712590"/>
    <s v="JCOSTOSHRLC"/>
  </r>
  <r>
    <n v="3407"/>
    <s v="31.01.2020"/>
    <n v="2020"/>
    <d v="2020-01-01T00:00:00"/>
    <n v="218"/>
    <n v="700041800"/>
    <s v="WA"/>
    <n v="81"/>
    <x v="0"/>
    <n v="11500020"/>
    <x v="0"/>
    <n v="620.25"/>
    <s v="MXN"/>
    <n v="620.25"/>
    <x v="0"/>
    <m/>
    <m/>
    <m/>
    <m/>
    <m/>
    <m/>
    <m/>
    <m/>
    <s v="02.02.2020"/>
    <m/>
    <n v="20200131"/>
    <n v="620.25"/>
    <m/>
    <m/>
    <m/>
    <m/>
    <m/>
    <m/>
    <m/>
    <m/>
    <m/>
    <m/>
    <n v="340712390"/>
    <s v="AUXCOSTOHRLC"/>
  </r>
  <r>
    <n v="3402"/>
    <s v="31.01.2020"/>
    <n v="2020"/>
    <d v="2020-01-01T00:00:00"/>
    <n v="90"/>
    <n v="200114681"/>
    <s v="WA"/>
    <n v="81"/>
    <x v="0"/>
    <n v="11500010"/>
    <x v="0"/>
    <n v="4365.09"/>
    <s v="MXN"/>
    <n v="4365.09"/>
    <x v="0"/>
    <m/>
    <m/>
    <m/>
    <m/>
    <m/>
    <m/>
    <m/>
    <m/>
    <s v="01.02.2020"/>
    <m/>
    <n v="20200131"/>
    <n v="4365.09"/>
    <m/>
    <m/>
    <m/>
    <m/>
    <m/>
    <m/>
    <m/>
    <m/>
    <m/>
    <m/>
    <n v="340255290"/>
    <s v="AMAY"/>
  </r>
  <r>
    <n v="3402"/>
    <s v="31.01.2020"/>
    <n v="2020"/>
    <d v="2020-01-01T00:00:00"/>
    <n v="92"/>
    <n v="200114681"/>
    <s v="WA"/>
    <n v="81"/>
    <x v="0"/>
    <n v="11500010"/>
    <x v="0"/>
    <n v="962.75"/>
    <s v="MXN"/>
    <n v="962.75"/>
    <x v="0"/>
    <m/>
    <m/>
    <m/>
    <m/>
    <m/>
    <m/>
    <m/>
    <m/>
    <s v="01.02.2020"/>
    <m/>
    <n v="20200131"/>
    <n v="962.75"/>
    <m/>
    <m/>
    <m/>
    <m/>
    <m/>
    <m/>
    <m/>
    <m/>
    <m/>
    <m/>
    <n v="340255290"/>
    <s v="AMAY"/>
  </r>
  <r>
    <n v="3402"/>
    <s v="31.01.2020"/>
    <n v="2020"/>
    <d v="2020-01-01T00:00:00"/>
    <n v="94"/>
    <n v="200114681"/>
    <s v="WA"/>
    <n v="81"/>
    <x v="0"/>
    <n v="11500010"/>
    <x v="0"/>
    <n v="4693.3500000000004"/>
    <s v="MXN"/>
    <n v="4693.3500000000004"/>
    <x v="0"/>
    <m/>
    <m/>
    <m/>
    <m/>
    <m/>
    <m/>
    <m/>
    <m/>
    <s v="01.02.2020"/>
    <m/>
    <n v="20200131"/>
    <n v="4693.3500000000004"/>
    <m/>
    <m/>
    <m/>
    <m/>
    <m/>
    <m/>
    <m/>
    <m/>
    <m/>
    <m/>
    <n v="340255290"/>
    <s v="AMAY"/>
  </r>
  <r>
    <n v="3402"/>
    <s v="31.01.2020"/>
    <n v="2020"/>
    <d v="2020-01-01T00:00:00"/>
    <n v="96"/>
    <n v="200114681"/>
    <s v="WA"/>
    <n v="81"/>
    <x v="0"/>
    <n v="11500010"/>
    <x v="0"/>
    <n v="2785.68"/>
    <s v="MXN"/>
    <n v="2785.68"/>
    <x v="0"/>
    <m/>
    <m/>
    <m/>
    <m/>
    <m/>
    <m/>
    <m/>
    <m/>
    <s v="01.02.2020"/>
    <m/>
    <n v="20200131"/>
    <n v="2785.68"/>
    <m/>
    <m/>
    <m/>
    <m/>
    <m/>
    <m/>
    <m/>
    <m/>
    <m/>
    <m/>
    <n v="340255290"/>
    <s v="AMAY"/>
  </r>
  <r>
    <n v="3402"/>
    <s v="31.01.2020"/>
    <n v="2020"/>
    <d v="2020-01-01T00:00:00"/>
    <n v="98"/>
    <n v="200114681"/>
    <s v="WA"/>
    <n v="81"/>
    <x v="0"/>
    <n v="11500010"/>
    <x v="0"/>
    <n v="1188.3800000000001"/>
    <s v="MXN"/>
    <n v="1188.3800000000001"/>
    <x v="0"/>
    <m/>
    <m/>
    <m/>
    <m/>
    <m/>
    <m/>
    <m/>
    <m/>
    <s v="01.02.2020"/>
    <m/>
    <n v="20200131"/>
    <n v="1188.3800000000001"/>
    <m/>
    <m/>
    <m/>
    <m/>
    <m/>
    <m/>
    <m/>
    <m/>
    <m/>
    <m/>
    <n v="340255290"/>
    <s v="AMAY"/>
  </r>
  <r>
    <n v="3402"/>
    <s v="31.01.2020"/>
    <n v="2020"/>
    <d v="2020-01-01T00:00:00"/>
    <n v="100"/>
    <n v="200114681"/>
    <s v="WA"/>
    <n v="81"/>
    <x v="0"/>
    <n v="11500010"/>
    <x v="0"/>
    <n v="770.16"/>
    <s v="MXN"/>
    <n v="770.16"/>
    <x v="0"/>
    <m/>
    <m/>
    <m/>
    <m/>
    <m/>
    <m/>
    <m/>
    <m/>
    <s v="01.02.2020"/>
    <m/>
    <n v="20200131"/>
    <n v="770.16"/>
    <m/>
    <m/>
    <m/>
    <m/>
    <m/>
    <m/>
    <m/>
    <m/>
    <m/>
    <m/>
    <n v="340255290"/>
    <s v="AMAY"/>
  </r>
  <r>
    <n v="3402"/>
    <s v="31.01.2020"/>
    <n v="2020"/>
    <d v="2020-01-01T00:00:00"/>
    <n v="102"/>
    <n v="200114681"/>
    <s v="WA"/>
    <n v="81"/>
    <x v="0"/>
    <n v="11500010"/>
    <x v="0"/>
    <n v="248.06"/>
    <s v="MXN"/>
    <n v="248.06"/>
    <x v="0"/>
    <m/>
    <m/>
    <m/>
    <m/>
    <m/>
    <m/>
    <m/>
    <m/>
    <s v="01.02.2020"/>
    <m/>
    <n v="20200131"/>
    <n v="248.06"/>
    <m/>
    <m/>
    <m/>
    <m/>
    <m/>
    <m/>
    <m/>
    <m/>
    <m/>
    <m/>
    <n v="340255290"/>
    <s v="AMAY"/>
  </r>
  <r>
    <n v="3406"/>
    <s v="31.01.2020"/>
    <n v="2020"/>
    <d v="2020-01-01T00:00:00"/>
    <n v="190"/>
    <n v="600031598"/>
    <s v="WA"/>
    <n v="81"/>
    <x v="0"/>
    <n v="11500010"/>
    <x v="0"/>
    <n v="731.49"/>
    <s v="MXN"/>
    <n v="731.49"/>
    <x v="0"/>
    <m/>
    <m/>
    <m/>
    <m/>
    <m/>
    <m/>
    <m/>
    <m/>
    <s v="01.02.2020"/>
    <m/>
    <n v="20200131"/>
    <n v="731.49"/>
    <m/>
    <m/>
    <m/>
    <m/>
    <m/>
    <m/>
    <m/>
    <m/>
    <m/>
    <m/>
    <n v="340612590"/>
    <s v="JGARCIA"/>
  </r>
  <r>
    <n v="3406"/>
    <s v="31.01.2020"/>
    <n v="2020"/>
    <d v="2020-01-01T00:00:00"/>
    <n v="10"/>
    <n v="600031600"/>
    <s v="WA"/>
    <n v="81"/>
    <x v="0"/>
    <n v="11500010"/>
    <x v="0"/>
    <n v="731.49"/>
    <s v="MXN"/>
    <n v="731.49"/>
    <x v="0"/>
    <m/>
    <m/>
    <m/>
    <m/>
    <m/>
    <m/>
    <m/>
    <m/>
    <s v="01.02.2020"/>
    <m/>
    <n v="20200131"/>
    <n v="731.49"/>
    <m/>
    <m/>
    <m/>
    <m/>
    <m/>
    <m/>
    <m/>
    <m/>
    <m/>
    <m/>
    <n v="340612590"/>
    <s v="JGARCIA"/>
  </r>
  <r>
    <n v="3406"/>
    <s v="31.01.2020"/>
    <n v="2020"/>
    <d v="2020-01-01T00:00:00"/>
    <n v="14"/>
    <n v="600031600"/>
    <s v="WA"/>
    <n v="81"/>
    <x v="0"/>
    <n v="11500010"/>
    <x v="0"/>
    <n v="546.66999999999996"/>
    <s v="MXN"/>
    <n v="546.66999999999996"/>
    <x v="0"/>
    <m/>
    <m/>
    <m/>
    <m/>
    <m/>
    <m/>
    <m/>
    <m/>
    <s v="01.02.2020"/>
    <m/>
    <n v="20200131"/>
    <n v="546.66999999999996"/>
    <m/>
    <m/>
    <m/>
    <m/>
    <m/>
    <m/>
    <m/>
    <m/>
    <m/>
    <m/>
    <n v="340612590"/>
    <s v="JGARCIA"/>
  </r>
  <r>
    <n v="3401"/>
    <s v="31.01.2020"/>
    <n v="2020"/>
    <d v="2020-01-01T00:00:00"/>
    <n v="80"/>
    <n v="100031711"/>
    <s v="WA"/>
    <n v="81"/>
    <x v="0"/>
    <n v="11500010"/>
    <x v="0"/>
    <n v="678.33"/>
    <s v="MXN"/>
    <n v="678.33"/>
    <x v="0"/>
    <m/>
    <m/>
    <m/>
    <m/>
    <m/>
    <m/>
    <m/>
    <m/>
    <s v="31.01.2020"/>
    <m/>
    <n v="20200131"/>
    <n v="678.33"/>
    <m/>
    <m/>
    <m/>
    <m/>
    <m/>
    <m/>
    <m/>
    <m/>
    <m/>
    <m/>
    <n v="340116690"/>
    <s v="FLUGO"/>
  </r>
  <r>
    <n v="3401"/>
    <s v="31.01.2020"/>
    <n v="2020"/>
    <d v="2020-01-01T00:00:00"/>
    <n v="82"/>
    <n v="100031711"/>
    <s v="WA"/>
    <n v="81"/>
    <x v="0"/>
    <n v="11500010"/>
    <x v="0"/>
    <n v="546.66999999999996"/>
    <s v="MXN"/>
    <n v="546.66999999999996"/>
    <x v="0"/>
    <m/>
    <m/>
    <m/>
    <m/>
    <m/>
    <m/>
    <m/>
    <m/>
    <s v="31.01.2020"/>
    <m/>
    <n v="20200131"/>
    <n v="546.66999999999996"/>
    <m/>
    <m/>
    <m/>
    <m/>
    <m/>
    <m/>
    <m/>
    <m/>
    <m/>
    <m/>
    <n v="340116690"/>
    <s v="FLUGO"/>
  </r>
  <r>
    <n v="3400"/>
    <s v="28.01.2020"/>
    <n v="2020"/>
    <d v="2020-01-01T00:00:00"/>
    <n v="1"/>
    <n v="880003126"/>
    <s v="Z6"/>
    <n v="40"/>
    <x v="1"/>
    <n v="11125102"/>
    <x v="1"/>
    <n v="9669.09"/>
    <s v="MXN"/>
    <n v="9669.09"/>
    <x v="0"/>
    <s v="D3"/>
    <m/>
    <m/>
    <m/>
    <m/>
    <m/>
    <m/>
    <m/>
    <s v="29.01.2020"/>
    <m/>
    <n v="20200128"/>
    <n v="9669.09"/>
    <m/>
    <m/>
    <m/>
    <s v="comisiones 9070 bbva"/>
    <m/>
    <m/>
    <m/>
    <m/>
    <m/>
    <m/>
    <n v="340099150"/>
    <s v="BAVILA"/>
  </r>
  <r>
    <n v="3400"/>
    <s v="28.01.2020"/>
    <n v="2020"/>
    <d v="2020-01-01T00:00:00"/>
    <n v="1"/>
    <n v="880003127"/>
    <s v="Z6"/>
    <n v="40"/>
    <x v="1"/>
    <n v="11128102"/>
    <x v="1"/>
    <n v="15215.49"/>
    <s v="MXN"/>
    <n v="15215.49"/>
    <x v="0"/>
    <s v="D3"/>
    <m/>
    <m/>
    <m/>
    <m/>
    <m/>
    <m/>
    <m/>
    <s v="29.01.2020"/>
    <m/>
    <n v="20200128"/>
    <n v="15215.49"/>
    <m/>
    <m/>
    <m/>
    <s v="comisiones 9092 hsbc"/>
    <m/>
    <m/>
    <m/>
    <m/>
    <m/>
    <m/>
    <n v="340099150"/>
    <s v="BAVILA"/>
  </r>
  <r>
    <n v="3400"/>
    <s v="28.01.2020"/>
    <n v="2020"/>
    <d v="2020-01-01T00:00:00"/>
    <n v="1"/>
    <n v="880003134"/>
    <s v="Z6"/>
    <n v="40"/>
    <x v="1"/>
    <n v="11128112"/>
    <x v="1"/>
    <n v="76424.55"/>
    <s v="USD"/>
    <n v="1439173.63"/>
    <x v="0"/>
    <s v="D3"/>
    <m/>
    <m/>
    <m/>
    <m/>
    <m/>
    <m/>
    <m/>
    <s v="29.01.2020"/>
    <m/>
    <n v="20200128"/>
    <n v="76424.55"/>
    <m/>
    <m/>
    <m/>
    <s v="comisiones 3341 stdr"/>
    <m/>
    <m/>
    <m/>
    <m/>
    <m/>
    <m/>
    <n v="340099150"/>
    <s v="BAVILA"/>
  </r>
  <r>
    <n v="3403"/>
    <s v="07.01.2020"/>
    <n v="2020"/>
    <d v="2020-01-01T00:00:00"/>
    <n v="3"/>
    <n v="300004245"/>
    <s v="DZ"/>
    <n v="40"/>
    <x v="1"/>
    <n v="1000060986"/>
    <x v="1"/>
    <n v="27"/>
    <s v="USD"/>
    <n v="509.42"/>
    <x v="0"/>
    <m/>
    <m/>
    <m/>
    <m/>
    <m/>
    <m/>
    <m/>
    <m/>
    <s v="08.01.2020"/>
    <n v="200106656781"/>
    <n v="2178465"/>
    <n v="27"/>
    <m/>
    <m/>
    <m/>
    <s v="BOFA2501 BB2178465 GRUPO PALING PANAMA 20+COM BANK"/>
    <m/>
    <m/>
    <m/>
    <m/>
    <m/>
    <m/>
    <n v="340340390"/>
    <s v="CXC11"/>
  </r>
  <r>
    <n v="3401"/>
    <s v="21.01.2020"/>
    <n v="2020"/>
    <d v="2020-01-01T00:00:00"/>
    <n v="2"/>
    <n v="100029192"/>
    <s v="DZ"/>
    <n v="40"/>
    <x v="1"/>
    <n v="1000044624"/>
    <x v="1"/>
    <n v="27"/>
    <s v="USD"/>
    <n v="505.95"/>
    <x v="0"/>
    <m/>
    <m/>
    <m/>
    <m/>
    <m/>
    <m/>
    <m/>
    <m/>
    <s v="29.01.2020"/>
    <n v="4304150"/>
    <n v="1000044624"/>
    <n v="27"/>
    <m/>
    <m/>
    <m/>
    <s v="UNION QUIMICA GENOM H. 2216238 21.01.2020 COM BANK"/>
    <m/>
    <m/>
    <m/>
    <m/>
    <m/>
    <m/>
    <n v="340140390"/>
    <s v="CXC19"/>
  </r>
  <r>
    <n v="3407"/>
    <s v="24.01.2020"/>
    <n v="2020"/>
    <d v="2020-01-01T00:00:00"/>
    <n v="1"/>
    <n v="880015032"/>
    <s v="Z6"/>
    <n v="40"/>
    <x v="1"/>
    <n v="604821"/>
    <x v="1"/>
    <n v="239472.16"/>
    <s v="USD"/>
    <n v="4475327.57"/>
    <x v="0"/>
    <m/>
    <m/>
    <m/>
    <m/>
    <m/>
    <m/>
    <m/>
    <m/>
    <s v="06.02.2020"/>
    <m/>
    <n v="20200124"/>
    <n v="239472.16"/>
    <m/>
    <m/>
    <m/>
    <s v="DEVOLUCION FONDO RESERVA BANCOMEX"/>
    <m/>
    <m/>
    <m/>
    <m/>
    <m/>
    <m/>
    <n v="340799190"/>
    <s v="FLARA"/>
  </r>
  <r>
    <n v="3400"/>
    <s v="29.01.2020"/>
    <n v="2020"/>
    <d v="2020-01-01T00:00:00"/>
    <n v="1"/>
    <n v="100009788"/>
    <s v="FE"/>
    <n v="40"/>
    <x v="2"/>
    <n v="21021040"/>
    <x v="2"/>
    <n v="77157.97"/>
    <s v="USD"/>
    <n v="1461425.96"/>
    <x v="0"/>
    <s v="D0"/>
    <m/>
    <m/>
    <m/>
    <m/>
    <m/>
    <m/>
    <m/>
    <s v="29.01.2020"/>
    <m/>
    <s v="REFG:RCDPI00020230"/>
    <n v="77157.97"/>
    <m/>
    <m/>
    <m/>
    <s v="DESC AS: Display Expedia"/>
    <m/>
    <m/>
    <m/>
    <m/>
    <m/>
    <m/>
    <n v="340020050"/>
    <s v="PIRFC"/>
  </r>
  <r>
    <n v="3402"/>
    <s v="31.01.2020"/>
    <n v="2020"/>
    <d v="2020-01-01T00:00:00"/>
    <n v="1"/>
    <n v="200120056"/>
    <s v="SA"/>
    <n v="50"/>
    <x v="3"/>
    <n v="21230140"/>
    <x v="3"/>
    <n v="7955.8"/>
    <s v="USD"/>
    <n v="156023.57999999999"/>
    <x v="0"/>
    <m/>
    <m/>
    <m/>
    <m/>
    <m/>
    <m/>
    <m/>
    <m/>
    <s v="02.02.2020"/>
    <s v="WOODWARD NOV"/>
    <n v="20191130"/>
    <n v="7955.8"/>
    <m/>
    <m/>
    <m/>
    <s v="HRRM ROYALTY FEES WOODWARD NOV 2019"/>
    <m/>
    <m/>
    <m/>
    <m/>
    <m/>
    <m/>
    <n v="340275190"/>
    <s v="THUCHIN"/>
  </r>
  <r>
    <n v="3407"/>
    <s v="31.01.2020"/>
    <n v="2020"/>
    <d v="2020-01-01T00:00:00"/>
    <n v="56"/>
    <n v="700041813"/>
    <s v="WA"/>
    <n v="81"/>
    <x v="0"/>
    <n v="11500040"/>
    <x v="0"/>
    <n v="1340.67"/>
    <s v="MXN"/>
    <n v="1340.67"/>
    <x v="0"/>
    <m/>
    <m/>
    <m/>
    <m/>
    <m/>
    <m/>
    <m/>
    <m/>
    <s v="02.02.2020"/>
    <m/>
    <n v="20200131"/>
    <n v="1340.67"/>
    <m/>
    <m/>
    <m/>
    <m/>
    <m/>
    <m/>
    <m/>
    <m/>
    <m/>
    <m/>
    <n v="340710490"/>
    <s v="JCOSTOSHRLC"/>
  </r>
  <r>
    <n v="3407"/>
    <s v="31.01.2020"/>
    <n v="2020"/>
    <d v="2020-01-01T00:00:00"/>
    <n v="58"/>
    <n v="700041813"/>
    <s v="WA"/>
    <n v="81"/>
    <x v="0"/>
    <n v="11500040"/>
    <x v="0"/>
    <n v="790"/>
    <s v="MXN"/>
    <n v="790"/>
    <x v="0"/>
    <m/>
    <m/>
    <m/>
    <m/>
    <m/>
    <m/>
    <m/>
    <m/>
    <s v="02.02.2020"/>
    <m/>
    <n v="20200131"/>
    <n v="790"/>
    <m/>
    <m/>
    <m/>
    <m/>
    <m/>
    <m/>
    <m/>
    <m/>
    <m/>
    <m/>
    <n v="340710490"/>
    <s v="JCOSTOSHRLC"/>
  </r>
  <r>
    <n v="3407"/>
    <s v="31.01.2020"/>
    <n v="2020"/>
    <d v="2020-01-01T00:00:00"/>
    <n v="64"/>
    <n v="700041813"/>
    <s v="WA"/>
    <n v="81"/>
    <x v="0"/>
    <n v="11500040"/>
    <x v="0"/>
    <n v="693"/>
    <s v="MXN"/>
    <n v="693"/>
    <x v="0"/>
    <m/>
    <m/>
    <m/>
    <m/>
    <m/>
    <m/>
    <m/>
    <m/>
    <s v="02.02.2020"/>
    <m/>
    <n v="20200131"/>
    <n v="693"/>
    <m/>
    <m/>
    <m/>
    <m/>
    <m/>
    <m/>
    <m/>
    <m/>
    <m/>
    <m/>
    <n v="340710490"/>
    <s v="JCOSTOSHRLC"/>
  </r>
  <r>
    <n v="3407"/>
    <s v="31.01.2020"/>
    <n v="2020"/>
    <d v="2020-01-01T00:00:00"/>
    <n v="70"/>
    <n v="700041813"/>
    <s v="WA"/>
    <n v="81"/>
    <x v="0"/>
    <n v="11500040"/>
    <x v="0"/>
    <n v="12.08"/>
    <s v="MXN"/>
    <n v="12.08"/>
    <x v="0"/>
    <m/>
    <m/>
    <m/>
    <m/>
    <m/>
    <m/>
    <m/>
    <m/>
    <s v="02.02.2020"/>
    <m/>
    <n v="20200131"/>
    <n v="12.08"/>
    <m/>
    <m/>
    <m/>
    <m/>
    <m/>
    <m/>
    <m/>
    <m/>
    <m/>
    <m/>
    <n v="340710490"/>
    <s v="JCOSTOSHRLC"/>
  </r>
  <r>
    <n v="3407"/>
    <s v="31.01.2020"/>
    <n v="2020"/>
    <d v="2020-01-01T00:00:00"/>
    <n v="72"/>
    <n v="700041813"/>
    <s v="WA"/>
    <n v="81"/>
    <x v="0"/>
    <n v="11500040"/>
    <x v="0"/>
    <n v="1380.34"/>
    <s v="MXN"/>
    <n v="1380.34"/>
    <x v="0"/>
    <m/>
    <m/>
    <m/>
    <m/>
    <m/>
    <m/>
    <m/>
    <m/>
    <s v="02.02.2020"/>
    <m/>
    <n v="20200131"/>
    <n v="1380.34"/>
    <m/>
    <m/>
    <m/>
    <m/>
    <m/>
    <m/>
    <m/>
    <m/>
    <m/>
    <m/>
    <n v="340710490"/>
    <s v="JCOSTOSHRLC"/>
  </r>
  <r>
    <n v="3407"/>
    <s v="31.01.2020"/>
    <n v="2020"/>
    <d v="2020-01-01T00:00:00"/>
    <n v="154"/>
    <n v="700041813"/>
    <s v="WA"/>
    <n v="81"/>
    <x v="0"/>
    <n v="11500040"/>
    <x v="0"/>
    <n v="1436.72"/>
    <s v="MXN"/>
    <n v="1436.72"/>
    <x v="0"/>
    <m/>
    <m/>
    <m/>
    <m/>
    <m/>
    <m/>
    <m/>
    <m/>
    <s v="02.02.2020"/>
    <m/>
    <n v="20200131"/>
    <n v="1436.72"/>
    <m/>
    <m/>
    <m/>
    <m/>
    <m/>
    <m/>
    <m/>
    <m/>
    <m/>
    <m/>
    <n v="340710490"/>
    <s v="JCOSTOSHRLC"/>
  </r>
  <r>
    <n v="3407"/>
    <s v="31.01.2020"/>
    <n v="2020"/>
    <d v="2020-01-01T00:00:00"/>
    <n v="156"/>
    <n v="700041813"/>
    <s v="WA"/>
    <n v="81"/>
    <x v="0"/>
    <n v="11500040"/>
    <x v="0"/>
    <n v="6673.89"/>
    <s v="MXN"/>
    <n v="6673.89"/>
    <x v="0"/>
    <m/>
    <m/>
    <m/>
    <m/>
    <m/>
    <m/>
    <m/>
    <m/>
    <s v="02.02.2020"/>
    <m/>
    <n v="20200131"/>
    <n v="6673.89"/>
    <m/>
    <m/>
    <m/>
    <m/>
    <m/>
    <m/>
    <m/>
    <m/>
    <m/>
    <m/>
    <n v="340710490"/>
    <s v="JCOSTOSHRLC"/>
  </r>
  <r>
    <n v="3407"/>
    <s v="31.01.2020"/>
    <n v="2020"/>
    <d v="2020-01-01T00:00:00"/>
    <n v="158"/>
    <n v="700041813"/>
    <s v="WA"/>
    <n v="81"/>
    <x v="0"/>
    <n v="11500040"/>
    <x v="0"/>
    <n v="1772.88"/>
    <s v="MXN"/>
    <n v="1772.88"/>
    <x v="0"/>
    <m/>
    <m/>
    <m/>
    <m/>
    <m/>
    <m/>
    <m/>
    <m/>
    <s v="02.02.2020"/>
    <m/>
    <n v="20200131"/>
    <n v="1772.88"/>
    <m/>
    <m/>
    <m/>
    <m/>
    <m/>
    <m/>
    <m/>
    <m/>
    <m/>
    <m/>
    <n v="340710490"/>
    <s v="JCOSTOSHRLC"/>
  </r>
  <r>
    <n v="3407"/>
    <s v="31.01.2020"/>
    <n v="2020"/>
    <d v="2020-01-01T00:00:00"/>
    <n v="160"/>
    <n v="700041813"/>
    <s v="WA"/>
    <n v="81"/>
    <x v="0"/>
    <n v="11500040"/>
    <x v="0"/>
    <n v="6948.84"/>
    <s v="MXN"/>
    <n v="6948.84"/>
    <x v="0"/>
    <m/>
    <m/>
    <m/>
    <m/>
    <m/>
    <m/>
    <m/>
    <m/>
    <s v="02.02.2020"/>
    <m/>
    <n v="20200131"/>
    <n v="6948.84"/>
    <m/>
    <m/>
    <m/>
    <m/>
    <m/>
    <m/>
    <m/>
    <m/>
    <m/>
    <m/>
    <n v="340710490"/>
    <s v="JCOSTOSHRLC"/>
  </r>
  <r>
    <n v="3407"/>
    <s v="31.01.2020"/>
    <n v="2020"/>
    <d v="2020-01-01T00:00:00"/>
    <n v="164"/>
    <n v="700041813"/>
    <s v="WA"/>
    <n v="81"/>
    <x v="0"/>
    <n v="11500040"/>
    <x v="0"/>
    <n v="1478.88"/>
    <s v="MXN"/>
    <n v="1478.88"/>
    <x v="0"/>
    <m/>
    <m/>
    <m/>
    <m/>
    <m/>
    <m/>
    <m/>
    <m/>
    <s v="02.02.2020"/>
    <m/>
    <n v="20200131"/>
    <n v="1478.88"/>
    <m/>
    <m/>
    <m/>
    <m/>
    <m/>
    <m/>
    <m/>
    <m/>
    <m/>
    <m/>
    <n v="340710490"/>
    <s v="JCOSTOSHRLC"/>
  </r>
  <r>
    <n v="3407"/>
    <s v="31.01.2020"/>
    <n v="2020"/>
    <d v="2020-01-01T00:00:00"/>
    <n v="168"/>
    <n v="700041813"/>
    <s v="WA"/>
    <n v="81"/>
    <x v="0"/>
    <n v="11500040"/>
    <x v="0"/>
    <n v="4690.6499999999996"/>
    <s v="MXN"/>
    <n v="4690.6499999999996"/>
    <x v="0"/>
    <m/>
    <m/>
    <m/>
    <m/>
    <m/>
    <m/>
    <m/>
    <m/>
    <s v="02.02.2020"/>
    <m/>
    <n v="20200131"/>
    <n v="4690.6499999999996"/>
    <m/>
    <m/>
    <m/>
    <m/>
    <m/>
    <m/>
    <m/>
    <m/>
    <m/>
    <m/>
    <n v="340710490"/>
    <s v="JCOSTOSHRLC"/>
  </r>
  <r>
    <n v="3407"/>
    <s v="31.01.2020"/>
    <n v="2020"/>
    <d v="2020-01-01T00:00:00"/>
    <n v="170"/>
    <n v="700041813"/>
    <s v="WA"/>
    <n v="81"/>
    <x v="0"/>
    <n v="11500040"/>
    <x v="0"/>
    <n v="3328.68"/>
    <s v="MXN"/>
    <n v="3328.68"/>
    <x v="0"/>
    <m/>
    <m/>
    <m/>
    <m/>
    <m/>
    <m/>
    <m/>
    <m/>
    <s v="02.02.2020"/>
    <m/>
    <n v="20200131"/>
    <n v="3328.68"/>
    <m/>
    <m/>
    <m/>
    <m/>
    <m/>
    <m/>
    <m/>
    <m/>
    <m/>
    <m/>
    <n v="340710490"/>
    <s v="JCOSTOSHRLC"/>
  </r>
  <r>
    <n v="3407"/>
    <s v="31.01.2020"/>
    <n v="2020"/>
    <d v="2020-01-01T00:00:00"/>
    <n v="172"/>
    <n v="700041813"/>
    <s v="WA"/>
    <n v="81"/>
    <x v="0"/>
    <n v="11500040"/>
    <x v="0"/>
    <n v="5557.38"/>
    <s v="MXN"/>
    <n v="5557.38"/>
    <x v="0"/>
    <m/>
    <m/>
    <m/>
    <m/>
    <m/>
    <m/>
    <m/>
    <m/>
    <s v="02.02.2020"/>
    <m/>
    <n v="20200131"/>
    <n v="5557.38"/>
    <m/>
    <m/>
    <m/>
    <m/>
    <m/>
    <m/>
    <m/>
    <m/>
    <m/>
    <m/>
    <n v="340710490"/>
    <s v="JCOSTOSHRLC"/>
  </r>
  <r>
    <n v="3407"/>
    <s v="31.01.2020"/>
    <n v="2020"/>
    <d v="2020-01-01T00:00:00"/>
    <n v="174"/>
    <n v="700041813"/>
    <s v="WA"/>
    <n v="81"/>
    <x v="0"/>
    <n v="11500040"/>
    <x v="0"/>
    <n v="2344.09"/>
    <s v="MXN"/>
    <n v="2344.09"/>
    <x v="0"/>
    <m/>
    <m/>
    <m/>
    <m/>
    <m/>
    <m/>
    <m/>
    <m/>
    <s v="02.02.2020"/>
    <m/>
    <n v="20200131"/>
    <n v="2344.09"/>
    <m/>
    <m/>
    <m/>
    <m/>
    <m/>
    <m/>
    <m/>
    <m/>
    <m/>
    <m/>
    <n v="340710490"/>
    <s v="JCOSTOSHRLC"/>
  </r>
  <r>
    <n v="3407"/>
    <s v="31.01.2020"/>
    <n v="2020"/>
    <d v="2020-01-01T00:00:00"/>
    <n v="176"/>
    <n v="700041813"/>
    <s v="WA"/>
    <n v="81"/>
    <x v="0"/>
    <n v="11500040"/>
    <x v="0"/>
    <n v="11583"/>
    <s v="MXN"/>
    <n v="11583"/>
    <x v="0"/>
    <m/>
    <m/>
    <m/>
    <m/>
    <m/>
    <m/>
    <m/>
    <m/>
    <s v="02.02.2020"/>
    <m/>
    <n v="20200131"/>
    <n v="11583"/>
    <m/>
    <m/>
    <m/>
    <m/>
    <m/>
    <m/>
    <m/>
    <m/>
    <m/>
    <m/>
    <n v="340710490"/>
    <s v="JCOSTOSHRLC"/>
  </r>
  <r>
    <n v="3407"/>
    <s v="31.01.2020"/>
    <n v="2020"/>
    <d v="2020-01-01T00:00:00"/>
    <n v="178"/>
    <n v="700041813"/>
    <s v="WA"/>
    <n v="81"/>
    <x v="0"/>
    <n v="11500040"/>
    <x v="0"/>
    <n v="935"/>
    <s v="MXN"/>
    <n v="935"/>
    <x v="0"/>
    <m/>
    <m/>
    <m/>
    <m/>
    <m/>
    <m/>
    <m/>
    <m/>
    <s v="02.02.2020"/>
    <m/>
    <n v="20200131"/>
    <n v="935"/>
    <m/>
    <m/>
    <m/>
    <m/>
    <m/>
    <m/>
    <m/>
    <m/>
    <m/>
    <m/>
    <n v="340710490"/>
    <s v="JCOSTOSHRLC"/>
  </r>
  <r>
    <n v="3407"/>
    <s v="31.01.2020"/>
    <n v="2020"/>
    <d v="2020-01-01T00:00:00"/>
    <n v="180"/>
    <n v="700041813"/>
    <s v="WA"/>
    <n v="81"/>
    <x v="0"/>
    <n v="11500040"/>
    <x v="0"/>
    <n v="14114.1"/>
    <s v="MXN"/>
    <n v="14114.1"/>
    <x v="0"/>
    <m/>
    <m/>
    <m/>
    <m/>
    <m/>
    <m/>
    <m/>
    <m/>
    <s v="02.02.2020"/>
    <m/>
    <n v="20200131"/>
    <n v="14114.1"/>
    <m/>
    <m/>
    <m/>
    <m/>
    <m/>
    <m/>
    <m/>
    <m/>
    <m/>
    <m/>
    <n v="340710490"/>
    <s v="JCOSTOSHRLC"/>
  </r>
  <r>
    <n v="3407"/>
    <s v="31.01.2020"/>
    <n v="2020"/>
    <d v="2020-01-01T00:00:00"/>
    <n v="186"/>
    <n v="700041813"/>
    <s v="WA"/>
    <n v="81"/>
    <x v="0"/>
    <n v="11500040"/>
    <x v="0"/>
    <n v="4498.8"/>
    <s v="MXN"/>
    <n v="4498.8"/>
    <x v="0"/>
    <m/>
    <m/>
    <m/>
    <m/>
    <m/>
    <m/>
    <m/>
    <m/>
    <s v="02.02.2020"/>
    <m/>
    <n v="20200131"/>
    <n v="4498.8"/>
    <m/>
    <m/>
    <m/>
    <m/>
    <m/>
    <m/>
    <m/>
    <m/>
    <m/>
    <m/>
    <n v="340710490"/>
    <s v="JCOSTOSHRLC"/>
  </r>
  <r>
    <n v="3407"/>
    <s v="31.01.2020"/>
    <n v="2020"/>
    <d v="2020-01-01T00:00:00"/>
    <n v="202"/>
    <n v="700041813"/>
    <s v="WA"/>
    <n v="81"/>
    <x v="0"/>
    <n v="11500040"/>
    <x v="0"/>
    <n v="1054.46"/>
    <s v="MXN"/>
    <n v="1054.46"/>
    <x v="0"/>
    <m/>
    <m/>
    <m/>
    <m/>
    <m/>
    <m/>
    <m/>
    <m/>
    <s v="02.02.2020"/>
    <m/>
    <n v="20200131"/>
    <n v="1054.46"/>
    <m/>
    <m/>
    <m/>
    <m/>
    <m/>
    <m/>
    <m/>
    <m/>
    <m/>
    <m/>
    <n v="340710490"/>
    <s v="JCOSTOSHRLC"/>
  </r>
  <r>
    <n v="3406"/>
    <s v="31.01.2020"/>
    <n v="2020"/>
    <d v="2020-01-01T00:00:00"/>
    <n v="24"/>
    <n v="600031607"/>
    <s v="WA"/>
    <n v="81"/>
    <x v="0"/>
    <n v="11500010"/>
    <x v="0"/>
    <n v="1120"/>
    <s v="MXN"/>
    <n v="1120"/>
    <x v="0"/>
    <m/>
    <m/>
    <m/>
    <m/>
    <m/>
    <m/>
    <m/>
    <m/>
    <s v="01.02.2020"/>
    <m/>
    <n v="20200131"/>
    <n v="1120"/>
    <m/>
    <m/>
    <m/>
    <m/>
    <m/>
    <m/>
    <m/>
    <m/>
    <m/>
    <m/>
    <n v="340612490"/>
    <s v="JGARCIA"/>
  </r>
  <r>
    <n v="3406"/>
    <s v="31.01.2020"/>
    <n v="2020"/>
    <d v="2020-01-01T00:00:00"/>
    <n v="154"/>
    <n v="600031607"/>
    <s v="WA"/>
    <n v="81"/>
    <x v="0"/>
    <n v="11500010"/>
    <x v="0"/>
    <n v="1284"/>
    <s v="MXN"/>
    <n v="1284"/>
    <x v="0"/>
    <m/>
    <m/>
    <m/>
    <m/>
    <m/>
    <m/>
    <m/>
    <m/>
    <s v="01.02.2020"/>
    <m/>
    <n v="20200131"/>
    <n v="1284"/>
    <m/>
    <m/>
    <m/>
    <m/>
    <m/>
    <m/>
    <m/>
    <m/>
    <m/>
    <m/>
    <n v="340612490"/>
    <s v="JGARCIA"/>
  </r>
  <r>
    <n v="3406"/>
    <s v="16.01.2020"/>
    <n v="2020"/>
    <d v="2020-01-01T00:00:00"/>
    <n v="2"/>
    <n v="600013644"/>
    <s v="DZ"/>
    <n v="40"/>
    <x v="1"/>
    <n v="5000010"/>
    <x v="1"/>
    <n v="7153.53"/>
    <s v="USD"/>
    <n v="134572.21"/>
    <x v="0"/>
    <m/>
    <m/>
    <m/>
    <m/>
    <m/>
    <m/>
    <m/>
    <m/>
    <s v="16.01.2020"/>
    <n v="200116174449"/>
    <s v="GLOBAL COLLECT"/>
    <n v="7153.53"/>
    <m/>
    <m/>
    <m/>
    <s v="MONTO TOTAL DE LO COBRADO EN UNICO NOVIEMBRE 9404"/>
    <m/>
    <m/>
    <m/>
    <m/>
    <m/>
    <m/>
    <n v="340640390"/>
    <s v="CXC13"/>
  </r>
  <r>
    <n v="3406"/>
    <s v="16.01.2020"/>
    <n v="2020"/>
    <d v="2020-01-01T00:00:00"/>
    <n v="3"/>
    <n v="600013644"/>
    <s v="DZ"/>
    <n v="40"/>
    <x v="1"/>
    <n v="5000010"/>
    <x v="1"/>
    <n v="3819.2"/>
    <s v="USD"/>
    <n v="71846.789999999994"/>
    <x v="0"/>
    <m/>
    <m/>
    <m/>
    <m/>
    <m/>
    <m/>
    <m/>
    <m/>
    <s v="16.01.2020"/>
    <n v="200116174449"/>
    <s v="GLOBAL COLLECT"/>
    <n v="3819.2"/>
    <m/>
    <m/>
    <m/>
    <s v="MONTO TOTAL DE LO COBRADO EN UNICO NOVIEMBRE 9405"/>
    <m/>
    <m/>
    <m/>
    <m/>
    <m/>
    <m/>
    <n v="340640390"/>
    <s v="CXC13"/>
  </r>
  <r>
    <n v="3406"/>
    <s v="16.01.2020"/>
    <n v="2020"/>
    <d v="2020-01-01T00:00:00"/>
    <n v="4"/>
    <n v="600013644"/>
    <s v="DZ"/>
    <n v="40"/>
    <x v="1"/>
    <n v="5000010"/>
    <x v="1"/>
    <n v="608"/>
    <s v="USD"/>
    <n v="11437.7"/>
    <x v="0"/>
    <m/>
    <m/>
    <m/>
    <m/>
    <m/>
    <m/>
    <m/>
    <m/>
    <s v="16.01.2020"/>
    <n v="200116174449"/>
    <s v="GLOBAL COLLECT"/>
    <n v="608"/>
    <m/>
    <m/>
    <m/>
    <s v="MONTO TOTAL DE LO COBRADO EN UNICO NOVIEMBRE 9450"/>
    <m/>
    <m/>
    <m/>
    <m/>
    <m/>
    <m/>
    <n v="340640390"/>
    <s v="CXC13"/>
  </r>
  <r>
    <n v="3406"/>
    <s v="16.01.2020"/>
    <n v="2020"/>
    <d v="2020-01-01T00:00:00"/>
    <n v="5"/>
    <n v="600013644"/>
    <s v="DZ"/>
    <n v="40"/>
    <x v="1"/>
    <n v="5000010"/>
    <x v="1"/>
    <n v="320"/>
    <s v="USD"/>
    <n v="6019.84"/>
    <x v="0"/>
    <m/>
    <m/>
    <m/>
    <m/>
    <m/>
    <m/>
    <m/>
    <m/>
    <s v="16.01.2020"/>
    <n v="200116174449"/>
    <s v="GLOBAL COLLECT"/>
    <n v="320"/>
    <m/>
    <m/>
    <m/>
    <s v="MONTO TOTAL DE LO COBRADO EN UNICO NOVIEMBRE 9451"/>
    <m/>
    <m/>
    <m/>
    <m/>
    <m/>
    <m/>
    <n v="340640390"/>
    <s v="CXC13"/>
  </r>
  <r>
    <n v="3403"/>
    <s v="15.01.2020"/>
    <n v="2020"/>
    <d v="2020-01-01T00:00:00"/>
    <n v="12"/>
    <n v="300007990"/>
    <s v="WA"/>
    <n v="81"/>
    <x v="0"/>
    <n v="11500060"/>
    <x v="0"/>
    <n v="278.88"/>
    <s v="MXN"/>
    <n v="278.88"/>
    <x v="0"/>
    <m/>
    <m/>
    <m/>
    <m/>
    <m/>
    <m/>
    <m/>
    <m/>
    <s v="15.01.2020"/>
    <m/>
    <n v="20200115"/>
    <n v="278.88"/>
    <m/>
    <m/>
    <m/>
    <m/>
    <m/>
    <m/>
    <m/>
    <m/>
    <m/>
    <m/>
    <n v="340312890"/>
    <s v="JBAUTISTA"/>
  </r>
  <r>
    <n v="3403"/>
    <s v="15.01.2020"/>
    <n v="2020"/>
    <d v="2020-01-01T00:00:00"/>
    <n v="14"/>
    <n v="300007990"/>
    <s v="WA"/>
    <n v="81"/>
    <x v="0"/>
    <n v="11500060"/>
    <x v="0"/>
    <n v="456"/>
    <s v="MXN"/>
    <n v="456"/>
    <x v="0"/>
    <m/>
    <m/>
    <m/>
    <m/>
    <m/>
    <m/>
    <m/>
    <m/>
    <s v="15.01.2020"/>
    <m/>
    <n v="20200115"/>
    <n v="456"/>
    <m/>
    <m/>
    <m/>
    <m/>
    <m/>
    <m/>
    <m/>
    <m/>
    <m/>
    <m/>
    <n v="340312890"/>
    <s v="JBAUTISTA"/>
  </r>
  <r>
    <n v="3403"/>
    <s v="15.01.2020"/>
    <n v="2020"/>
    <d v="2020-01-01T00:00:00"/>
    <n v="16"/>
    <n v="300007990"/>
    <s v="WA"/>
    <n v="81"/>
    <x v="0"/>
    <n v="11500060"/>
    <x v="0"/>
    <n v="989.82"/>
    <s v="MXN"/>
    <n v="989.82"/>
    <x v="0"/>
    <m/>
    <m/>
    <m/>
    <m/>
    <m/>
    <m/>
    <m/>
    <m/>
    <s v="15.01.2020"/>
    <m/>
    <n v="20200115"/>
    <n v="989.82"/>
    <m/>
    <m/>
    <m/>
    <m/>
    <m/>
    <m/>
    <m/>
    <m/>
    <m/>
    <m/>
    <n v="340312890"/>
    <s v="JBAUTISTA"/>
  </r>
  <r>
    <n v="3403"/>
    <s v="15.01.2020"/>
    <n v="2020"/>
    <d v="2020-01-01T00:00:00"/>
    <n v="18"/>
    <n v="300007990"/>
    <s v="WA"/>
    <n v="81"/>
    <x v="0"/>
    <n v="11500060"/>
    <x v="0"/>
    <n v="877.8"/>
    <s v="MXN"/>
    <n v="877.8"/>
    <x v="0"/>
    <m/>
    <m/>
    <m/>
    <m/>
    <m/>
    <m/>
    <m/>
    <m/>
    <s v="15.01.2020"/>
    <m/>
    <n v="20200115"/>
    <n v="877.8"/>
    <m/>
    <m/>
    <m/>
    <m/>
    <m/>
    <m/>
    <m/>
    <m/>
    <m/>
    <m/>
    <n v="340312890"/>
    <s v="JBAUTISTA"/>
  </r>
  <r>
    <n v="3403"/>
    <s v="15.01.2020"/>
    <n v="2020"/>
    <d v="2020-01-01T00:00:00"/>
    <n v="20"/>
    <n v="300007990"/>
    <s v="WA"/>
    <n v="81"/>
    <x v="0"/>
    <n v="11500060"/>
    <x v="0"/>
    <n v="66.400000000000006"/>
    <s v="MXN"/>
    <n v="66.400000000000006"/>
    <x v="0"/>
    <m/>
    <m/>
    <m/>
    <m/>
    <m/>
    <m/>
    <m/>
    <m/>
    <s v="15.01.2020"/>
    <m/>
    <n v="20200115"/>
    <n v="66.400000000000006"/>
    <m/>
    <m/>
    <m/>
    <m/>
    <m/>
    <m/>
    <m/>
    <m/>
    <m/>
    <m/>
    <n v="340312890"/>
    <s v="JBAUTISTA"/>
  </r>
  <r>
    <n v="3403"/>
    <s v="15.01.2020"/>
    <n v="2020"/>
    <d v="2020-01-01T00:00:00"/>
    <n v="22"/>
    <n v="300007990"/>
    <s v="WA"/>
    <n v="81"/>
    <x v="0"/>
    <n v="11500060"/>
    <x v="0"/>
    <n v="53.6"/>
    <s v="MXN"/>
    <n v="53.6"/>
    <x v="0"/>
    <m/>
    <m/>
    <m/>
    <m/>
    <m/>
    <m/>
    <m/>
    <m/>
    <s v="15.01.2020"/>
    <m/>
    <n v="20200115"/>
    <n v="53.6"/>
    <m/>
    <m/>
    <m/>
    <m/>
    <m/>
    <m/>
    <m/>
    <m/>
    <m/>
    <m/>
    <n v="340312890"/>
    <s v="JBAUTISTA"/>
  </r>
  <r>
    <n v="3403"/>
    <s v="15.01.2020"/>
    <n v="2020"/>
    <d v="2020-01-01T00:00:00"/>
    <n v="24"/>
    <n v="300007990"/>
    <s v="WA"/>
    <n v="81"/>
    <x v="0"/>
    <n v="11500060"/>
    <x v="0"/>
    <n v="284"/>
    <s v="MXN"/>
    <n v="284"/>
    <x v="0"/>
    <m/>
    <m/>
    <m/>
    <m/>
    <m/>
    <m/>
    <m/>
    <m/>
    <s v="15.01.2020"/>
    <m/>
    <n v="20200115"/>
    <n v="284"/>
    <m/>
    <m/>
    <m/>
    <m/>
    <m/>
    <m/>
    <m/>
    <m/>
    <m/>
    <m/>
    <n v="340312890"/>
    <s v="JBAUTISTA"/>
  </r>
  <r>
    <n v="3403"/>
    <s v="15.01.2020"/>
    <n v="2020"/>
    <d v="2020-01-01T00:00:00"/>
    <n v="26"/>
    <n v="300007990"/>
    <s v="WA"/>
    <n v="81"/>
    <x v="0"/>
    <n v="11500060"/>
    <x v="0"/>
    <n v="284"/>
    <s v="MXN"/>
    <n v="284"/>
    <x v="0"/>
    <m/>
    <m/>
    <m/>
    <m/>
    <m/>
    <m/>
    <m/>
    <m/>
    <s v="15.01.2020"/>
    <m/>
    <n v="20200115"/>
    <n v="284"/>
    <m/>
    <m/>
    <m/>
    <m/>
    <m/>
    <m/>
    <m/>
    <m/>
    <m/>
    <m/>
    <n v="340312890"/>
    <s v="JBAUTISTA"/>
  </r>
  <r>
    <n v="3403"/>
    <s v="15.01.2020"/>
    <n v="2020"/>
    <d v="2020-01-01T00:00:00"/>
    <n v="28"/>
    <n v="300007990"/>
    <s v="WA"/>
    <n v="81"/>
    <x v="0"/>
    <n v="11500060"/>
    <x v="0"/>
    <n v="284"/>
    <s v="MXN"/>
    <n v="284"/>
    <x v="0"/>
    <m/>
    <m/>
    <m/>
    <m/>
    <m/>
    <m/>
    <m/>
    <m/>
    <s v="15.01.2020"/>
    <m/>
    <n v="20200115"/>
    <n v="284"/>
    <m/>
    <m/>
    <m/>
    <m/>
    <m/>
    <m/>
    <m/>
    <m/>
    <m/>
    <m/>
    <n v="340312890"/>
    <s v="JBAUTISTA"/>
  </r>
  <r>
    <n v="3403"/>
    <s v="15.01.2020"/>
    <n v="2020"/>
    <d v="2020-01-01T00:00:00"/>
    <n v="30"/>
    <n v="300007990"/>
    <s v="WA"/>
    <n v="81"/>
    <x v="0"/>
    <n v="11500060"/>
    <x v="0"/>
    <n v="152"/>
    <s v="MXN"/>
    <n v="152"/>
    <x v="0"/>
    <m/>
    <m/>
    <m/>
    <m/>
    <m/>
    <m/>
    <m/>
    <m/>
    <s v="15.01.2020"/>
    <m/>
    <n v="20200115"/>
    <n v="152"/>
    <m/>
    <m/>
    <m/>
    <m/>
    <m/>
    <m/>
    <m/>
    <m/>
    <m/>
    <m/>
    <n v="340312890"/>
    <s v="JBAUTISTA"/>
  </r>
  <r>
    <n v="3403"/>
    <s v="15.01.2020"/>
    <n v="2020"/>
    <d v="2020-01-01T00:00:00"/>
    <n v="32"/>
    <n v="300007990"/>
    <s v="WA"/>
    <n v="81"/>
    <x v="0"/>
    <n v="11500060"/>
    <x v="0"/>
    <n v="477.6"/>
    <s v="MXN"/>
    <n v="477.6"/>
    <x v="0"/>
    <m/>
    <m/>
    <m/>
    <m/>
    <m/>
    <m/>
    <m/>
    <m/>
    <s v="15.01.2020"/>
    <m/>
    <n v="20200115"/>
    <n v="477.6"/>
    <m/>
    <m/>
    <m/>
    <m/>
    <m/>
    <m/>
    <m/>
    <m/>
    <m/>
    <m/>
    <n v="340312890"/>
    <s v="JBAUTISTA"/>
  </r>
  <r>
    <n v="3403"/>
    <s v="15.01.2020"/>
    <n v="2020"/>
    <d v="2020-01-01T00:00:00"/>
    <n v="38"/>
    <n v="300007990"/>
    <s v="WA"/>
    <n v="81"/>
    <x v="0"/>
    <n v="11500060"/>
    <x v="0"/>
    <n v="4766.3999999999996"/>
    <s v="MXN"/>
    <n v="4766.3999999999996"/>
    <x v="0"/>
    <m/>
    <m/>
    <m/>
    <m/>
    <m/>
    <m/>
    <m/>
    <m/>
    <s v="15.01.2020"/>
    <m/>
    <n v="20200115"/>
    <n v="4766.3999999999996"/>
    <m/>
    <m/>
    <m/>
    <m/>
    <m/>
    <m/>
    <m/>
    <m/>
    <m/>
    <m/>
    <n v="340312890"/>
    <s v="JBAUTISTA"/>
  </r>
  <r>
    <n v="3403"/>
    <s v="15.01.2020"/>
    <n v="2020"/>
    <d v="2020-01-01T00:00:00"/>
    <n v="42"/>
    <n v="300007990"/>
    <s v="WA"/>
    <n v="81"/>
    <x v="0"/>
    <n v="11500060"/>
    <x v="0"/>
    <n v="1852"/>
    <s v="MXN"/>
    <n v="1852"/>
    <x v="0"/>
    <m/>
    <m/>
    <m/>
    <m/>
    <m/>
    <m/>
    <m/>
    <m/>
    <s v="15.01.2020"/>
    <m/>
    <n v="20200115"/>
    <n v="1852"/>
    <m/>
    <m/>
    <m/>
    <m/>
    <m/>
    <m/>
    <m/>
    <m/>
    <m/>
    <m/>
    <n v="340312890"/>
    <s v="JBAUTISTA"/>
  </r>
  <r>
    <n v="3403"/>
    <s v="15.01.2020"/>
    <n v="2020"/>
    <d v="2020-01-01T00:00:00"/>
    <n v="46"/>
    <n v="300007990"/>
    <s v="WA"/>
    <n v="81"/>
    <x v="0"/>
    <n v="11500060"/>
    <x v="0"/>
    <n v="285"/>
    <s v="MXN"/>
    <n v="285"/>
    <x v="0"/>
    <m/>
    <m/>
    <m/>
    <m/>
    <m/>
    <m/>
    <m/>
    <m/>
    <s v="15.01.2020"/>
    <m/>
    <n v="20200115"/>
    <n v="285"/>
    <m/>
    <m/>
    <m/>
    <m/>
    <m/>
    <m/>
    <m/>
    <m/>
    <m/>
    <m/>
    <n v="340312890"/>
    <s v="JBAUTISTA"/>
  </r>
  <r>
    <n v="3403"/>
    <s v="15.01.2020"/>
    <n v="2020"/>
    <d v="2020-01-01T00:00:00"/>
    <n v="48"/>
    <n v="300007990"/>
    <s v="WA"/>
    <n v="81"/>
    <x v="0"/>
    <n v="11500060"/>
    <x v="0"/>
    <n v="1510.3"/>
    <s v="MXN"/>
    <n v="1510.3"/>
    <x v="0"/>
    <m/>
    <m/>
    <m/>
    <m/>
    <m/>
    <m/>
    <m/>
    <m/>
    <s v="15.01.2020"/>
    <m/>
    <n v="20200115"/>
    <n v="1510.3"/>
    <m/>
    <m/>
    <m/>
    <m/>
    <m/>
    <m/>
    <m/>
    <m/>
    <m/>
    <m/>
    <n v="340312890"/>
    <s v="JBAUTISTA"/>
  </r>
  <r>
    <n v="3403"/>
    <s v="15.01.2020"/>
    <n v="2020"/>
    <d v="2020-01-01T00:00:00"/>
    <n v="50"/>
    <n v="300007990"/>
    <s v="WA"/>
    <n v="81"/>
    <x v="0"/>
    <n v="11500060"/>
    <x v="0"/>
    <n v="26361.5"/>
    <s v="MXN"/>
    <n v="26361.5"/>
    <x v="0"/>
    <m/>
    <m/>
    <m/>
    <m/>
    <m/>
    <m/>
    <m/>
    <m/>
    <s v="15.01.2020"/>
    <m/>
    <n v="20200115"/>
    <n v="26361.5"/>
    <m/>
    <m/>
    <m/>
    <m/>
    <m/>
    <m/>
    <m/>
    <m/>
    <m/>
    <m/>
    <n v="340312890"/>
    <s v="JBAUTISTA"/>
  </r>
  <r>
    <n v="3403"/>
    <s v="15.01.2020"/>
    <n v="2020"/>
    <d v="2020-01-01T00:00:00"/>
    <n v="52"/>
    <n v="300007990"/>
    <s v="WA"/>
    <n v="81"/>
    <x v="0"/>
    <n v="11500060"/>
    <x v="0"/>
    <n v="6000"/>
    <s v="MXN"/>
    <n v="6000"/>
    <x v="0"/>
    <m/>
    <m/>
    <m/>
    <m/>
    <m/>
    <m/>
    <m/>
    <m/>
    <s v="15.01.2020"/>
    <m/>
    <n v="20200115"/>
    <n v="6000"/>
    <m/>
    <m/>
    <m/>
    <m/>
    <m/>
    <m/>
    <m/>
    <m/>
    <m/>
    <m/>
    <n v="340312890"/>
    <s v="JBAUTISTA"/>
  </r>
  <r>
    <n v="3403"/>
    <s v="15.01.2020"/>
    <n v="2020"/>
    <d v="2020-01-01T00:00:00"/>
    <n v="10"/>
    <n v="300007995"/>
    <s v="WA"/>
    <n v="81"/>
    <x v="0"/>
    <n v="11500060"/>
    <x v="0"/>
    <n v="600"/>
    <s v="MXN"/>
    <n v="600"/>
    <x v="0"/>
    <m/>
    <m/>
    <m/>
    <m/>
    <m/>
    <m/>
    <m/>
    <m/>
    <s v="15.01.2020"/>
    <m/>
    <n v="20200115"/>
    <n v="600"/>
    <m/>
    <m/>
    <m/>
    <m/>
    <m/>
    <m/>
    <m/>
    <m/>
    <m/>
    <m/>
    <n v="340312390"/>
    <s v="JBAUTISTA"/>
  </r>
  <r>
    <n v="3403"/>
    <s v="15.01.2020"/>
    <n v="2020"/>
    <d v="2020-01-01T00:00:00"/>
    <n v="8"/>
    <n v="300008000"/>
    <s v="WA"/>
    <n v="81"/>
    <x v="0"/>
    <n v="11500040"/>
    <x v="0"/>
    <n v="1200"/>
    <s v="MXN"/>
    <n v="1200"/>
    <x v="0"/>
    <m/>
    <m/>
    <m/>
    <m/>
    <m/>
    <m/>
    <m/>
    <m/>
    <s v="15.01.2020"/>
    <m/>
    <n v="20200115"/>
    <n v="1200"/>
    <m/>
    <m/>
    <m/>
    <m/>
    <m/>
    <m/>
    <m/>
    <m/>
    <m/>
    <m/>
    <n v="340310490"/>
    <s v="JBAUTISTA"/>
  </r>
  <r>
    <n v="3403"/>
    <s v="15.01.2020"/>
    <n v="2020"/>
    <d v="2020-01-01T00:00:00"/>
    <n v="10"/>
    <n v="300008000"/>
    <s v="WA"/>
    <n v="81"/>
    <x v="0"/>
    <n v="11500040"/>
    <x v="0"/>
    <n v="2400"/>
    <s v="MXN"/>
    <n v="2400"/>
    <x v="0"/>
    <m/>
    <m/>
    <m/>
    <m/>
    <m/>
    <m/>
    <m/>
    <m/>
    <s v="15.01.2020"/>
    <m/>
    <n v="20200115"/>
    <n v="2400"/>
    <m/>
    <m/>
    <m/>
    <m/>
    <m/>
    <m/>
    <m/>
    <m/>
    <m/>
    <m/>
    <n v="340310490"/>
    <s v="JBAUTISTA"/>
  </r>
  <r>
    <n v="3403"/>
    <s v="15.01.2020"/>
    <n v="2020"/>
    <d v="2020-01-01T00:00:00"/>
    <n v="12"/>
    <n v="300008000"/>
    <s v="WA"/>
    <n v="81"/>
    <x v="0"/>
    <n v="11500040"/>
    <x v="0"/>
    <n v="1980"/>
    <s v="MXN"/>
    <n v="1980"/>
    <x v="0"/>
    <m/>
    <m/>
    <m/>
    <m/>
    <m/>
    <m/>
    <m/>
    <m/>
    <s v="15.01.2020"/>
    <m/>
    <n v="20200115"/>
    <n v="1980"/>
    <m/>
    <m/>
    <m/>
    <m/>
    <m/>
    <m/>
    <m/>
    <m/>
    <m/>
    <m/>
    <n v="340310490"/>
    <s v="JBAUTISTA"/>
  </r>
  <r>
    <n v="3403"/>
    <s v="15.01.2020"/>
    <n v="2020"/>
    <d v="2020-01-01T00:00:00"/>
    <n v="14"/>
    <n v="300008000"/>
    <s v="WA"/>
    <n v="81"/>
    <x v="0"/>
    <n v="11500040"/>
    <x v="0"/>
    <n v="1200"/>
    <s v="MXN"/>
    <n v="1200"/>
    <x v="0"/>
    <m/>
    <m/>
    <m/>
    <m/>
    <m/>
    <m/>
    <m/>
    <m/>
    <s v="15.01.2020"/>
    <m/>
    <n v="20200115"/>
    <n v="1200"/>
    <m/>
    <m/>
    <m/>
    <m/>
    <m/>
    <m/>
    <m/>
    <m/>
    <m/>
    <m/>
    <n v="340310490"/>
    <s v="JBAUTISTA"/>
  </r>
  <r>
    <n v="3403"/>
    <s v="15.01.2020"/>
    <n v="2020"/>
    <d v="2020-01-01T00:00:00"/>
    <n v="22"/>
    <n v="300008000"/>
    <s v="WA"/>
    <n v="81"/>
    <x v="0"/>
    <n v="11500040"/>
    <x v="0"/>
    <n v="4530.8999999999996"/>
    <s v="MXN"/>
    <n v="4530.8999999999996"/>
    <x v="0"/>
    <m/>
    <m/>
    <m/>
    <m/>
    <m/>
    <m/>
    <m/>
    <m/>
    <s v="15.01.2020"/>
    <m/>
    <n v="20200115"/>
    <n v="4530.8999999999996"/>
    <m/>
    <m/>
    <m/>
    <m/>
    <m/>
    <m/>
    <m/>
    <m/>
    <m/>
    <m/>
    <n v="340310490"/>
    <s v="JBAUTISTA"/>
  </r>
  <r>
    <n v="3403"/>
    <s v="15.01.2020"/>
    <n v="2020"/>
    <d v="2020-01-01T00:00:00"/>
    <n v="24"/>
    <n v="300008000"/>
    <s v="WA"/>
    <n v="81"/>
    <x v="0"/>
    <n v="11500040"/>
    <x v="0"/>
    <n v="141.6"/>
    <s v="MXN"/>
    <n v="141.6"/>
    <x v="0"/>
    <m/>
    <m/>
    <m/>
    <m/>
    <m/>
    <m/>
    <m/>
    <m/>
    <s v="15.01.2020"/>
    <m/>
    <n v="20200115"/>
    <n v="141.6"/>
    <m/>
    <m/>
    <m/>
    <m/>
    <m/>
    <m/>
    <m/>
    <m/>
    <m/>
    <m/>
    <n v="340310490"/>
    <s v="JBAUTISTA"/>
  </r>
  <r>
    <n v="3403"/>
    <s v="15.01.2020"/>
    <n v="2020"/>
    <d v="2020-01-01T00:00:00"/>
    <n v="36"/>
    <n v="300008000"/>
    <s v="WA"/>
    <n v="81"/>
    <x v="0"/>
    <n v="11500040"/>
    <x v="0"/>
    <n v="552"/>
    <s v="MXN"/>
    <n v="552"/>
    <x v="0"/>
    <m/>
    <m/>
    <m/>
    <m/>
    <m/>
    <m/>
    <m/>
    <m/>
    <s v="15.01.2020"/>
    <m/>
    <n v="20200115"/>
    <n v="552"/>
    <m/>
    <m/>
    <m/>
    <m/>
    <m/>
    <m/>
    <m/>
    <m/>
    <m/>
    <m/>
    <n v="340310490"/>
    <s v="JBAUTISTA"/>
  </r>
  <r>
    <n v="3403"/>
    <s v="15.01.2020"/>
    <n v="2020"/>
    <d v="2020-01-01T00:00:00"/>
    <n v="38"/>
    <n v="300008000"/>
    <s v="WA"/>
    <n v="81"/>
    <x v="0"/>
    <n v="11500040"/>
    <x v="0"/>
    <n v="380"/>
    <s v="MXN"/>
    <n v="380"/>
    <x v="0"/>
    <m/>
    <m/>
    <m/>
    <m/>
    <m/>
    <m/>
    <m/>
    <m/>
    <s v="15.01.2020"/>
    <m/>
    <n v="20200115"/>
    <n v="380"/>
    <m/>
    <m/>
    <m/>
    <m/>
    <m/>
    <m/>
    <m/>
    <m/>
    <m/>
    <m/>
    <n v="340310490"/>
    <s v="JBAUTISTA"/>
  </r>
  <r>
    <n v="3403"/>
    <s v="15.01.2020"/>
    <n v="2020"/>
    <d v="2020-01-01T00:00:00"/>
    <n v="40"/>
    <n v="300008000"/>
    <s v="WA"/>
    <n v="81"/>
    <x v="0"/>
    <n v="11500040"/>
    <x v="0"/>
    <n v="641.28"/>
    <s v="MXN"/>
    <n v="641.28"/>
    <x v="0"/>
    <m/>
    <m/>
    <m/>
    <m/>
    <m/>
    <m/>
    <m/>
    <m/>
    <s v="15.01.2020"/>
    <m/>
    <n v="20200115"/>
    <n v="641.28"/>
    <m/>
    <m/>
    <m/>
    <m/>
    <m/>
    <m/>
    <m/>
    <m/>
    <m/>
    <m/>
    <n v="340310490"/>
    <s v="JBAUTISTA"/>
  </r>
  <r>
    <n v="3403"/>
    <s v="15.01.2020"/>
    <n v="2020"/>
    <d v="2020-01-01T00:00:00"/>
    <n v="42"/>
    <n v="300008000"/>
    <s v="WA"/>
    <n v="81"/>
    <x v="0"/>
    <n v="11500040"/>
    <x v="0"/>
    <n v="100.5"/>
    <s v="MXN"/>
    <n v="100.5"/>
    <x v="0"/>
    <m/>
    <m/>
    <m/>
    <m/>
    <m/>
    <m/>
    <m/>
    <m/>
    <s v="15.01.2020"/>
    <m/>
    <n v="20200115"/>
    <n v="100.5"/>
    <m/>
    <m/>
    <m/>
    <m/>
    <m/>
    <m/>
    <m/>
    <m/>
    <m/>
    <m/>
    <n v="340310490"/>
    <s v="JBAUTISTA"/>
  </r>
  <r>
    <n v="3403"/>
    <s v="15.01.2020"/>
    <n v="2020"/>
    <d v="2020-01-01T00:00:00"/>
    <n v="44"/>
    <n v="300008000"/>
    <s v="WA"/>
    <n v="81"/>
    <x v="0"/>
    <n v="11500040"/>
    <x v="0"/>
    <n v="190"/>
    <s v="MXN"/>
    <n v="190"/>
    <x v="0"/>
    <m/>
    <m/>
    <m/>
    <m/>
    <m/>
    <m/>
    <m/>
    <m/>
    <s v="15.01.2020"/>
    <m/>
    <n v="20200115"/>
    <n v="190"/>
    <m/>
    <m/>
    <m/>
    <m/>
    <m/>
    <m/>
    <m/>
    <m/>
    <m/>
    <m/>
    <n v="340310490"/>
    <s v="JBAUTISTA"/>
  </r>
  <r>
    <n v="3403"/>
    <s v="15.01.2020"/>
    <n v="2020"/>
    <d v="2020-01-01T00:00:00"/>
    <n v="46"/>
    <n v="300008000"/>
    <s v="WA"/>
    <n v="81"/>
    <x v="0"/>
    <n v="11500040"/>
    <x v="0"/>
    <n v="278.88"/>
    <s v="MXN"/>
    <n v="278.88"/>
    <x v="0"/>
    <m/>
    <m/>
    <m/>
    <m/>
    <m/>
    <m/>
    <m/>
    <m/>
    <s v="15.01.2020"/>
    <m/>
    <n v="20200115"/>
    <n v="278.88"/>
    <m/>
    <m/>
    <m/>
    <m/>
    <m/>
    <m/>
    <m/>
    <m/>
    <m/>
    <m/>
    <n v="340310490"/>
    <s v="JBAUTISTA"/>
  </r>
  <r>
    <n v="3403"/>
    <s v="15.01.2020"/>
    <n v="2020"/>
    <d v="2020-01-01T00:00:00"/>
    <n v="48"/>
    <n v="300008000"/>
    <s v="WA"/>
    <n v="81"/>
    <x v="0"/>
    <n v="11500040"/>
    <x v="0"/>
    <n v="642.24"/>
    <s v="MXN"/>
    <n v="642.24"/>
    <x v="0"/>
    <m/>
    <m/>
    <m/>
    <m/>
    <m/>
    <m/>
    <m/>
    <m/>
    <s v="15.01.2020"/>
    <m/>
    <n v="20200115"/>
    <n v="642.24"/>
    <m/>
    <m/>
    <m/>
    <m/>
    <m/>
    <m/>
    <m/>
    <m/>
    <m/>
    <m/>
    <n v="340310490"/>
    <s v="JBAUTISTA"/>
  </r>
  <r>
    <n v="3403"/>
    <s v="15.01.2020"/>
    <n v="2020"/>
    <d v="2020-01-01T00:00:00"/>
    <n v="50"/>
    <n v="300008000"/>
    <s v="WA"/>
    <n v="81"/>
    <x v="0"/>
    <n v="11500040"/>
    <x v="0"/>
    <n v="119.7"/>
    <s v="MXN"/>
    <n v="119.7"/>
    <x v="0"/>
    <m/>
    <m/>
    <m/>
    <m/>
    <m/>
    <m/>
    <m/>
    <m/>
    <s v="15.01.2020"/>
    <m/>
    <n v="20200115"/>
    <n v="119.7"/>
    <m/>
    <m/>
    <m/>
    <m/>
    <m/>
    <m/>
    <m/>
    <m/>
    <m/>
    <m/>
    <n v="340310490"/>
    <s v="JBAUTISTA"/>
  </r>
  <r>
    <n v="3403"/>
    <s v="15.01.2020"/>
    <n v="2020"/>
    <d v="2020-01-01T00:00:00"/>
    <n v="8"/>
    <n v="300008002"/>
    <s v="WA"/>
    <n v="81"/>
    <x v="0"/>
    <n v="11500060"/>
    <x v="0"/>
    <n v="1894"/>
    <s v="MXN"/>
    <n v="1894"/>
    <x v="0"/>
    <m/>
    <m/>
    <m/>
    <m/>
    <m/>
    <m/>
    <m/>
    <m/>
    <s v="15.01.2020"/>
    <m/>
    <n v="20200115"/>
    <n v="1894"/>
    <m/>
    <m/>
    <m/>
    <m/>
    <m/>
    <m/>
    <m/>
    <m/>
    <m/>
    <m/>
    <n v="340310590"/>
    <s v="JBAUTISTA"/>
  </r>
  <r>
    <n v="3403"/>
    <s v="15.01.2020"/>
    <n v="2020"/>
    <d v="2020-01-01T00:00:00"/>
    <n v="10"/>
    <n v="300008002"/>
    <s v="WA"/>
    <n v="81"/>
    <x v="0"/>
    <n v="11500060"/>
    <x v="0"/>
    <n v="537"/>
    <s v="MXN"/>
    <n v="537"/>
    <x v="0"/>
    <m/>
    <m/>
    <m/>
    <m/>
    <m/>
    <m/>
    <m/>
    <m/>
    <s v="15.01.2020"/>
    <m/>
    <n v="20200115"/>
    <n v="537"/>
    <m/>
    <m/>
    <m/>
    <m/>
    <m/>
    <m/>
    <m/>
    <m/>
    <m/>
    <m/>
    <n v="340310590"/>
    <s v="JBAUTISTA"/>
  </r>
  <r>
    <n v="3403"/>
    <s v="15.01.2020"/>
    <n v="2020"/>
    <d v="2020-01-01T00:00:00"/>
    <n v="12"/>
    <n v="300008002"/>
    <s v="WA"/>
    <n v="81"/>
    <x v="0"/>
    <n v="11500060"/>
    <x v="0"/>
    <n v="214.08"/>
    <s v="MXN"/>
    <n v="214.08"/>
    <x v="0"/>
    <m/>
    <m/>
    <m/>
    <m/>
    <m/>
    <m/>
    <m/>
    <m/>
    <s v="15.01.2020"/>
    <m/>
    <n v="20200115"/>
    <n v="214.08"/>
    <m/>
    <m/>
    <m/>
    <m/>
    <m/>
    <m/>
    <m/>
    <m/>
    <m/>
    <m/>
    <n v="340310590"/>
    <s v="JBAUTISTA"/>
  </r>
  <r>
    <n v="3403"/>
    <s v="15.01.2020"/>
    <n v="2020"/>
    <d v="2020-01-01T00:00:00"/>
    <n v="14"/>
    <n v="300008002"/>
    <s v="WA"/>
    <n v="81"/>
    <x v="0"/>
    <n v="11500060"/>
    <x v="0"/>
    <n v="114"/>
    <s v="MXN"/>
    <n v="114"/>
    <x v="0"/>
    <m/>
    <m/>
    <m/>
    <m/>
    <m/>
    <m/>
    <m/>
    <m/>
    <s v="15.01.2020"/>
    <m/>
    <n v="20200115"/>
    <n v="114"/>
    <m/>
    <m/>
    <m/>
    <m/>
    <m/>
    <m/>
    <m/>
    <m/>
    <m/>
    <m/>
    <n v="340310590"/>
    <s v="JBAUTISTA"/>
  </r>
  <r>
    <n v="3403"/>
    <s v="15.01.2020"/>
    <n v="2020"/>
    <d v="2020-01-01T00:00:00"/>
    <n v="16"/>
    <n v="300008002"/>
    <s v="WA"/>
    <n v="81"/>
    <x v="0"/>
    <n v="11500060"/>
    <x v="0"/>
    <n v="552"/>
    <s v="MXN"/>
    <n v="552"/>
    <x v="0"/>
    <m/>
    <m/>
    <m/>
    <m/>
    <m/>
    <m/>
    <m/>
    <m/>
    <s v="15.01.2020"/>
    <m/>
    <n v="20200115"/>
    <n v="552"/>
    <m/>
    <m/>
    <m/>
    <m/>
    <m/>
    <m/>
    <m/>
    <m/>
    <m/>
    <m/>
    <n v="340310590"/>
    <s v="JBAUTISTA"/>
  </r>
  <r>
    <n v="3403"/>
    <s v="15.01.2020"/>
    <n v="2020"/>
    <d v="2020-01-01T00:00:00"/>
    <n v="24"/>
    <n v="300008002"/>
    <s v="WA"/>
    <n v="81"/>
    <x v="0"/>
    <n v="11500060"/>
    <x v="0"/>
    <n v="95.2"/>
    <s v="MXN"/>
    <n v="95.2"/>
    <x v="0"/>
    <m/>
    <m/>
    <m/>
    <m/>
    <m/>
    <m/>
    <m/>
    <m/>
    <s v="15.01.2020"/>
    <m/>
    <n v="20200115"/>
    <n v="95.2"/>
    <m/>
    <m/>
    <m/>
    <m/>
    <m/>
    <m/>
    <m/>
    <m/>
    <m/>
    <m/>
    <n v="340310590"/>
    <s v="JBAUTISTA"/>
  </r>
  <r>
    <n v="3403"/>
    <s v="15.01.2020"/>
    <n v="2020"/>
    <d v="2020-01-01T00:00:00"/>
    <n v="26"/>
    <n v="300008002"/>
    <s v="WA"/>
    <n v="81"/>
    <x v="0"/>
    <n v="11500060"/>
    <x v="0"/>
    <n v="196"/>
    <s v="MXN"/>
    <n v="196"/>
    <x v="0"/>
    <m/>
    <m/>
    <m/>
    <m/>
    <m/>
    <m/>
    <m/>
    <m/>
    <s v="15.01.2020"/>
    <m/>
    <n v="20200115"/>
    <n v="196"/>
    <m/>
    <m/>
    <m/>
    <m/>
    <m/>
    <m/>
    <m/>
    <m/>
    <m/>
    <m/>
    <n v="340310590"/>
    <s v="JBAUTISTA"/>
  </r>
  <r>
    <n v="3403"/>
    <s v="15.01.2020"/>
    <n v="2020"/>
    <d v="2020-01-01T00:00:00"/>
    <n v="28"/>
    <n v="300008002"/>
    <s v="WA"/>
    <n v="81"/>
    <x v="0"/>
    <n v="11500060"/>
    <x v="0"/>
    <n v="2077.5300000000002"/>
    <s v="MXN"/>
    <n v="2077.5300000000002"/>
    <x v="0"/>
    <m/>
    <m/>
    <m/>
    <m/>
    <m/>
    <m/>
    <m/>
    <m/>
    <s v="15.01.2020"/>
    <m/>
    <n v="20200115"/>
    <n v="2077.5300000000002"/>
    <m/>
    <m/>
    <m/>
    <m/>
    <m/>
    <m/>
    <m/>
    <m/>
    <m/>
    <m/>
    <n v="340310590"/>
    <s v="JBAUTISTA"/>
  </r>
  <r>
    <n v="3403"/>
    <s v="15.01.2020"/>
    <n v="2020"/>
    <d v="2020-01-01T00:00:00"/>
    <n v="32"/>
    <n v="300008002"/>
    <s v="WA"/>
    <n v="81"/>
    <x v="0"/>
    <n v="11500060"/>
    <x v="0"/>
    <n v="3020.6"/>
    <s v="MXN"/>
    <n v="3020.6"/>
    <x v="0"/>
    <m/>
    <m/>
    <m/>
    <m/>
    <m/>
    <m/>
    <m/>
    <m/>
    <s v="15.01.2020"/>
    <m/>
    <n v="20200115"/>
    <n v="3020.6"/>
    <m/>
    <m/>
    <m/>
    <m/>
    <m/>
    <m/>
    <m/>
    <m/>
    <m/>
    <m/>
    <n v="340310590"/>
    <s v="JBAUTISTA"/>
  </r>
  <r>
    <n v="3403"/>
    <s v="15.01.2020"/>
    <n v="2020"/>
    <d v="2020-01-01T00:00:00"/>
    <n v="34"/>
    <n v="300008002"/>
    <s v="WA"/>
    <n v="81"/>
    <x v="0"/>
    <n v="11500060"/>
    <x v="0"/>
    <n v="879.42"/>
    <s v="MXN"/>
    <n v="879.42"/>
    <x v="0"/>
    <m/>
    <m/>
    <m/>
    <m/>
    <m/>
    <m/>
    <m/>
    <m/>
    <s v="15.01.2020"/>
    <m/>
    <n v="20200115"/>
    <n v="879.42"/>
    <m/>
    <m/>
    <m/>
    <m/>
    <m/>
    <m/>
    <m/>
    <m/>
    <m/>
    <m/>
    <n v="340310590"/>
    <s v="JBAUTISTA"/>
  </r>
  <r>
    <n v="3403"/>
    <s v="15.01.2020"/>
    <n v="2020"/>
    <d v="2020-01-01T00:00:00"/>
    <n v="36"/>
    <n v="300008002"/>
    <s v="WA"/>
    <n v="81"/>
    <x v="0"/>
    <n v="11500060"/>
    <x v="0"/>
    <n v="9262.2999999999993"/>
    <s v="MXN"/>
    <n v="9262.2999999999993"/>
    <x v="0"/>
    <m/>
    <m/>
    <m/>
    <m/>
    <m/>
    <m/>
    <m/>
    <m/>
    <s v="15.01.2020"/>
    <m/>
    <n v="20200115"/>
    <n v="9262.2999999999993"/>
    <m/>
    <m/>
    <m/>
    <m/>
    <m/>
    <m/>
    <m/>
    <m/>
    <m/>
    <m/>
    <n v="340310590"/>
    <s v="JBAUTISTA"/>
  </r>
  <r>
    <n v="3403"/>
    <s v="15.01.2020"/>
    <n v="2020"/>
    <d v="2020-01-01T00:00:00"/>
    <n v="40"/>
    <n v="300008002"/>
    <s v="WA"/>
    <n v="81"/>
    <x v="0"/>
    <n v="11500060"/>
    <x v="0"/>
    <n v="2400"/>
    <s v="MXN"/>
    <n v="2400"/>
    <x v="0"/>
    <m/>
    <m/>
    <m/>
    <m/>
    <m/>
    <m/>
    <m/>
    <m/>
    <s v="15.01.2020"/>
    <m/>
    <n v="20200115"/>
    <n v="2400"/>
    <m/>
    <m/>
    <m/>
    <m/>
    <m/>
    <m/>
    <m/>
    <m/>
    <m/>
    <m/>
    <n v="340310590"/>
    <s v="JBAUTISTA"/>
  </r>
  <r>
    <n v="3403"/>
    <s v="15.01.2020"/>
    <n v="2020"/>
    <d v="2020-01-01T00:00:00"/>
    <n v="42"/>
    <n v="300008002"/>
    <s v="WA"/>
    <n v="81"/>
    <x v="0"/>
    <n v="11500060"/>
    <x v="0"/>
    <n v="1200"/>
    <s v="MXN"/>
    <n v="1200"/>
    <x v="0"/>
    <m/>
    <m/>
    <m/>
    <m/>
    <m/>
    <m/>
    <m/>
    <m/>
    <s v="15.01.2020"/>
    <m/>
    <n v="20200115"/>
    <n v="1200"/>
    <m/>
    <m/>
    <m/>
    <m/>
    <m/>
    <m/>
    <m/>
    <m/>
    <m/>
    <m/>
    <n v="340310590"/>
    <s v="JBAUTISTA"/>
  </r>
  <r>
    <n v="3403"/>
    <s v="15.01.2020"/>
    <n v="2020"/>
    <d v="2020-01-01T00:00:00"/>
    <n v="24"/>
    <n v="300008003"/>
    <s v="WA"/>
    <n v="81"/>
    <x v="0"/>
    <n v="11500040"/>
    <x v="0"/>
    <n v="189.72"/>
    <s v="MXN"/>
    <n v="189.72"/>
    <x v="0"/>
    <m/>
    <m/>
    <m/>
    <m/>
    <m/>
    <m/>
    <m/>
    <m/>
    <s v="15.01.2020"/>
    <m/>
    <n v="20200115"/>
    <n v="189.72"/>
    <m/>
    <m/>
    <m/>
    <m/>
    <m/>
    <m/>
    <m/>
    <m/>
    <m/>
    <m/>
    <n v="340325290"/>
    <s v="JBAUTISTA"/>
  </r>
  <r>
    <n v="3401"/>
    <s v="15.01.2020"/>
    <n v="2020"/>
    <d v="2020-01-01T00:00:00"/>
    <n v="78"/>
    <n v="100015645"/>
    <s v="WA"/>
    <n v="81"/>
    <x v="0"/>
    <n v="11500060"/>
    <x v="0"/>
    <n v="3210"/>
    <s v="MXN"/>
    <n v="3210"/>
    <x v="0"/>
    <m/>
    <m/>
    <m/>
    <m/>
    <m/>
    <m/>
    <m/>
    <m/>
    <s v="16.01.2020"/>
    <m/>
    <n v="20200115"/>
    <n v="3210"/>
    <m/>
    <m/>
    <m/>
    <m/>
    <m/>
    <m/>
    <m/>
    <m/>
    <m/>
    <m/>
    <n v="340112490"/>
    <s v="VCORTEZ"/>
  </r>
  <r>
    <n v="3401"/>
    <s v="15.01.2020"/>
    <n v="2020"/>
    <d v="2020-01-01T00:00:00"/>
    <n v="102"/>
    <n v="100015645"/>
    <s v="WA"/>
    <n v="81"/>
    <x v="0"/>
    <n v="11500060"/>
    <x v="0"/>
    <n v="1462.98"/>
    <s v="MXN"/>
    <n v="1462.98"/>
    <x v="0"/>
    <m/>
    <m/>
    <m/>
    <m/>
    <m/>
    <m/>
    <m/>
    <m/>
    <s v="16.01.2020"/>
    <m/>
    <n v="20200115"/>
    <n v="1462.98"/>
    <m/>
    <m/>
    <m/>
    <m/>
    <m/>
    <m/>
    <m/>
    <m/>
    <m/>
    <m/>
    <n v="340112490"/>
    <s v="VCORTEZ"/>
  </r>
  <r>
    <n v="3402"/>
    <s v="15.01.2020"/>
    <n v="2020"/>
    <d v="2020-01-01T00:00:00"/>
    <n v="14"/>
    <n v="200042597"/>
    <s v="WA"/>
    <n v="81"/>
    <x v="0"/>
    <n v="11500060"/>
    <x v="0"/>
    <n v="5578.95"/>
    <s v="MXN"/>
    <n v="5578.95"/>
    <x v="0"/>
    <m/>
    <m/>
    <m/>
    <m/>
    <m/>
    <m/>
    <m/>
    <m/>
    <s v="16.01.2020"/>
    <m/>
    <n v="20200115"/>
    <n v="5578.95"/>
    <m/>
    <m/>
    <m/>
    <m/>
    <m/>
    <m/>
    <m/>
    <m/>
    <m/>
    <m/>
    <n v="340233190"/>
    <s v="AMAY"/>
  </r>
  <r>
    <n v="3401"/>
    <s v="15.01.2020"/>
    <n v="2020"/>
    <d v="2020-01-01T00:00:00"/>
    <n v="10"/>
    <n v="100015664"/>
    <s v="WA"/>
    <n v="81"/>
    <x v="0"/>
    <n v="11500040"/>
    <x v="0"/>
    <n v="1933.33"/>
    <s v="MXN"/>
    <n v="1933.33"/>
    <x v="0"/>
    <m/>
    <m/>
    <m/>
    <m/>
    <m/>
    <m/>
    <m/>
    <m/>
    <s v="16.01.2020"/>
    <m/>
    <n v="20200115"/>
    <n v="1933.33"/>
    <m/>
    <m/>
    <m/>
    <m/>
    <m/>
    <m/>
    <m/>
    <m/>
    <m/>
    <m/>
    <n v="340112790"/>
    <s v="VCORTEZ"/>
  </r>
  <r>
    <n v="3401"/>
    <s v="15.01.2020"/>
    <n v="2020"/>
    <d v="2020-01-01T00:00:00"/>
    <n v="12"/>
    <n v="100015664"/>
    <s v="WA"/>
    <n v="81"/>
    <x v="0"/>
    <n v="11500040"/>
    <x v="0"/>
    <n v="5466.7"/>
    <s v="MXN"/>
    <n v="5466.7"/>
    <x v="0"/>
    <m/>
    <m/>
    <m/>
    <m/>
    <m/>
    <m/>
    <m/>
    <m/>
    <s v="16.01.2020"/>
    <m/>
    <n v="20200115"/>
    <n v="5466.7"/>
    <m/>
    <m/>
    <m/>
    <m/>
    <m/>
    <m/>
    <m/>
    <m/>
    <m/>
    <m/>
    <n v="340112790"/>
    <s v="VCORTEZ"/>
  </r>
  <r>
    <n v="3401"/>
    <s v="15.01.2020"/>
    <n v="2020"/>
    <d v="2020-01-01T00:00:00"/>
    <n v="24"/>
    <n v="100015664"/>
    <s v="WA"/>
    <n v="81"/>
    <x v="0"/>
    <n v="11500040"/>
    <x v="0"/>
    <n v="112.7"/>
    <s v="MXN"/>
    <n v="112.7"/>
    <x v="0"/>
    <m/>
    <m/>
    <m/>
    <m/>
    <m/>
    <m/>
    <m/>
    <m/>
    <s v="16.01.2020"/>
    <m/>
    <n v="20200115"/>
    <n v="112.7"/>
    <m/>
    <m/>
    <m/>
    <m/>
    <m/>
    <m/>
    <m/>
    <m/>
    <m/>
    <m/>
    <n v="340112790"/>
    <s v="VCORTEZ"/>
  </r>
  <r>
    <n v="3401"/>
    <s v="15.01.2020"/>
    <n v="2020"/>
    <d v="2020-01-01T00:00:00"/>
    <n v="28"/>
    <n v="100015664"/>
    <s v="WA"/>
    <n v="81"/>
    <x v="0"/>
    <n v="11500040"/>
    <x v="0"/>
    <n v="428"/>
    <s v="MXN"/>
    <n v="428"/>
    <x v="0"/>
    <m/>
    <m/>
    <m/>
    <m/>
    <m/>
    <m/>
    <m/>
    <m/>
    <s v="16.01.2020"/>
    <m/>
    <n v="20200115"/>
    <n v="428"/>
    <m/>
    <m/>
    <m/>
    <m/>
    <m/>
    <m/>
    <m/>
    <m/>
    <m/>
    <m/>
    <n v="340112790"/>
    <s v="VCORTEZ"/>
  </r>
  <r>
    <n v="3401"/>
    <s v="15.01.2020"/>
    <n v="2020"/>
    <d v="2020-01-01T00:00:00"/>
    <n v="6"/>
    <n v="100015667"/>
    <s v="WA"/>
    <n v="81"/>
    <x v="0"/>
    <n v="11500040"/>
    <x v="0"/>
    <n v="2108.92"/>
    <s v="MXN"/>
    <n v="2108.92"/>
    <x v="0"/>
    <m/>
    <m/>
    <m/>
    <m/>
    <m/>
    <m/>
    <m/>
    <m/>
    <s v="16.01.2020"/>
    <m/>
    <n v="20200115"/>
    <n v="2108.92"/>
    <m/>
    <m/>
    <m/>
    <m/>
    <m/>
    <m/>
    <m/>
    <m/>
    <m/>
    <m/>
    <n v="340153290"/>
    <s v="VCORTEZ"/>
  </r>
  <r>
    <n v="3401"/>
    <s v="15.01.2020"/>
    <n v="2020"/>
    <d v="2020-01-01T00:00:00"/>
    <n v="8"/>
    <n v="100015667"/>
    <s v="WA"/>
    <n v="81"/>
    <x v="0"/>
    <n v="11500040"/>
    <x v="0"/>
    <n v="715.06"/>
    <s v="MXN"/>
    <n v="715.06"/>
    <x v="0"/>
    <m/>
    <m/>
    <m/>
    <m/>
    <m/>
    <m/>
    <m/>
    <m/>
    <s v="16.01.2020"/>
    <m/>
    <n v="20200115"/>
    <n v="715.06"/>
    <m/>
    <m/>
    <m/>
    <m/>
    <m/>
    <m/>
    <m/>
    <m/>
    <m/>
    <m/>
    <n v="340153290"/>
    <s v="VCORTEZ"/>
  </r>
  <r>
    <n v="3402"/>
    <s v="15.01.2020"/>
    <n v="2020"/>
    <d v="2020-01-01T00:00:00"/>
    <n v="68"/>
    <n v="200042645"/>
    <s v="WA"/>
    <n v="81"/>
    <x v="0"/>
    <n v="11500060"/>
    <x v="0"/>
    <n v="898.56"/>
    <s v="MXN"/>
    <n v="898.56"/>
    <x v="0"/>
    <m/>
    <m/>
    <m/>
    <m/>
    <m/>
    <m/>
    <m/>
    <m/>
    <s v="16.01.2020"/>
    <m/>
    <n v="20200115"/>
    <n v="898.56"/>
    <m/>
    <m/>
    <m/>
    <m/>
    <m/>
    <m/>
    <m/>
    <m/>
    <m/>
    <m/>
    <n v="340212590"/>
    <s v="AUXCOSTORVM"/>
  </r>
  <r>
    <n v="3402"/>
    <s v="15.01.2020"/>
    <n v="2020"/>
    <d v="2020-01-01T00:00:00"/>
    <n v="4"/>
    <n v="200042648"/>
    <s v="WA"/>
    <n v="81"/>
    <x v="0"/>
    <n v="11500060"/>
    <x v="0"/>
    <n v="568"/>
    <s v="MXN"/>
    <n v="568"/>
    <x v="0"/>
    <m/>
    <m/>
    <m/>
    <m/>
    <m/>
    <m/>
    <m/>
    <m/>
    <s v="16.01.2020"/>
    <m/>
    <n v="20200115"/>
    <n v="568"/>
    <m/>
    <m/>
    <m/>
    <m/>
    <m/>
    <m/>
    <m/>
    <m/>
    <m/>
    <m/>
    <n v="340255290"/>
    <s v="AUXCOSTORVM"/>
  </r>
  <r>
    <n v="3402"/>
    <s v="15.01.2020"/>
    <n v="2020"/>
    <d v="2020-01-01T00:00:00"/>
    <n v="2"/>
    <n v="200042654"/>
    <s v="WA"/>
    <n v="81"/>
    <x v="0"/>
    <n v="11500060"/>
    <x v="0"/>
    <n v="546.66999999999996"/>
    <s v="MXN"/>
    <n v="546.66999999999996"/>
    <x v="0"/>
    <m/>
    <m/>
    <m/>
    <m/>
    <m/>
    <m/>
    <m/>
    <m/>
    <s v="16.01.2020"/>
    <m/>
    <n v="20200115"/>
    <n v="546.66999999999996"/>
    <m/>
    <m/>
    <m/>
    <m/>
    <m/>
    <m/>
    <m/>
    <m/>
    <m/>
    <m/>
    <n v="340213190"/>
    <s v="AMAY"/>
  </r>
  <r>
    <n v="3402"/>
    <s v="15.01.2020"/>
    <n v="2020"/>
    <d v="2020-01-01T00:00:00"/>
    <n v="4"/>
    <n v="200042654"/>
    <s v="WA"/>
    <n v="81"/>
    <x v="0"/>
    <n v="11500060"/>
    <x v="0"/>
    <n v="1047.3499999999999"/>
    <s v="MXN"/>
    <n v="1047.3499999999999"/>
    <x v="0"/>
    <m/>
    <m/>
    <m/>
    <m/>
    <m/>
    <m/>
    <m/>
    <m/>
    <s v="16.01.2020"/>
    <m/>
    <n v="20200115"/>
    <n v="1047.3499999999999"/>
    <m/>
    <m/>
    <m/>
    <m/>
    <m/>
    <m/>
    <m/>
    <m/>
    <m/>
    <m/>
    <n v="340213190"/>
    <s v="AMAY"/>
  </r>
  <r>
    <n v="3402"/>
    <s v="15.01.2020"/>
    <n v="2020"/>
    <d v="2020-01-01T00:00:00"/>
    <n v="20"/>
    <n v="200042657"/>
    <s v="WA"/>
    <n v="81"/>
    <x v="0"/>
    <n v="11500040"/>
    <x v="0"/>
    <n v="112.08"/>
    <s v="MXN"/>
    <n v="112.08"/>
    <x v="0"/>
    <m/>
    <m/>
    <m/>
    <m/>
    <m/>
    <m/>
    <m/>
    <m/>
    <s v="16.01.2020"/>
    <m/>
    <n v="20200115"/>
    <n v="112.08"/>
    <m/>
    <m/>
    <m/>
    <m/>
    <m/>
    <m/>
    <m/>
    <m/>
    <m/>
    <m/>
    <n v="340215190"/>
    <s v="AUXCOSTORVM"/>
  </r>
  <r>
    <n v="3402"/>
    <s v="15.01.2020"/>
    <n v="2020"/>
    <d v="2020-01-01T00:00:00"/>
    <n v="22"/>
    <n v="200042657"/>
    <s v="WA"/>
    <n v="81"/>
    <x v="0"/>
    <n v="11500040"/>
    <x v="0"/>
    <n v="137.46"/>
    <s v="MXN"/>
    <n v="137.46"/>
    <x v="0"/>
    <m/>
    <m/>
    <m/>
    <m/>
    <m/>
    <m/>
    <m/>
    <m/>
    <s v="16.01.2020"/>
    <m/>
    <n v="20200115"/>
    <n v="137.46"/>
    <m/>
    <m/>
    <m/>
    <m/>
    <m/>
    <m/>
    <m/>
    <m/>
    <m/>
    <m/>
    <n v="340215190"/>
    <s v="AUXCOSTORVM"/>
  </r>
  <r>
    <n v="3401"/>
    <s v="15.01.2020"/>
    <n v="2020"/>
    <d v="2020-01-01T00:00:00"/>
    <n v="16"/>
    <n v="100015673"/>
    <s v="WA"/>
    <n v="81"/>
    <x v="0"/>
    <n v="11500050"/>
    <x v="0"/>
    <n v="6013.37"/>
    <s v="MXN"/>
    <n v="6013.37"/>
    <x v="0"/>
    <m/>
    <m/>
    <m/>
    <m/>
    <m/>
    <m/>
    <m/>
    <m/>
    <s v="16.01.2020"/>
    <m/>
    <n v="20200115"/>
    <n v="6013.37"/>
    <m/>
    <m/>
    <m/>
    <m/>
    <m/>
    <m/>
    <m/>
    <m/>
    <m/>
    <m/>
    <n v="340117690"/>
    <s v="VCORTEZ"/>
  </r>
  <r>
    <n v="3401"/>
    <s v="15.01.2020"/>
    <n v="2020"/>
    <d v="2020-01-01T00:00:00"/>
    <n v="8"/>
    <n v="100015677"/>
    <s v="WA"/>
    <n v="81"/>
    <x v="0"/>
    <n v="11500020"/>
    <x v="0"/>
    <n v="546.66999999999996"/>
    <s v="MXN"/>
    <n v="546.66999999999996"/>
    <x v="0"/>
    <m/>
    <m/>
    <m/>
    <m/>
    <m/>
    <m/>
    <m/>
    <m/>
    <s v="16.01.2020"/>
    <m/>
    <n v="20200115"/>
    <n v="546.66999999999996"/>
    <m/>
    <m/>
    <m/>
    <m/>
    <m/>
    <m/>
    <m/>
    <m/>
    <m/>
    <m/>
    <n v="340153890"/>
    <s v="VCORTEZ"/>
  </r>
  <r>
    <n v="3402"/>
    <s v="15.01.2020"/>
    <n v="2020"/>
    <d v="2020-01-01T00:00:00"/>
    <n v="16"/>
    <n v="200042668"/>
    <s v="WA"/>
    <n v="81"/>
    <x v="0"/>
    <n v="11500060"/>
    <x v="0"/>
    <n v="1859.65"/>
    <s v="MXN"/>
    <n v="1859.65"/>
    <x v="0"/>
    <m/>
    <m/>
    <m/>
    <m/>
    <m/>
    <m/>
    <m/>
    <m/>
    <s v="16.01.2020"/>
    <m/>
    <n v="20200115"/>
    <n v="1859.65"/>
    <m/>
    <m/>
    <m/>
    <m/>
    <m/>
    <m/>
    <m/>
    <m/>
    <m/>
    <m/>
    <n v="340232290"/>
    <s v="AUXCOSTORVM"/>
  </r>
  <r>
    <n v="3402"/>
    <s v="15.01.2020"/>
    <n v="2020"/>
    <d v="2020-01-01T00:00:00"/>
    <n v="18"/>
    <n v="200042668"/>
    <s v="WA"/>
    <n v="81"/>
    <x v="0"/>
    <n v="11500060"/>
    <x v="0"/>
    <n v="546.66999999999996"/>
    <s v="MXN"/>
    <n v="546.66999999999996"/>
    <x v="0"/>
    <m/>
    <m/>
    <m/>
    <m/>
    <m/>
    <m/>
    <m/>
    <m/>
    <s v="16.01.2020"/>
    <m/>
    <n v="20200115"/>
    <n v="546.66999999999996"/>
    <m/>
    <m/>
    <m/>
    <m/>
    <m/>
    <m/>
    <m/>
    <m/>
    <m/>
    <m/>
    <n v="340232290"/>
    <s v="AUXCOSTORVM"/>
  </r>
  <r>
    <n v="3402"/>
    <s v="15.01.2020"/>
    <n v="2020"/>
    <d v="2020-01-01T00:00:00"/>
    <n v="20"/>
    <n v="200042668"/>
    <s v="WA"/>
    <n v="81"/>
    <x v="0"/>
    <n v="11500060"/>
    <x v="0"/>
    <n v="232.8"/>
    <s v="MXN"/>
    <n v="232.8"/>
    <x v="0"/>
    <m/>
    <m/>
    <m/>
    <m/>
    <m/>
    <m/>
    <m/>
    <m/>
    <s v="16.01.2020"/>
    <m/>
    <n v="20200115"/>
    <n v="232.8"/>
    <m/>
    <m/>
    <m/>
    <m/>
    <m/>
    <m/>
    <m/>
    <m/>
    <m/>
    <m/>
    <n v="340232290"/>
    <s v="AUXCOSTORVM"/>
  </r>
  <r>
    <n v="3402"/>
    <s v="15.01.2020"/>
    <n v="2020"/>
    <d v="2020-01-01T00:00:00"/>
    <n v="22"/>
    <n v="200042668"/>
    <s v="WA"/>
    <n v="81"/>
    <x v="0"/>
    <n v="11500060"/>
    <x v="0"/>
    <n v="228.88"/>
    <s v="MXN"/>
    <n v="228.88"/>
    <x v="0"/>
    <m/>
    <m/>
    <m/>
    <m/>
    <m/>
    <m/>
    <m/>
    <m/>
    <s v="16.01.2020"/>
    <m/>
    <n v="20200115"/>
    <n v="228.88"/>
    <m/>
    <m/>
    <m/>
    <m/>
    <m/>
    <m/>
    <m/>
    <m/>
    <m/>
    <m/>
    <n v="340232290"/>
    <s v="AUXCOSTORVM"/>
  </r>
  <r>
    <n v="3402"/>
    <s v="15.01.2020"/>
    <n v="2020"/>
    <d v="2020-01-01T00:00:00"/>
    <n v="34"/>
    <n v="200042668"/>
    <s v="WA"/>
    <n v="81"/>
    <x v="0"/>
    <n v="11500060"/>
    <x v="0"/>
    <n v="692.81"/>
    <s v="MXN"/>
    <n v="692.81"/>
    <x v="0"/>
    <m/>
    <m/>
    <m/>
    <m/>
    <m/>
    <m/>
    <m/>
    <m/>
    <s v="16.01.2020"/>
    <m/>
    <n v="20200115"/>
    <n v="692.81"/>
    <m/>
    <m/>
    <m/>
    <m/>
    <m/>
    <m/>
    <m/>
    <m/>
    <m/>
    <m/>
    <n v="340232290"/>
    <s v="AUXCOSTORVM"/>
  </r>
  <r>
    <n v="3402"/>
    <s v="15.01.2020"/>
    <n v="2020"/>
    <d v="2020-01-01T00:00:00"/>
    <n v="40"/>
    <n v="200042668"/>
    <s v="WA"/>
    <n v="81"/>
    <x v="0"/>
    <n v="11500060"/>
    <x v="0"/>
    <n v="5549.76"/>
    <s v="MXN"/>
    <n v="5549.76"/>
    <x v="0"/>
    <m/>
    <m/>
    <m/>
    <m/>
    <m/>
    <m/>
    <m/>
    <m/>
    <s v="16.01.2020"/>
    <m/>
    <n v="20200115"/>
    <n v="5549.76"/>
    <m/>
    <m/>
    <m/>
    <m/>
    <m/>
    <m/>
    <m/>
    <m/>
    <m/>
    <m/>
    <n v="340232290"/>
    <s v="AUXCOSTORVM"/>
  </r>
  <r>
    <n v="3402"/>
    <s v="15.01.2020"/>
    <n v="2020"/>
    <d v="2020-01-01T00:00:00"/>
    <n v="42"/>
    <n v="200042668"/>
    <s v="WA"/>
    <n v="81"/>
    <x v="0"/>
    <n v="11500060"/>
    <x v="0"/>
    <n v="99.81"/>
    <s v="MXN"/>
    <n v="99.81"/>
    <x v="0"/>
    <m/>
    <m/>
    <m/>
    <m/>
    <m/>
    <m/>
    <m/>
    <m/>
    <s v="16.01.2020"/>
    <m/>
    <n v="20200115"/>
    <n v="99.81"/>
    <m/>
    <m/>
    <m/>
    <m/>
    <m/>
    <m/>
    <m/>
    <m/>
    <m/>
    <m/>
    <n v="340232290"/>
    <s v="AUXCOSTORVM"/>
  </r>
  <r>
    <n v="3402"/>
    <s v="15.01.2020"/>
    <n v="2020"/>
    <d v="2020-01-01T00:00:00"/>
    <n v="44"/>
    <n v="200042668"/>
    <s v="WA"/>
    <n v="81"/>
    <x v="0"/>
    <n v="11500060"/>
    <x v="0"/>
    <n v="503.27"/>
    <s v="MXN"/>
    <n v="503.27"/>
    <x v="0"/>
    <m/>
    <m/>
    <m/>
    <m/>
    <m/>
    <m/>
    <m/>
    <m/>
    <s v="16.01.2020"/>
    <m/>
    <n v="20200115"/>
    <n v="503.27"/>
    <m/>
    <m/>
    <m/>
    <m/>
    <m/>
    <m/>
    <m/>
    <m/>
    <m/>
    <m/>
    <n v="340232290"/>
    <s v="AUXCOSTORVM"/>
  </r>
  <r>
    <n v="3402"/>
    <s v="15.01.2020"/>
    <n v="2020"/>
    <d v="2020-01-01T00:00:00"/>
    <n v="46"/>
    <n v="200042668"/>
    <s v="WA"/>
    <n v="81"/>
    <x v="0"/>
    <n v="11500060"/>
    <x v="0"/>
    <n v="40.229999999999997"/>
    <s v="MXN"/>
    <n v="40.229999999999997"/>
    <x v="0"/>
    <m/>
    <m/>
    <m/>
    <m/>
    <m/>
    <m/>
    <m/>
    <m/>
    <s v="16.01.2020"/>
    <m/>
    <n v="20200115"/>
    <n v="40.229999999999997"/>
    <m/>
    <m/>
    <m/>
    <m/>
    <m/>
    <m/>
    <m/>
    <m/>
    <m/>
    <m/>
    <n v="340232290"/>
    <s v="AUXCOSTORVM"/>
  </r>
  <r>
    <n v="3401"/>
    <s v="15.01.2020"/>
    <n v="2020"/>
    <d v="2020-01-01T00:00:00"/>
    <n v="104"/>
    <n v="100015685"/>
    <s v="WA"/>
    <n v="81"/>
    <x v="0"/>
    <n v="11500010"/>
    <x v="0"/>
    <n v="1093.3399999999999"/>
    <s v="MXN"/>
    <n v="1093.3399999999999"/>
    <x v="0"/>
    <m/>
    <m/>
    <m/>
    <m/>
    <m/>
    <m/>
    <m/>
    <m/>
    <s v="16.01.2020"/>
    <m/>
    <n v="20200115"/>
    <n v="1093.3399999999999"/>
    <m/>
    <m/>
    <m/>
    <m/>
    <m/>
    <m/>
    <m/>
    <m/>
    <m/>
    <m/>
    <n v="340116690"/>
    <s v="VCORTEZ"/>
  </r>
  <r>
    <n v="3402"/>
    <s v="15.01.2020"/>
    <n v="2020"/>
    <d v="2020-01-01T00:00:00"/>
    <n v="80"/>
    <n v="200042671"/>
    <s v="WA"/>
    <n v="81"/>
    <x v="0"/>
    <n v="11500050"/>
    <x v="0"/>
    <n v="56.04"/>
    <s v="MXN"/>
    <n v="56.04"/>
    <x v="0"/>
    <m/>
    <m/>
    <m/>
    <m/>
    <m/>
    <m/>
    <m/>
    <m/>
    <s v="16.01.2020"/>
    <m/>
    <n v="20200115"/>
    <n v="56.04"/>
    <m/>
    <m/>
    <m/>
    <m/>
    <m/>
    <m/>
    <m/>
    <m/>
    <m/>
    <m/>
    <n v="340217690"/>
    <s v="AUXCOSTORVM"/>
  </r>
  <r>
    <n v="3402"/>
    <s v="15.01.2020"/>
    <n v="2020"/>
    <d v="2020-01-01T00:00:00"/>
    <n v="82"/>
    <n v="200042671"/>
    <s v="WA"/>
    <n v="81"/>
    <x v="0"/>
    <n v="11500050"/>
    <x v="0"/>
    <n v="51.5"/>
    <s v="MXN"/>
    <n v="51.5"/>
    <x v="0"/>
    <m/>
    <m/>
    <m/>
    <m/>
    <m/>
    <m/>
    <m/>
    <m/>
    <s v="16.01.2020"/>
    <m/>
    <n v="20200115"/>
    <n v="51.5"/>
    <m/>
    <m/>
    <m/>
    <m/>
    <m/>
    <m/>
    <m/>
    <m/>
    <m/>
    <m/>
    <n v="340217690"/>
    <s v="AUXCOSTORVM"/>
  </r>
  <r>
    <n v="3402"/>
    <s v="15.01.2020"/>
    <n v="2020"/>
    <d v="2020-01-01T00:00:00"/>
    <n v="84"/>
    <n v="200042671"/>
    <s v="WA"/>
    <n v="81"/>
    <x v="0"/>
    <n v="11500050"/>
    <x v="0"/>
    <n v="21.5"/>
    <s v="MXN"/>
    <n v="21.5"/>
    <x v="0"/>
    <m/>
    <m/>
    <m/>
    <m/>
    <m/>
    <m/>
    <m/>
    <m/>
    <s v="16.01.2020"/>
    <m/>
    <n v="20200115"/>
    <n v="21.5"/>
    <m/>
    <m/>
    <m/>
    <m/>
    <m/>
    <m/>
    <m/>
    <m/>
    <m/>
    <m/>
    <n v="340217690"/>
    <s v="AUXCOSTORVM"/>
  </r>
  <r>
    <n v="3402"/>
    <s v="15.01.2020"/>
    <n v="2020"/>
    <d v="2020-01-01T00:00:00"/>
    <n v="86"/>
    <n v="200042671"/>
    <s v="WA"/>
    <n v="81"/>
    <x v="0"/>
    <n v="11500050"/>
    <x v="0"/>
    <n v="8.0500000000000007"/>
    <s v="MXN"/>
    <n v="8.0500000000000007"/>
    <x v="0"/>
    <m/>
    <m/>
    <m/>
    <m/>
    <m/>
    <m/>
    <m/>
    <m/>
    <s v="16.01.2020"/>
    <m/>
    <n v="20200115"/>
    <n v="8.0500000000000007"/>
    <m/>
    <m/>
    <m/>
    <m/>
    <m/>
    <m/>
    <m/>
    <m/>
    <m/>
    <m/>
    <n v="340217690"/>
    <s v="AUXCOSTORVM"/>
  </r>
  <r>
    <n v="3402"/>
    <s v="15.01.2020"/>
    <n v="2020"/>
    <d v="2020-01-01T00:00:00"/>
    <n v="88"/>
    <n v="200042671"/>
    <s v="WA"/>
    <n v="81"/>
    <x v="0"/>
    <n v="11500050"/>
    <x v="0"/>
    <n v="142.74"/>
    <s v="MXN"/>
    <n v="142.74"/>
    <x v="0"/>
    <m/>
    <m/>
    <m/>
    <m/>
    <m/>
    <m/>
    <m/>
    <m/>
    <s v="16.01.2020"/>
    <m/>
    <n v="20200115"/>
    <n v="142.74"/>
    <m/>
    <m/>
    <m/>
    <m/>
    <m/>
    <m/>
    <m/>
    <m/>
    <m/>
    <m/>
    <n v="340217690"/>
    <s v="AUXCOSTORVM"/>
  </r>
  <r>
    <n v="3402"/>
    <s v="15.01.2020"/>
    <n v="2020"/>
    <d v="2020-01-01T00:00:00"/>
    <n v="90"/>
    <n v="200042671"/>
    <s v="WA"/>
    <n v="81"/>
    <x v="0"/>
    <n v="11500050"/>
    <x v="0"/>
    <n v="112.7"/>
    <s v="MXN"/>
    <n v="112.7"/>
    <x v="0"/>
    <m/>
    <m/>
    <m/>
    <m/>
    <m/>
    <m/>
    <m/>
    <m/>
    <s v="16.01.2020"/>
    <m/>
    <n v="20200115"/>
    <n v="112.7"/>
    <m/>
    <m/>
    <m/>
    <m/>
    <m/>
    <m/>
    <m/>
    <m/>
    <m/>
    <m/>
    <n v="340217690"/>
    <s v="AUXCOSTORVM"/>
  </r>
  <r>
    <n v="3402"/>
    <s v="15.01.2020"/>
    <n v="2020"/>
    <d v="2020-01-01T00:00:00"/>
    <n v="96"/>
    <n v="200042671"/>
    <s v="WA"/>
    <n v="81"/>
    <x v="0"/>
    <n v="11500050"/>
    <x v="0"/>
    <n v="996.78"/>
    <s v="MXN"/>
    <n v="996.78"/>
    <x v="0"/>
    <m/>
    <m/>
    <m/>
    <m/>
    <m/>
    <m/>
    <m/>
    <m/>
    <s v="16.01.2020"/>
    <m/>
    <n v="20200115"/>
    <n v="996.78"/>
    <m/>
    <m/>
    <m/>
    <m/>
    <m/>
    <m/>
    <m/>
    <m/>
    <m/>
    <m/>
    <n v="340217690"/>
    <s v="AUXCOSTORVM"/>
  </r>
  <r>
    <n v="3402"/>
    <s v="15.01.2020"/>
    <n v="2020"/>
    <d v="2020-01-01T00:00:00"/>
    <n v="98"/>
    <n v="200042671"/>
    <s v="WA"/>
    <n v="81"/>
    <x v="0"/>
    <n v="11500050"/>
    <x v="0"/>
    <n v="24.33"/>
    <s v="MXN"/>
    <n v="24.33"/>
    <x v="0"/>
    <m/>
    <m/>
    <m/>
    <m/>
    <m/>
    <m/>
    <m/>
    <m/>
    <s v="16.01.2020"/>
    <m/>
    <n v="20200115"/>
    <n v="24.33"/>
    <m/>
    <m/>
    <m/>
    <m/>
    <m/>
    <m/>
    <m/>
    <m/>
    <m/>
    <m/>
    <n v="340217690"/>
    <s v="AUXCOSTORVM"/>
  </r>
  <r>
    <n v="3402"/>
    <s v="15.01.2020"/>
    <n v="2020"/>
    <d v="2020-01-01T00:00:00"/>
    <n v="100"/>
    <n v="200042671"/>
    <s v="WA"/>
    <n v="81"/>
    <x v="0"/>
    <n v="11500050"/>
    <x v="0"/>
    <n v="9293.39"/>
    <s v="MXN"/>
    <n v="9293.39"/>
    <x v="0"/>
    <m/>
    <m/>
    <m/>
    <m/>
    <m/>
    <m/>
    <m/>
    <m/>
    <s v="16.01.2020"/>
    <m/>
    <n v="20200115"/>
    <n v="9293.39"/>
    <m/>
    <m/>
    <m/>
    <m/>
    <m/>
    <m/>
    <m/>
    <m/>
    <m/>
    <m/>
    <n v="340217690"/>
    <s v="AUXCOSTORVM"/>
  </r>
  <r>
    <n v="3401"/>
    <s v="15.01.2020"/>
    <n v="2020"/>
    <d v="2020-01-01T00:00:00"/>
    <n v="8"/>
    <n v="100015690"/>
    <s v="WA"/>
    <n v="81"/>
    <x v="0"/>
    <n v="11500060"/>
    <x v="0"/>
    <n v="672"/>
    <s v="MXN"/>
    <n v="672"/>
    <x v="0"/>
    <m/>
    <m/>
    <m/>
    <m/>
    <m/>
    <m/>
    <m/>
    <m/>
    <s v="16.01.2020"/>
    <m/>
    <n v="20200115"/>
    <n v="672"/>
    <m/>
    <m/>
    <m/>
    <m/>
    <m/>
    <m/>
    <m/>
    <m/>
    <m/>
    <m/>
    <n v="340112890"/>
    <s v="VCORTEZ"/>
  </r>
  <r>
    <n v="3401"/>
    <s v="15.01.2020"/>
    <n v="2020"/>
    <d v="2020-01-01T00:00:00"/>
    <n v="10"/>
    <n v="100015690"/>
    <s v="WA"/>
    <n v="81"/>
    <x v="0"/>
    <n v="11500060"/>
    <x v="0"/>
    <n v="3379.8"/>
    <s v="MXN"/>
    <n v="3379.8"/>
    <x v="0"/>
    <m/>
    <m/>
    <m/>
    <m/>
    <m/>
    <m/>
    <m/>
    <m/>
    <s v="16.01.2020"/>
    <m/>
    <n v="20200115"/>
    <n v="3379.8"/>
    <m/>
    <m/>
    <m/>
    <m/>
    <m/>
    <m/>
    <m/>
    <m/>
    <m/>
    <m/>
    <n v="340112890"/>
    <s v="VCORTEZ"/>
  </r>
  <r>
    <n v="3401"/>
    <s v="15.01.2020"/>
    <n v="2020"/>
    <d v="2020-01-01T00:00:00"/>
    <n v="12"/>
    <n v="100015690"/>
    <s v="WA"/>
    <n v="81"/>
    <x v="0"/>
    <n v="11500060"/>
    <x v="0"/>
    <n v="1302.56"/>
    <s v="MXN"/>
    <n v="1302.56"/>
    <x v="0"/>
    <m/>
    <m/>
    <m/>
    <m/>
    <m/>
    <m/>
    <m/>
    <m/>
    <s v="16.01.2020"/>
    <m/>
    <n v="20200115"/>
    <n v="1302.56"/>
    <m/>
    <m/>
    <m/>
    <m/>
    <m/>
    <m/>
    <m/>
    <m/>
    <m/>
    <m/>
    <n v="340112890"/>
    <s v="VCORTEZ"/>
  </r>
  <r>
    <n v="3401"/>
    <s v="15.01.2020"/>
    <n v="2020"/>
    <d v="2020-01-01T00:00:00"/>
    <n v="14"/>
    <n v="100015690"/>
    <s v="WA"/>
    <n v="81"/>
    <x v="0"/>
    <n v="11500060"/>
    <x v="0"/>
    <n v="1300"/>
    <s v="MXN"/>
    <n v="1300"/>
    <x v="0"/>
    <m/>
    <m/>
    <m/>
    <m/>
    <m/>
    <m/>
    <m/>
    <m/>
    <s v="16.01.2020"/>
    <m/>
    <n v="20200115"/>
    <n v="1300"/>
    <m/>
    <m/>
    <m/>
    <m/>
    <m/>
    <m/>
    <m/>
    <m/>
    <m/>
    <m/>
    <n v="340112890"/>
    <s v="VCORTEZ"/>
  </r>
  <r>
    <n v="3401"/>
    <s v="15.01.2020"/>
    <n v="2020"/>
    <d v="2020-01-01T00:00:00"/>
    <n v="16"/>
    <n v="100015690"/>
    <s v="WA"/>
    <n v="81"/>
    <x v="0"/>
    <n v="11500060"/>
    <x v="0"/>
    <n v="3305.8"/>
    <s v="MXN"/>
    <n v="3305.8"/>
    <x v="0"/>
    <m/>
    <m/>
    <m/>
    <m/>
    <m/>
    <m/>
    <m/>
    <m/>
    <s v="16.01.2020"/>
    <m/>
    <n v="20200115"/>
    <n v="3305.8"/>
    <m/>
    <m/>
    <m/>
    <m/>
    <m/>
    <m/>
    <m/>
    <m/>
    <m/>
    <m/>
    <n v="340112890"/>
    <s v="VCORTEZ"/>
  </r>
  <r>
    <n v="3401"/>
    <s v="15.01.2020"/>
    <n v="2020"/>
    <d v="2020-01-01T00:00:00"/>
    <n v="18"/>
    <n v="100015690"/>
    <s v="WA"/>
    <n v="81"/>
    <x v="0"/>
    <n v="11500060"/>
    <x v="0"/>
    <n v="1033.75"/>
    <s v="MXN"/>
    <n v="1033.75"/>
    <x v="0"/>
    <m/>
    <m/>
    <m/>
    <m/>
    <m/>
    <m/>
    <m/>
    <m/>
    <s v="16.01.2020"/>
    <m/>
    <n v="20200115"/>
    <n v="1033.75"/>
    <m/>
    <m/>
    <m/>
    <m/>
    <m/>
    <m/>
    <m/>
    <m/>
    <m/>
    <m/>
    <n v="340112890"/>
    <s v="VCORTEZ"/>
  </r>
  <r>
    <n v="3401"/>
    <s v="15.01.2020"/>
    <n v="2020"/>
    <d v="2020-01-01T00:00:00"/>
    <n v="20"/>
    <n v="100015690"/>
    <s v="WA"/>
    <n v="81"/>
    <x v="0"/>
    <n v="11500060"/>
    <x v="0"/>
    <n v="77.3"/>
    <s v="MXN"/>
    <n v="77.3"/>
    <x v="0"/>
    <m/>
    <m/>
    <m/>
    <m/>
    <m/>
    <m/>
    <m/>
    <m/>
    <s v="16.01.2020"/>
    <m/>
    <n v="20200115"/>
    <n v="77.3"/>
    <m/>
    <m/>
    <m/>
    <m/>
    <m/>
    <m/>
    <m/>
    <m/>
    <m/>
    <m/>
    <n v="340112890"/>
    <s v="VCORTEZ"/>
  </r>
  <r>
    <n v="3401"/>
    <s v="15.01.2020"/>
    <n v="2020"/>
    <d v="2020-01-01T00:00:00"/>
    <n v="22"/>
    <n v="100015690"/>
    <s v="WA"/>
    <n v="81"/>
    <x v="0"/>
    <n v="11500060"/>
    <x v="0"/>
    <n v="241.5"/>
    <s v="MXN"/>
    <n v="241.5"/>
    <x v="0"/>
    <m/>
    <m/>
    <m/>
    <m/>
    <m/>
    <m/>
    <m/>
    <m/>
    <s v="16.01.2020"/>
    <m/>
    <n v="20200115"/>
    <n v="241.5"/>
    <m/>
    <m/>
    <m/>
    <m/>
    <m/>
    <m/>
    <m/>
    <m/>
    <m/>
    <m/>
    <n v="340112890"/>
    <s v="VCORTEZ"/>
  </r>
  <r>
    <n v="3401"/>
    <s v="15.01.2020"/>
    <n v="2020"/>
    <d v="2020-01-01T00:00:00"/>
    <n v="24"/>
    <n v="100015690"/>
    <s v="WA"/>
    <n v="81"/>
    <x v="0"/>
    <n v="11500060"/>
    <x v="0"/>
    <n v="110"/>
    <s v="MXN"/>
    <n v="110"/>
    <x v="0"/>
    <m/>
    <m/>
    <m/>
    <m/>
    <m/>
    <m/>
    <m/>
    <m/>
    <s v="16.01.2020"/>
    <m/>
    <n v="20200115"/>
    <n v="110"/>
    <m/>
    <m/>
    <m/>
    <m/>
    <m/>
    <m/>
    <m/>
    <m/>
    <m/>
    <m/>
    <n v="340112890"/>
    <s v="VCORTEZ"/>
  </r>
  <r>
    <n v="3401"/>
    <s v="15.01.2020"/>
    <n v="2020"/>
    <d v="2020-01-01T00:00:00"/>
    <n v="26"/>
    <n v="100015690"/>
    <s v="WA"/>
    <n v="81"/>
    <x v="0"/>
    <n v="11500060"/>
    <x v="0"/>
    <n v="1087.5"/>
    <s v="MXN"/>
    <n v="1087.5"/>
    <x v="0"/>
    <m/>
    <m/>
    <m/>
    <m/>
    <m/>
    <m/>
    <m/>
    <m/>
    <s v="16.01.2020"/>
    <m/>
    <n v="20200115"/>
    <n v="1087.5"/>
    <m/>
    <m/>
    <m/>
    <m/>
    <m/>
    <m/>
    <m/>
    <m/>
    <m/>
    <m/>
    <n v="340112890"/>
    <s v="VCORTEZ"/>
  </r>
  <r>
    <n v="3401"/>
    <s v="15.01.2020"/>
    <n v="2020"/>
    <d v="2020-01-01T00:00:00"/>
    <n v="28"/>
    <n v="100015690"/>
    <s v="WA"/>
    <n v="81"/>
    <x v="0"/>
    <n v="11500060"/>
    <x v="0"/>
    <n v="1028.5"/>
    <s v="MXN"/>
    <n v="1028.5"/>
    <x v="0"/>
    <m/>
    <m/>
    <m/>
    <m/>
    <m/>
    <m/>
    <m/>
    <m/>
    <s v="16.01.2020"/>
    <m/>
    <n v="20200115"/>
    <n v="1028.5"/>
    <m/>
    <m/>
    <m/>
    <m/>
    <m/>
    <m/>
    <m/>
    <m/>
    <m/>
    <m/>
    <n v="340112890"/>
    <s v="VCORTEZ"/>
  </r>
  <r>
    <n v="3401"/>
    <s v="15.01.2020"/>
    <n v="2020"/>
    <d v="2020-01-01T00:00:00"/>
    <n v="30"/>
    <n v="100015690"/>
    <s v="WA"/>
    <n v="81"/>
    <x v="0"/>
    <n v="11500060"/>
    <x v="0"/>
    <n v="2448"/>
    <s v="MXN"/>
    <n v="2448"/>
    <x v="0"/>
    <m/>
    <m/>
    <m/>
    <m/>
    <m/>
    <m/>
    <m/>
    <m/>
    <s v="16.01.2020"/>
    <m/>
    <n v="20200115"/>
    <n v="2448"/>
    <m/>
    <m/>
    <m/>
    <m/>
    <m/>
    <m/>
    <m/>
    <m/>
    <m/>
    <m/>
    <n v="340112890"/>
    <s v="VCORTEZ"/>
  </r>
  <r>
    <n v="3401"/>
    <s v="15.01.2020"/>
    <n v="2020"/>
    <d v="2020-01-01T00:00:00"/>
    <n v="32"/>
    <n v="100015690"/>
    <s v="WA"/>
    <n v="81"/>
    <x v="0"/>
    <n v="11500060"/>
    <x v="0"/>
    <n v="2254"/>
    <s v="MXN"/>
    <n v="2254"/>
    <x v="0"/>
    <m/>
    <m/>
    <m/>
    <m/>
    <m/>
    <m/>
    <m/>
    <m/>
    <s v="16.01.2020"/>
    <m/>
    <n v="20200115"/>
    <n v="2254"/>
    <m/>
    <m/>
    <m/>
    <m/>
    <m/>
    <m/>
    <m/>
    <m/>
    <m/>
    <m/>
    <n v="340112890"/>
    <s v="VCORTEZ"/>
  </r>
  <r>
    <n v="3401"/>
    <s v="15.01.2020"/>
    <n v="2020"/>
    <d v="2020-01-01T00:00:00"/>
    <n v="34"/>
    <n v="100015690"/>
    <s v="WA"/>
    <n v="81"/>
    <x v="0"/>
    <n v="11500060"/>
    <x v="0"/>
    <n v="1320"/>
    <s v="MXN"/>
    <n v="1320"/>
    <x v="0"/>
    <m/>
    <m/>
    <m/>
    <m/>
    <m/>
    <m/>
    <m/>
    <m/>
    <s v="16.01.2020"/>
    <m/>
    <n v="20200115"/>
    <n v="1320"/>
    <m/>
    <m/>
    <m/>
    <m/>
    <m/>
    <m/>
    <m/>
    <m/>
    <m/>
    <m/>
    <n v="340112890"/>
    <s v="VCORTEZ"/>
  </r>
  <r>
    <n v="3401"/>
    <s v="15.01.2020"/>
    <n v="2020"/>
    <d v="2020-01-01T00:00:00"/>
    <n v="46"/>
    <n v="100015690"/>
    <s v="WA"/>
    <n v="81"/>
    <x v="0"/>
    <n v="11500060"/>
    <x v="0"/>
    <n v="7404.4"/>
    <s v="MXN"/>
    <n v="7404.4"/>
    <x v="0"/>
    <m/>
    <m/>
    <m/>
    <m/>
    <m/>
    <m/>
    <m/>
    <m/>
    <s v="16.01.2020"/>
    <m/>
    <n v="20200115"/>
    <n v="7404.4"/>
    <m/>
    <m/>
    <m/>
    <m/>
    <m/>
    <m/>
    <m/>
    <m/>
    <m/>
    <m/>
    <n v="340112890"/>
    <s v="VCORTEZ"/>
  </r>
  <r>
    <n v="3401"/>
    <s v="15.01.2020"/>
    <n v="2020"/>
    <d v="2020-01-01T00:00:00"/>
    <n v="48"/>
    <n v="100015690"/>
    <s v="WA"/>
    <n v="81"/>
    <x v="0"/>
    <n v="11500060"/>
    <x v="0"/>
    <n v="1824"/>
    <s v="MXN"/>
    <n v="1824"/>
    <x v="0"/>
    <m/>
    <m/>
    <m/>
    <m/>
    <m/>
    <m/>
    <m/>
    <m/>
    <s v="16.01.2020"/>
    <m/>
    <n v="20200115"/>
    <n v="1824"/>
    <m/>
    <m/>
    <m/>
    <m/>
    <m/>
    <m/>
    <m/>
    <m/>
    <m/>
    <m/>
    <n v="340112890"/>
    <s v="VCORTEZ"/>
  </r>
  <r>
    <n v="3401"/>
    <s v="15.01.2020"/>
    <n v="2020"/>
    <d v="2020-01-01T00:00:00"/>
    <n v="50"/>
    <n v="100015690"/>
    <s v="WA"/>
    <n v="81"/>
    <x v="0"/>
    <n v="11500060"/>
    <x v="0"/>
    <n v="17493.439999999999"/>
    <s v="MXN"/>
    <n v="17493.439999999999"/>
    <x v="0"/>
    <m/>
    <m/>
    <m/>
    <m/>
    <m/>
    <m/>
    <m/>
    <m/>
    <s v="16.01.2020"/>
    <m/>
    <n v="20200115"/>
    <n v="17493.439999999999"/>
    <m/>
    <m/>
    <m/>
    <m/>
    <m/>
    <m/>
    <m/>
    <m/>
    <m/>
    <m/>
    <n v="340112890"/>
    <s v="VCORTEZ"/>
  </r>
  <r>
    <n v="3401"/>
    <s v="15.01.2020"/>
    <n v="2020"/>
    <d v="2020-01-01T00:00:00"/>
    <n v="52"/>
    <n v="100015690"/>
    <s v="WA"/>
    <n v="81"/>
    <x v="0"/>
    <n v="11500060"/>
    <x v="0"/>
    <n v="3866.66"/>
    <s v="MXN"/>
    <n v="3866.66"/>
    <x v="0"/>
    <m/>
    <m/>
    <m/>
    <m/>
    <m/>
    <m/>
    <m/>
    <m/>
    <s v="16.01.2020"/>
    <m/>
    <n v="20200115"/>
    <n v="3866.66"/>
    <m/>
    <m/>
    <m/>
    <m/>
    <m/>
    <m/>
    <m/>
    <m/>
    <m/>
    <m/>
    <n v="340112890"/>
    <s v="VCORTEZ"/>
  </r>
  <r>
    <n v="3401"/>
    <s v="15.01.2020"/>
    <n v="2020"/>
    <d v="2020-01-01T00:00:00"/>
    <n v="2"/>
    <n v="100015691"/>
    <s v="WA"/>
    <n v="81"/>
    <x v="0"/>
    <n v="11500060"/>
    <x v="0"/>
    <n v="5461.05"/>
    <s v="MXN"/>
    <n v="5461.05"/>
    <x v="0"/>
    <m/>
    <m/>
    <m/>
    <m/>
    <m/>
    <m/>
    <m/>
    <m/>
    <s v="16.01.2020"/>
    <m/>
    <n v="20200115"/>
    <n v="5461.05"/>
    <m/>
    <m/>
    <m/>
    <m/>
    <m/>
    <m/>
    <m/>
    <m/>
    <m/>
    <m/>
    <n v="340110590"/>
    <s v="VCORTEZ"/>
  </r>
  <r>
    <n v="3401"/>
    <s v="15.01.2020"/>
    <n v="2020"/>
    <d v="2020-01-01T00:00:00"/>
    <n v="4"/>
    <n v="100015691"/>
    <s v="WA"/>
    <n v="81"/>
    <x v="0"/>
    <n v="11500060"/>
    <x v="0"/>
    <n v="224"/>
    <s v="MXN"/>
    <n v="224"/>
    <x v="0"/>
    <m/>
    <m/>
    <m/>
    <m/>
    <m/>
    <m/>
    <m/>
    <m/>
    <s v="16.01.2020"/>
    <m/>
    <n v="20200115"/>
    <n v="224"/>
    <m/>
    <m/>
    <m/>
    <m/>
    <m/>
    <m/>
    <m/>
    <m/>
    <m/>
    <m/>
    <n v="340110590"/>
    <s v="VCORTEZ"/>
  </r>
  <r>
    <n v="3401"/>
    <s v="15.01.2020"/>
    <n v="2020"/>
    <d v="2020-01-01T00:00:00"/>
    <n v="6"/>
    <n v="100015691"/>
    <s v="WA"/>
    <n v="81"/>
    <x v="0"/>
    <n v="11500060"/>
    <x v="0"/>
    <n v="170"/>
    <s v="MXN"/>
    <n v="170"/>
    <x v="0"/>
    <m/>
    <m/>
    <m/>
    <m/>
    <m/>
    <m/>
    <m/>
    <m/>
    <s v="16.01.2020"/>
    <m/>
    <n v="20200115"/>
    <n v="170"/>
    <m/>
    <m/>
    <m/>
    <m/>
    <m/>
    <m/>
    <m/>
    <m/>
    <m/>
    <m/>
    <n v="340110590"/>
    <s v="VCORTEZ"/>
  </r>
  <r>
    <n v="3401"/>
    <s v="15.01.2020"/>
    <n v="2020"/>
    <d v="2020-01-01T00:00:00"/>
    <n v="8"/>
    <n v="100015691"/>
    <s v="WA"/>
    <n v="81"/>
    <x v="0"/>
    <n v="11500060"/>
    <x v="0"/>
    <n v="277.2"/>
    <s v="MXN"/>
    <n v="277.2"/>
    <x v="0"/>
    <m/>
    <m/>
    <m/>
    <m/>
    <m/>
    <m/>
    <m/>
    <m/>
    <s v="16.01.2020"/>
    <m/>
    <n v="20200115"/>
    <n v="277.2"/>
    <m/>
    <m/>
    <m/>
    <m/>
    <m/>
    <m/>
    <m/>
    <m/>
    <m/>
    <m/>
    <n v="340110590"/>
    <s v="VCORTEZ"/>
  </r>
  <r>
    <n v="3401"/>
    <s v="15.01.2020"/>
    <n v="2020"/>
    <d v="2020-01-01T00:00:00"/>
    <n v="10"/>
    <n v="100015691"/>
    <s v="WA"/>
    <n v="81"/>
    <x v="0"/>
    <n v="11500060"/>
    <x v="0"/>
    <n v="200"/>
    <s v="MXN"/>
    <n v="200"/>
    <x v="0"/>
    <m/>
    <m/>
    <m/>
    <m/>
    <m/>
    <m/>
    <m/>
    <m/>
    <s v="16.01.2020"/>
    <m/>
    <n v="20200115"/>
    <n v="200"/>
    <m/>
    <m/>
    <m/>
    <m/>
    <m/>
    <m/>
    <m/>
    <m/>
    <m/>
    <m/>
    <n v="340110590"/>
    <s v="VCORTEZ"/>
  </r>
  <r>
    <n v="3401"/>
    <s v="15.01.2020"/>
    <n v="2020"/>
    <d v="2020-01-01T00:00:00"/>
    <n v="12"/>
    <n v="100015691"/>
    <s v="WA"/>
    <n v="81"/>
    <x v="0"/>
    <n v="11500060"/>
    <x v="0"/>
    <n v="80.5"/>
    <s v="MXN"/>
    <n v="80.5"/>
    <x v="0"/>
    <m/>
    <m/>
    <m/>
    <m/>
    <m/>
    <m/>
    <m/>
    <m/>
    <s v="16.01.2020"/>
    <m/>
    <n v="20200115"/>
    <n v="80.5"/>
    <m/>
    <m/>
    <m/>
    <m/>
    <m/>
    <m/>
    <m/>
    <m/>
    <m/>
    <m/>
    <n v="340110590"/>
    <s v="VCORTEZ"/>
  </r>
  <r>
    <n v="3401"/>
    <s v="15.01.2020"/>
    <n v="2020"/>
    <d v="2020-01-01T00:00:00"/>
    <n v="14"/>
    <n v="100015691"/>
    <s v="WA"/>
    <n v="81"/>
    <x v="0"/>
    <n v="11500060"/>
    <x v="0"/>
    <n v="830"/>
    <s v="MXN"/>
    <n v="830"/>
    <x v="0"/>
    <m/>
    <m/>
    <m/>
    <m/>
    <m/>
    <m/>
    <m/>
    <m/>
    <s v="16.01.2020"/>
    <m/>
    <n v="20200115"/>
    <n v="830"/>
    <m/>
    <m/>
    <m/>
    <m/>
    <m/>
    <m/>
    <m/>
    <m/>
    <m/>
    <m/>
    <n v="340110590"/>
    <s v="VCORTEZ"/>
  </r>
  <r>
    <n v="3401"/>
    <s v="15.01.2020"/>
    <n v="2020"/>
    <d v="2020-01-01T00:00:00"/>
    <n v="16"/>
    <n v="100015691"/>
    <s v="WA"/>
    <n v="81"/>
    <x v="0"/>
    <n v="11500060"/>
    <x v="0"/>
    <n v="187"/>
    <s v="MXN"/>
    <n v="187"/>
    <x v="0"/>
    <m/>
    <m/>
    <m/>
    <m/>
    <m/>
    <m/>
    <m/>
    <m/>
    <s v="16.01.2020"/>
    <m/>
    <n v="20200115"/>
    <n v="187"/>
    <m/>
    <m/>
    <m/>
    <m/>
    <m/>
    <m/>
    <m/>
    <m/>
    <m/>
    <m/>
    <n v="340110590"/>
    <s v="VCORTEZ"/>
  </r>
  <r>
    <n v="3401"/>
    <s v="15.01.2020"/>
    <n v="2020"/>
    <d v="2020-01-01T00:00:00"/>
    <n v="32"/>
    <n v="100015691"/>
    <s v="WA"/>
    <n v="81"/>
    <x v="0"/>
    <n v="11500060"/>
    <x v="0"/>
    <n v="7980"/>
    <s v="MXN"/>
    <n v="7980"/>
    <x v="0"/>
    <m/>
    <m/>
    <m/>
    <m/>
    <m/>
    <m/>
    <m/>
    <m/>
    <s v="16.01.2020"/>
    <m/>
    <n v="20200115"/>
    <n v="7980"/>
    <m/>
    <m/>
    <m/>
    <m/>
    <m/>
    <m/>
    <m/>
    <m/>
    <m/>
    <m/>
    <n v="340110590"/>
    <s v="VCORTEZ"/>
  </r>
  <r>
    <n v="3401"/>
    <s v="15.01.2020"/>
    <n v="2020"/>
    <d v="2020-01-01T00:00:00"/>
    <n v="34"/>
    <n v="100015691"/>
    <s v="WA"/>
    <n v="81"/>
    <x v="0"/>
    <n v="11500060"/>
    <x v="0"/>
    <n v="7096.5"/>
    <s v="MXN"/>
    <n v="7096.5"/>
    <x v="0"/>
    <m/>
    <m/>
    <m/>
    <m/>
    <m/>
    <m/>
    <m/>
    <m/>
    <s v="16.01.2020"/>
    <m/>
    <n v="20200115"/>
    <n v="7096.5"/>
    <m/>
    <m/>
    <m/>
    <m/>
    <m/>
    <m/>
    <m/>
    <m/>
    <m/>
    <m/>
    <n v="340110590"/>
    <s v="VCORTEZ"/>
  </r>
  <r>
    <n v="3401"/>
    <s v="15.01.2020"/>
    <n v="2020"/>
    <d v="2020-01-01T00:00:00"/>
    <n v="36"/>
    <n v="100015691"/>
    <s v="WA"/>
    <n v="81"/>
    <x v="0"/>
    <n v="11500060"/>
    <x v="0"/>
    <n v="879.42"/>
    <s v="MXN"/>
    <n v="879.42"/>
    <x v="0"/>
    <m/>
    <m/>
    <m/>
    <m/>
    <m/>
    <m/>
    <m/>
    <m/>
    <s v="16.01.2020"/>
    <m/>
    <n v="20200115"/>
    <n v="879.42"/>
    <m/>
    <m/>
    <m/>
    <m/>
    <m/>
    <m/>
    <m/>
    <m/>
    <m/>
    <m/>
    <n v="340110590"/>
    <s v="VCORTEZ"/>
  </r>
  <r>
    <n v="3401"/>
    <s v="15.01.2020"/>
    <n v="2020"/>
    <d v="2020-01-01T00:00:00"/>
    <n v="38"/>
    <n v="100015691"/>
    <s v="WA"/>
    <n v="81"/>
    <x v="0"/>
    <n v="11500060"/>
    <x v="0"/>
    <n v="1188.3800000000001"/>
    <s v="MXN"/>
    <n v="1188.3800000000001"/>
    <x v="0"/>
    <m/>
    <m/>
    <m/>
    <m/>
    <m/>
    <m/>
    <m/>
    <m/>
    <s v="16.01.2020"/>
    <m/>
    <n v="20200115"/>
    <n v="1188.3800000000001"/>
    <m/>
    <m/>
    <m/>
    <m/>
    <m/>
    <m/>
    <m/>
    <m/>
    <m/>
    <m/>
    <n v="340110590"/>
    <s v="VCORTEZ"/>
  </r>
  <r>
    <n v="3401"/>
    <s v="15.01.2020"/>
    <n v="2020"/>
    <d v="2020-01-01T00:00:00"/>
    <n v="40"/>
    <n v="100015691"/>
    <s v="WA"/>
    <n v="81"/>
    <x v="0"/>
    <n v="11500060"/>
    <x v="0"/>
    <n v="2822.62"/>
    <s v="MXN"/>
    <n v="2822.62"/>
    <x v="0"/>
    <m/>
    <m/>
    <m/>
    <m/>
    <m/>
    <m/>
    <m/>
    <m/>
    <s v="16.01.2020"/>
    <m/>
    <n v="20200115"/>
    <n v="2822.62"/>
    <m/>
    <m/>
    <m/>
    <m/>
    <m/>
    <m/>
    <m/>
    <m/>
    <m/>
    <m/>
    <n v="340110590"/>
    <s v="VCORTEZ"/>
  </r>
  <r>
    <n v="3401"/>
    <s v="15.01.2020"/>
    <n v="2020"/>
    <d v="2020-01-01T00:00:00"/>
    <n v="42"/>
    <n v="100015691"/>
    <s v="WA"/>
    <n v="81"/>
    <x v="0"/>
    <n v="11500060"/>
    <x v="0"/>
    <n v="3081.75"/>
    <s v="MXN"/>
    <n v="3081.75"/>
    <x v="0"/>
    <m/>
    <m/>
    <m/>
    <m/>
    <m/>
    <m/>
    <m/>
    <m/>
    <s v="16.01.2020"/>
    <m/>
    <n v="20200115"/>
    <n v="3081.75"/>
    <m/>
    <m/>
    <m/>
    <m/>
    <m/>
    <m/>
    <m/>
    <m/>
    <m/>
    <m/>
    <n v="340110590"/>
    <s v="VCORTEZ"/>
  </r>
  <r>
    <n v="3401"/>
    <s v="15.01.2020"/>
    <n v="2020"/>
    <d v="2020-01-01T00:00:00"/>
    <n v="44"/>
    <n v="100015691"/>
    <s v="WA"/>
    <n v="81"/>
    <x v="0"/>
    <n v="11500060"/>
    <x v="0"/>
    <n v="2778.69"/>
    <s v="MXN"/>
    <n v="2778.69"/>
    <x v="0"/>
    <m/>
    <m/>
    <m/>
    <m/>
    <m/>
    <m/>
    <m/>
    <m/>
    <s v="16.01.2020"/>
    <m/>
    <n v="20200115"/>
    <n v="2778.69"/>
    <m/>
    <m/>
    <m/>
    <m/>
    <m/>
    <m/>
    <m/>
    <m/>
    <m/>
    <m/>
    <n v="340110590"/>
    <s v="VCORTEZ"/>
  </r>
  <r>
    <n v="3401"/>
    <s v="15.01.2020"/>
    <n v="2020"/>
    <d v="2020-01-01T00:00:00"/>
    <n v="46"/>
    <n v="100015691"/>
    <s v="WA"/>
    <n v="81"/>
    <x v="0"/>
    <n v="11500060"/>
    <x v="0"/>
    <n v="796.99"/>
    <s v="MXN"/>
    <n v="796.99"/>
    <x v="0"/>
    <m/>
    <m/>
    <m/>
    <m/>
    <m/>
    <m/>
    <m/>
    <m/>
    <s v="16.01.2020"/>
    <m/>
    <n v="20200115"/>
    <n v="796.99"/>
    <m/>
    <m/>
    <m/>
    <m/>
    <m/>
    <m/>
    <m/>
    <m/>
    <m/>
    <m/>
    <n v="340110590"/>
    <s v="VCORTEZ"/>
  </r>
  <r>
    <n v="3401"/>
    <s v="15.01.2020"/>
    <n v="2020"/>
    <d v="2020-01-01T00:00:00"/>
    <n v="48"/>
    <n v="100015691"/>
    <s v="WA"/>
    <n v="81"/>
    <x v="0"/>
    <n v="11500060"/>
    <x v="0"/>
    <n v="152"/>
    <s v="MXN"/>
    <n v="152"/>
    <x v="0"/>
    <m/>
    <m/>
    <m/>
    <m/>
    <m/>
    <m/>
    <m/>
    <m/>
    <s v="16.01.2020"/>
    <m/>
    <n v="20200115"/>
    <n v="152"/>
    <m/>
    <m/>
    <m/>
    <m/>
    <m/>
    <m/>
    <m/>
    <m/>
    <m/>
    <m/>
    <n v="340110590"/>
    <s v="VCORTEZ"/>
  </r>
  <r>
    <n v="3401"/>
    <s v="15.01.2020"/>
    <n v="2020"/>
    <d v="2020-01-01T00:00:00"/>
    <n v="50"/>
    <n v="100015691"/>
    <s v="WA"/>
    <n v="81"/>
    <x v="0"/>
    <n v="11500060"/>
    <x v="0"/>
    <n v="420"/>
    <s v="MXN"/>
    <n v="420"/>
    <x v="0"/>
    <m/>
    <m/>
    <m/>
    <m/>
    <m/>
    <m/>
    <m/>
    <m/>
    <s v="16.01.2020"/>
    <m/>
    <n v="20200115"/>
    <n v="420"/>
    <m/>
    <m/>
    <m/>
    <m/>
    <m/>
    <m/>
    <m/>
    <m/>
    <m/>
    <m/>
    <n v="340110590"/>
    <s v="VCORTEZ"/>
  </r>
  <r>
    <n v="3401"/>
    <s v="15.01.2020"/>
    <n v="2020"/>
    <d v="2020-01-01T00:00:00"/>
    <n v="52"/>
    <n v="100015691"/>
    <s v="WA"/>
    <n v="81"/>
    <x v="0"/>
    <n v="11500060"/>
    <x v="0"/>
    <n v="3826.69"/>
    <s v="MXN"/>
    <n v="3826.69"/>
    <x v="0"/>
    <m/>
    <m/>
    <m/>
    <m/>
    <m/>
    <m/>
    <m/>
    <m/>
    <s v="16.01.2020"/>
    <m/>
    <n v="20200115"/>
    <n v="3826.69"/>
    <m/>
    <m/>
    <m/>
    <m/>
    <m/>
    <m/>
    <m/>
    <m/>
    <m/>
    <m/>
    <n v="340110590"/>
    <s v="VCORTEZ"/>
  </r>
  <r>
    <n v="3401"/>
    <s v="15.01.2020"/>
    <n v="2020"/>
    <d v="2020-01-01T00:00:00"/>
    <n v="54"/>
    <n v="100015691"/>
    <s v="WA"/>
    <n v="81"/>
    <x v="0"/>
    <n v="11500060"/>
    <x v="0"/>
    <n v="3719.3"/>
    <s v="MXN"/>
    <n v="3719.3"/>
    <x v="0"/>
    <m/>
    <m/>
    <m/>
    <m/>
    <m/>
    <m/>
    <m/>
    <m/>
    <s v="16.01.2020"/>
    <m/>
    <n v="20200115"/>
    <n v="3719.3"/>
    <m/>
    <m/>
    <m/>
    <m/>
    <m/>
    <m/>
    <m/>
    <m/>
    <m/>
    <m/>
    <n v="340110590"/>
    <s v="VCORTEZ"/>
  </r>
  <r>
    <n v="3401"/>
    <s v="15.01.2020"/>
    <n v="2020"/>
    <d v="2020-01-01T00:00:00"/>
    <n v="56"/>
    <n v="100015691"/>
    <s v="WA"/>
    <n v="81"/>
    <x v="0"/>
    <n v="11500060"/>
    <x v="0"/>
    <n v="2059.38"/>
    <s v="MXN"/>
    <n v="2059.38"/>
    <x v="0"/>
    <m/>
    <m/>
    <m/>
    <m/>
    <m/>
    <m/>
    <m/>
    <m/>
    <s v="16.01.2020"/>
    <m/>
    <n v="20200115"/>
    <n v="2059.38"/>
    <m/>
    <m/>
    <m/>
    <m/>
    <m/>
    <m/>
    <m/>
    <m/>
    <m/>
    <m/>
    <n v="340110590"/>
    <s v="VCORTEZ"/>
  </r>
  <r>
    <n v="3402"/>
    <s v="15.01.2020"/>
    <n v="2020"/>
    <d v="2020-01-01T00:00:00"/>
    <n v="12"/>
    <n v="200042674"/>
    <s v="WA"/>
    <n v="81"/>
    <x v="0"/>
    <n v="11500040"/>
    <x v="0"/>
    <n v="1075.6600000000001"/>
    <s v="MXN"/>
    <n v="1075.6600000000001"/>
    <x v="0"/>
    <m/>
    <m/>
    <m/>
    <m/>
    <m/>
    <m/>
    <m/>
    <m/>
    <s v="16.01.2020"/>
    <m/>
    <n v="20200115"/>
    <n v="1075.6600000000001"/>
    <m/>
    <m/>
    <m/>
    <m/>
    <m/>
    <m/>
    <m/>
    <m/>
    <m/>
    <m/>
    <n v="340253290"/>
    <s v="AUXCOSTORVM"/>
  </r>
  <r>
    <n v="3402"/>
    <s v="15.01.2020"/>
    <n v="2020"/>
    <d v="2020-01-01T00:00:00"/>
    <n v="14"/>
    <n v="200042674"/>
    <s v="WA"/>
    <n v="81"/>
    <x v="0"/>
    <n v="11500040"/>
    <x v="0"/>
    <n v="1455.03"/>
    <s v="MXN"/>
    <n v="1455.03"/>
    <x v="0"/>
    <m/>
    <m/>
    <m/>
    <m/>
    <m/>
    <m/>
    <m/>
    <m/>
    <s v="16.01.2020"/>
    <m/>
    <n v="20200115"/>
    <n v="1455.03"/>
    <m/>
    <m/>
    <m/>
    <m/>
    <m/>
    <m/>
    <m/>
    <m/>
    <m/>
    <m/>
    <n v="340253290"/>
    <s v="AUXCOSTORVM"/>
  </r>
  <r>
    <n v="3402"/>
    <s v="15.01.2020"/>
    <n v="2020"/>
    <d v="2020-01-01T00:00:00"/>
    <n v="16"/>
    <n v="200042674"/>
    <s v="WA"/>
    <n v="81"/>
    <x v="0"/>
    <n v="11500040"/>
    <x v="0"/>
    <n v="554.78"/>
    <s v="MXN"/>
    <n v="554.78"/>
    <x v="0"/>
    <m/>
    <m/>
    <m/>
    <m/>
    <m/>
    <m/>
    <m/>
    <m/>
    <s v="16.01.2020"/>
    <m/>
    <n v="20200115"/>
    <n v="554.78"/>
    <m/>
    <m/>
    <m/>
    <m/>
    <m/>
    <m/>
    <m/>
    <m/>
    <m/>
    <m/>
    <n v="340253290"/>
    <s v="AUXCOSTORVM"/>
  </r>
  <r>
    <n v="3402"/>
    <s v="15.01.2020"/>
    <n v="2020"/>
    <d v="2020-01-01T00:00:00"/>
    <n v="18"/>
    <n v="200042674"/>
    <s v="WA"/>
    <n v="81"/>
    <x v="0"/>
    <n v="11500040"/>
    <x v="0"/>
    <n v="926.07"/>
    <s v="MXN"/>
    <n v="926.07"/>
    <x v="0"/>
    <m/>
    <m/>
    <m/>
    <m/>
    <m/>
    <m/>
    <m/>
    <m/>
    <s v="16.01.2020"/>
    <m/>
    <n v="20200115"/>
    <n v="926.07"/>
    <m/>
    <m/>
    <m/>
    <m/>
    <m/>
    <m/>
    <m/>
    <m/>
    <m/>
    <m/>
    <n v="340253290"/>
    <s v="AUXCOSTORVM"/>
  </r>
  <r>
    <n v="3402"/>
    <s v="15.01.2020"/>
    <n v="2020"/>
    <d v="2020-01-01T00:00:00"/>
    <n v="24"/>
    <n v="200042674"/>
    <s v="WA"/>
    <n v="81"/>
    <x v="0"/>
    <n v="11500040"/>
    <x v="0"/>
    <n v="805.66"/>
    <s v="MXN"/>
    <n v="805.66"/>
    <x v="0"/>
    <m/>
    <m/>
    <m/>
    <m/>
    <m/>
    <m/>
    <m/>
    <m/>
    <s v="16.01.2020"/>
    <m/>
    <n v="20200115"/>
    <n v="805.66"/>
    <m/>
    <m/>
    <m/>
    <m/>
    <m/>
    <m/>
    <m/>
    <m/>
    <m/>
    <m/>
    <n v="340253290"/>
    <s v="AUXCOSTORVM"/>
  </r>
  <r>
    <n v="3402"/>
    <s v="15.01.2020"/>
    <n v="2020"/>
    <d v="2020-01-01T00:00:00"/>
    <n v="26"/>
    <n v="200042674"/>
    <s v="WA"/>
    <n v="81"/>
    <x v="0"/>
    <n v="11500040"/>
    <x v="0"/>
    <n v="1859.65"/>
    <s v="MXN"/>
    <n v="1859.65"/>
    <x v="0"/>
    <m/>
    <m/>
    <m/>
    <m/>
    <m/>
    <m/>
    <m/>
    <m/>
    <s v="16.01.2020"/>
    <m/>
    <n v="20200115"/>
    <n v="1859.65"/>
    <m/>
    <m/>
    <m/>
    <m/>
    <m/>
    <m/>
    <m/>
    <m/>
    <m/>
    <m/>
    <n v="340253290"/>
    <s v="AUXCOSTORVM"/>
  </r>
  <r>
    <n v="3402"/>
    <s v="15.01.2020"/>
    <n v="2020"/>
    <d v="2020-01-01T00:00:00"/>
    <n v="76"/>
    <n v="200042674"/>
    <s v="WA"/>
    <n v="81"/>
    <x v="0"/>
    <n v="11500040"/>
    <x v="0"/>
    <n v="810"/>
    <s v="MXN"/>
    <n v="810"/>
    <x v="0"/>
    <m/>
    <m/>
    <m/>
    <m/>
    <m/>
    <m/>
    <m/>
    <m/>
    <s v="16.01.2020"/>
    <m/>
    <n v="20200115"/>
    <n v="810"/>
    <m/>
    <m/>
    <m/>
    <m/>
    <m/>
    <m/>
    <m/>
    <m/>
    <m/>
    <m/>
    <n v="340253290"/>
    <s v="AUXCOSTORVM"/>
  </r>
  <r>
    <n v="3402"/>
    <s v="15.01.2020"/>
    <n v="2020"/>
    <d v="2020-01-01T00:00:00"/>
    <n v="6"/>
    <n v="200042698"/>
    <s v="WA"/>
    <n v="81"/>
    <x v="0"/>
    <n v="11500060"/>
    <x v="0"/>
    <n v="871.26"/>
    <s v="MXN"/>
    <n v="871.26"/>
    <x v="0"/>
    <m/>
    <m/>
    <m/>
    <m/>
    <m/>
    <m/>
    <m/>
    <m/>
    <s v="16.01.2020"/>
    <m/>
    <n v="20200115"/>
    <n v="871.26"/>
    <m/>
    <m/>
    <m/>
    <m/>
    <m/>
    <m/>
    <m/>
    <m/>
    <m/>
    <m/>
    <n v="340210590"/>
    <s v="AMAY"/>
  </r>
  <r>
    <n v="3402"/>
    <s v="15.01.2020"/>
    <n v="2020"/>
    <d v="2020-01-01T00:00:00"/>
    <n v="8"/>
    <n v="200042698"/>
    <s v="WA"/>
    <n v="81"/>
    <x v="0"/>
    <n v="11500060"/>
    <x v="0"/>
    <n v="224.64"/>
    <s v="MXN"/>
    <n v="224.64"/>
    <x v="0"/>
    <m/>
    <m/>
    <m/>
    <m/>
    <m/>
    <m/>
    <m/>
    <m/>
    <s v="16.01.2020"/>
    <m/>
    <n v="20200115"/>
    <n v="224.64"/>
    <m/>
    <m/>
    <m/>
    <m/>
    <m/>
    <m/>
    <m/>
    <m/>
    <m/>
    <m/>
    <n v="340210590"/>
    <s v="AMAY"/>
  </r>
  <r>
    <n v="3402"/>
    <s v="15.01.2020"/>
    <n v="2020"/>
    <d v="2020-01-01T00:00:00"/>
    <n v="10"/>
    <n v="200042698"/>
    <s v="WA"/>
    <n v="81"/>
    <x v="0"/>
    <n v="11500060"/>
    <x v="0"/>
    <n v="3226.98"/>
    <s v="MXN"/>
    <n v="3226.98"/>
    <x v="0"/>
    <m/>
    <m/>
    <m/>
    <m/>
    <m/>
    <m/>
    <m/>
    <m/>
    <s v="16.01.2020"/>
    <m/>
    <n v="20200115"/>
    <n v="3226.98"/>
    <m/>
    <m/>
    <m/>
    <m/>
    <m/>
    <m/>
    <m/>
    <m/>
    <m/>
    <m/>
    <n v="340210590"/>
    <s v="AMAY"/>
  </r>
  <r>
    <n v="3402"/>
    <s v="15.01.2020"/>
    <n v="2020"/>
    <d v="2020-01-01T00:00:00"/>
    <n v="12"/>
    <n v="200042698"/>
    <s v="WA"/>
    <n v="81"/>
    <x v="0"/>
    <n v="11500060"/>
    <x v="0"/>
    <n v="2198.5500000000002"/>
    <s v="MXN"/>
    <n v="2198.5500000000002"/>
    <x v="0"/>
    <m/>
    <m/>
    <m/>
    <m/>
    <m/>
    <m/>
    <m/>
    <m/>
    <s v="16.01.2020"/>
    <m/>
    <n v="20200115"/>
    <n v="2198.5500000000002"/>
    <m/>
    <m/>
    <m/>
    <m/>
    <m/>
    <m/>
    <m/>
    <m/>
    <m/>
    <m/>
    <n v="340210590"/>
    <s v="AMAY"/>
  </r>
  <r>
    <n v="3402"/>
    <s v="15.01.2020"/>
    <n v="2020"/>
    <d v="2020-01-01T00:00:00"/>
    <n v="14"/>
    <n v="200042698"/>
    <s v="WA"/>
    <n v="81"/>
    <x v="0"/>
    <n v="11500060"/>
    <x v="0"/>
    <n v="4907.42"/>
    <s v="MXN"/>
    <n v="4907.42"/>
    <x v="0"/>
    <m/>
    <m/>
    <m/>
    <m/>
    <m/>
    <m/>
    <m/>
    <m/>
    <s v="16.01.2020"/>
    <m/>
    <n v="20200115"/>
    <n v="4907.42"/>
    <m/>
    <m/>
    <m/>
    <m/>
    <m/>
    <m/>
    <m/>
    <m/>
    <m/>
    <m/>
    <n v="340210590"/>
    <s v="AMAY"/>
  </r>
  <r>
    <n v="3402"/>
    <s v="15.01.2020"/>
    <n v="2020"/>
    <d v="2020-01-01T00:00:00"/>
    <n v="16"/>
    <n v="200042698"/>
    <s v="WA"/>
    <n v="81"/>
    <x v="0"/>
    <n v="11500060"/>
    <x v="0"/>
    <n v="554.78"/>
    <s v="MXN"/>
    <n v="554.78"/>
    <x v="0"/>
    <m/>
    <m/>
    <m/>
    <m/>
    <m/>
    <m/>
    <m/>
    <m/>
    <s v="16.01.2020"/>
    <m/>
    <n v="20200115"/>
    <n v="554.78"/>
    <m/>
    <m/>
    <m/>
    <m/>
    <m/>
    <m/>
    <m/>
    <m/>
    <m/>
    <m/>
    <n v="340210590"/>
    <s v="AMAY"/>
  </r>
  <r>
    <n v="3402"/>
    <s v="15.01.2020"/>
    <n v="2020"/>
    <d v="2020-01-01T00:00:00"/>
    <n v="18"/>
    <n v="200042698"/>
    <s v="WA"/>
    <n v="81"/>
    <x v="0"/>
    <n v="11500060"/>
    <x v="0"/>
    <n v="6163.5"/>
    <s v="MXN"/>
    <n v="6163.5"/>
    <x v="0"/>
    <m/>
    <m/>
    <m/>
    <m/>
    <m/>
    <m/>
    <m/>
    <m/>
    <s v="16.01.2020"/>
    <m/>
    <n v="20200115"/>
    <n v="6163.5"/>
    <m/>
    <m/>
    <m/>
    <m/>
    <m/>
    <m/>
    <m/>
    <m/>
    <m/>
    <m/>
    <n v="340210590"/>
    <s v="AMAY"/>
  </r>
  <r>
    <n v="3402"/>
    <s v="15.01.2020"/>
    <n v="2020"/>
    <d v="2020-01-01T00:00:00"/>
    <n v="20"/>
    <n v="200042698"/>
    <s v="WA"/>
    <n v="81"/>
    <x v="0"/>
    <n v="11500060"/>
    <x v="0"/>
    <n v="7409.84"/>
    <s v="MXN"/>
    <n v="7409.84"/>
    <x v="0"/>
    <m/>
    <m/>
    <m/>
    <m/>
    <m/>
    <m/>
    <m/>
    <m/>
    <s v="16.01.2020"/>
    <m/>
    <n v="20200115"/>
    <n v="7409.84"/>
    <m/>
    <m/>
    <m/>
    <m/>
    <m/>
    <m/>
    <m/>
    <m/>
    <m/>
    <m/>
    <n v="340210590"/>
    <s v="AMAY"/>
  </r>
  <r>
    <n v="3402"/>
    <s v="15.01.2020"/>
    <n v="2020"/>
    <d v="2020-01-01T00:00:00"/>
    <n v="22"/>
    <n v="200042698"/>
    <s v="WA"/>
    <n v="81"/>
    <x v="0"/>
    <n v="11500060"/>
    <x v="0"/>
    <n v="3311.55"/>
    <s v="MXN"/>
    <n v="3311.55"/>
    <x v="0"/>
    <m/>
    <m/>
    <m/>
    <m/>
    <m/>
    <m/>
    <m/>
    <m/>
    <s v="16.01.2020"/>
    <m/>
    <n v="20200115"/>
    <n v="3311.55"/>
    <m/>
    <m/>
    <m/>
    <m/>
    <m/>
    <m/>
    <m/>
    <m/>
    <m/>
    <m/>
    <n v="340210590"/>
    <s v="AMAY"/>
  </r>
  <r>
    <n v="3402"/>
    <s v="15.01.2020"/>
    <n v="2020"/>
    <d v="2020-01-01T00:00:00"/>
    <n v="24"/>
    <n v="200042698"/>
    <s v="WA"/>
    <n v="81"/>
    <x v="0"/>
    <n v="11500060"/>
    <x v="0"/>
    <n v="2227.36"/>
    <s v="MXN"/>
    <n v="2227.36"/>
    <x v="0"/>
    <m/>
    <m/>
    <m/>
    <m/>
    <m/>
    <m/>
    <m/>
    <m/>
    <s v="16.01.2020"/>
    <m/>
    <n v="20200115"/>
    <n v="2227.36"/>
    <m/>
    <m/>
    <m/>
    <m/>
    <m/>
    <m/>
    <m/>
    <m/>
    <m/>
    <m/>
    <n v="340210590"/>
    <s v="AMAY"/>
  </r>
  <r>
    <n v="3402"/>
    <s v="15.01.2020"/>
    <n v="2020"/>
    <d v="2020-01-01T00:00:00"/>
    <n v="26"/>
    <n v="200042698"/>
    <s v="WA"/>
    <n v="81"/>
    <x v="0"/>
    <n v="11500060"/>
    <x v="0"/>
    <n v="110"/>
    <s v="MXN"/>
    <n v="110"/>
    <x v="0"/>
    <m/>
    <m/>
    <m/>
    <m/>
    <m/>
    <m/>
    <m/>
    <m/>
    <s v="16.01.2020"/>
    <m/>
    <n v="20200115"/>
    <n v="110"/>
    <m/>
    <m/>
    <m/>
    <m/>
    <m/>
    <m/>
    <m/>
    <m/>
    <m/>
    <m/>
    <n v="340210590"/>
    <s v="AMAY"/>
  </r>
  <r>
    <n v="3402"/>
    <s v="15.01.2020"/>
    <n v="2020"/>
    <d v="2020-01-01T00:00:00"/>
    <n v="28"/>
    <n v="200042698"/>
    <s v="WA"/>
    <n v="81"/>
    <x v="0"/>
    <n v="11500060"/>
    <x v="0"/>
    <n v="710.5"/>
    <s v="MXN"/>
    <n v="710.5"/>
    <x v="0"/>
    <m/>
    <m/>
    <m/>
    <m/>
    <m/>
    <m/>
    <m/>
    <m/>
    <s v="16.01.2020"/>
    <m/>
    <n v="20200115"/>
    <n v="710.5"/>
    <m/>
    <m/>
    <m/>
    <m/>
    <m/>
    <m/>
    <m/>
    <m/>
    <m/>
    <m/>
    <n v="340210590"/>
    <s v="AMAY"/>
  </r>
  <r>
    <n v="3402"/>
    <s v="15.01.2020"/>
    <n v="2020"/>
    <d v="2020-01-01T00:00:00"/>
    <n v="30"/>
    <n v="200042698"/>
    <s v="WA"/>
    <n v="81"/>
    <x v="0"/>
    <n v="11500060"/>
    <x v="0"/>
    <n v="4028.29"/>
    <s v="MXN"/>
    <n v="4028.29"/>
    <x v="0"/>
    <m/>
    <m/>
    <m/>
    <m/>
    <m/>
    <m/>
    <m/>
    <m/>
    <s v="16.01.2020"/>
    <m/>
    <n v="20200115"/>
    <n v="4028.29"/>
    <m/>
    <m/>
    <m/>
    <m/>
    <m/>
    <m/>
    <m/>
    <m/>
    <m/>
    <m/>
    <n v="340210590"/>
    <s v="AMAY"/>
  </r>
  <r>
    <n v="3402"/>
    <s v="15.01.2020"/>
    <n v="2020"/>
    <d v="2020-01-01T00:00:00"/>
    <n v="32"/>
    <n v="200042698"/>
    <s v="WA"/>
    <n v="81"/>
    <x v="0"/>
    <n v="11500060"/>
    <x v="0"/>
    <n v="1216.49"/>
    <s v="MXN"/>
    <n v="1216.49"/>
    <x v="0"/>
    <m/>
    <m/>
    <m/>
    <m/>
    <m/>
    <m/>
    <m/>
    <m/>
    <s v="16.01.2020"/>
    <m/>
    <n v="20200115"/>
    <n v="1216.49"/>
    <m/>
    <m/>
    <m/>
    <m/>
    <m/>
    <m/>
    <m/>
    <m/>
    <m/>
    <m/>
    <n v="340210590"/>
    <s v="AMAY"/>
  </r>
  <r>
    <n v="3402"/>
    <s v="15.01.2020"/>
    <n v="2020"/>
    <d v="2020-01-01T00:00:00"/>
    <n v="34"/>
    <n v="200042698"/>
    <s v="WA"/>
    <n v="81"/>
    <x v="0"/>
    <n v="11500060"/>
    <x v="0"/>
    <n v="6833.74"/>
    <s v="MXN"/>
    <n v="6833.74"/>
    <x v="0"/>
    <m/>
    <m/>
    <m/>
    <m/>
    <m/>
    <m/>
    <m/>
    <m/>
    <s v="16.01.2020"/>
    <m/>
    <n v="20200115"/>
    <n v="6833.74"/>
    <m/>
    <m/>
    <m/>
    <m/>
    <m/>
    <m/>
    <m/>
    <m/>
    <m/>
    <m/>
    <n v="340210590"/>
    <s v="AMAY"/>
  </r>
  <r>
    <n v="3402"/>
    <s v="15.01.2020"/>
    <n v="2020"/>
    <d v="2020-01-01T00:00:00"/>
    <n v="36"/>
    <n v="200042698"/>
    <s v="WA"/>
    <n v="81"/>
    <x v="0"/>
    <n v="11500060"/>
    <x v="0"/>
    <n v="1260"/>
    <s v="MXN"/>
    <n v="1260"/>
    <x v="0"/>
    <m/>
    <m/>
    <m/>
    <m/>
    <m/>
    <m/>
    <m/>
    <m/>
    <s v="16.01.2020"/>
    <m/>
    <n v="20200115"/>
    <n v="1260"/>
    <m/>
    <m/>
    <m/>
    <m/>
    <m/>
    <m/>
    <m/>
    <m/>
    <m/>
    <m/>
    <n v="340210590"/>
    <s v="AMAY"/>
  </r>
  <r>
    <n v="3402"/>
    <s v="15.01.2020"/>
    <n v="2020"/>
    <d v="2020-01-01T00:00:00"/>
    <n v="38"/>
    <n v="200042698"/>
    <s v="WA"/>
    <n v="81"/>
    <x v="0"/>
    <n v="11500060"/>
    <x v="0"/>
    <n v="4373.3599999999997"/>
    <s v="MXN"/>
    <n v="4373.3599999999997"/>
    <x v="0"/>
    <m/>
    <m/>
    <m/>
    <m/>
    <m/>
    <m/>
    <m/>
    <m/>
    <s v="16.01.2020"/>
    <m/>
    <n v="20200115"/>
    <n v="4373.3599999999997"/>
    <m/>
    <m/>
    <m/>
    <m/>
    <m/>
    <m/>
    <m/>
    <m/>
    <m/>
    <m/>
    <n v="340210590"/>
    <s v="AMAY"/>
  </r>
  <r>
    <n v="3402"/>
    <s v="15.01.2020"/>
    <n v="2020"/>
    <d v="2020-01-01T00:00:00"/>
    <n v="40"/>
    <n v="200042698"/>
    <s v="WA"/>
    <n v="81"/>
    <x v="0"/>
    <n v="11500060"/>
    <x v="0"/>
    <n v="9298.25"/>
    <s v="MXN"/>
    <n v="9298.25"/>
    <x v="0"/>
    <m/>
    <m/>
    <m/>
    <m/>
    <m/>
    <m/>
    <m/>
    <m/>
    <s v="16.01.2020"/>
    <m/>
    <n v="20200115"/>
    <n v="9298.25"/>
    <m/>
    <m/>
    <m/>
    <m/>
    <m/>
    <m/>
    <m/>
    <m/>
    <m/>
    <m/>
    <n v="340210590"/>
    <s v="AMAY"/>
  </r>
  <r>
    <n v="3402"/>
    <s v="15.01.2020"/>
    <n v="2020"/>
    <d v="2020-01-01T00:00:00"/>
    <n v="64"/>
    <n v="200042698"/>
    <s v="WA"/>
    <n v="81"/>
    <x v="0"/>
    <n v="11500060"/>
    <x v="0"/>
    <n v="9361.7999999999993"/>
    <s v="MXN"/>
    <n v="9361.7999999999993"/>
    <x v="0"/>
    <m/>
    <m/>
    <m/>
    <m/>
    <m/>
    <m/>
    <m/>
    <m/>
    <s v="16.01.2020"/>
    <m/>
    <n v="20200115"/>
    <n v="9361.7999999999993"/>
    <m/>
    <m/>
    <m/>
    <m/>
    <m/>
    <m/>
    <m/>
    <m/>
    <m/>
    <m/>
    <n v="340210590"/>
    <s v="AMAY"/>
  </r>
  <r>
    <n v="3402"/>
    <s v="15.01.2020"/>
    <n v="2020"/>
    <d v="2020-01-01T00:00:00"/>
    <n v="66"/>
    <n v="200042698"/>
    <s v="WA"/>
    <n v="81"/>
    <x v="0"/>
    <n v="11500060"/>
    <x v="0"/>
    <n v="448.34"/>
    <s v="MXN"/>
    <n v="448.34"/>
    <x v="0"/>
    <m/>
    <m/>
    <m/>
    <m/>
    <m/>
    <m/>
    <m/>
    <m/>
    <s v="16.01.2020"/>
    <m/>
    <n v="20200115"/>
    <n v="448.34"/>
    <m/>
    <m/>
    <m/>
    <m/>
    <m/>
    <m/>
    <m/>
    <m/>
    <m/>
    <m/>
    <n v="340210590"/>
    <s v="AMAY"/>
  </r>
  <r>
    <n v="3402"/>
    <s v="15.01.2020"/>
    <n v="2020"/>
    <d v="2020-01-01T00:00:00"/>
    <n v="68"/>
    <n v="200042698"/>
    <s v="WA"/>
    <n v="81"/>
    <x v="0"/>
    <n v="11500060"/>
    <x v="0"/>
    <n v="595"/>
    <s v="MXN"/>
    <n v="595"/>
    <x v="0"/>
    <m/>
    <m/>
    <m/>
    <m/>
    <m/>
    <m/>
    <m/>
    <m/>
    <s v="16.01.2020"/>
    <m/>
    <n v="20200115"/>
    <n v="595"/>
    <m/>
    <m/>
    <m/>
    <m/>
    <m/>
    <m/>
    <m/>
    <m/>
    <m/>
    <m/>
    <n v="340210590"/>
    <s v="AMAY"/>
  </r>
  <r>
    <n v="3402"/>
    <s v="15.01.2020"/>
    <n v="2020"/>
    <d v="2020-01-01T00:00:00"/>
    <n v="70"/>
    <n v="200042698"/>
    <s v="WA"/>
    <n v="81"/>
    <x v="0"/>
    <n v="11500060"/>
    <x v="0"/>
    <n v="554.4"/>
    <s v="MXN"/>
    <n v="554.4"/>
    <x v="0"/>
    <m/>
    <m/>
    <m/>
    <m/>
    <m/>
    <m/>
    <m/>
    <m/>
    <s v="16.01.2020"/>
    <m/>
    <n v="20200115"/>
    <n v="554.4"/>
    <m/>
    <m/>
    <m/>
    <m/>
    <m/>
    <m/>
    <m/>
    <m/>
    <m/>
    <m/>
    <n v="340210590"/>
    <s v="AMAY"/>
  </r>
  <r>
    <n v="3402"/>
    <s v="15.01.2020"/>
    <n v="2020"/>
    <d v="2020-01-01T00:00:00"/>
    <n v="72"/>
    <n v="200042698"/>
    <s v="WA"/>
    <n v="81"/>
    <x v="0"/>
    <n v="11500060"/>
    <x v="0"/>
    <n v="1100"/>
    <s v="MXN"/>
    <n v="1100"/>
    <x v="0"/>
    <m/>
    <m/>
    <m/>
    <m/>
    <m/>
    <m/>
    <m/>
    <m/>
    <s v="16.01.2020"/>
    <m/>
    <n v="20200115"/>
    <n v="1100"/>
    <m/>
    <m/>
    <m/>
    <m/>
    <m/>
    <m/>
    <m/>
    <m/>
    <m/>
    <m/>
    <n v="340210590"/>
    <s v="AMAY"/>
  </r>
  <r>
    <n v="3402"/>
    <s v="15.01.2020"/>
    <n v="2020"/>
    <d v="2020-01-01T00:00:00"/>
    <n v="74"/>
    <n v="200042698"/>
    <s v="WA"/>
    <n v="81"/>
    <x v="0"/>
    <n v="11500060"/>
    <x v="0"/>
    <n v="3305.8"/>
    <s v="MXN"/>
    <n v="3305.8"/>
    <x v="0"/>
    <m/>
    <m/>
    <m/>
    <m/>
    <m/>
    <m/>
    <m/>
    <m/>
    <s v="16.01.2020"/>
    <m/>
    <n v="20200115"/>
    <n v="3305.8"/>
    <m/>
    <m/>
    <m/>
    <m/>
    <m/>
    <m/>
    <m/>
    <m/>
    <m/>
    <m/>
    <n v="340210590"/>
    <s v="AMAY"/>
  </r>
  <r>
    <n v="3402"/>
    <s v="15.01.2020"/>
    <n v="2020"/>
    <d v="2020-01-01T00:00:00"/>
    <n v="76"/>
    <n v="200042698"/>
    <s v="WA"/>
    <n v="81"/>
    <x v="0"/>
    <n v="11500060"/>
    <x v="0"/>
    <n v="38"/>
    <s v="MXN"/>
    <n v="38"/>
    <x v="0"/>
    <m/>
    <m/>
    <m/>
    <m/>
    <m/>
    <m/>
    <m/>
    <m/>
    <s v="16.01.2020"/>
    <m/>
    <n v="20200115"/>
    <n v="38"/>
    <m/>
    <m/>
    <m/>
    <m/>
    <m/>
    <m/>
    <m/>
    <m/>
    <m/>
    <m/>
    <n v="340210590"/>
    <s v="AMAY"/>
  </r>
  <r>
    <n v="3402"/>
    <s v="15.01.2020"/>
    <n v="2020"/>
    <d v="2020-01-01T00:00:00"/>
    <n v="78"/>
    <n v="200042698"/>
    <s v="WA"/>
    <n v="81"/>
    <x v="0"/>
    <n v="11500060"/>
    <x v="0"/>
    <n v="80.459999999999994"/>
    <s v="MXN"/>
    <n v="80.459999999999994"/>
    <x v="0"/>
    <m/>
    <m/>
    <m/>
    <m/>
    <m/>
    <m/>
    <m/>
    <m/>
    <s v="16.01.2020"/>
    <m/>
    <n v="20200115"/>
    <n v="80.459999999999994"/>
    <m/>
    <m/>
    <m/>
    <m/>
    <m/>
    <m/>
    <m/>
    <m/>
    <m/>
    <m/>
    <n v="340210590"/>
    <s v="AMAY"/>
  </r>
  <r>
    <n v="3402"/>
    <s v="15.01.2020"/>
    <n v="2020"/>
    <d v="2020-01-01T00:00:00"/>
    <n v="80"/>
    <n v="200042698"/>
    <s v="WA"/>
    <n v="81"/>
    <x v="0"/>
    <n v="11500060"/>
    <x v="0"/>
    <n v="54.98"/>
    <s v="MXN"/>
    <n v="54.98"/>
    <x v="0"/>
    <m/>
    <m/>
    <m/>
    <m/>
    <m/>
    <m/>
    <m/>
    <m/>
    <s v="16.01.2020"/>
    <m/>
    <n v="20200115"/>
    <n v="54.98"/>
    <m/>
    <m/>
    <m/>
    <m/>
    <m/>
    <m/>
    <m/>
    <m/>
    <m/>
    <m/>
    <n v="340210590"/>
    <s v="AMAY"/>
  </r>
  <r>
    <n v="3402"/>
    <s v="15.01.2020"/>
    <n v="2020"/>
    <d v="2020-01-01T00:00:00"/>
    <n v="82"/>
    <n v="200042698"/>
    <s v="WA"/>
    <n v="81"/>
    <x v="0"/>
    <n v="11500060"/>
    <x v="0"/>
    <n v="309.99"/>
    <s v="MXN"/>
    <n v="309.99"/>
    <x v="0"/>
    <m/>
    <m/>
    <m/>
    <m/>
    <m/>
    <m/>
    <m/>
    <m/>
    <s v="16.01.2020"/>
    <m/>
    <n v="20200115"/>
    <n v="309.99"/>
    <m/>
    <m/>
    <m/>
    <m/>
    <m/>
    <m/>
    <m/>
    <m/>
    <m/>
    <m/>
    <n v="340210590"/>
    <s v="AMAY"/>
  </r>
  <r>
    <n v="3402"/>
    <s v="15.01.2020"/>
    <n v="2020"/>
    <d v="2020-01-01T00:00:00"/>
    <n v="84"/>
    <n v="200042698"/>
    <s v="WA"/>
    <n v="81"/>
    <x v="0"/>
    <n v="11500060"/>
    <x v="0"/>
    <n v="248.98"/>
    <s v="MXN"/>
    <n v="248.98"/>
    <x v="0"/>
    <m/>
    <m/>
    <m/>
    <m/>
    <m/>
    <m/>
    <m/>
    <m/>
    <s v="16.01.2020"/>
    <m/>
    <n v="20200115"/>
    <n v="248.98"/>
    <m/>
    <m/>
    <m/>
    <m/>
    <m/>
    <m/>
    <m/>
    <m/>
    <m/>
    <m/>
    <n v="340210590"/>
    <s v="AMAY"/>
  </r>
  <r>
    <n v="3402"/>
    <s v="15.01.2020"/>
    <n v="2020"/>
    <d v="2020-01-01T00:00:00"/>
    <n v="86"/>
    <n v="200042698"/>
    <s v="WA"/>
    <n v="81"/>
    <x v="0"/>
    <n v="11500060"/>
    <x v="0"/>
    <n v="248.99"/>
    <s v="MXN"/>
    <n v="248.99"/>
    <x v="0"/>
    <m/>
    <m/>
    <m/>
    <m/>
    <m/>
    <m/>
    <m/>
    <m/>
    <s v="16.01.2020"/>
    <m/>
    <n v="20200115"/>
    <n v="248.99"/>
    <m/>
    <m/>
    <m/>
    <m/>
    <m/>
    <m/>
    <m/>
    <m/>
    <m/>
    <m/>
    <n v="340210590"/>
    <s v="AMAY"/>
  </r>
  <r>
    <n v="3402"/>
    <s v="15.01.2020"/>
    <n v="2020"/>
    <d v="2020-01-01T00:00:00"/>
    <n v="88"/>
    <n v="200042698"/>
    <s v="WA"/>
    <n v="81"/>
    <x v="0"/>
    <n v="11500060"/>
    <x v="0"/>
    <n v="1577.8"/>
    <s v="MXN"/>
    <n v="1577.8"/>
    <x v="0"/>
    <m/>
    <m/>
    <m/>
    <m/>
    <m/>
    <m/>
    <m/>
    <m/>
    <s v="16.01.2020"/>
    <m/>
    <n v="20200115"/>
    <n v="1577.8"/>
    <m/>
    <m/>
    <m/>
    <m/>
    <m/>
    <m/>
    <m/>
    <m/>
    <m/>
    <m/>
    <n v="340210590"/>
    <s v="AMAY"/>
  </r>
  <r>
    <n v="3402"/>
    <s v="15.01.2020"/>
    <n v="2020"/>
    <d v="2020-01-01T00:00:00"/>
    <n v="90"/>
    <n v="200042698"/>
    <s v="WA"/>
    <n v="81"/>
    <x v="0"/>
    <n v="11500060"/>
    <x v="0"/>
    <n v="13769.99"/>
    <s v="MXN"/>
    <n v="13769.99"/>
    <x v="0"/>
    <m/>
    <m/>
    <m/>
    <m/>
    <m/>
    <m/>
    <m/>
    <m/>
    <s v="16.01.2020"/>
    <m/>
    <n v="20200115"/>
    <n v="13769.99"/>
    <m/>
    <m/>
    <m/>
    <m/>
    <m/>
    <m/>
    <m/>
    <m/>
    <m/>
    <m/>
    <n v="340210590"/>
    <s v="AMAY"/>
  </r>
  <r>
    <n v="3402"/>
    <s v="15.01.2020"/>
    <n v="2020"/>
    <d v="2020-01-01T00:00:00"/>
    <n v="34"/>
    <n v="200042700"/>
    <s v="WA"/>
    <n v="81"/>
    <x v="0"/>
    <n v="11500030"/>
    <x v="0"/>
    <n v="2733.35"/>
    <s v="MXN"/>
    <n v="2733.35"/>
    <x v="0"/>
    <m/>
    <m/>
    <m/>
    <m/>
    <m/>
    <m/>
    <m/>
    <m/>
    <s v="16.01.2020"/>
    <m/>
    <n v="20200115"/>
    <n v="2733.35"/>
    <m/>
    <m/>
    <m/>
    <m/>
    <m/>
    <m/>
    <m/>
    <m/>
    <m/>
    <m/>
    <n v="340212690"/>
    <s v="AMAY"/>
  </r>
  <r>
    <n v="3406"/>
    <s v="15.01.2020"/>
    <n v="2020"/>
    <d v="2020-01-01T00:00:00"/>
    <n v="2"/>
    <n v="600013672"/>
    <s v="WA"/>
    <n v="81"/>
    <x v="0"/>
    <n v="11500060"/>
    <x v="0"/>
    <n v="752.64"/>
    <s v="MXN"/>
    <n v="752.64"/>
    <x v="0"/>
    <m/>
    <m/>
    <m/>
    <m/>
    <m/>
    <m/>
    <m/>
    <m/>
    <s v="16.01.2020"/>
    <m/>
    <n v="20200115"/>
    <n v="752.64"/>
    <m/>
    <m/>
    <m/>
    <m/>
    <m/>
    <m/>
    <m/>
    <m/>
    <m/>
    <m/>
    <n v="340632290"/>
    <s v="RBENITO"/>
  </r>
  <r>
    <n v="3406"/>
    <s v="15.01.2020"/>
    <n v="2020"/>
    <d v="2020-01-01T00:00:00"/>
    <n v="4"/>
    <n v="600013672"/>
    <s v="WA"/>
    <n v="81"/>
    <x v="0"/>
    <n v="11500060"/>
    <x v="0"/>
    <n v="121.2"/>
    <s v="MXN"/>
    <n v="121.2"/>
    <x v="0"/>
    <m/>
    <m/>
    <m/>
    <m/>
    <m/>
    <m/>
    <m/>
    <m/>
    <s v="16.01.2020"/>
    <m/>
    <n v="20200115"/>
    <n v="121.2"/>
    <m/>
    <m/>
    <m/>
    <m/>
    <m/>
    <m/>
    <m/>
    <m/>
    <m/>
    <m/>
    <n v="340632290"/>
    <s v="RBENITO"/>
  </r>
  <r>
    <n v="3406"/>
    <s v="15.01.2020"/>
    <n v="2020"/>
    <d v="2020-01-01T00:00:00"/>
    <n v="6"/>
    <n v="600013672"/>
    <s v="WA"/>
    <n v="81"/>
    <x v="0"/>
    <n v="11500060"/>
    <x v="0"/>
    <n v="232.8"/>
    <s v="MXN"/>
    <n v="232.8"/>
    <x v="0"/>
    <m/>
    <m/>
    <m/>
    <m/>
    <m/>
    <m/>
    <m/>
    <m/>
    <s v="16.01.2020"/>
    <m/>
    <n v="20200115"/>
    <n v="232.8"/>
    <m/>
    <m/>
    <m/>
    <m/>
    <m/>
    <m/>
    <m/>
    <m/>
    <m/>
    <m/>
    <n v="340632290"/>
    <s v="RBENITO"/>
  </r>
  <r>
    <n v="3406"/>
    <s v="15.01.2020"/>
    <n v="2020"/>
    <d v="2020-01-01T00:00:00"/>
    <n v="8"/>
    <n v="600013672"/>
    <s v="WA"/>
    <n v="81"/>
    <x v="0"/>
    <n v="11500060"/>
    <x v="0"/>
    <n v="456"/>
    <s v="MXN"/>
    <n v="456"/>
    <x v="0"/>
    <m/>
    <m/>
    <m/>
    <m/>
    <m/>
    <m/>
    <m/>
    <m/>
    <s v="16.01.2020"/>
    <m/>
    <n v="20200115"/>
    <n v="456"/>
    <m/>
    <m/>
    <m/>
    <m/>
    <m/>
    <m/>
    <m/>
    <m/>
    <m/>
    <m/>
    <n v="340632290"/>
    <s v="RBENITO"/>
  </r>
  <r>
    <n v="3402"/>
    <s v="15.01.2020"/>
    <n v="2020"/>
    <d v="2020-01-01T00:00:00"/>
    <n v="10"/>
    <n v="200042704"/>
    <s v="WA"/>
    <n v="81"/>
    <x v="0"/>
    <n v="11500060"/>
    <x v="0"/>
    <n v="1047.3499999999999"/>
    <s v="MXN"/>
    <n v="1047.3499999999999"/>
    <x v="0"/>
    <m/>
    <m/>
    <m/>
    <m/>
    <m/>
    <m/>
    <m/>
    <m/>
    <s v="16.01.2020"/>
    <m/>
    <n v="20200115"/>
    <n v="1047.3499999999999"/>
    <m/>
    <m/>
    <m/>
    <m/>
    <m/>
    <m/>
    <m/>
    <m/>
    <m/>
    <m/>
    <n v="340212390"/>
    <s v="AMAY"/>
  </r>
  <r>
    <n v="3402"/>
    <s v="15.01.2020"/>
    <n v="2020"/>
    <d v="2020-01-01T00:00:00"/>
    <n v="12"/>
    <n v="200042704"/>
    <s v="WA"/>
    <n v="81"/>
    <x v="0"/>
    <n v="11500060"/>
    <x v="0"/>
    <n v="404.25"/>
    <s v="MXN"/>
    <n v="404.25"/>
    <x v="0"/>
    <m/>
    <m/>
    <m/>
    <m/>
    <m/>
    <m/>
    <m/>
    <m/>
    <s v="16.01.2020"/>
    <m/>
    <n v="20200115"/>
    <n v="404.25"/>
    <m/>
    <m/>
    <m/>
    <m/>
    <m/>
    <m/>
    <m/>
    <m/>
    <m/>
    <m/>
    <n v="340212390"/>
    <s v="AMAY"/>
  </r>
  <r>
    <n v="3402"/>
    <s v="15.01.2020"/>
    <n v="2020"/>
    <d v="2020-01-01T00:00:00"/>
    <n v="28"/>
    <n v="200042704"/>
    <s v="WA"/>
    <n v="81"/>
    <x v="0"/>
    <n v="11500060"/>
    <x v="0"/>
    <n v="9293.39"/>
    <s v="MXN"/>
    <n v="9293.39"/>
    <x v="0"/>
    <m/>
    <m/>
    <m/>
    <m/>
    <m/>
    <m/>
    <m/>
    <m/>
    <s v="16.01.2020"/>
    <m/>
    <n v="20200115"/>
    <n v="9293.39"/>
    <m/>
    <m/>
    <m/>
    <m/>
    <m/>
    <m/>
    <m/>
    <m/>
    <m/>
    <m/>
    <n v="340212390"/>
    <s v="AMAY"/>
  </r>
  <r>
    <n v="3402"/>
    <s v="15.01.2020"/>
    <n v="2020"/>
    <d v="2020-01-01T00:00:00"/>
    <n v="30"/>
    <n v="200042704"/>
    <s v="WA"/>
    <n v="81"/>
    <x v="0"/>
    <n v="11500060"/>
    <x v="0"/>
    <n v="1933.33"/>
    <s v="MXN"/>
    <n v="1933.33"/>
    <x v="0"/>
    <m/>
    <m/>
    <m/>
    <m/>
    <m/>
    <m/>
    <m/>
    <m/>
    <s v="16.01.2020"/>
    <m/>
    <n v="20200115"/>
    <n v="1933.33"/>
    <m/>
    <m/>
    <m/>
    <m/>
    <m/>
    <m/>
    <m/>
    <m/>
    <m/>
    <m/>
    <n v="340212390"/>
    <s v="AMAY"/>
  </r>
  <r>
    <n v="3402"/>
    <s v="15.01.2020"/>
    <n v="2020"/>
    <d v="2020-01-01T00:00:00"/>
    <n v="66"/>
    <n v="200042704"/>
    <s v="WA"/>
    <n v="81"/>
    <x v="0"/>
    <n v="11500060"/>
    <x v="0"/>
    <n v="1711.99"/>
    <s v="MXN"/>
    <n v="1711.99"/>
    <x v="0"/>
    <m/>
    <m/>
    <m/>
    <m/>
    <m/>
    <m/>
    <m/>
    <m/>
    <s v="16.01.2020"/>
    <m/>
    <n v="20200115"/>
    <n v="1711.99"/>
    <m/>
    <m/>
    <m/>
    <m/>
    <m/>
    <m/>
    <m/>
    <m/>
    <m/>
    <m/>
    <n v="340212390"/>
    <s v="AMAY"/>
  </r>
  <r>
    <n v="3402"/>
    <s v="15.01.2020"/>
    <n v="2020"/>
    <d v="2020-01-01T00:00:00"/>
    <n v="4"/>
    <n v="200042710"/>
    <s v="WA"/>
    <n v="81"/>
    <x v="0"/>
    <n v="11500060"/>
    <x v="0"/>
    <n v="112.08"/>
    <s v="MXN"/>
    <n v="112.08"/>
    <x v="0"/>
    <m/>
    <m/>
    <m/>
    <m/>
    <m/>
    <m/>
    <m/>
    <m/>
    <s v="16.01.2020"/>
    <m/>
    <n v="20200115"/>
    <n v="112.08"/>
    <m/>
    <m/>
    <m/>
    <m/>
    <m/>
    <m/>
    <m/>
    <m/>
    <m/>
    <m/>
    <n v="340212790"/>
    <s v="AMAY"/>
  </r>
  <r>
    <n v="3402"/>
    <s v="15.01.2020"/>
    <n v="2020"/>
    <d v="2020-01-01T00:00:00"/>
    <n v="6"/>
    <n v="200042710"/>
    <s v="WA"/>
    <n v="81"/>
    <x v="0"/>
    <n v="11500060"/>
    <x v="0"/>
    <n v="430"/>
    <s v="MXN"/>
    <n v="430"/>
    <x v="0"/>
    <m/>
    <m/>
    <m/>
    <m/>
    <m/>
    <m/>
    <m/>
    <m/>
    <s v="16.01.2020"/>
    <m/>
    <n v="20200115"/>
    <n v="430"/>
    <m/>
    <m/>
    <m/>
    <m/>
    <m/>
    <m/>
    <m/>
    <m/>
    <m/>
    <m/>
    <n v="340212790"/>
    <s v="AMAY"/>
  </r>
  <r>
    <n v="3402"/>
    <s v="15.01.2020"/>
    <n v="2020"/>
    <d v="2020-01-01T00:00:00"/>
    <n v="8"/>
    <n v="200042710"/>
    <s v="WA"/>
    <n v="81"/>
    <x v="0"/>
    <n v="11500060"/>
    <x v="0"/>
    <n v="210"/>
    <s v="MXN"/>
    <n v="210"/>
    <x v="0"/>
    <m/>
    <m/>
    <m/>
    <m/>
    <m/>
    <m/>
    <m/>
    <m/>
    <s v="16.01.2020"/>
    <m/>
    <n v="20200115"/>
    <n v="210"/>
    <m/>
    <m/>
    <m/>
    <m/>
    <m/>
    <m/>
    <m/>
    <m/>
    <m/>
    <m/>
    <n v="340212790"/>
    <s v="AMAY"/>
  </r>
  <r>
    <n v="3402"/>
    <s v="15.01.2020"/>
    <n v="2020"/>
    <d v="2020-01-01T00:00:00"/>
    <n v="10"/>
    <n v="200042710"/>
    <s v="WA"/>
    <n v="81"/>
    <x v="0"/>
    <n v="11500060"/>
    <x v="0"/>
    <n v="372.05"/>
    <s v="MXN"/>
    <n v="372.05"/>
    <x v="0"/>
    <m/>
    <m/>
    <m/>
    <m/>
    <m/>
    <m/>
    <m/>
    <m/>
    <s v="16.01.2020"/>
    <m/>
    <n v="20200115"/>
    <n v="372.05"/>
    <m/>
    <m/>
    <m/>
    <m/>
    <m/>
    <m/>
    <m/>
    <m/>
    <m/>
    <m/>
    <n v="340212790"/>
    <s v="AMAY"/>
  </r>
  <r>
    <n v="3402"/>
    <s v="15.01.2020"/>
    <n v="2020"/>
    <d v="2020-01-01T00:00:00"/>
    <n v="12"/>
    <n v="200042710"/>
    <s v="WA"/>
    <n v="81"/>
    <x v="0"/>
    <n v="11500060"/>
    <x v="0"/>
    <n v="16.09"/>
    <s v="MXN"/>
    <n v="16.09"/>
    <x v="0"/>
    <m/>
    <m/>
    <m/>
    <m/>
    <m/>
    <m/>
    <m/>
    <m/>
    <s v="16.01.2020"/>
    <m/>
    <n v="20200115"/>
    <n v="16.09"/>
    <m/>
    <m/>
    <m/>
    <m/>
    <m/>
    <m/>
    <m/>
    <m/>
    <m/>
    <m/>
    <n v="340212790"/>
    <s v="AMAY"/>
  </r>
  <r>
    <n v="3402"/>
    <s v="15.01.2020"/>
    <n v="2020"/>
    <d v="2020-01-01T00:00:00"/>
    <n v="14"/>
    <n v="200042710"/>
    <s v="WA"/>
    <n v="81"/>
    <x v="0"/>
    <n v="11500060"/>
    <x v="0"/>
    <n v="142"/>
    <s v="MXN"/>
    <n v="142"/>
    <x v="0"/>
    <m/>
    <m/>
    <m/>
    <m/>
    <m/>
    <m/>
    <m/>
    <m/>
    <s v="16.01.2020"/>
    <m/>
    <n v="20200115"/>
    <n v="142"/>
    <m/>
    <m/>
    <m/>
    <m/>
    <m/>
    <m/>
    <m/>
    <m/>
    <m/>
    <m/>
    <n v="340212790"/>
    <s v="AMAY"/>
  </r>
  <r>
    <n v="3402"/>
    <s v="15.01.2020"/>
    <n v="2020"/>
    <d v="2020-01-01T00:00:00"/>
    <n v="16"/>
    <n v="200042710"/>
    <s v="WA"/>
    <n v="81"/>
    <x v="0"/>
    <n v="11500060"/>
    <x v="0"/>
    <n v="142.33000000000001"/>
    <s v="MXN"/>
    <n v="142.33000000000001"/>
    <x v="0"/>
    <m/>
    <m/>
    <m/>
    <m/>
    <m/>
    <m/>
    <m/>
    <m/>
    <s v="16.01.2020"/>
    <m/>
    <n v="20200115"/>
    <n v="142.33000000000001"/>
    <m/>
    <m/>
    <m/>
    <m/>
    <m/>
    <m/>
    <m/>
    <m/>
    <m/>
    <m/>
    <n v="340212790"/>
    <s v="AMAY"/>
  </r>
  <r>
    <n v="3402"/>
    <s v="15.01.2020"/>
    <n v="2020"/>
    <d v="2020-01-01T00:00:00"/>
    <n v="18"/>
    <n v="200042710"/>
    <s v="WA"/>
    <n v="81"/>
    <x v="0"/>
    <n v="11500060"/>
    <x v="0"/>
    <n v="510"/>
    <s v="MXN"/>
    <n v="510"/>
    <x v="0"/>
    <m/>
    <m/>
    <m/>
    <m/>
    <m/>
    <m/>
    <m/>
    <m/>
    <s v="16.01.2020"/>
    <m/>
    <n v="20200115"/>
    <n v="510"/>
    <m/>
    <m/>
    <m/>
    <m/>
    <m/>
    <m/>
    <m/>
    <m/>
    <m/>
    <m/>
    <n v="340212790"/>
    <s v="AMAY"/>
  </r>
  <r>
    <n v="3402"/>
    <s v="15.01.2020"/>
    <n v="2020"/>
    <d v="2020-01-01T00:00:00"/>
    <n v="28"/>
    <n v="200042710"/>
    <s v="WA"/>
    <n v="81"/>
    <x v="0"/>
    <n v="11500060"/>
    <x v="0"/>
    <n v="1155.24"/>
    <s v="MXN"/>
    <n v="1155.24"/>
    <x v="0"/>
    <m/>
    <m/>
    <m/>
    <m/>
    <m/>
    <m/>
    <m/>
    <m/>
    <s v="16.01.2020"/>
    <m/>
    <n v="20200115"/>
    <n v="1155.24"/>
    <m/>
    <m/>
    <m/>
    <m/>
    <m/>
    <m/>
    <m/>
    <m/>
    <m/>
    <m/>
    <n v="340212790"/>
    <s v="AMAY"/>
  </r>
  <r>
    <n v="3402"/>
    <s v="15.01.2020"/>
    <n v="2020"/>
    <d v="2020-01-01T00:00:00"/>
    <n v="30"/>
    <n v="200042710"/>
    <s v="WA"/>
    <n v="81"/>
    <x v="0"/>
    <n v="11500060"/>
    <x v="0"/>
    <n v="5571.36"/>
    <s v="MXN"/>
    <n v="5571.36"/>
    <x v="0"/>
    <m/>
    <m/>
    <m/>
    <m/>
    <m/>
    <m/>
    <m/>
    <m/>
    <s v="16.01.2020"/>
    <m/>
    <n v="20200115"/>
    <n v="5571.36"/>
    <m/>
    <m/>
    <m/>
    <m/>
    <m/>
    <m/>
    <m/>
    <m/>
    <m/>
    <m/>
    <n v="340212790"/>
    <s v="AMAY"/>
  </r>
  <r>
    <n v="3402"/>
    <s v="15.01.2020"/>
    <n v="2020"/>
    <d v="2020-01-01T00:00:00"/>
    <n v="32"/>
    <n v="200042710"/>
    <s v="WA"/>
    <n v="81"/>
    <x v="0"/>
    <n v="11500060"/>
    <x v="0"/>
    <n v="2910.06"/>
    <s v="MXN"/>
    <n v="2910.06"/>
    <x v="0"/>
    <m/>
    <m/>
    <m/>
    <m/>
    <m/>
    <m/>
    <m/>
    <m/>
    <s v="16.01.2020"/>
    <m/>
    <n v="20200115"/>
    <n v="2910.06"/>
    <m/>
    <m/>
    <m/>
    <m/>
    <m/>
    <m/>
    <m/>
    <m/>
    <m/>
    <m/>
    <n v="340212790"/>
    <s v="AMAY"/>
  </r>
  <r>
    <n v="3402"/>
    <s v="15.01.2020"/>
    <n v="2020"/>
    <d v="2020-01-01T00:00:00"/>
    <n v="34"/>
    <n v="200042710"/>
    <s v="WA"/>
    <n v="81"/>
    <x v="0"/>
    <n v="11500060"/>
    <x v="0"/>
    <n v="1973.16"/>
    <s v="MXN"/>
    <n v="1973.16"/>
    <x v="0"/>
    <m/>
    <m/>
    <m/>
    <m/>
    <m/>
    <m/>
    <m/>
    <m/>
    <s v="16.01.2020"/>
    <m/>
    <n v="20200115"/>
    <n v="1973.16"/>
    <m/>
    <m/>
    <m/>
    <m/>
    <m/>
    <m/>
    <m/>
    <m/>
    <m/>
    <m/>
    <n v="340212790"/>
    <s v="AMAY"/>
  </r>
  <r>
    <n v="3402"/>
    <s v="15.01.2020"/>
    <n v="2020"/>
    <d v="2020-01-01T00:00:00"/>
    <n v="36"/>
    <n v="200042710"/>
    <s v="WA"/>
    <n v="81"/>
    <x v="0"/>
    <n v="11500060"/>
    <x v="0"/>
    <n v="8095.5"/>
    <s v="MXN"/>
    <n v="8095.5"/>
    <x v="0"/>
    <m/>
    <m/>
    <m/>
    <m/>
    <m/>
    <m/>
    <m/>
    <m/>
    <s v="16.01.2020"/>
    <m/>
    <n v="20200115"/>
    <n v="8095.5"/>
    <m/>
    <m/>
    <m/>
    <m/>
    <m/>
    <m/>
    <m/>
    <m/>
    <m/>
    <m/>
    <n v="340212790"/>
    <s v="AMAY"/>
  </r>
  <r>
    <n v="3402"/>
    <s v="15.01.2020"/>
    <n v="2020"/>
    <d v="2020-01-01T00:00:00"/>
    <n v="40"/>
    <n v="200042710"/>
    <s v="WA"/>
    <n v="81"/>
    <x v="0"/>
    <n v="11500060"/>
    <x v="0"/>
    <n v="48.66"/>
    <s v="MXN"/>
    <n v="48.66"/>
    <x v="0"/>
    <m/>
    <m/>
    <m/>
    <m/>
    <m/>
    <m/>
    <m/>
    <m/>
    <s v="16.01.2020"/>
    <m/>
    <n v="20200115"/>
    <n v="48.66"/>
    <m/>
    <m/>
    <m/>
    <m/>
    <m/>
    <m/>
    <m/>
    <m/>
    <m/>
    <m/>
    <n v="340212790"/>
    <s v="AMAY"/>
  </r>
  <r>
    <n v="3402"/>
    <s v="15.01.2020"/>
    <n v="2020"/>
    <d v="2020-01-01T00:00:00"/>
    <n v="44"/>
    <n v="200042710"/>
    <s v="WA"/>
    <n v="81"/>
    <x v="0"/>
    <n v="11500060"/>
    <x v="0"/>
    <n v="4920.03"/>
    <s v="MXN"/>
    <n v="4920.03"/>
    <x v="0"/>
    <m/>
    <m/>
    <m/>
    <m/>
    <m/>
    <m/>
    <m/>
    <m/>
    <s v="16.01.2020"/>
    <m/>
    <n v="20200115"/>
    <n v="4920.03"/>
    <m/>
    <m/>
    <m/>
    <m/>
    <m/>
    <m/>
    <m/>
    <m/>
    <m/>
    <m/>
    <n v="340212790"/>
    <s v="AMAY"/>
  </r>
  <r>
    <n v="3402"/>
    <s v="15.01.2020"/>
    <n v="2020"/>
    <d v="2020-01-01T00:00:00"/>
    <n v="72"/>
    <n v="200042710"/>
    <s v="WA"/>
    <n v="81"/>
    <x v="0"/>
    <n v="11500060"/>
    <x v="0"/>
    <n v="1712"/>
    <s v="MXN"/>
    <n v="1712"/>
    <x v="0"/>
    <m/>
    <m/>
    <m/>
    <m/>
    <m/>
    <m/>
    <m/>
    <m/>
    <s v="16.01.2020"/>
    <m/>
    <n v="20200115"/>
    <n v="1712"/>
    <m/>
    <m/>
    <m/>
    <m/>
    <m/>
    <m/>
    <m/>
    <m/>
    <m/>
    <m/>
    <n v="340212790"/>
    <s v="AMAY"/>
  </r>
  <r>
    <n v="3402"/>
    <s v="15.01.2020"/>
    <n v="2020"/>
    <d v="2020-01-01T00:00:00"/>
    <n v="8"/>
    <n v="200042727"/>
    <s v="WA"/>
    <n v="81"/>
    <x v="0"/>
    <n v="11500060"/>
    <x v="0"/>
    <n v="36080.22"/>
    <s v="MXN"/>
    <n v="36080.22"/>
    <x v="0"/>
    <m/>
    <m/>
    <m/>
    <m/>
    <m/>
    <m/>
    <m/>
    <m/>
    <s v="16.01.2020"/>
    <m/>
    <n v="20200115"/>
    <n v="36080.22"/>
    <m/>
    <m/>
    <m/>
    <m/>
    <m/>
    <m/>
    <m/>
    <m/>
    <m/>
    <m/>
    <n v="340212890"/>
    <s v="AUXCOSTORVM"/>
  </r>
  <r>
    <n v="3402"/>
    <s v="15.01.2020"/>
    <n v="2020"/>
    <d v="2020-01-01T00:00:00"/>
    <n v="10"/>
    <n v="200042727"/>
    <s v="WA"/>
    <n v="81"/>
    <x v="0"/>
    <n v="11500060"/>
    <x v="0"/>
    <n v="3037.22"/>
    <s v="MXN"/>
    <n v="3037.22"/>
    <x v="0"/>
    <m/>
    <m/>
    <m/>
    <m/>
    <m/>
    <m/>
    <m/>
    <m/>
    <s v="16.01.2020"/>
    <m/>
    <n v="20200115"/>
    <n v="3037.22"/>
    <m/>
    <m/>
    <m/>
    <m/>
    <m/>
    <m/>
    <m/>
    <m/>
    <m/>
    <m/>
    <n v="340212890"/>
    <s v="AUXCOSTORVM"/>
  </r>
  <r>
    <n v="3402"/>
    <s v="15.01.2020"/>
    <n v="2020"/>
    <d v="2020-01-01T00:00:00"/>
    <n v="12"/>
    <n v="200042727"/>
    <s v="WA"/>
    <n v="81"/>
    <x v="0"/>
    <n v="11500060"/>
    <x v="0"/>
    <n v="145.97999999999999"/>
    <s v="MXN"/>
    <n v="145.97999999999999"/>
    <x v="0"/>
    <m/>
    <m/>
    <m/>
    <m/>
    <m/>
    <m/>
    <m/>
    <m/>
    <s v="16.01.2020"/>
    <m/>
    <n v="20200115"/>
    <n v="145.97999999999999"/>
    <m/>
    <m/>
    <m/>
    <m/>
    <m/>
    <m/>
    <m/>
    <m/>
    <m/>
    <m/>
    <n v="340212890"/>
    <s v="AUXCOSTORVM"/>
  </r>
  <r>
    <n v="3402"/>
    <s v="15.01.2020"/>
    <n v="2020"/>
    <d v="2020-01-01T00:00:00"/>
    <n v="18"/>
    <n v="200042727"/>
    <s v="WA"/>
    <n v="81"/>
    <x v="0"/>
    <n v="11500060"/>
    <x v="0"/>
    <n v="16191"/>
    <s v="MXN"/>
    <n v="16191"/>
    <x v="0"/>
    <m/>
    <m/>
    <m/>
    <m/>
    <m/>
    <m/>
    <m/>
    <m/>
    <s v="16.01.2020"/>
    <m/>
    <n v="20200115"/>
    <n v="16191"/>
    <m/>
    <m/>
    <m/>
    <m/>
    <m/>
    <m/>
    <m/>
    <m/>
    <m/>
    <m/>
    <n v="340212890"/>
    <s v="AUXCOSTORVM"/>
  </r>
  <r>
    <n v="3402"/>
    <s v="15.01.2020"/>
    <n v="2020"/>
    <d v="2020-01-01T00:00:00"/>
    <n v="20"/>
    <n v="200042727"/>
    <s v="WA"/>
    <n v="81"/>
    <x v="0"/>
    <n v="11500060"/>
    <x v="0"/>
    <n v="11838.96"/>
    <s v="MXN"/>
    <n v="11838.96"/>
    <x v="0"/>
    <m/>
    <m/>
    <m/>
    <m/>
    <m/>
    <m/>
    <m/>
    <m/>
    <s v="16.01.2020"/>
    <m/>
    <n v="20200115"/>
    <n v="11838.96"/>
    <m/>
    <m/>
    <m/>
    <m/>
    <m/>
    <m/>
    <m/>
    <m/>
    <m/>
    <m/>
    <n v="340212890"/>
    <s v="AUXCOSTORVM"/>
  </r>
  <r>
    <n v="3402"/>
    <s v="15.01.2020"/>
    <n v="2020"/>
    <d v="2020-01-01T00:00:00"/>
    <n v="22"/>
    <n v="200042727"/>
    <s v="WA"/>
    <n v="81"/>
    <x v="0"/>
    <n v="11500060"/>
    <x v="0"/>
    <n v="61111.26"/>
    <s v="MXN"/>
    <n v="61111.26"/>
    <x v="0"/>
    <m/>
    <m/>
    <m/>
    <m/>
    <m/>
    <m/>
    <m/>
    <m/>
    <s v="16.01.2020"/>
    <m/>
    <n v="20200115"/>
    <n v="61111.26"/>
    <m/>
    <m/>
    <m/>
    <m/>
    <m/>
    <m/>
    <m/>
    <m/>
    <m/>
    <m/>
    <n v="340212890"/>
    <s v="AUXCOSTORVM"/>
  </r>
  <r>
    <n v="3402"/>
    <s v="15.01.2020"/>
    <n v="2020"/>
    <d v="2020-01-01T00:00:00"/>
    <n v="24"/>
    <n v="200042727"/>
    <s v="WA"/>
    <n v="81"/>
    <x v="0"/>
    <n v="11500060"/>
    <x v="0"/>
    <n v="14441.25"/>
    <s v="MXN"/>
    <n v="14441.25"/>
    <x v="0"/>
    <m/>
    <m/>
    <m/>
    <m/>
    <m/>
    <m/>
    <m/>
    <m/>
    <s v="16.01.2020"/>
    <m/>
    <n v="20200115"/>
    <n v="14441.25"/>
    <m/>
    <m/>
    <m/>
    <m/>
    <m/>
    <m/>
    <m/>
    <m/>
    <m/>
    <m/>
    <n v="340212890"/>
    <s v="AUXCOSTORVM"/>
  </r>
  <r>
    <n v="3402"/>
    <s v="15.01.2020"/>
    <n v="2020"/>
    <d v="2020-01-01T00:00:00"/>
    <n v="26"/>
    <n v="200042727"/>
    <s v="WA"/>
    <n v="81"/>
    <x v="0"/>
    <n v="11500060"/>
    <x v="0"/>
    <n v="4693.3500000000004"/>
    <s v="MXN"/>
    <n v="4693.3500000000004"/>
    <x v="0"/>
    <m/>
    <m/>
    <m/>
    <m/>
    <m/>
    <m/>
    <m/>
    <m/>
    <s v="16.01.2020"/>
    <m/>
    <n v="20200115"/>
    <n v="4693.3500000000004"/>
    <m/>
    <m/>
    <m/>
    <m/>
    <m/>
    <m/>
    <m/>
    <m/>
    <m/>
    <m/>
    <n v="340212890"/>
    <s v="AUXCOSTORVM"/>
  </r>
  <r>
    <n v="3402"/>
    <s v="15.01.2020"/>
    <n v="2020"/>
    <d v="2020-01-01T00:00:00"/>
    <n v="28"/>
    <n v="200042727"/>
    <s v="WA"/>
    <n v="81"/>
    <x v="0"/>
    <n v="11500060"/>
    <x v="0"/>
    <n v="11142.72"/>
    <s v="MXN"/>
    <n v="11142.72"/>
    <x v="0"/>
    <m/>
    <m/>
    <m/>
    <m/>
    <m/>
    <m/>
    <m/>
    <m/>
    <s v="16.01.2020"/>
    <m/>
    <n v="20200115"/>
    <n v="11142.72"/>
    <m/>
    <m/>
    <m/>
    <m/>
    <m/>
    <m/>
    <m/>
    <m/>
    <m/>
    <m/>
    <n v="340212890"/>
    <s v="AUXCOSTORVM"/>
  </r>
  <r>
    <n v="3402"/>
    <s v="15.01.2020"/>
    <n v="2020"/>
    <d v="2020-01-01T00:00:00"/>
    <n v="30"/>
    <n v="200042727"/>
    <s v="WA"/>
    <n v="81"/>
    <x v="0"/>
    <n v="11500060"/>
    <x v="0"/>
    <n v="7130.28"/>
    <s v="MXN"/>
    <n v="7130.28"/>
    <x v="0"/>
    <m/>
    <m/>
    <m/>
    <m/>
    <m/>
    <m/>
    <m/>
    <m/>
    <s v="16.01.2020"/>
    <m/>
    <n v="20200115"/>
    <n v="7130.28"/>
    <m/>
    <m/>
    <m/>
    <m/>
    <m/>
    <m/>
    <m/>
    <m/>
    <m/>
    <m/>
    <n v="340212890"/>
    <s v="AUXCOSTORVM"/>
  </r>
  <r>
    <n v="3402"/>
    <s v="15.01.2020"/>
    <n v="2020"/>
    <d v="2020-01-01T00:00:00"/>
    <n v="32"/>
    <n v="200042727"/>
    <s v="WA"/>
    <n v="81"/>
    <x v="0"/>
    <n v="11500060"/>
    <x v="0"/>
    <n v="1319.13"/>
    <s v="MXN"/>
    <n v="1319.13"/>
    <x v="0"/>
    <m/>
    <m/>
    <m/>
    <m/>
    <m/>
    <m/>
    <m/>
    <m/>
    <s v="16.01.2020"/>
    <m/>
    <n v="20200115"/>
    <n v="1319.13"/>
    <m/>
    <m/>
    <m/>
    <m/>
    <m/>
    <m/>
    <m/>
    <m/>
    <m/>
    <m/>
    <n v="340212890"/>
    <s v="AUXCOSTORVM"/>
  </r>
  <r>
    <n v="3402"/>
    <s v="15.01.2020"/>
    <n v="2020"/>
    <d v="2020-01-01T00:00:00"/>
    <n v="34"/>
    <n v="200042727"/>
    <s v="WA"/>
    <n v="81"/>
    <x v="0"/>
    <n v="11500060"/>
    <x v="0"/>
    <n v="4620.96"/>
    <s v="MXN"/>
    <n v="4620.96"/>
    <x v="0"/>
    <m/>
    <m/>
    <m/>
    <m/>
    <m/>
    <m/>
    <m/>
    <m/>
    <s v="16.01.2020"/>
    <m/>
    <n v="20200115"/>
    <n v="4620.96"/>
    <m/>
    <m/>
    <m/>
    <m/>
    <m/>
    <m/>
    <m/>
    <m/>
    <m/>
    <m/>
    <n v="340212890"/>
    <s v="AUXCOSTORVM"/>
  </r>
  <r>
    <n v="3402"/>
    <s v="15.01.2020"/>
    <n v="2020"/>
    <d v="2020-01-01T00:00:00"/>
    <n v="36"/>
    <n v="200042727"/>
    <s v="WA"/>
    <n v="81"/>
    <x v="0"/>
    <n v="11500060"/>
    <x v="0"/>
    <n v="9585"/>
    <s v="MXN"/>
    <n v="9585"/>
    <x v="0"/>
    <m/>
    <m/>
    <m/>
    <m/>
    <m/>
    <m/>
    <m/>
    <m/>
    <s v="16.01.2020"/>
    <m/>
    <n v="20200115"/>
    <n v="9585"/>
    <m/>
    <m/>
    <m/>
    <m/>
    <m/>
    <m/>
    <m/>
    <m/>
    <m/>
    <m/>
    <n v="340212890"/>
    <s v="AUXCOSTORVM"/>
  </r>
  <r>
    <n v="3402"/>
    <s v="15.01.2020"/>
    <n v="2020"/>
    <d v="2020-01-01T00:00:00"/>
    <n v="50"/>
    <n v="200042727"/>
    <s v="WA"/>
    <n v="81"/>
    <x v="0"/>
    <n v="11500060"/>
    <x v="0"/>
    <n v="3060"/>
    <s v="MXN"/>
    <n v="3060"/>
    <x v="0"/>
    <m/>
    <m/>
    <m/>
    <m/>
    <m/>
    <m/>
    <m/>
    <m/>
    <s v="16.01.2020"/>
    <m/>
    <n v="20200115"/>
    <n v="3060"/>
    <m/>
    <m/>
    <m/>
    <m/>
    <m/>
    <m/>
    <m/>
    <m/>
    <m/>
    <m/>
    <n v="340212890"/>
    <s v="AUXCOSTORVM"/>
  </r>
  <r>
    <n v="3402"/>
    <s v="15.01.2020"/>
    <n v="2020"/>
    <d v="2020-01-01T00:00:00"/>
    <n v="52"/>
    <n v="200042727"/>
    <s v="WA"/>
    <n v="81"/>
    <x v="0"/>
    <n v="11500060"/>
    <x v="0"/>
    <n v="580"/>
    <s v="MXN"/>
    <n v="580"/>
    <x v="0"/>
    <m/>
    <m/>
    <m/>
    <m/>
    <m/>
    <m/>
    <m/>
    <m/>
    <s v="16.01.2020"/>
    <m/>
    <n v="20200115"/>
    <n v="580"/>
    <m/>
    <m/>
    <m/>
    <m/>
    <m/>
    <m/>
    <m/>
    <m/>
    <m/>
    <m/>
    <n v="340212890"/>
    <s v="AUXCOSTORVM"/>
  </r>
  <r>
    <n v="3402"/>
    <s v="15.01.2020"/>
    <n v="2020"/>
    <d v="2020-01-01T00:00:00"/>
    <n v="54"/>
    <n v="200042727"/>
    <s v="WA"/>
    <n v="81"/>
    <x v="0"/>
    <n v="11500060"/>
    <x v="0"/>
    <n v="852"/>
    <s v="MXN"/>
    <n v="852"/>
    <x v="0"/>
    <m/>
    <m/>
    <m/>
    <m/>
    <m/>
    <m/>
    <m/>
    <m/>
    <s v="16.01.2020"/>
    <m/>
    <n v="20200115"/>
    <n v="852"/>
    <m/>
    <m/>
    <m/>
    <m/>
    <m/>
    <m/>
    <m/>
    <m/>
    <m/>
    <m/>
    <n v="340212890"/>
    <s v="AUXCOSTORVM"/>
  </r>
  <r>
    <n v="3402"/>
    <s v="15.01.2020"/>
    <n v="2020"/>
    <d v="2020-01-01T00:00:00"/>
    <n v="56"/>
    <n v="200042727"/>
    <s v="WA"/>
    <n v="81"/>
    <x v="0"/>
    <n v="11500060"/>
    <x v="0"/>
    <n v="568"/>
    <s v="MXN"/>
    <n v="568"/>
    <x v="0"/>
    <m/>
    <m/>
    <m/>
    <m/>
    <m/>
    <m/>
    <m/>
    <m/>
    <s v="16.01.2020"/>
    <m/>
    <n v="20200115"/>
    <n v="568"/>
    <m/>
    <m/>
    <m/>
    <m/>
    <m/>
    <m/>
    <m/>
    <m/>
    <m/>
    <m/>
    <n v="340212890"/>
    <s v="AUXCOSTORVM"/>
  </r>
  <r>
    <n v="3402"/>
    <s v="15.01.2020"/>
    <n v="2020"/>
    <d v="2020-01-01T00:00:00"/>
    <n v="58"/>
    <n v="200042727"/>
    <s v="WA"/>
    <n v="81"/>
    <x v="0"/>
    <n v="11500060"/>
    <x v="0"/>
    <n v="710"/>
    <s v="MXN"/>
    <n v="710"/>
    <x v="0"/>
    <m/>
    <m/>
    <m/>
    <m/>
    <m/>
    <m/>
    <m/>
    <m/>
    <s v="16.01.2020"/>
    <m/>
    <n v="20200115"/>
    <n v="710"/>
    <m/>
    <m/>
    <m/>
    <m/>
    <m/>
    <m/>
    <m/>
    <m/>
    <m/>
    <m/>
    <n v="340212890"/>
    <s v="AUXCOSTORVM"/>
  </r>
  <r>
    <n v="3402"/>
    <s v="15.01.2020"/>
    <n v="2020"/>
    <d v="2020-01-01T00:00:00"/>
    <n v="60"/>
    <n v="200042727"/>
    <s v="WA"/>
    <n v="81"/>
    <x v="0"/>
    <n v="11500060"/>
    <x v="0"/>
    <n v="426"/>
    <s v="MXN"/>
    <n v="426"/>
    <x v="0"/>
    <m/>
    <m/>
    <m/>
    <m/>
    <m/>
    <m/>
    <m/>
    <m/>
    <s v="16.01.2020"/>
    <m/>
    <n v="20200115"/>
    <n v="426"/>
    <m/>
    <m/>
    <m/>
    <m/>
    <m/>
    <m/>
    <m/>
    <m/>
    <m/>
    <m/>
    <n v="340212890"/>
    <s v="AUXCOSTORVM"/>
  </r>
  <r>
    <n v="3402"/>
    <s v="15.01.2020"/>
    <n v="2020"/>
    <d v="2020-01-01T00:00:00"/>
    <n v="62"/>
    <n v="200042727"/>
    <s v="WA"/>
    <n v="81"/>
    <x v="0"/>
    <n v="11500060"/>
    <x v="0"/>
    <n v="852"/>
    <s v="MXN"/>
    <n v="852"/>
    <x v="0"/>
    <m/>
    <m/>
    <m/>
    <m/>
    <m/>
    <m/>
    <m/>
    <m/>
    <s v="16.01.2020"/>
    <m/>
    <n v="20200115"/>
    <n v="852"/>
    <m/>
    <m/>
    <m/>
    <m/>
    <m/>
    <m/>
    <m/>
    <m/>
    <m/>
    <m/>
    <n v="340212890"/>
    <s v="AUXCOSTORVM"/>
  </r>
  <r>
    <n v="3402"/>
    <s v="15.01.2020"/>
    <n v="2020"/>
    <d v="2020-01-01T00:00:00"/>
    <n v="64"/>
    <n v="200042727"/>
    <s v="WA"/>
    <n v="81"/>
    <x v="0"/>
    <n v="11500060"/>
    <x v="0"/>
    <n v="32.99"/>
    <s v="MXN"/>
    <n v="32.99"/>
    <x v="0"/>
    <m/>
    <m/>
    <m/>
    <m/>
    <m/>
    <m/>
    <m/>
    <m/>
    <s v="16.01.2020"/>
    <m/>
    <n v="20200115"/>
    <n v="32.99"/>
    <m/>
    <m/>
    <m/>
    <m/>
    <m/>
    <m/>
    <m/>
    <m/>
    <m/>
    <m/>
    <n v="340212890"/>
    <s v="AUXCOSTORVM"/>
  </r>
  <r>
    <n v="3402"/>
    <s v="15.01.2020"/>
    <n v="2020"/>
    <d v="2020-01-01T00:00:00"/>
    <n v="66"/>
    <n v="200042727"/>
    <s v="WA"/>
    <n v="81"/>
    <x v="0"/>
    <n v="11500060"/>
    <x v="0"/>
    <n v="42"/>
    <s v="MXN"/>
    <n v="42"/>
    <x v="0"/>
    <m/>
    <m/>
    <m/>
    <m/>
    <m/>
    <m/>
    <m/>
    <m/>
    <s v="16.01.2020"/>
    <m/>
    <n v="20200115"/>
    <n v="42"/>
    <m/>
    <m/>
    <m/>
    <m/>
    <m/>
    <m/>
    <m/>
    <m/>
    <m/>
    <m/>
    <n v="340212890"/>
    <s v="AUXCOSTORVM"/>
  </r>
  <r>
    <n v="3402"/>
    <s v="15.01.2020"/>
    <n v="2020"/>
    <d v="2020-01-01T00:00:00"/>
    <n v="68"/>
    <n v="200042727"/>
    <s v="WA"/>
    <n v="81"/>
    <x v="0"/>
    <n v="11500060"/>
    <x v="0"/>
    <n v="2480.3200000000002"/>
    <s v="MXN"/>
    <n v="2480.3200000000002"/>
    <x v="0"/>
    <m/>
    <m/>
    <m/>
    <m/>
    <m/>
    <m/>
    <m/>
    <m/>
    <s v="16.01.2020"/>
    <m/>
    <n v="20200115"/>
    <n v="2480.3200000000002"/>
    <m/>
    <m/>
    <m/>
    <m/>
    <m/>
    <m/>
    <m/>
    <m/>
    <m/>
    <m/>
    <n v="340212890"/>
    <s v="AUXCOSTORVM"/>
  </r>
  <r>
    <n v="3402"/>
    <s v="15.01.2020"/>
    <n v="2020"/>
    <d v="2020-01-01T00:00:00"/>
    <n v="70"/>
    <n v="200042727"/>
    <s v="WA"/>
    <n v="81"/>
    <x v="0"/>
    <n v="11500060"/>
    <x v="0"/>
    <n v="1200"/>
    <s v="MXN"/>
    <n v="1200"/>
    <x v="0"/>
    <m/>
    <m/>
    <m/>
    <m/>
    <m/>
    <m/>
    <m/>
    <m/>
    <s v="16.01.2020"/>
    <m/>
    <n v="20200115"/>
    <n v="1200"/>
    <m/>
    <m/>
    <m/>
    <m/>
    <m/>
    <m/>
    <m/>
    <m/>
    <m/>
    <m/>
    <n v="340212890"/>
    <s v="AUXCOSTORVM"/>
  </r>
  <r>
    <n v="3402"/>
    <s v="15.01.2020"/>
    <n v="2020"/>
    <d v="2020-01-01T00:00:00"/>
    <n v="72"/>
    <n v="200042727"/>
    <s v="WA"/>
    <n v="81"/>
    <x v="0"/>
    <n v="11500060"/>
    <x v="0"/>
    <n v="3440"/>
    <s v="MXN"/>
    <n v="3440"/>
    <x v="0"/>
    <m/>
    <m/>
    <m/>
    <m/>
    <m/>
    <m/>
    <m/>
    <m/>
    <s v="16.01.2020"/>
    <m/>
    <n v="20200115"/>
    <n v="3440"/>
    <m/>
    <m/>
    <m/>
    <m/>
    <m/>
    <m/>
    <m/>
    <m/>
    <m/>
    <m/>
    <n v="340212890"/>
    <s v="AUXCOSTORVM"/>
  </r>
  <r>
    <n v="3402"/>
    <s v="15.01.2020"/>
    <n v="2020"/>
    <d v="2020-01-01T00:00:00"/>
    <n v="74"/>
    <n v="200042727"/>
    <s v="WA"/>
    <n v="81"/>
    <x v="0"/>
    <n v="11500060"/>
    <x v="0"/>
    <n v="51"/>
    <s v="MXN"/>
    <n v="51"/>
    <x v="0"/>
    <m/>
    <m/>
    <m/>
    <m/>
    <m/>
    <m/>
    <m/>
    <m/>
    <s v="16.01.2020"/>
    <m/>
    <n v="20200115"/>
    <n v="51"/>
    <m/>
    <m/>
    <m/>
    <m/>
    <m/>
    <m/>
    <m/>
    <m/>
    <m/>
    <m/>
    <n v="340212890"/>
    <s v="AUXCOSTORVM"/>
  </r>
  <r>
    <n v="3402"/>
    <s v="15.01.2020"/>
    <n v="2020"/>
    <d v="2020-01-01T00:00:00"/>
    <n v="76"/>
    <n v="200042727"/>
    <s v="WA"/>
    <n v="81"/>
    <x v="0"/>
    <n v="11500060"/>
    <x v="0"/>
    <n v="224.17"/>
    <s v="MXN"/>
    <n v="224.17"/>
    <x v="0"/>
    <m/>
    <m/>
    <m/>
    <m/>
    <m/>
    <m/>
    <m/>
    <m/>
    <s v="16.01.2020"/>
    <m/>
    <n v="20200115"/>
    <n v="224.17"/>
    <m/>
    <m/>
    <m/>
    <m/>
    <m/>
    <m/>
    <m/>
    <m/>
    <m/>
    <m/>
    <n v="340212890"/>
    <s v="AUXCOSTORVM"/>
  </r>
  <r>
    <n v="3402"/>
    <s v="15.01.2020"/>
    <n v="2020"/>
    <d v="2020-01-01T00:00:00"/>
    <n v="80"/>
    <n v="200042727"/>
    <s v="WA"/>
    <n v="81"/>
    <x v="0"/>
    <n v="11500060"/>
    <x v="0"/>
    <n v="1177"/>
    <s v="MXN"/>
    <n v="1177"/>
    <x v="0"/>
    <m/>
    <m/>
    <m/>
    <m/>
    <m/>
    <m/>
    <m/>
    <m/>
    <s v="16.01.2020"/>
    <m/>
    <n v="20200115"/>
    <n v="1177"/>
    <m/>
    <m/>
    <m/>
    <m/>
    <m/>
    <m/>
    <m/>
    <m/>
    <m/>
    <m/>
    <n v="340212890"/>
    <s v="AUXCOSTORVM"/>
  </r>
  <r>
    <n v="3402"/>
    <s v="15.01.2020"/>
    <n v="2020"/>
    <d v="2020-01-01T00:00:00"/>
    <n v="34"/>
    <n v="200042737"/>
    <s v="WA"/>
    <n v="81"/>
    <x v="0"/>
    <n v="11500060"/>
    <x v="0"/>
    <n v="1177"/>
    <s v="MXN"/>
    <n v="1177"/>
    <x v="0"/>
    <m/>
    <m/>
    <m/>
    <m/>
    <m/>
    <m/>
    <m/>
    <m/>
    <s v="16.01.2020"/>
    <m/>
    <n v="20200115"/>
    <n v="1177"/>
    <m/>
    <m/>
    <m/>
    <m/>
    <m/>
    <m/>
    <m/>
    <m/>
    <m/>
    <m/>
    <n v="340212490"/>
    <s v="AUXCOSTORVM"/>
  </r>
  <r>
    <n v="3402"/>
    <s v="15.01.2020"/>
    <n v="2020"/>
    <d v="2020-01-01T00:00:00"/>
    <n v="76"/>
    <n v="200042737"/>
    <s v="WA"/>
    <n v="81"/>
    <x v="0"/>
    <n v="11500060"/>
    <x v="0"/>
    <n v="16736.849999999999"/>
    <s v="MXN"/>
    <n v="16736.849999999999"/>
    <x v="0"/>
    <m/>
    <m/>
    <m/>
    <m/>
    <m/>
    <m/>
    <m/>
    <m/>
    <s v="16.01.2020"/>
    <m/>
    <n v="20200115"/>
    <n v="16736.849999999999"/>
    <m/>
    <m/>
    <m/>
    <m/>
    <m/>
    <m/>
    <m/>
    <m/>
    <m/>
    <m/>
    <n v="340212490"/>
    <s v="AUXCOSTORVM"/>
  </r>
  <r>
    <n v="3402"/>
    <s v="15.01.2020"/>
    <n v="2020"/>
    <d v="2020-01-01T00:00:00"/>
    <n v="78"/>
    <n v="200042737"/>
    <s v="WA"/>
    <n v="81"/>
    <x v="0"/>
    <n v="11500060"/>
    <x v="0"/>
    <n v="15466.64"/>
    <s v="MXN"/>
    <n v="15466.64"/>
    <x v="0"/>
    <m/>
    <m/>
    <m/>
    <m/>
    <m/>
    <m/>
    <m/>
    <m/>
    <s v="16.01.2020"/>
    <m/>
    <n v="20200115"/>
    <n v="15466.64"/>
    <m/>
    <m/>
    <m/>
    <m/>
    <m/>
    <m/>
    <m/>
    <m/>
    <m/>
    <m/>
    <n v="340212490"/>
    <s v="AUXCOSTORVM"/>
  </r>
  <r>
    <n v="3402"/>
    <s v="15.01.2020"/>
    <n v="2020"/>
    <d v="2020-01-01T00:00:00"/>
    <n v="94"/>
    <n v="200042737"/>
    <s v="WA"/>
    <n v="81"/>
    <x v="0"/>
    <n v="11500060"/>
    <x v="0"/>
    <n v="14909.99"/>
    <s v="MXN"/>
    <n v="14909.99"/>
    <x v="0"/>
    <m/>
    <m/>
    <m/>
    <m/>
    <m/>
    <m/>
    <m/>
    <m/>
    <s v="16.01.2020"/>
    <m/>
    <n v="20200115"/>
    <n v="14909.99"/>
    <m/>
    <m/>
    <m/>
    <m/>
    <m/>
    <m/>
    <m/>
    <m/>
    <m/>
    <m/>
    <n v="340212490"/>
    <s v="AUXCOSTORVM"/>
  </r>
  <r>
    <n v="3406"/>
    <s v="15.01.2020"/>
    <n v="2020"/>
    <d v="2020-01-01T00:00:00"/>
    <n v="2"/>
    <n v="600013700"/>
    <s v="WA"/>
    <n v="81"/>
    <x v="0"/>
    <n v="11500060"/>
    <x v="0"/>
    <n v="1120"/>
    <s v="MXN"/>
    <n v="1120"/>
    <x v="0"/>
    <m/>
    <m/>
    <m/>
    <m/>
    <m/>
    <m/>
    <m/>
    <m/>
    <s v="16.01.2020"/>
    <m/>
    <n v="20200115"/>
    <n v="1120"/>
    <m/>
    <m/>
    <m/>
    <m/>
    <m/>
    <m/>
    <m/>
    <m/>
    <m/>
    <m/>
    <n v="340612490"/>
    <s v="JGARCIA"/>
  </r>
  <r>
    <n v="3406"/>
    <s v="15.01.2020"/>
    <n v="2020"/>
    <d v="2020-01-01T00:00:00"/>
    <n v="24"/>
    <n v="600013700"/>
    <s v="WA"/>
    <n v="81"/>
    <x v="0"/>
    <n v="11500060"/>
    <x v="0"/>
    <n v="1284"/>
    <s v="MXN"/>
    <n v="1284"/>
    <x v="0"/>
    <m/>
    <m/>
    <m/>
    <m/>
    <m/>
    <m/>
    <m/>
    <m/>
    <s v="16.01.2020"/>
    <m/>
    <n v="20200115"/>
    <n v="1284"/>
    <m/>
    <m/>
    <m/>
    <m/>
    <m/>
    <m/>
    <m/>
    <m/>
    <m/>
    <m/>
    <n v="340612490"/>
    <s v="JGARCIA"/>
  </r>
  <r>
    <n v="3406"/>
    <s v="15.01.2020"/>
    <n v="2020"/>
    <d v="2020-01-01T00:00:00"/>
    <n v="2"/>
    <n v="600013701"/>
    <s v="WA"/>
    <n v="81"/>
    <x v="0"/>
    <n v="11500060"/>
    <x v="0"/>
    <n v="1640.01"/>
    <s v="MXN"/>
    <n v="1640.01"/>
    <x v="0"/>
    <m/>
    <m/>
    <m/>
    <m/>
    <m/>
    <m/>
    <m/>
    <m/>
    <s v="16.01.2020"/>
    <m/>
    <n v="20200115"/>
    <n v="1640.01"/>
    <m/>
    <m/>
    <m/>
    <m/>
    <m/>
    <m/>
    <m/>
    <m/>
    <m/>
    <m/>
    <n v="340612790"/>
    <s v="JGARCIA"/>
  </r>
  <r>
    <n v="3406"/>
    <s v="15.01.2020"/>
    <n v="2020"/>
    <d v="2020-01-01T00:00:00"/>
    <n v="24"/>
    <n v="600013701"/>
    <s v="WA"/>
    <n v="81"/>
    <x v="0"/>
    <n v="11500060"/>
    <x v="0"/>
    <n v="535"/>
    <s v="MXN"/>
    <n v="535"/>
    <x v="0"/>
    <m/>
    <m/>
    <m/>
    <m/>
    <m/>
    <m/>
    <m/>
    <m/>
    <s v="16.01.2020"/>
    <m/>
    <n v="20200115"/>
    <n v="535"/>
    <m/>
    <m/>
    <m/>
    <m/>
    <m/>
    <m/>
    <m/>
    <m/>
    <m/>
    <m/>
    <n v="340612790"/>
    <s v="JGARCIA"/>
  </r>
  <r>
    <n v="3406"/>
    <s v="15.01.2020"/>
    <n v="2020"/>
    <d v="2020-01-01T00:00:00"/>
    <n v="8"/>
    <n v="600013703"/>
    <s v="WA"/>
    <n v="81"/>
    <x v="0"/>
    <n v="11500030"/>
    <x v="0"/>
    <n v="1462.98"/>
    <s v="MXN"/>
    <n v="1462.98"/>
    <x v="0"/>
    <m/>
    <m/>
    <m/>
    <m/>
    <m/>
    <m/>
    <m/>
    <m/>
    <s v="16.01.2020"/>
    <m/>
    <n v="20200115"/>
    <n v="1462.98"/>
    <m/>
    <m/>
    <m/>
    <m/>
    <m/>
    <m/>
    <m/>
    <m/>
    <m/>
    <m/>
    <n v="340612590"/>
    <s v="JGARCIA"/>
  </r>
  <r>
    <n v="3406"/>
    <s v="15.01.2020"/>
    <n v="2020"/>
    <d v="2020-01-01T00:00:00"/>
    <n v="2"/>
    <n v="600013704"/>
    <s v="WA"/>
    <n v="81"/>
    <x v="0"/>
    <n v="11500060"/>
    <x v="0"/>
    <n v="1462.98"/>
    <s v="MXN"/>
    <n v="1462.98"/>
    <x v="0"/>
    <m/>
    <m/>
    <m/>
    <m/>
    <m/>
    <m/>
    <m/>
    <m/>
    <s v="16.01.2020"/>
    <m/>
    <n v="20200115"/>
    <n v="1462.98"/>
    <m/>
    <m/>
    <m/>
    <m/>
    <m/>
    <m/>
    <m/>
    <m/>
    <m/>
    <m/>
    <n v="340612590"/>
    <s v="JGARCIA"/>
  </r>
  <r>
    <n v="3406"/>
    <s v="15.01.2020"/>
    <n v="2020"/>
    <d v="2020-01-01T00:00:00"/>
    <n v="2"/>
    <n v="600013705"/>
    <s v="WA"/>
    <n v="81"/>
    <x v="0"/>
    <n v="11500060"/>
    <x v="0"/>
    <n v="740.58"/>
    <s v="MXN"/>
    <n v="740.58"/>
    <x v="0"/>
    <m/>
    <m/>
    <m/>
    <m/>
    <m/>
    <m/>
    <m/>
    <m/>
    <s v="16.01.2020"/>
    <m/>
    <n v="20200115"/>
    <n v="740.58"/>
    <m/>
    <m/>
    <m/>
    <m/>
    <m/>
    <m/>
    <m/>
    <m/>
    <m/>
    <m/>
    <n v="340612890"/>
    <s v="JGARCIA"/>
  </r>
  <r>
    <n v="3406"/>
    <s v="15.01.2020"/>
    <n v="2020"/>
    <d v="2020-01-01T00:00:00"/>
    <n v="6"/>
    <n v="600013705"/>
    <s v="WA"/>
    <n v="81"/>
    <x v="0"/>
    <n v="11500060"/>
    <x v="0"/>
    <n v="20226.79"/>
    <s v="MXN"/>
    <n v="20226.79"/>
    <x v="0"/>
    <m/>
    <m/>
    <m/>
    <m/>
    <m/>
    <m/>
    <m/>
    <m/>
    <s v="16.01.2020"/>
    <m/>
    <n v="20200115"/>
    <n v="20226.79"/>
    <m/>
    <m/>
    <m/>
    <m/>
    <m/>
    <m/>
    <m/>
    <m/>
    <m/>
    <m/>
    <n v="340612890"/>
    <s v="JGARCIA"/>
  </r>
  <r>
    <n v="3406"/>
    <s v="15.01.2020"/>
    <n v="2020"/>
    <d v="2020-01-01T00:00:00"/>
    <n v="8"/>
    <n v="600013705"/>
    <s v="WA"/>
    <n v="81"/>
    <x v="0"/>
    <n v="11500060"/>
    <x v="0"/>
    <n v="3344"/>
    <s v="MXN"/>
    <n v="3344"/>
    <x v="0"/>
    <m/>
    <m/>
    <m/>
    <m/>
    <m/>
    <m/>
    <m/>
    <m/>
    <s v="16.01.2020"/>
    <m/>
    <n v="20200115"/>
    <n v="3344"/>
    <m/>
    <m/>
    <m/>
    <m/>
    <m/>
    <m/>
    <m/>
    <m/>
    <m/>
    <m/>
    <n v="340612890"/>
    <s v="JGARCIA"/>
  </r>
  <r>
    <n v="3406"/>
    <s v="15.01.2020"/>
    <n v="2020"/>
    <d v="2020-01-01T00:00:00"/>
    <n v="10"/>
    <n v="600013705"/>
    <s v="WA"/>
    <n v="81"/>
    <x v="0"/>
    <n v="11500060"/>
    <x v="0"/>
    <n v="1029.69"/>
    <s v="MXN"/>
    <n v="1029.69"/>
    <x v="0"/>
    <m/>
    <m/>
    <m/>
    <m/>
    <m/>
    <m/>
    <m/>
    <m/>
    <s v="16.01.2020"/>
    <m/>
    <n v="20200115"/>
    <n v="1029.69"/>
    <m/>
    <m/>
    <m/>
    <m/>
    <m/>
    <m/>
    <m/>
    <m/>
    <m/>
    <m/>
    <n v="340612890"/>
    <s v="JGARCIA"/>
  </r>
  <r>
    <n v="3406"/>
    <s v="15.01.2020"/>
    <n v="2020"/>
    <d v="2020-01-01T00:00:00"/>
    <n v="12"/>
    <n v="600013705"/>
    <s v="WA"/>
    <n v="81"/>
    <x v="0"/>
    <n v="11500060"/>
    <x v="0"/>
    <n v="121.65"/>
    <s v="MXN"/>
    <n v="121.65"/>
    <x v="0"/>
    <m/>
    <m/>
    <m/>
    <m/>
    <m/>
    <m/>
    <m/>
    <m/>
    <s v="16.01.2020"/>
    <m/>
    <n v="20200115"/>
    <n v="121.65"/>
    <m/>
    <m/>
    <m/>
    <m/>
    <m/>
    <m/>
    <m/>
    <m/>
    <m/>
    <m/>
    <n v="340612890"/>
    <s v="JGARCIA"/>
  </r>
  <r>
    <n v="3406"/>
    <s v="15.01.2020"/>
    <n v="2020"/>
    <d v="2020-01-01T00:00:00"/>
    <n v="14"/>
    <n v="600013705"/>
    <s v="WA"/>
    <n v="81"/>
    <x v="0"/>
    <n v="11500060"/>
    <x v="0"/>
    <n v="909.62"/>
    <s v="MXN"/>
    <n v="909.62"/>
    <x v="0"/>
    <m/>
    <m/>
    <m/>
    <m/>
    <m/>
    <m/>
    <m/>
    <m/>
    <s v="16.01.2020"/>
    <m/>
    <n v="20200115"/>
    <n v="909.62"/>
    <m/>
    <m/>
    <m/>
    <m/>
    <m/>
    <m/>
    <m/>
    <m/>
    <m/>
    <m/>
    <n v="340612890"/>
    <s v="JGARCIA"/>
  </r>
  <r>
    <n v="3406"/>
    <s v="15.01.2020"/>
    <n v="2020"/>
    <d v="2020-01-01T00:00:00"/>
    <n v="16"/>
    <n v="600013705"/>
    <s v="WA"/>
    <n v="81"/>
    <x v="0"/>
    <n v="11500060"/>
    <x v="0"/>
    <n v="1805.78"/>
    <s v="MXN"/>
    <n v="1805.78"/>
    <x v="0"/>
    <m/>
    <m/>
    <m/>
    <m/>
    <m/>
    <m/>
    <m/>
    <m/>
    <s v="16.01.2020"/>
    <m/>
    <n v="20200115"/>
    <n v="1805.78"/>
    <m/>
    <m/>
    <m/>
    <m/>
    <m/>
    <m/>
    <m/>
    <m/>
    <m/>
    <m/>
    <n v="340612890"/>
    <s v="JGARCIA"/>
  </r>
  <r>
    <n v="3406"/>
    <s v="15.01.2020"/>
    <n v="2020"/>
    <d v="2020-01-01T00:00:00"/>
    <n v="18"/>
    <n v="600013705"/>
    <s v="WA"/>
    <n v="81"/>
    <x v="0"/>
    <n v="11500060"/>
    <x v="0"/>
    <n v="1624.08"/>
    <s v="MXN"/>
    <n v="1624.08"/>
    <x v="0"/>
    <m/>
    <m/>
    <m/>
    <m/>
    <m/>
    <m/>
    <m/>
    <m/>
    <s v="16.01.2020"/>
    <m/>
    <n v="20200115"/>
    <n v="1624.08"/>
    <m/>
    <m/>
    <m/>
    <m/>
    <m/>
    <m/>
    <m/>
    <m/>
    <m/>
    <m/>
    <n v="340612890"/>
    <s v="JGARCIA"/>
  </r>
  <r>
    <n v="3406"/>
    <s v="15.01.2020"/>
    <n v="2020"/>
    <d v="2020-01-01T00:00:00"/>
    <n v="20"/>
    <n v="600013705"/>
    <s v="WA"/>
    <n v="81"/>
    <x v="0"/>
    <n v="11500060"/>
    <x v="0"/>
    <n v="732.39"/>
    <s v="MXN"/>
    <n v="732.39"/>
    <x v="0"/>
    <m/>
    <m/>
    <m/>
    <m/>
    <m/>
    <m/>
    <m/>
    <m/>
    <s v="16.01.2020"/>
    <m/>
    <n v="20200115"/>
    <n v="732.39"/>
    <m/>
    <m/>
    <m/>
    <m/>
    <m/>
    <m/>
    <m/>
    <m/>
    <m/>
    <m/>
    <n v="340612890"/>
    <s v="JGARCIA"/>
  </r>
  <r>
    <n v="3406"/>
    <s v="15.01.2020"/>
    <n v="2020"/>
    <d v="2020-01-01T00:00:00"/>
    <n v="22"/>
    <n v="600013705"/>
    <s v="WA"/>
    <n v="81"/>
    <x v="0"/>
    <n v="11500060"/>
    <x v="0"/>
    <n v="1411.31"/>
    <s v="MXN"/>
    <n v="1411.31"/>
    <x v="0"/>
    <m/>
    <m/>
    <m/>
    <m/>
    <m/>
    <m/>
    <m/>
    <m/>
    <s v="16.01.2020"/>
    <m/>
    <n v="20200115"/>
    <n v="1411.31"/>
    <m/>
    <m/>
    <m/>
    <m/>
    <m/>
    <m/>
    <m/>
    <m/>
    <m/>
    <m/>
    <n v="340612890"/>
    <s v="JGARCIA"/>
  </r>
  <r>
    <n v="3406"/>
    <s v="15.01.2020"/>
    <n v="2020"/>
    <d v="2020-01-01T00:00:00"/>
    <n v="24"/>
    <n v="600013705"/>
    <s v="WA"/>
    <n v="81"/>
    <x v="0"/>
    <n v="11500060"/>
    <x v="0"/>
    <n v="2888.25"/>
    <s v="MXN"/>
    <n v="2888.25"/>
    <x v="0"/>
    <m/>
    <m/>
    <m/>
    <m/>
    <m/>
    <m/>
    <m/>
    <m/>
    <s v="16.01.2020"/>
    <m/>
    <n v="20200115"/>
    <n v="2888.25"/>
    <m/>
    <m/>
    <m/>
    <m/>
    <m/>
    <m/>
    <m/>
    <m/>
    <m/>
    <m/>
    <n v="340612890"/>
    <s v="JGARCIA"/>
  </r>
  <r>
    <n v="3406"/>
    <s v="15.01.2020"/>
    <n v="2020"/>
    <d v="2020-01-01T00:00:00"/>
    <n v="26"/>
    <n v="600013705"/>
    <s v="WA"/>
    <n v="81"/>
    <x v="0"/>
    <n v="11500060"/>
    <x v="0"/>
    <n v="1857.12"/>
    <s v="MXN"/>
    <n v="1857.12"/>
    <x v="0"/>
    <m/>
    <m/>
    <m/>
    <m/>
    <m/>
    <m/>
    <m/>
    <m/>
    <s v="16.01.2020"/>
    <m/>
    <n v="20200115"/>
    <n v="1857.12"/>
    <m/>
    <m/>
    <m/>
    <m/>
    <m/>
    <m/>
    <m/>
    <m/>
    <m/>
    <m/>
    <n v="340612890"/>
    <s v="JGARCIA"/>
  </r>
  <r>
    <n v="3406"/>
    <s v="15.01.2020"/>
    <n v="2020"/>
    <d v="2020-01-01T00:00:00"/>
    <n v="28"/>
    <n v="600013705"/>
    <s v="WA"/>
    <n v="81"/>
    <x v="0"/>
    <n v="11500060"/>
    <x v="0"/>
    <n v="6161.28"/>
    <s v="MXN"/>
    <n v="6161.28"/>
    <x v="0"/>
    <m/>
    <m/>
    <m/>
    <m/>
    <m/>
    <m/>
    <m/>
    <m/>
    <s v="16.01.2020"/>
    <m/>
    <n v="20200115"/>
    <n v="6161.28"/>
    <m/>
    <m/>
    <m/>
    <m/>
    <m/>
    <m/>
    <m/>
    <m/>
    <m/>
    <m/>
    <n v="340612890"/>
    <s v="JGARCIA"/>
  </r>
  <r>
    <n v="3406"/>
    <s v="15.01.2020"/>
    <n v="2020"/>
    <d v="2020-01-01T00:00:00"/>
    <n v="32"/>
    <n v="600013705"/>
    <s v="WA"/>
    <n v="81"/>
    <x v="0"/>
    <n v="11500060"/>
    <x v="0"/>
    <n v="606"/>
    <s v="MXN"/>
    <n v="606"/>
    <x v="0"/>
    <m/>
    <m/>
    <m/>
    <m/>
    <m/>
    <m/>
    <m/>
    <m/>
    <s v="16.01.2020"/>
    <m/>
    <n v="20200115"/>
    <n v="606"/>
    <m/>
    <m/>
    <m/>
    <m/>
    <m/>
    <m/>
    <m/>
    <m/>
    <m/>
    <m/>
    <n v="340612890"/>
    <s v="JGARCIA"/>
  </r>
  <r>
    <n v="3406"/>
    <s v="15.01.2020"/>
    <n v="2020"/>
    <d v="2020-01-01T00:00:00"/>
    <n v="34"/>
    <n v="600013705"/>
    <s v="WA"/>
    <n v="81"/>
    <x v="0"/>
    <n v="11500060"/>
    <x v="0"/>
    <n v="1952.16"/>
    <s v="MXN"/>
    <n v="1952.16"/>
    <x v="0"/>
    <m/>
    <m/>
    <m/>
    <m/>
    <m/>
    <m/>
    <m/>
    <m/>
    <s v="16.01.2020"/>
    <m/>
    <n v="20200115"/>
    <n v="1952.16"/>
    <m/>
    <m/>
    <m/>
    <m/>
    <m/>
    <m/>
    <m/>
    <m/>
    <m/>
    <m/>
    <n v="340612890"/>
    <s v="JGARCIA"/>
  </r>
  <r>
    <n v="3406"/>
    <s v="15.01.2020"/>
    <n v="2020"/>
    <d v="2020-01-01T00:00:00"/>
    <n v="40"/>
    <n v="600013705"/>
    <s v="WA"/>
    <n v="81"/>
    <x v="0"/>
    <n v="11500060"/>
    <x v="0"/>
    <n v="1326"/>
    <s v="MXN"/>
    <n v="1326"/>
    <x v="0"/>
    <m/>
    <m/>
    <m/>
    <m/>
    <m/>
    <m/>
    <m/>
    <m/>
    <s v="16.01.2020"/>
    <m/>
    <n v="20200115"/>
    <n v="1326"/>
    <m/>
    <m/>
    <m/>
    <m/>
    <m/>
    <m/>
    <m/>
    <m/>
    <m/>
    <m/>
    <n v="340612890"/>
    <s v="JGARCIA"/>
  </r>
  <r>
    <n v="3406"/>
    <s v="15.01.2020"/>
    <n v="2020"/>
    <d v="2020-01-01T00:00:00"/>
    <n v="42"/>
    <n v="600013705"/>
    <s v="WA"/>
    <n v="81"/>
    <x v="0"/>
    <n v="11500060"/>
    <x v="0"/>
    <n v="287.75"/>
    <s v="MXN"/>
    <n v="287.75"/>
    <x v="0"/>
    <m/>
    <m/>
    <m/>
    <m/>
    <m/>
    <m/>
    <m/>
    <m/>
    <s v="16.01.2020"/>
    <m/>
    <n v="20200115"/>
    <n v="287.75"/>
    <m/>
    <m/>
    <m/>
    <m/>
    <m/>
    <m/>
    <m/>
    <m/>
    <m/>
    <m/>
    <n v="340612890"/>
    <s v="JGARCIA"/>
  </r>
  <r>
    <n v="3406"/>
    <s v="15.01.2020"/>
    <n v="2020"/>
    <d v="2020-01-01T00:00:00"/>
    <n v="44"/>
    <n v="600013705"/>
    <s v="WA"/>
    <n v="81"/>
    <x v="0"/>
    <n v="11500060"/>
    <x v="0"/>
    <n v="613.05999999999995"/>
    <s v="MXN"/>
    <n v="613.05999999999995"/>
    <x v="0"/>
    <m/>
    <m/>
    <m/>
    <m/>
    <m/>
    <m/>
    <m/>
    <m/>
    <s v="16.01.2020"/>
    <m/>
    <n v="20200115"/>
    <n v="613.05999999999995"/>
    <m/>
    <m/>
    <m/>
    <m/>
    <m/>
    <m/>
    <m/>
    <m/>
    <m/>
    <m/>
    <n v="340612890"/>
    <s v="JGARCIA"/>
  </r>
  <r>
    <n v="3406"/>
    <s v="15.01.2020"/>
    <n v="2020"/>
    <d v="2020-01-01T00:00:00"/>
    <n v="46"/>
    <n v="600013705"/>
    <s v="WA"/>
    <n v="81"/>
    <x v="0"/>
    <n v="11500060"/>
    <x v="0"/>
    <n v="22"/>
    <s v="MXN"/>
    <n v="22"/>
    <x v="0"/>
    <m/>
    <m/>
    <m/>
    <m/>
    <m/>
    <m/>
    <m/>
    <m/>
    <s v="16.01.2020"/>
    <m/>
    <n v="20200115"/>
    <n v="22"/>
    <m/>
    <m/>
    <m/>
    <m/>
    <m/>
    <m/>
    <m/>
    <m/>
    <m/>
    <m/>
    <n v="340612890"/>
    <s v="JGARCIA"/>
  </r>
  <r>
    <n v="3406"/>
    <s v="15.01.2020"/>
    <n v="2020"/>
    <d v="2020-01-01T00:00:00"/>
    <n v="48"/>
    <n v="600013705"/>
    <s v="WA"/>
    <n v="81"/>
    <x v="0"/>
    <n v="11500060"/>
    <x v="0"/>
    <n v="32.200000000000003"/>
    <s v="MXN"/>
    <n v="32.200000000000003"/>
    <x v="0"/>
    <m/>
    <m/>
    <m/>
    <m/>
    <m/>
    <m/>
    <m/>
    <m/>
    <s v="16.01.2020"/>
    <m/>
    <n v="20200115"/>
    <n v="32.200000000000003"/>
    <m/>
    <m/>
    <m/>
    <m/>
    <m/>
    <m/>
    <m/>
    <m/>
    <m/>
    <m/>
    <n v="340612890"/>
    <s v="JGARCIA"/>
  </r>
  <r>
    <n v="3406"/>
    <s v="15.01.2020"/>
    <n v="2020"/>
    <d v="2020-01-01T00:00:00"/>
    <n v="50"/>
    <n v="600013705"/>
    <s v="WA"/>
    <n v="81"/>
    <x v="0"/>
    <n v="11500060"/>
    <x v="0"/>
    <n v="116.05"/>
    <s v="MXN"/>
    <n v="116.05"/>
    <x v="0"/>
    <m/>
    <m/>
    <m/>
    <m/>
    <m/>
    <m/>
    <m/>
    <m/>
    <s v="16.01.2020"/>
    <m/>
    <n v="20200115"/>
    <n v="116.05"/>
    <m/>
    <m/>
    <m/>
    <m/>
    <m/>
    <m/>
    <m/>
    <m/>
    <m/>
    <m/>
    <n v="340612890"/>
    <s v="JGARCIA"/>
  </r>
  <r>
    <n v="3406"/>
    <s v="15.01.2020"/>
    <n v="2020"/>
    <d v="2020-01-01T00:00:00"/>
    <n v="52"/>
    <n v="600013705"/>
    <s v="WA"/>
    <n v="81"/>
    <x v="0"/>
    <n v="11500060"/>
    <x v="0"/>
    <n v="1033.75"/>
    <s v="MXN"/>
    <n v="1033.75"/>
    <x v="0"/>
    <m/>
    <m/>
    <m/>
    <m/>
    <m/>
    <m/>
    <m/>
    <m/>
    <s v="16.01.2020"/>
    <m/>
    <n v="20200115"/>
    <n v="1033.75"/>
    <m/>
    <m/>
    <m/>
    <m/>
    <m/>
    <m/>
    <m/>
    <m/>
    <m/>
    <m/>
    <n v="340612890"/>
    <s v="JGARCIA"/>
  </r>
  <r>
    <n v="3406"/>
    <s v="15.01.2020"/>
    <n v="2020"/>
    <d v="2020-01-01T00:00:00"/>
    <n v="54"/>
    <n v="600013705"/>
    <s v="WA"/>
    <n v="81"/>
    <x v="0"/>
    <n v="11500060"/>
    <x v="0"/>
    <n v="330.58"/>
    <s v="MXN"/>
    <n v="330.58"/>
    <x v="0"/>
    <m/>
    <m/>
    <m/>
    <m/>
    <m/>
    <m/>
    <m/>
    <m/>
    <s v="16.01.2020"/>
    <m/>
    <n v="20200115"/>
    <n v="330.58"/>
    <m/>
    <m/>
    <m/>
    <m/>
    <m/>
    <m/>
    <m/>
    <m/>
    <m/>
    <m/>
    <n v="340612890"/>
    <s v="JGARCIA"/>
  </r>
  <r>
    <n v="3406"/>
    <s v="15.01.2020"/>
    <n v="2020"/>
    <d v="2020-01-01T00:00:00"/>
    <n v="56"/>
    <n v="600013705"/>
    <s v="WA"/>
    <n v="81"/>
    <x v="0"/>
    <n v="11500060"/>
    <x v="0"/>
    <n v="960"/>
    <s v="MXN"/>
    <n v="960"/>
    <x v="0"/>
    <m/>
    <m/>
    <m/>
    <m/>
    <m/>
    <m/>
    <m/>
    <m/>
    <s v="16.01.2020"/>
    <m/>
    <n v="20200115"/>
    <n v="960"/>
    <m/>
    <m/>
    <m/>
    <m/>
    <m/>
    <m/>
    <m/>
    <m/>
    <m/>
    <m/>
    <n v="340612890"/>
    <s v="JGARCIA"/>
  </r>
  <r>
    <n v="3406"/>
    <s v="15.01.2020"/>
    <n v="2020"/>
    <d v="2020-01-01T00:00:00"/>
    <n v="58"/>
    <n v="600013705"/>
    <s v="WA"/>
    <n v="81"/>
    <x v="0"/>
    <n v="11500060"/>
    <x v="0"/>
    <n v="1791.02"/>
    <s v="MXN"/>
    <n v="1791.02"/>
    <x v="0"/>
    <m/>
    <m/>
    <m/>
    <m/>
    <m/>
    <m/>
    <m/>
    <m/>
    <s v="16.01.2020"/>
    <m/>
    <n v="20200115"/>
    <n v="1791.02"/>
    <m/>
    <m/>
    <m/>
    <m/>
    <m/>
    <m/>
    <m/>
    <m/>
    <m/>
    <m/>
    <n v="340612890"/>
    <s v="JGARCIA"/>
  </r>
  <r>
    <n v="3406"/>
    <s v="15.01.2020"/>
    <n v="2020"/>
    <d v="2020-01-01T00:00:00"/>
    <n v="60"/>
    <n v="600013705"/>
    <s v="WA"/>
    <n v="81"/>
    <x v="0"/>
    <n v="11500060"/>
    <x v="0"/>
    <n v="280"/>
    <s v="MXN"/>
    <n v="280"/>
    <x v="0"/>
    <m/>
    <m/>
    <m/>
    <m/>
    <m/>
    <m/>
    <m/>
    <m/>
    <s v="16.01.2020"/>
    <m/>
    <n v="20200115"/>
    <n v="280"/>
    <m/>
    <m/>
    <m/>
    <m/>
    <m/>
    <m/>
    <m/>
    <m/>
    <m/>
    <m/>
    <n v="340612890"/>
    <s v="JGARCIA"/>
  </r>
  <r>
    <n v="3406"/>
    <s v="15.01.2020"/>
    <n v="2020"/>
    <d v="2020-01-01T00:00:00"/>
    <n v="32"/>
    <n v="600013709"/>
    <s v="WA"/>
    <n v="81"/>
    <x v="0"/>
    <n v="11500050"/>
    <x v="0"/>
    <n v="8170"/>
    <s v="MXN"/>
    <n v="8170"/>
    <x v="0"/>
    <m/>
    <m/>
    <m/>
    <m/>
    <m/>
    <m/>
    <m/>
    <m/>
    <s v="16.01.2020"/>
    <m/>
    <n v="20200115"/>
    <n v="8170"/>
    <m/>
    <m/>
    <m/>
    <m/>
    <m/>
    <m/>
    <m/>
    <m/>
    <m/>
    <m/>
    <n v="340617690"/>
    <s v="JGARCIA"/>
  </r>
  <r>
    <n v="3406"/>
    <s v="15.01.2020"/>
    <n v="2020"/>
    <d v="2020-01-01T00:00:00"/>
    <n v="24"/>
    <n v="600013713"/>
    <s v="WA"/>
    <n v="81"/>
    <x v="0"/>
    <n v="11500060"/>
    <x v="0"/>
    <n v="731.49"/>
    <s v="MXN"/>
    <n v="731.49"/>
    <x v="0"/>
    <m/>
    <m/>
    <m/>
    <m/>
    <m/>
    <m/>
    <m/>
    <m/>
    <s v="16.01.2020"/>
    <m/>
    <n v="20200115"/>
    <n v="731.49"/>
    <m/>
    <m/>
    <m/>
    <m/>
    <m/>
    <m/>
    <m/>
    <m/>
    <m/>
    <m/>
    <n v="340612590"/>
    <s v="JGARCIA"/>
  </r>
  <r>
    <n v="3406"/>
    <s v="15.01.2020"/>
    <n v="2020"/>
    <d v="2020-01-01T00:00:00"/>
    <n v="30"/>
    <n v="600013713"/>
    <s v="WA"/>
    <n v="81"/>
    <x v="0"/>
    <n v="11500060"/>
    <x v="0"/>
    <n v="546.66999999999996"/>
    <s v="MXN"/>
    <n v="546.66999999999996"/>
    <x v="0"/>
    <m/>
    <m/>
    <m/>
    <m/>
    <m/>
    <m/>
    <m/>
    <m/>
    <s v="16.01.2020"/>
    <m/>
    <n v="20200115"/>
    <n v="546.66999999999996"/>
    <m/>
    <m/>
    <m/>
    <m/>
    <m/>
    <m/>
    <m/>
    <m/>
    <m/>
    <m/>
    <n v="340612590"/>
    <s v="JGARCIA"/>
  </r>
  <r>
    <n v="3406"/>
    <s v="15.01.2020"/>
    <n v="2020"/>
    <d v="2020-01-01T00:00:00"/>
    <n v="2"/>
    <n v="600013714"/>
    <s v="WA"/>
    <n v="81"/>
    <x v="0"/>
    <n v="11500060"/>
    <x v="0"/>
    <n v="3280.02"/>
    <s v="MXN"/>
    <n v="3280.02"/>
    <x v="0"/>
    <m/>
    <m/>
    <m/>
    <m/>
    <m/>
    <m/>
    <m/>
    <m/>
    <s v="16.01.2020"/>
    <m/>
    <n v="20200115"/>
    <n v="3280.02"/>
    <m/>
    <m/>
    <m/>
    <m/>
    <m/>
    <m/>
    <m/>
    <m/>
    <m/>
    <m/>
    <n v="340610590"/>
    <s v="JGARCIA"/>
  </r>
  <r>
    <n v="3406"/>
    <s v="15.01.2020"/>
    <n v="2020"/>
    <d v="2020-01-01T00:00:00"/>
    <n v="4"/>
    <n v="600013714"/>
    <s v="WA"/>
    <n v="81"/>
    <x v="0"/>
    <n v="11500060"/>
    <x v="0"/>
    <n v="1356.66"/>
    <s v="MXN"/>
    <n v="1356.66"/>
    <x v="0"/>
    <m/>
    <m/>
    <m/>
    <m/>
    <m/>
    <m/>
    <m/>
    <m/>
    <s v="16.01.2020"/>
    <m/>
    <n v="20200115"/>
    <n v="1356.66"/>
    <m/>
    <m/>
    <m/>
    <m/>
    <m/>
    <m/>
    <m/>
    <m/>
    <m/>
    <m/>
    <n v="340610590"/>
    <s v="JGARCIA"/>
  </r>
  <r>
    <n v="3406"/>
    <s v="15.01.2020"/>
    <n v="2020"/>
    <d v="2020-01-01T00:00:00"/>
    <n v="6"/>
    <n v="600013714"/>
    <s v="WA"/>
    <n v="81"/>
    <x v="0"/>
    <n v="11500060"/>
    <x v="0"/>
    <n v="1260"/>
    <s v="MXN"/>
    <n v="1260"/>
    <x v="0"/>
    <m/>
    <m/>
    <m/>
    <m/>
    <m/>
    <m/>
    <m/>
    <m/>
    <s v="16.01.2020"/>
    <m/>
    <n v="20200115"/>
    <n v="1260"/>
    <m/>
    <m/>
    <m/>
    <m/>
    <m/>
    <m/>
    <m/>
    <m/>
    <m/>
    <m/>
    <n v="340610590"/>
    <s v="JGARCIA"/>
  </r>
  <r>
    <n v="3406"/>
    <s v="15.01.2020"/>
    <n v="2020"/>
    <d v="2020-01-01T00:00:00"/>
    <n v="8"/>
    <n v="600013714"/>
    <s v="WA"/>
    <n v="81"/>
    <x v="0"/>
    <n v="11500060"/>
    <x v="0"/>
    <n v="243.3"/>
    <s v="MXN"/>
    <n v="243.3"/>
    <x v="0"/>
    <m/>
    <m/>
    <m/>
    <m/>
    <m/>
    <m/>
    <m/>
    <m/>
    <s v="16.01.2020"/>
    <m/>
    <n v="20200115"/>
    <n v="243.3"/>
    <m/>
    <m/>
    <m/>
    <m/>
    <m/>
    <m/>
    <m/>
    <m/>
    <m/>
    <m/>
    <n v="340610590"/>
    <s v="JGARCIA"/>
  </r>
  <r>
    <n v="3406"/>
    <s v="15.01.2020"/>
    <n v="2020"/>
    <d v="2020-01-01T00:00:00"/>
    <n v="16"/>
    <n v="600013714"/>
    <s v="WA"/>
    <n v="81"/>
    <x v="0"/>
    <n v="11500060"/>
    <x v="0"/>
    <n v="727.2"/>
    <s v="MXN"/>
    <n v="727.2"/>
    <x v="0"/>
    <m/>
    <m/>
    <m/>
    <m/>
    <m/>
    <m/>
    <m/>
    <m/>
    <s v="16.01.2020"/>
    <m/>
    <n v="20200115"/>
    <n v="727.2"/>
    <m/>
    <m/>
    <m/>
    <m/>
    <m/>
    <m/>
    <m/>
    <m/>
    <m/>
    <m/>
    <n v="340610590"/>
    <s v="JGARCIA"/>
  </r>
  <r>
    <n v="3406"/>
    <s v="15.01.2020"/>
    <n v="2020"/>
    <d v="2020-01-01T00:00:00"/>
    <n v="18"/>
    <n v="600013714"/>
    <s v="WA"/>
    <n v="81"/>
    <x v="0"/>
    <n v="11500060"/>
    <x v="0"/>
    <n v="83"/>
    <s v="MXN"/>
    <n v="83"/>
    <x v="0"/>
    <m/>
    <m/>
    <m/>
    <m/>
    <m/>
    <m/>
    <m/>
    <m/>
    <s v="16.01.2020"/>
    <m/>
    <n v="20200115"/>
    <n v="83"/>
    <m/>
    <m/>
    <m/>
    <m/>
    <m/>
    <m/>
    <m/>
    <m/>
    <m/>
    <m/>
    <n v="340610590"/>
    <s v="JGARCIA"/>
  </r>
  <r>
    <n v="3406"/>
    <s v="15.01.2020"/>
    <n v="2020"/>
    <d v="2020-01-01T00:00:00"/>
    <n v="22"/>
    <n v="600013714"/>
    <s v="WA"/>
    <n v="81"/>
    <x v="0"/>
    <n v="11500060"/>
    <x v="0"/>
    <n v="178.94"/>
    <s v="MXN"/>
    <n v="178.94"/>
    <x v="0"/>
    <m/>
    <m/>
    <m/>
    <m/>
    <m/>
    <m/>
    <m/>
    <m/>
    <s v="16.01.2020"/>
    <m/>
    <n v="20200115"/>
    <n v="178.94"/>
    <m/>
    <m/>
    <m/>
    <m/>
    <m/>
    <m/>
    <m/>
    <m/>
    <m/>
    <m/>
    <n v="340610590"/>
    <s v="JGARCIA"/>
  </r>
  <r>
    <n v="3406"/>
    <s v="15.01.2020"/>
    <n v="2020"/>
    <d v="2020-01-01T00:00:00"/>
    <n v="24"/>
    <n v="600013714"/>
    <s v="WA"/>
    <n v="81"/>
    <x v="0"/>
    <n v="11500060"/>
    <x v="0"/>
    <n v="162.82"/>
    <s v="MXN"/>
    <n v="162.82"/>
    <x v="0"/>
    <m/>
    <m/>
    <m/>
    <m/>
    <m/>
    <m/>
    <m/>
    <m/>
    <s v="16.01.2020"/>
    <m/>
    <n v="20200115"/>
    <n v="162.82"/>
    <m/>
    <m/>
    <m/>
    <m/>
    <m/>
    <m/>
    <m/>
    <m/>
    <m/>
    <m/>
    <n v="340610590"/>
    <s v="JGARCIA"/>
  </r>
  <r>
    <n v="3406"/>
    <s v="15.01.2020"/>
    <n v="2020"/>
    <d v="2020-01-01T00:00:00"/>
    <n v="26"/>
    <n v="600013714"/>
    <s v="WA"/>
    <n v="81"/>
    <x v="0"/>
    <n v="11500060"/>
    <x v="0"/>
    <n v="112"/>
    <s v="MXN"/>
    <n v="112"/>
    <x v="0"/>
    <m/>
    <m/>
    <m/>
    <m/>
    <m/>
    <m/>
    <m/>
    <m/>
    <s v="16.01.2020"/>
    <m/>
    <n v="20200115"/>
    <n v="112"/>
    <m/>
    <m/>
    <m/>
    <m/>
    <m/>
    <m/>
    <m/>
    <m/>
    <m/>
    <m/>
    <n v="340610590"/>
    <s v="JGARCIA"/>
  </r>
  <r>
    <n v="3406"/>
    <s v="15.01.2020"/>
    <n v="2020"/>
    <d v="2020-01-01T00:00:00"/>
    <n v="16"/>
    <n v="600013716"/>
    <s v="WA"/>
    <n v="81"/>
    <x v="0"/>
    <n v="11500030"/>
    <x v="0"/>
    <n v="731.49"/>
    <s v="MXN"/>
    <n v="731.49"/>
    <x v="0"/>
    <m/>
    <m/>
    <m/>
    <m/>
    <m/>
    <m/>
    <m/>
    <m/>
    <s v="16.01.2020"/>
    <m/>
    <n v="20200115"/>
    <n v="731.49"/>
    <m/>
    <m/>
    <m/>
    <m/>
    <m/>
    <m/>
    <m/>
    <m/>
    <m/>
    <m/>
    <n v="340612590"/>
    <s v="JGARCIA"/>
  </r>
  <r>
    <n v="3406"/>
    <s v="15.01.2020"/>
    <n v="2020"/>
    <d v="2020-01-01T00:00:00"/>
    <n v="60"/>
    <n v="600013717"/>
    <s v="WA"/>
    <n v="81"/>
    <x v="0"/>
    <n v="11500060"/>
    <x v="0"/>
    <n v="1356.66"/>
    <s v="MXN"/>
    <n v="1356.66"/>
    <x v="0"/>
    <m/>
    <m/>
    <m/>
    <m/>
    <m/>
    <m/>
    <m/>
    <m/>
    <s v="16.01.2020"/>
    <m/>
    <n v="20200115"/>
    <n v="1356.66"/>
    <m/>
    <m/>
    <m/>
    <m/>
    <m/>
    <m/>
    <m/>
    <m/>
    <m/>
    <m/>
    <n v="340653290"/>
    <s v="JGARCIA"/>
  </r>
  <r>
    <n v="3406"/>
    <s v="15.01.2020"/>
    <n v="2020"/>
    <d v="2020-01-01T00:00:00"/>
    <n v="62"/>
    <n v="600013717"/>
    <s v="WA"/>
    <n v="81"/>
    <x v="0"/>
    <n v="11500060"/>
    <x v="0"/>
    <n v="1093.3399999999999"/>
    <s v="MXN"/>
    <n v="1093.3399999999999"/>
    <x v="0"/>
    <m/>
    <m/>
    <m/>
    <m/>
    <m/>
    <m/>
    <m/>
    <m/>
    <s v="16.01.2020"/>
    <m/>
    <n v="20200115"/>
    <n v="1093.3399999999999"/>
    <m/>
    <m/>
    <m/>
    <m/>
    <m/>
    <m/>
    <m/>
    <m/>
    <m/>
    <m/>
    <n v="340653290"/>
    <s v="JGARCIA"/>
  </r>
  <r>
    <n v="3406"/>
    <s v="15.01.2020"/>
    <n v="2020"/>
    <d v="2020-01-01T00:00:00"/>
    <n v="2"/>
    <n v="600013718"/>
    <s v="WA"/>
    <n v="81"/>
    <x v="0"/>
    <n v="11500030"/>
    <x v="0"/>
    <n v="1093.3399999999999"/>
    <s v="MXN"/>
    <n v="1093.3399999999999"/>
    <x v="0"/>
    <m/>
    <m/>
    <m/>
    <m/>
    <m/>
    <m/>
    <m/>
    <m/>
    <s v="16.01.2020"/>
    <m/>
    <n v="20200115"/>
    <n v="1093.3399999999999"/>
    <m/>
    <m/>
    <m/>
    <m/>
    <m/>
    <m/>
    <m/>
    <m/>
    <m/>
    <m/>
    <n v="340612390"/>
    <s v="JGARCIA"/>
  </r>
  <r>
    <n v="3406"/>
    <s v="15.01.2020"/>
    <n v="2020"/>
    <d v="2020-01-01T00:00:00"/>
    <n v="30"/>
    <n v="600013719"/>
    <s v="WA"/>
    <n v="81"/>
    <x v="0"/>
    <n v="11500060"/>
    <x v="0"/>
    <n v="731.49"/>
    <s v="MXN"/>
    <n v="731.49"/>
    <x v="0"/>
    <m/>
    <m/>
    <m/>
    <m/>
    <m/>
    <m/>
    <m/>
    <m/>
    <s v="16.01.2020"/>
    <m/>
    <n v="20200115"/>
    <n v="731.49"/>
    <m/>
    <m/>
    <m/>
    <m/>
    <m/>
    <m/>
    <m/>
    <m/>
    <m/>
    <m/>
    <n v="340612590"/>
    <s v="JGARCIA"/>
  </r>
  <r>
    <n v="3401"/>
    <s v="15.01.2020"/>
    <n v="2020"/>
    <d v="2020-01-01T00:00:00"/>
    <n v="16"/>
    <n v="100015738"/>
    <s v="WA"/>
    <n v="81"/>
    <x v="0"/>
    <n v="11500040"/>
    <x v="0"/>
    <n v="3719.3"/>
    <s v="MXN"/>
    <n v="3719.3"/>
    <x v="0"/>
    <m/>
    <m/>
    <m/>
    <m/>
    <m/>
    <m/>
    <m/>
    <m/>
    <s v="16.01.2020"/>
    <m/>
    <n v="20200115"/>
    <n v="3719.3"/>
    <m/>
    <m/>
    <m/>
    <m/>
    <m/>
    <m/>
    <m/>
    <m/>
    <m/>
    <m/>
    <n v="340112390"/>
    <s v="VCORTEZ"/>
  </r>
  <r>
    <n v="3401"/>
    <s v="15.01.2020"/>
    <n v="2020"/>
    <d v="2020-01-01T00:00:00"/>
    <n v="84"/>
    <n v="100015738"/>
    <s v="WA"/>
    <n v="81"/>
    <x v="0"/>
    <n v="11500040"/>
    <x v="0"/>
    <n v="321"/>
    <s v="MXN"/>
    <n v="321"/>
    <x v="0"/>
    <m/>
    <m/>
    <m/>
    <m/>
    <m/>
    <m/>
    <m/>
    <m/>
    <s v="16.01.2020"/>
    <m/>
    <n v="20200115"/>
    <n v="321"/>
    <m/>
    <m/>
    <m/>
    <m/>
    <m/>
    <m/>
    <m/>
    <m/>
    <m/>
    <m/>
    <n v="340112390"/>
    <s v="VCORTEZ"/>
  </r>
  <r>
    <n v="3401"/>
    <s v="15.01.2020"/>
    <n v="2020"/>
    <d v="2020-01-01T00:00:00"/>
    <n v="92"/>
    <n v="100015738"/>
    <s v="WA"/>
    <n v="81"/>
    <x v="0"/>
    <n v="11500040"/>
    <x v="0"/>
    <n v="16.100000000000001"/>
    <s v="MXN"/>
    <n v="16.100000000000001"/>
    <x v="0"/>
    <m/>
    <m/>
    <m/>
    <m/>
    <m/>
    <m/>
    <m/>
    <m/>
    <s v="16.01.2020"/>
    <m/>
    <n v="20200115"/>
    <n v="16.100000000000001"/>
    <m/>
    <m/>
    <m/>
    <m/>
    <m/>
    <m/>
    <m/>
    <m/>
    <m/>
    <m/>
    <n v="340112390"/>
    <s v="VCORTEZ"/>
  </r>
  <r>
    <n v="3401"/>
    <s v="15.01.2020"/>
    <n v="2020"/>
    <d v="2020-01-01T00:00:00"/>
    <n v="94"/>
    <n v="100015738"/>
    <s v="WA"/>
    <n v="81"/>
    <x v="0"/>
    <n v="11500040"/>
    <x v="0"/>
    <n v="205.7"/>
    <s v="MXN"/>
    <n v="205.7"/>
    <x v="0"/>
    <m/>
    <m/>
    <m/>
    <m/>
    <m/>
    <m/>
    <m/>
    <m/>
    <s v="16.01.2020"/>
    <m/>
    <n v="20200115"/>
    <n v="205.7"/>
    <m/>
    <m/>
    <m/>
    <m/>
    <m/>
    <m/>
    <m/>
    <m/>
    <m/>
    <m/>
    <n v="340112390"/>
    <s v="VCORTEZ"/>
  </r>
  <r>
    <n v="3401"/>
    <s v="15.01.2020"/>
    <n v="2020"/>
    <d v="2020-01-01T00:00:00"/>
    <n v="96"/>
    <n v="100015738"/>
    <s v="WA"/>
    <n v="81"/>
    <x v="0"/>
    <n v="11500040"/>
    <x v="0"/>
    <n v="102"/>
    <s v="MXN"/>
    <n v="102"/>
    <x v="0"/>
    <m/>
    <m/>
    <m/>
    <m/>
    <m/>
    <m/>
    <m/>
    <m/>
    <s v="16.01.2020"/>
    <m/>
    <n v="20200115"/>
    <n v="102"/>
    <m/>
    <m/>
    <m/>
    <m/>
    <m/>
    <m/>
    <m/>
    <m/>
    <m/>
    <m/>
    <n v="340112390"/>
    <s v="VCORTEZ"/>
  </r>
  <r>
    <n v="3407"/>
    <s v="15.01.2020"/>
    <n v="2020"/>
    <d v="2020-01-01T00:00:00"/>
    <n v="2"/>
    <n v="700016384"/>
    <s v="WA"/>
    <n v="81"/>
    <x v="0"/>
    <n v="11500060"/>
    <x v="0"/>
    <n v="2481"/>
    <s v="MXN"/>
    <n v="2481"/>
    <x v="0"/>
    <m/>
    <m/>
    <m/>
    <m/>
    <m/>
    <m/>
    <m/>
    <m/>
    <s v="16.01.2020"/>
    <m/>
    <n v="20200115"/>
    <n v="2481"/>
    <m/>
    <m/>
    <m/>
    <m/>
    <m/>
    <m/>
    <m/>
    <m/>
    <m/>
    <m/>
    <n v="340712390"/>
    <s v="AUXCOSTOS01"/>
  </r>
  <r>
    <n v="3407"/>
    <s v="15.01.2020"/>
    <n v="2020"/>
    <d v="2020-01-01T00:00:00"/>
    <n v="2"/>
    <n v="700016397"/>
    <s v="WA"/>
    <n v="81"/>
    <x v="0"/>
    <n v="11500060"/>
    <x v="0"/>
    <n v="375.06"/>
    <s v="MXN"/>
    <n v="375.06"/>
    <x v="0"/>
    <m/>
    <m/>
    <m/>
    <m/>
    <m/>
    <m/>
    <m/>
    <m/>
    <s v="16.01.2020"/>
    <m/>
    <n v="20200115"/>
    <n v="375.06"/>
    <m/>
    <m/>
    <m/>
    <m/>
    <m/>
    <m/>
    <m/>
    <m/>
    <m/>
    <m/>
    <n v="340715190"/>
    <s v="AUXCOSTOHRLC"/>
  </r>
  <r>
    <n v="3407"/>
    <s v="15.01.2020"/>
    <n v="2020"/>
    <d v="2020-01-01T00:00:00"/>
    <n v="4"/>
    <n v="700016397"/>
    <s v="WA"/>
    <n v="81"/>
    <x v="0"/>
    <n v="11500060"/>
    <x v="0"/>
    <n v="1659"/>
    <s v="MXN"/>
    <n v="1659"/>
    <x v="0"/>
    <m/>
    <m/>
    <m/>
    <m/>
    <m/>
    <m/>
    <m/>
    <m/>
    <s v="16.01.2020"/>
    <m/>
    <n v="20200115"/>
    <n v="1659"/>
    <m/>
    <m/>
    <m/>
    <m/>
    <m/>
    <m/>
    <m/>
    <m/>
    <m/>
    <m/>
    <n v="340715190"/>
    <s v="AUXCOSTOHRLC"/>
  </r>
  <r>
    <n v="3407"/>
    <s v="15.01.2020"/>
    <n v="2020"/>
    <d v="2020-01-01T00:00:00"/>
    <n v="14"/>
    <n v="700016402"/>
    <s v="WA"/>
    <n v="81"/>
    <x v="0"/>
    <n v="11500050"/>
    <x v="0"/>
    <n v="568"/>
    <s v="MXN"/>
    <n v="568"/>
    <x v="0"/>
    <m/>
    <m/>
    <m/>
    <m/>
    <m/>
    <m/>
    <m/>
    <m/>
    <s v="16.01.2020"/>
    <m/>
    <n v="20200115"/>
    <n v="568"/>
    <m/>
    <m/>
    <m/>
    <m/>
    <m/>
    <m/>
    <m/>
    <m/>
    <m/>
    <m/>
    <n v="340712890"/>
    <s v="JCOSTOSHRLC"/>
  </r>
  <r>
    <n v="3409"/>
    <s v="15.01.2020"/>
    <n v="2020"/>
    <d v="2020-01-01T00:00:00"/>
    <n v="8"/>
    <n v="900005482"/>
    <s v="WA"/>
    <n v="81"/>
    <x v="0"/>
    <n v="11500030"/>
    <x v="0"/>
    <n v="112.06"/>
    <s v="MXN"/>
    <n v="112.06"/>
    <x v="0"/>
    <m/>
    <m/>
    <m/>
    <m/>
    <m/>
    <m/>
    <m/>
    <m/>
    <s v="16.01.2020"/>
    <m/>
    <n v="20200115"/>
    <n v="112.06"/>
    <m/>
    <m/>
    <m/>
    <m/>
    <m/>
    <m/>
    <m/>
    <m/>
    <m/>
    <m/>
    <n v="340925490"/>
    <s v="AUXCOSTONOBU"/>
  </r>
  <r>
    <n v="3407"/>
    <s v="15.01.2020"/>
    <n v="2020"/>
    <d v="2020-01-01T00:00:00"/>
    <n v="2"/>
    <n v="700016433"/>
    <s v="WA"/>
    <n v="81"/>
    <x v="0"/>
    <n v="11500060"/>
    <x v="0"/>
    <n v="28.5"/>
    <s v="MXN"/>
    <n v="28.5"/>
    <x v="0"/>
    <m/>
    <m/>
    <m/>
    <m/>
    <m/>
    <m/>
    <m/>
    <m/>
    <s v="16.01.2020"/>
    <m/>
    <n v="20200115"/>
    <n v="28.5"/>
    <m/>
    <m/>
    <m/>
    <m/>
    <m/>
    <m/>
    <m/>
    <m/>
    <m/>
    <m/>
    <n v="340712690"/>
    <s v="JCOSTOSHRLC"/>
  </r>
  <r>
    <n v="3407"/>
    <s v="15.01.2020"/>
    <n v="2020"/>
    <d v="2020-01-01T00:00:00"/>
    <n v="4"/>
    <n v="700016433"/>
    <s v="WA"/>
    <n v="81"/>
    <x v="0"/>
    <n v="11500060"/>
    <x v="0"/>
    <n v="120"/>
    <s v="MXN"/>
    <n v="120"/>
    <x v="0"/>
    <m/>
    <m/>
    <m/>
    <m/>
    <m/>
    <m/>
    <m/>
    <m/>
    <s v="16.01.2020"/>
    <m/>
    <n v="20200115"/>
    <n v="120"/>
    <m/>
    <m/>
    <m/>
    <m/>
    <m/>
    <m/>
    <m/>
    <m/>
    <m/>
    <m/>
    <n v="340712690"/>
    <s v="JCOSTOSHRLC"/>
  </r>
  <r>
    <n v="3407"/>
    <s v="15.01.2020"/>
    <n v="2020"/>
    <d v="2020-01-01T00:00:00"/>
    <n v="12"/>
    <n v="700016433"/>
    <s v="WA"/>
    <n v="81"/>
    <x v="0"/>
    <n v="11500060"/>
    <x v="0"/>
    <n v="50"/>
    <s v="MXN"/>
    <n v="50"/>
    <x v="0"/>
    <m/>
    <m/>
    <m/>
    <m/>
    <m/>
    <m/>
    <m/>
    <m/>
    <s v="16.01.2020"/>
    <m/>
    <n v="20200115"/>
    <n v="50"/>
    <m/>
    <m/>
    <m/>
    <m/>
    <m/>
    <m/>
    <m/>
    <m/>
    <m/>
    <m/>
    <n v="340712690"/>
    <s v="JCOSTOSHRLC"/>
  </r>
  <r>
    <n v="3407"/>
    <s v="15.01.2020"/>
    <n v="2020"/>
    <d v="2020-01-01T00:00:00"/>
    <n v="12"/>
    <n v="700016434"/>
    <s v="WA"/>
    <n v="81"/>
    <x v="0"/>
    <n v="11500060"/>
    <x v="0"/>
    <n v="450"/>
    <s v="MXN"/>
    <n v="450"/>
    <x v="0"/>
    <m/>
    <m/>
    <m/>
    <m/>
    <m/>
    <m/>
    <m/>
    <m/>
    <s v="16.01.2020"/>
    <m/>
    <n v="20200115"/>
    <n v="450"/>
    <m/>
    <m/>
    <m/>
    <m/>
    <m/>
    <m/>
    <m/>
    <m/>
    <m/>
    <m/>
    <n v="340712590"/>
    <s v="AUXCOSTOHRLC"/>
  </r>
  <r>
    <n v="3407"/>
    <s v="15.01.2020"/>
    <n v="2020"/>
    <d v="2020-01-01T00:00:00"/>
    <n v="14"/>
    <n v="700016434"/>
    <s v="WA"/>
    <n v="81"/>
    <x v="0"/>
    <n v="11500060"/>
    <x v="0"/>
    <n v="360"/>
    <s v="MXN"/>
    <n v="360"/>
    <x v="0"/>
    <m/>
    <m/>
    <m/>
    <m/>
    <m/>
    <m/>
    <m/>
    <m/>
    <s v="16.01.2020"/>
    <m/>
    <n v="20200115"/>
    <n v="360"/>
    <m/>
    <m/>
    <m/>
    <m/>
    <m/>
    <m/>
    <m/>
    <m/>
    <m/>
    <m/>
    <n v="340712590"/>
    <s v="AUXCOSTOHRLC"/>
  </r>
  <r>
    <n v="3407"/>
    <s v="15.01.2020"/>
    <n v="2020"/>
    <d v="2020-01-01T00:00:00"/>
    <n v="2"/>
    <n v="700016435"/>
    <s v="WA"/>
    <n v="81"/>
    <x v="0"/>
    <n v="11500060"/>
    <x v="0"/>
    <n v="2337"/>
    <s v="MXN"/>
    <n v="2337"/>
    <x v="0"/>
    <m/>
    <m/>
    <m/>
    <m/>
    <m/>
    <m/>
    <m/>
    <m/>
    <s v="16.01.2020"/>
    <m/>
    <n v="20200115"/>
    <n v="2337"/>
    <m/>
    <m/>
    <m/>
    <m/>
    <m/>
    <m/>
    <m/>
    <m/>
    <m/>
    <m/>
    <n v="340712590"/>
    <s v="AUXCOSTOHRLC"/>
  </r>
  <r>
    <n v="3407"/>
    <s v="15.01.2020"/>
    <n v="2020"/>
    <d v="2020-01-01T00:00:00"/>
    <n v="8"/>
    <n v="700016439"/>
    <s v="WA"/>
    <n v="81"/>
    <x v="0"/>
    <n v="11500060"/>
    <x v="0"/>
    <n v="200"/>
    <s v="MXN"/>
    <n v="200"/>
    <x v="0"/>
    <m/>
    <m/>
    <m/>
    <m/>
    <m/>
    <m/>
    <m/>
    <m/>
    <s v="16.01.2020"/>
    <m/>
    <n v="20200115"/>
    <n v="200"/>
    <m/>
    <m/>
    <m/>
    <m/>
    <m/>
    <m/>
    <m/>
    <m/>
    <m/>
    <m/>
    <n v="340712490"/>
    <s v="AUXCOSTOHRLC"/>
  </r>
  <r>
    <n v="3409"/>
    <s v="15.01.2020"/>
    <n v="2020"/>
    <d v="2020-01-01T00:00:00"/>
    <n v="10"/>
    <n v="900005484"/>
    <s v="WA"/>
    <n v="81"/>
    <x v="0"/>
    <n v="11500060"/>
    <x v="0"/>
    <n v="1752.16"/>
    <s v="MXN"/>
    <n v="1752.16"/>
    <x v="0"/>
    <m/>
    <m/>
    <m/>
    <m/>
    <m/>
    <m/>
    <m/>
    <m/>
    <s v="16.01.2020"/>
    <m/>
    <n v="20200115"/>
    <n v="1752.16"/>
    <m/>
    <m/>
    <m/>
    <m/>
    <m/>
    <m/>
    <m/>
    <m/>
    <m/>
    <m/>
    <n v="340981790"/>
    <s v="AUXCOSTONOBU"/>
  </r>
  <r>
    <n v="3407"/>
    <s v="15.01.2020"/>
    <n v="2020"/>
    <d v="2020-01-01T00:00:00"/>
    <n v="18"/>
    <n v="700016443"/>
    <s v="WA"/>
    <n v="81"/>
    <x v="0"/>
    <n v="11500060"/>
    <x v="0"/>
    <n v="550"/>
    <s v="MXN"/>
    <n v="550"/>
    <x v="0"/>
    <m/>
    <m/>
    <m/>
    <m/>
    <m/>
    <m/>
    <m/>
    <m/>
    <s v="16.01.2020"/>
    <m/>
    <n v="20200115"/>
    <n v="550"/>
    <m/>
    <m/>
    <m/>
    <m/>
    <m/>
    <m/>
    <m/>
    <m/>
    <m/>
    <m/>
    <n v="340712590"/>
    <s v="AUXCOSTOHRLC"/>
  </r>
  <r>
    <n v="3407"/>
    <s v="15.01.2020"/>
    <n v="2020"/>
    <d v="2020-01-01T00:00:00"/>
    <n v="20"/>
    <n v="700016443"/>
    <s v="WA"/>
    <n v="81"/>
    <x v="0"/>
    <n v="11500060"/>
    <x v="0"/>
    <n v="95"/>
    <s v="MXN"/>
    <n v="95"/>
    <x v="0"/>
    <m/>
    <m/>
    <m/>
    <m/>
    <m/>
    <m/>
    <m/>
    <m/>
    <s v="16.01.2020"/>
    <m/>
    <n v="20200115"/>
    <n v="95"/>
    <m/>
    <m/>
    <m/>
    <m/>
    <m/>
    <m/>
    <m/>
    <m/>
    <m/>
    <m/>
    <n v="340712590"/>
    <s v="AUXCOSTOHRLC"/>
  </r>
  <r>
    <n v="3407"/>
    <s v="15.01.2020"/>
    <n v="2020"/>
    <d v="2020-01-01T00:00:00"/>
    <n v="22"/>
    <n v="700016443"/>
    <s v="WA"/>
    <n v="81"/>
    <x v="0"/>
    <n v="11500060"/>
    <x v="0"/>
    <n v="203.1"/>
    <s v="MXN"/>
    <n v="203.1"/>
    <x v="0"/>
    <m/>
    <m/>
    <m/>
    <m/>
    <m/>
    <m/>
    <m/>
    <m/>
    <s v="16.01.2020"/>
    <m/>
    <n v="20200115"/>
    <n v="203.1"/>
    <m/>
    <m/>
    <m/>
    <m/>
    <m/>
    <m/>
    <m/>
    <m/>
    <m/>
    <m/>
    <n v="340712590"/>
    <s v="AUXCOSTOHRLC"/>
  </r>
  <r>
    <n v="3407"/>
    <s v="15.01.2020"/>
    <n v="2020"/>
    <d v="2020-01-01T00:00:00"/>
    <n v="24"/>
    <n v="700016443"/>
    <s v="WA"/>
    <n v="81"/>
    <x v="0"/>
    <n v="11500060"/>
    <x v="0"/>
    <n v="408"/>
    <s v="MXN"/>
    <n v="408"/>
    <x v="0"/>
    <m/>
    <m/>
    <m/>
    <m/>
    <m/>
    <m/>
    <m/>
    <m/>
    <s v="16.01.2020"/>
    <m/>
    <n v="20200115"/>
    <n v="408"/>
    <m/>
    <m/>
    <m/>
    <m/>
    <m/>
    <m/>
    <m/>
    <m/>
    <m/>
    <m/>
    <n v="340712590"/>
    <s v="AUXCOSTOHRLC"/>
  </r>
  <r>
    <n v="3407"/>
    <s v="15.01.2020"/>
    <n v="2020"/>
    <d v="2020-01-01T00:00:00"/>
    <n v="26"/>
    <n v="700016443"/>
    <s v="WA"/>
    <n v="81"/>
    <x v="0"/>
    <n v="11500060"/>
    <x v="0"/>
    <n v="480"/>
    <s v="MXN"/>
    <n v="480"/>
    <x v="0"/>
    <m/>
    <m/>
    <m/>
    <m/>
    <m/>
    <m/>
    <m/>
    <m/>
    <s v="16.01.2020"/>
    <m/>
    <n v="20200115"/>
    <n v="480"/>
    <m/>
    <m/>
    <m/>
    <m/>
    <m/>
    <m/>
    <m/>
    <m/>
    <m/>
    <m/>
    <n v="340712590"/>
    <s v="AUXCOSTOHRLC"/>
  </r>
  <r>
    <n v="3409"/>
    <s v="15.01.2020"/>
    <n v="2020"/>
    <d v="2020-01-01T00:00:00"/>
    <n v="10"/>
    <n v="900005487"/>
    <s v="WA"/>
    <n v="81"/>
    <x v="0"/>
    <n v="11500060"/>
    <x v="0"/>
    <n v="730.04"/>
    <s v="MXN"/>
    <n v="730.04"/>
    <x v="0"/>
    <m/>
    <m/>
    <m/>
    <m/>
    <m/>
    <m/>
    <m/>
    <m/>
    <s v="16.01.2020"/>
    <m/>
    <n v="20200115"/>
    <n v="730.04"/>
    <m/>
    <m/>
    <m/>
    <m/>
    <m/>
    <m/>
    <m/>
    <m/>
    <m/>
    <m/>
    <n v="340913090"/>
    <s v="AUXCOSTONOBU"/>
  </r>
  <r>
    <n v="3409"/>
    <s v="15.01.2020"/>
    <n v="2020"/>
    <d v="2020-01-01T00:00:00"/>
    <n v="4"/>
    <n v="900005489"/>
    <s v="WA"/>
    <n v="81"/>
    <x v="0"/>
    <n v="11500060"/>
    <x v="0"/>
    <n v="5397"/>
    <s v="MXN"/>
    <n v="5397"/>
    <x v="0"/>
    <m/>
    <m/>
    <m/>
    <m/>
    <m/>
    <m/>
    <m/>
    <m/>
    <s v="16.01.2020"/>
    <m/>
    <n v="20200115"/>
    <n v="5397"/>
    <m/>
    <m/>
    <m/>
    <m/>
    <m/>
    <m/>
    <m/>
    <m/>
    <m/>
    <m/>
    <n v="340912890"/>
    <s v="JMADRID"/>
  </r>
  <r>
    <n v="3409"/>
    <s v="15.01.2020"/>
    <n v="2020"/>
    <d v="2020-01-01T00:00:00"/>
    <n v="16"/>
    <n v="900005489"/>
    <s v="WA"/>
    <n v="81"/>
    <x v="0"/>
    <n v="11500060"/>
    <x v="0"/>
    <n v="770.16"/>
    <s v="MXN"/>
    <n v="770.16"/>
    <x v="0"/>
    <m/>
    <m/>
    <m/>
    <m/>
    <m/>
    <m/>
    <m/>
    <m/>
    <s v="16.01.2020"/>
    <m/>
    <n v="20200115"/>
    <n v="770.16"/>
    <m/>
    <m/>
    <m/>
    <m/>
    <m/>
    <m/>
    <m/>
    <m/>
    <m/>
    <m/>
    <n v="340912890"/>
    <s v="JMADRID"/>
  </r>
  <r>
    <n v="3409"/>
    <s v="15.01.2020"/>
    <n v="2020"/>
    <d v="2020-01-01T00:00:00"/>
    <n v="18"/>
    <n v="900005489"/>
    <s v="WA"/>
    <n v="81"/>
    <x v="0"/>
    <n v="11500060"/>
    <x v="0"/>
    <n v="945"/>
    <s v="MXN"/>
    <n v="945"/>
    <x v="0"/>
    <m/>
    <m/>
    <m/>
    <m/>
    <m/>
    <m/>
    <m/>
    <m/>
    <s v="16.01.2020"/>
    <m/>
    <n v="20200115"/>
    <n v="945"/>
    <m/>
    <m/>
    <m/>
    <m/>
    <m/>
    <m/>
    <m/>
    <m/>
    <m/>
    <m/>
    <n v="340912890"/>
    <s v="JMADRID"/>
  </r>
  <r>
    <n v="3409"/>
    <s v="15.01.2020"/>
    <n v="2020"/>
    <d v="2020-01-01T00:00:00"/>
    <n v="20"/>
    <n v="900005489"/>
    <s v="WA"/>
    <n v="81"/>
    <x v="0"/>
    <n v="11500060"/>
    <x v="0"/>
    <n v="1054.46"/>
    <s v="MXN"/>
    <n v="1054.46"/>
    <x v="0"/>
    <m/>
    <m/>
    <m/>
    <m/>
    <m/>
    <m/>
    <m/>
    <m/>
    <s v="16.01.2020"/>
    <m/>
    <n v="20200115"/>
    <n v="1054.46"/>
    <m/>
    <m/>
    <m/>
    <m/>
    <m/>
    <m/>
    <m/>
    <m/>
    <m/>
    <m/>
    <n v="340912890"/>
    <s v="JMADRID"/>
  </r>
  <r>
    <n v="3409"/>
    <s v="15.01.2020"/>
    <n v="2020"/>
    <d v="2020-01-01T00:00:00"/>
    <n v="22"/>
    <n v="900005489"/>
    <s v="WA"/>
    <n v="81"/>
    <x v="0"/>
    <n v="11500060"/>
    <x v="0"/>
    <n v="2059.38"/>
    <s v="MXN"/>
    <n v="2059.38"/>
    <x v="0"/>
    <m/>
    <m/>
    <m/>
    <m/>
    <m/>
    <m/>
    <m/>
    <m/>
    <s v="16.01.2020"/>
    <m/>
    <n v="20200115"/>
    <n v="2059.38"/>
    <m/>
    <m/>
    <m/>
    <m/>
    <m/>
    <m/>
    <m/>
    <m/>
    <m/>
    <m/>
    <n v="340912890"/>
    <s v="JMADRID"/>
  </r>
  <r>
    <n v="3409"/>
    <s v="15.01.2020"/>
    <n v="2020"/>
    <d v="2020-01-01T00:00:00"/>
    <n v="24"/>
    <n v="900005489"/>
    <s v="WA"/>
    <n v="81"/>
    <x v="0"/>
    <n v="11500060"/>
    <x v="0"/>
    <n v="420"/>
    <s v="MXN"/>
    <n v="420"/>
    <x v="0"/>
    <m/>
    <m/>
    <m/>
    <m/>
    <m/>
    <m/>
    <m/>
    <m/>
    <s v="16.01.2020"/>
    <m/>
    <n v="20200115"/>
    <n v="420"/>
    <m/>
    <m/>
    <m/>
    <m/>
    <m/>
    <m/>
    <m/>
    <m/>
    <m/>
    <m/>
    <n v="340912890"/>
    <s v="JMADRID"/>
  </r>
  <r>
    <n v="3409"/>
    <s v="15.01.2020"/>
    <n v="2020"/>
    <d v="2020-01-01T00:00:00"/>
    <n v="28"/>
    <n v="900005489"/>
    <s v="WA"/>
    <n v="81"/>
    <x v="0"/>
    <n v="11500060"/>
    <x v="0"/>
    <n v="400.29"/>
    <s v="MXN"/>
    <n v="400.29"/>
    <x v="0"/>
    <m/>
    <m/>
    <m/>
    <m/>
    <m/>
    <m/>
    <m/>
    <m/>
    <s v="16.01.2020"/>
    <m/>
    <n v="20200115"/>
    <n v="400.29"/>
    <m/>
    <m/>
    <m/>
    <m/>
    <m/>
    <m/>
    <m/>
    <m/>
    <m/>
    <m/>
    <n v="340912890"/>
    <s v="JMADRID"/>
  </r>
  <r>
    <n v="3409"/>
    <s v="15.01.2020"/>
    <n v="2020"/>
    <d v="2020-01-01T00:00:00"/>
    <n v="30"/>
    <n v="900005489"/>
    <s v="WA"/>
    <n v="81"/>
    <x v="0"/>
    <n v="11500060"/>
    <x v="0"/>
    <n v="317.33"/>
    <s v="MXN"/>
    <n v="317.33"/>
    <x v="0"/>
    <m/>
    <m/>
    <m/>
    <m/>
    <m/>
    <m/>
    <m/>
    <m/>
    <s v="16.01.2020"/>
    <m/>
    <n v="20200115"/>
    <n v="317.33"/>
    <m/>
    <m/>
    <m/>
    <m/>
    <m/>
    <m/>
    <m/>
    <m/>
    <m/>
    <m/>
    <n v="340912890"/>
    <s v="JMADRID"/>
  </r>
  <r>
    <n v="3409"/>
    <s v="15.01.2020"/>
    <n v="2020"/>
    <d v="2020-01-01T00:00:00"/>
    <n v="32"/>
    <n v="900005489"/>
    <s v="WA"/>
    <n v="81"/>
    <x v="0"/>
    <n v="11500060"/>
    <x v="0"/>
    <n v="154.30000000000001"/>
    <s v="MXN"/>
    <n v="154.30000000000001"/>
    <x v="0"/>
    <m/>
    <m/>
    <m/>
    <m/>
    <m/>
    <m/>
    <m/>
    <m/>
    <s v="16.01.2020"/>
    <m/>
    <n v="20200115"/>
    <n v="154.30000000000001"/>
    <m/>
    <m/>
    <m/>
    <m/>
    <m/>
    <m/>
    <m/>
    <m/>
    <m/>
    <m/>
    <n v="340912890"/>
    <s v="JMADRID"/>
  </r>
  <r>
    <n v="3409"/>
    <s v="15.01.2020"/>
    <n v="2020"/>
    <d v="2020-01-01T00:00:00"/>
    <n v="34"/>
    <n v="900005489"/>
    <s v="WA"/>
    <n v="81"/>
    <x v="0"/>
    <n v="11500060"/>
    <x v="0"/>
    <n v="524"/>
    <s v="MXN"/>
    <n v="524"/>
    <x v="0"/>
    <m/>
    <m/>
    <m/>
    <m/>
    <m/>
    <m/>
    <m/>
    <m/>
    <s v="16.01.2020"/>
    <m/>
    <n v="20200115"/>
    <n v="524"/>
    <m/>
    <m/>
    <m/>
    <m/>
    <m/>
    <m/>
    <m/>
    <m/>
    <m/>
    <m/>
    <n v="340912890"/>
    <s v="JMADRID"/>
  </r>
  <r>
    <n v="3409"/>
    <s v="15.01.2020"/>
    <n v="2020"/>
    <d v="2020-01-01T00:00:00"/>
    <n v="36"/>
    <n v="900005489"/>
    <s v="WA"/>
    <n v="81"/>
    <x v="0"/>
    <n v="11500060"/>
    <x v="0"/>
    <n v="89.71"/>
    <s v="MXN"/>
    <n v="89.71"/>
    <x v="0"/>
    <m/>
    <m/>
    <m/>
    <m/>
    <m/>
    <m/>
    <m/>
    <m/>
    <s v="16.01.2020"/>
    <m/>
    <n v="20200115"/>
    <n v="89.71"/>
    <m/>
    <m/>
    <m/>
    <m/>
    <m/>
    <m/>
    <m/>
    <m/>
    <m/>
    <m/>
    <n v="340912890"/>
    <s v="JMADRID"/>
  </r>
  <r>
    <n v="3409"/>
    <s v="15.01.2020"/>
    <n v="2020"/>
    <d v="2020-01-01T00:00:00"/>
    <n v="38"/>
    <n v="900005489"/>
    <s v="WA"/>
    <n v="81"/>
    <x v="0"/>
    <n v="11500060"/>
    <x v="0"/>
    <n v="404.76"/>
    <s v="MXN"/>
    <n v="404.76"/>
    <x v="0"/>
    <m/>
    <m/>
    <m/>
    <m/>
    <m/>
    <m/>
    <m/>
    <m/>
    <s v="16.01.2020"/>
    <m/>
    <n v="20200115"/>
    <n v="404.76"/>
    <m/>
    <m/>
    <m/>
    <m/>
    <m/>
    <m/>
    <m/>
    <m/>
    <m/>
    <m/>
    <n v="340912890"/>
    <s v="JMADRID"/>
  </r>
  <r>
    <n v="3409"/>
    <s v="15.01.2020"/>
    <n v="2020"/>
    <d v="2020-01-01T00:00:00"/>
    <n v="42"/>
    <n v="900005489"/>
    <s v="WA"/>
    <n v="81"/>
    <x v="0"/>
    <n v="11500060"/>
    <x v="0"/>
    <n v="1573.23"/>
    <s v="MXN"/>
    <n v="1573.23"/>
    <x v="0"/>
    <m/>
    <m/>
    <m/>
    <m/>
    <m/>
    <m/>
    <m/>
    <m/>
    <s v="16.01.2020"/>
    <m/>
    <n v="20200115"/>
    <n v="1573.23"/>
    <m/>
    <m/>
    <m/>
    <m/>
    <m/>
    <m/>
    <m/>
    <m/>
    <m/>
    <m/>
    <n v="340912890"/>
    <s v="JMADRID"/>
  </r>
  <r>
    <n v="3409"/>
    <s v="15.01.2020"/>
    <n v="2020"/>
    <d v="2020-01-01T00:00:00"/>
    <n v="44"/>
    <n v="900005489"/>
    <s v="WA"/>
    <n v="81"/>
    <x v="0"/>
    <n v="11500060"/>
    <x v="0"/>
    <n v="593.67999999999995"/>
    <s v="MXN"/>
    <n v="593.67999999999995"/>
    <x v="0"/>
    <m/>
    <m/>
    <m/>
    <m/>
    <m/>
    <m/>
    <m/>
    <m/>
    <s v="16.01.2020"/>
    <m/>
    <n v="20200115"/>
    <n v="593.67999999999995"/>
    <m/>
    <m/>
    <m/>
    <m/>
    <m/>
    <m/>
    <m/>
    <m/>
    <m/>
    <m/>
    <n v="340912890"/>
    <s v="JMADRID"/>
  </r>
  <r>
    <n v="3409"/>
    <s v="15.01.2020"/>
    <n v="2020"/>
    <d v="2020-01-01T00:00:00"/>
    <n v="46"/>
    <n v="900005489"/>
    <s v="WA"/>
    <n v="81"/>
    <x v="0"/>
    <n v="11500060"/>
    <x v="0"/>
    <n v="439.71"/>
    <s v="MXN"/>
    <n v="439.71"/>
    <x v="0"/>
    <m/>
    <m/>
    <m/>
    <m/>
    <m/>
    <m/>
    <m/>
    <m/>
    <s v="16.01.2020"/>
    <m/>
    <n v="20200115"/>
    <n v="439.71"/>
    <m/>
    <m/>
    <m/>
    <m/>
    <m/>
    <m/>
    <m/>
    <m/>
    <m/>
    <m/>
    <n v="340912890"/>
    <s v="JMADRID"/>
  </r>
  <r>
    <n v="3409"/>
    <s v="15.01.2020"/>
    <n v="2020"/>
    <d v="2020-01-01T00:00:00"/>
    <n v="48"/>
    <n v="900005489"/>
    <s v="WA"/>
    <n v="81"/>
    <x v="0"/>
    <n v="11500060"/>
    <x v="0"/>
    <n v="928.56"/>
    <s v="MXN"/>
    <n v="928.56"/>
    <x v="0"/>
    <m/>
    <m/>
    <m/>
    <m/>
    <m/>
    <m/>
    <m/>
    <m/>
    <s v="16.01.2020"/>
    <m/>
    <n v="20200115"/>
    <n v="928.56"/>
    <m/>
    <m/>
    <m/>
    <m/>
    <m/>
    <m/>
    <m/>
    <m/>
    <m/>
    <m/>
    <n v="340912890"/>
    <s v="JMADRID"/>
  </r>
  <r>
    <n v="3409"/>
    <s v="15.01.2020"/>
    <n v="2020"/>
    <d v="2020-01-01T00:00:00"/>
    <n v="50"/>
    <n v="900005489"/>
    <s v="WA"/>
    <n v="81"/>
    <x v="0"/>
    <n v="11500060"/>
    <x v="0"/>
    <n v="1411.31"/>
    <s v="MXN"/>
    <n v="1411.31"/>
    <x v="0"/>
    <m/>
    <m/>
    <m/>
    <m/>
    <m/>
    <m/>
    <m/>
    <m/>
    <s v="16.01.2020"/>
    <m/>
    <n v="20200115"/>
    <n v="1411.31"/>
    <m/>
    <m/>
    <m/>
    <m/>
    <m/>
    <m/>
    <m/>
    <m/>
    <m/>
    <m/>
    <n v="340912890"/>
    <s v="JMADRID"/>
  </r>
  <r>
    <n v="3409"/>
    <s v="15.01.2020"/>
    <n v="2020"/>
    <d v="2020-01-01T00:00:00"/>
    <n v="52"/>
    <n v="900005489"/>
    <s v="WA"/>
    <n v="81"/>
    <x v="0"/>
    <n v="11500060"/>
    <x v="0"/>
    <n v="762.91"/>
    <s v="MXN"/>
    <n v="762.91"/>
    <x v="0"/>
    <m/>
    <m/>
    <m/>
    <m/>
    <m/>
    <m/>
    <m/>
    <m/>
    <s v="16.01.2020"/>
    <m/>
    <n v="20200115"/>
    <n v="762.91"/>
    <m/>
    <m/>
    <m/>
    <m/>
    <m/>
    <m/>
    <m/>
    <m/>
    <m/>
    <m/>
    <n v="340912890"/>
    <s v="JMADRID"/>
  </r>
  <r>
    <n v="3409"/>
    <s v="15.01.2020"/>
    <n v="2020"/>
    <d v="2020-01-01T00:00:00"/>
    <n v="54"/>
    <n v="900005489"/>
    <s v="WA"/>
    <n v="81"/>
    <x v="0"/>
    <n v="11500060"/>
    <x v="0"/>
    <n v="4096.9799999999996"/>
    <s v="MXN"/>
    <n v="4096.9799999999996"/>
    <x v="0"/>
    <m/>
    <m/>
    <m/>
    <m/>
    <m/>
    <m/>
    <m/>
    <m/>
    <s v="16.01.2020"/>
    <m/>
    <n v="20200115"/>
    <n v="4096.9799999999996"/>
    <m/>
    <m/>
    <m/>
    <m/>
    <m/>
    <m/>
    <m/>
    <m/>
    <m/>
    <m/>
    <n v="340912890"/>
    <s v="JMADRID"/>
  </r>
  <r>
    <n v="3409"/>
    <s v="15.01.2020"/>
    <n v="2020"/>
    <d v="2020-01-01T00:00:00"/>
    <n v="56"/>
    <n v="900005489"/>
    <s v="WA"/>
    <n v="81"/>
    <x v="0"/>
    <n v="11500060"/>
    <x v="0"/>
    <n v="336"/>
    <s v="MXN"/>
    <n v="336"/>
    <x v="0"/>
    <m/>
    <m/>
    <m/>
    <m/>
    <m/>
    <m/>
    <m/>
    <m/>
    <s v="16.01.2020"/>
    <m/>
    <n v="20200115"/>
    <n v="336"/>
    <m/>
    <m/>
    <m/>
    <m/>
    <m/>
    <m/>
    <m/>
    <m/>
    <m/>
    <m/>
    <n v="340912890"/>
    <s v="JMADRID"/>
  </r>
  <r>
    <n v="3409"/>
    <s v="15.01.2020"/>
    <n v="2020"/>
    <d v="2020-01-01T00:00:00"/>
    <n v="58"/>
    <n v="900005489"/>
    <s v="WA"/>
    <n v="81"/>
    <x v="0"/>
    <n v="11500060"/>
    <x v="0"/>
    <n v="1860.59"/>
    <s v="MXN"/>
    <n v="1860.59"/>
    <x v="0"/>
    <m/>
    <m/>
    <m/>
    <m/>
    <m/>
    <m/>
    <m/>
    <m/>
    <s v="16.01.2020"/>
    <m/>
    <n v="20200115"/>
    <n v="1860.59"/>
    <m/>
    <m/>
    <m/>
    <m/>
    <m/>
    <m/>
    <m/>
    <m/>
    <m/>
    <m/>
    <n v="340912890"/>
    <s v="JMADRID"/>
  </r>
  <r>
    <n v="3409"/>
    <s v="15.01.2020"/>
    <n v="2020"/>
    <d v="2020-01-01T00:00:00"/>
    <n v="62"/>
    <n v="900005489"/>
    <s v="WA"/>
    <n v="81"/>
    <x v="0"/>
    <n v="11500060"/>
    <x v="0"/>
    <n v="1852.14"/>
    <s v="MXN"/>
    <n v="1852.14"/>
    <x v="0"/>
    <m/>
    <m/>
    <m/>
    <m/>
    <m/>
    <m/>
    <m/>
    <m/>
    <s v="16.01.2020"/>
    <m/>
    <n v="20200115"/>
    <n v="1852.14"/>
    <m/>
    <m/>
    <m/>
    <m/>
    <m/>
    <m/>
    <m/>
    <m/>
    <m/>
    <m/>
    <n v="340912890"/>
    <s v="JMADRID"/>
  </r>
  <r>
    <n v="3409"/>
    <s v="15.01.2020"/>
    <n v="2020"/>
    <d v="2020-01-01T00:00:00"/>
    <n v="64"/>
    <n v="900005489"/>
    <s v="WA"/>
    <n v="81"/>
    <x v="0"/>
    <n v="11500060"/>
    <x v="0"/>
    <n v="196.64"/>
    <s v="MXN"/>
    <n v="196.64"/>
    <x v="0"/>
    <m/>
    <m/>
    <m/>
    <m/>
    <m/>
    <m/>
    <m/>
    <m/>
    <s v="16.01.2020"/>
    <m/>
    <n v="20200115"/>
    <n v="196.64"/>
    <m/>
    <m/>
    <m/>
    <m/>
    <m/>
    <m/>
    <m/>
    <m/>
    <m/>
    <m/>
    <n v="340912890"/>
    <s v="JMADRID"/>
  </r>
  <r>
    <n v="3409"/>
    <s v="15.01.2020"/>
    <n v="2020"/>
    <d v="2020-01-01T00:00:00"/>
    <n v="66"/>
    <n v="900005489"/>
    <s v="WA"/>
    <n v="81"/>
    <x v="0"/>
    <n v="11500060"/>
    <x v="0"/>
    <n v="196.64"/>
    <s v="MXN"/>
    <n v="196.64"/>
    <x v="0"/>
    <m/>
    <m/>
    <m/>
    <m/>
    <m/>
    <m/>
    <m/>
    <m/>
    <s v="16.01.2020"/>
    <m/>
    <n v="20200115"/>
    <n v="196.64"/>
    <m/>
    <m/>
    <m/>
    <m/>
    <m/>
    <m/>
    <m/>
    <m/>
    <m/>
    <m/>
    <n v="340912890"/>
    <s v="JMADRID"/>
  </r>
  <r>
    <n v="3409"/>
    <s v="15.01.2020"/>
    <n v="2020"/>
    <d v="2020-01-01T00:00:00"/>
    <n v="68"/>
    <n v="900005489"/>
    <s v="WA"/>
    <n v="81"/>
    <x v="0"/>
    <n v="11500060"/>
    <x v="0"/>
    <n v="2317.56"/>
    <s v="MXN"/>
    <n v="2317.56"/>
    <x v="0"/>
    <m/>
    <m/>
    <m/>
    <m/>
    <m/>
    <m/>
    <m/>
    <m/>
    <s v="16.01.2020"/>
    <m/>
    <n v="20200115"/>
    <n v="2317.56"/>
    <m/>
    <m/>
    <m/>
    <m/>
    <m/>
    <m/>
    <m/>
    <m/>
    <m/>
    <m/>
    <n v="340912890"/>
    <s v="JMADRID"/>
  </r>
  <r>
    <n v="3409"/>
    <s v="15.01.2020"/>
    <n v="2020"/>
    <d v="2020-01-01T00:00:00"/>
    <n v="8"/>
    <n v="900005490"/>
    <s v="WA"/>
    <n v="81"/>
    <x v="0"/>
    <n v="11500060"/>
    <x v="0"/>
    <n v="3504.33"/>
    <s v="MXN"/>
    <n v="3504.33"/>
    <x v="0"/>
    <m/>
    <m/>
    <m/>
    <m/>
    <m/>
    <m/>
    <m/>
    <m/>
    <s v="16.01.2020"/>
    <m/>
    <n v="20200115"/>
    <n v="3504.33"/>
    <m/>
    <m/>
    <m/>
    <m/>
    <m/>
    <m/>
    <m/>
    <m/>
    <m/>
    <m/>
    <n v="340980690"/>
    <s v="AUXCOSTONOBU"/>
  </r>
  <r>
    <n v="3409"/>
    <s v="15.01.2020"/>
    <n v="2020"/>
    <d v="2020-01-01T00:00:00"/>
    <n v="2"/>
    <n v="900005491"/>
    <s v="WA"/>
    <n v="81"/>
    <x v="0"/>
    <n v="11500060"/>
    <x v="0"/>
    <n v="1568.02"/>
    <s v="MXN"/>
    <n v="1568.02"/>
    <x v="0"/>
    <m/>
    <m/>
    <m/>
    <m/>
    <m/>
    <m/>
    <m/>
    <m/>
    <s v="16.01.2020"/>
    <m/>
    <n v="20200115"/>
    <n v="1568.02"/>
    <m/>
    <m/>
    <m/>
    <m/>
    <m/>
    <m/>
    <m/>
    <m/>
    <m/>
    <m/>
    <n v="340925290"/>
    <s v="JMADRID"/>
  </r>
  <r>
    <n v="3407"/>
    <s v="15.01.2020"/>
    <n v="2020"/>
    <d v="2020-01-01T00:00:00"/>
    <n v="6"/>
    <n v="700016445"/>
    <s v="WA"/>
    <n v="81"/>
    <x v="0"/>
    <n v="11500060"/>
    <x v="0"/>
    <n v="100"/>
    <s v="MXN"/>
    <n v="100"/>
    <x v="0"/>
    <m/>
    <m/>
    <m/>
    <m/>
    <m/>
    <m/>
    <m/>
    <m/>
    <s v="16.01.2020"/>
    <m/>
    <n v="20200115"/>
    <n v="100"/>
    <m/>
    <m/>
    <m/>
    <m/>
    <m/>
    <m/>
    <m/>
    <m/>
    <m/>
    <m/>
    <n v="340712590"/>
    <s v="AUXCOSTOHRLC"/>
  </r>
  <r>
    <n v="3407"/>
    <s v="15.01.2020"/>
    <n v="2020"/>
    <d v="2020-01-01T00:00:00"/>
    <n v="8"/>
    <n v="700016445"/>
    <s v="WA"/>
    <n v="81"/>
    <x v="0"/>
    <n v="11500060"/>
    <x v="0"/>
    <n v="120"/>
    <s v="MXN"/>
    <n v="120"/>
    <x v="0"/>
    <m/>
    <m/>
    <m/>
    <m/>
    <m/>
    <m/>
    <m/>
    <m/>
    <s v="16.01.2020"/>
    <m/>
    <n v="20200115"/>
    <n v="120"/>
    <m/>
    <m/>
    <m/>
    <m/>
    <m/>
    <m/>
    <m/>
    <m/>
    <m/>
    <m/>
    <n v="340712590"/>
    <s v="AUXCOSTOHRLC"/>
  </r>
  <r>
    <n v="3407"/>
    <s v="15.01.2020"/>
    <n v="2020"/>
    <d v="2020-01-01T00:00:00"/>
    <n v="12"/>
    <n v="700016445"/>
    <s v="WA"/>
    <n v="81"/>
    <x v="0"/>
    <n v="11500060"/>
    <x v="0"/>
    <n v="6232"/>
    <s v="MXN"/>
    <n v="6232"/>
    <x v="0"/>
    <m/>
    <m/>
    <m/>
    <m/>
    <m/>
    <m/>
    <m/>
    <m/>
    <s v="16.01.2020"/>
    <m/>
    <n v="20200115"/>
    <n v="6232"/>
    <m/>
    <m/>
    <m/>
    <m/>
    <m/>
    <m/>
    <m/>
    <m/>
    <m/>
    <m/>
    <n v="340712590"/>
    <s v="AUXCOSTOHRLC"/>
  </r>
  <r>
    <n v="3409"/>
    <s v="15.01.2020"/>
    <n v="2020"/>
    <d v="2020-01-01T00:00:00"/>
    <n v="6"/>
    <n v="900005492"/>
    <s v="WA"/>
    <n v="81"/>
    <x v="0"/>
    <n v="11500060"/>
    <x v="0"/>
    <n v="392"/>
    <s v="MXN"/>
    <n v="392"/>
    <x v="0"/>
    <m/>
    <m/>
    <m/>
    <m/>
    <m/>
    <m/>
    <m/>
    <m/>
    <s v="16.01.2020"/>
    <m/>
    <n v="20200115"/>
    <n v="392"/>
    <m/>
    <m/>
    <m/>
    <m/>
    <m/>
    <m/>
    <m/>
    <m/>
    <m/>
    <m/>
    <n v="340981090"/>
    <s v="AUXCOSTONOBU"/>
  </r>
  <r>
    <n v="3409"/>
    <s v="15.01.2020"/>
    <n v="2020"/>
    <d v="2020-01-01T00:00:00"/>
    <n v="4"/>
    <n v="900005493"/>
    <s v="WA"/>
    <n v="81"/>
    <x v="0"/>
    <n v="11500060"/>
    <x v="0"/>
    <n v="208.27"/>
    <s v="MXN"/>
    <n v="208.27"/>
    <x v="0"/>
    <m/>
    <m/>
    <m/>
    <m/>
    <m/>
    <m/>
    <m/>
    <m/>
    <s v="16.01.2020"/>
    <m/>
    <n v="20200115"/>
    <n v="208.27"/>
    <m/>
    <m/>
    <m/>
    <m/>
    <m/>
    <m/>
    <m/>
    <m/>
    <m/>
    <m/>
    <n v="340917690"/>
    <s v="JMADRID"/>
  </r>
  <r>
    <n v="3407"/>
    <s v="15.01.2020"/>
    <n v="2020"/>
    <d v="2020-01-01T00:00:00"/>
    <n v="6"/>
    <n v="700016446"/>
    <s v="WA"/>
    <n v="81"/>
    <x v="0"/>
    <n v="11500060"/>
    <x v="0"/>
    <n v="100"/>
    <s v="MXN"/>
    <n v="100"/>
    <x v="0"/>
    <m/>
    <m/>
    <m/>
    <m/>
    <m/>
    <m/>
    <m/>
    <m/>
    <s v="16.01.2020"/>
    <m/>
    <n v="20200115"/>
    <n v="100"/>
    <m/>
    <m/>
    <m/>
    <m/>
    <m/>
    <m/>
    <m/>
    <m/>
    <m/>
    <m/>
    <n v="340712590"/>
    <s v="AUXCOSTOHRLC"/>
  </r>
  <r>
    <n v="3409"/>
    <s v="15.01.2020"/>
    <n v="2020"/>
    <d v="2020-01-01T00:00:00"/>
    <n v="4"/>
    <n v="900005495"/>
    <s v="WA"/>
    <n v="81"/>
    <x v="0"/>
    <n v="11500060"/>
    <x v="0"/>
    <n v="321.95"/>
    <s v="MXN"/>
    <n v="321.95"/>
    <x v="0"/>
    <m/>
    <m/>
    <m/>
    <m/>
    <m/>
    <m/>
    <m/>
    <m/>
    <s v="16.01.2020"/>
    <m/>
    <n v="20200115"/>
    <n v="321.95"/>
    <m/>
    <m/>
    <m/>
    <m/>
    <m/>
    <m/>
    <m/>
    <m/>
    <m/>
    <m/>
    <n v="340932290"/>
    <s v="JMADRID"/>
  </r>
  <r>
    <n v="3409"/>
    <s v="15.01.2020"/>
    <n v="2020"/>
    <d v="2020-01-01T00:00:00"/>
    <n v="6"/>
    <n v="900005495"/>
    <s v="WA"/>
    <n v="81"/>
    <x v="0"/>
    <n v="11500060"/>
    <x v="0"/>
    <n v="142.77000000000001"/>
    <s v="MXN"/>
    <n v="142.77000000000001"/>
    <x v="0"/>
    <m/>
    <m/>
    <m/>
    <m/>
    <m/>
    <m/>
    <m/>
    <m/>
    <s v="16.01.2020"/>
    <m/>
    <n v="20200115"/>
    <n v="142.77000000000001"/>
    <m/>
    <m/>
    <m/>
    <m/>
    <m/>
    <m/>
    <m/>
    <m/>
    <m/>
    <m/>
    <n v="340932290"/>
    <s v="JMADRID"/>
  </r>
  <r>
    <n v="3407"/>
    <s v="15.01.2020"/>
    <n v="2020"/>
    <d v="2020-01-01T00:00:00"/>
    <n v="6"/>
    <n v="700016461"/>
    <s v="WA"/>
    <n v="81"/>
    <x v="0"/>
    <n v="11500060"/>
    <x v="0"/>
    <n v="221.39"/>
    <s v="MXN"/>
    <n v="221.39"/>
    <x v="0"/>
    <m/>
    <m/>
    <m/>
    <m/>
    <m/>
    <m/>
    <m/>
    <m/>
    <s v="16.01.2020"/>
    <m/>
    <n v="20200115"/>
    <n v="221.39"/>
    <m/>
    <m/>
    <m/>
    <m/>
    <m/>
    <m/>
    <m/>
    <m/>
    <m/>
    <m/>
    <n v="340712590"/>
    <s v="AUXCOSTOHRLC"/>
  </r>
  <r>
    <n v="3407"/>
    <s v="15.01.2020"/>
    <n v="2020"/>
    <d v="2020-01-01T00:00:00"/>
    <n v="8"/>
    <n v="700016461"/>
    <s v="WA"/>
    <n v="81"/>
    <x v="0"/>
    <n v="11500060"/>
    <x v="0"/>
    <n v="160"/>
    <s v="MXN"/>
    <n v="160"/>
    <x v="0"/>
    <m/>
    <m/>
    <m/>
    <m/>
    <m/>
    <m/>
    <m/>
    <m/>
    <s v="16.01.2020"/>
    <m/>
    <n v="20200115"/>
    <n v="160"/>
    <m/>
    <m/>
    <m/>
    <m/>
    <m/>
    <m/>
    <m/>
    <m/>
    <m/>
    <m/>
    <n v="340712590"/>
    <s v="AUXCOSTOHRLC"/>
  </r>
  <r>
    <n v="3407"/>
    <s v="15.01.2020"/>
    <n v="2020"/>
    <d v="2020-01-01T00:00:00"/>
    <n v="10"/>
    <n v="700016461"/>
    <s v="WA"/>
    <n v="81"/>
    <x v="0"/>
    <n v="11500060"/>
    <x v="0"/>
    <n v="360"/>
    <s v="MXN"/>
    <n v="360"/>
    <x v="0"/>
    <m/>
    <m/>
    <m/>
    <m/>
    <m/>
    <m/>
    <m/>
    <m/>
    <s v="16.01.2020"/>
    <m/>
    <n v="20200115"/>
    <n v="360"/>
    <m/>
    <m/>
    <m/>
    <m/>
    <m/>
    <m/>
    <m/>
    <m/>
    <m/>
    <m/>
    <n v="340712590"/>
    <s v="AUXCOSTOHRLC"/>
  </r>
  <r>
    <n v="3407"/>
    <s v="15.01.2020"/>
    <n v="2020"/>
    <d v="2020-01-01T00:00:00"/>
    <n v="2"/>
    <n v="700016463"/>
    <s v="WA"/>
    <n v="81"/>
    <x v="0"/>
    <n v="11500060"/>
    <x v="0"/>
    <n v="760"/>
    <s v="MXN"/>
    <n v="760"/>
    <x v="0"/>
    <m/>
    <m/>
    <m/>
    <m/>
    <m/>
    <m/>
    <m/>
    <m/>
    <s v="16.01.2020"/>
    <m/>
    <n v="20200115"/>
    <n v="760"/>
    <m/>
    <m/>
    <m/>
    <m/>
    <m/>
    <m/>
    <m/>
    <m/>
    <m/>
    <m/>
    <n v="340710490"/>
    <s v="JCOSTOSHRLC"/>
  </r>
  <r>
    <n v="3407"/>
    <s v="15.01.2020"/>
    <n v="2020"/>
    <d v="2020-01-01T00:00:00"/>
    <n v="4"/>
    <n v="700016463"/>
    <s v="WA"/>
    <n v="81"/>
    <x v="0"/>
    <n v="11500060"/>
    <x v="0"/>
    <n v="270"/>
    <s v="MXN"/>
    <n v="270"/>
    <x v="0"/>
    <m/>
    <m/>
    <m/>
    <m/>
    <m/>
    <m/>
    <m/>
    <m/>
    <s v="16.01.2020"/>
    <m/>
    <n v="20200115"/>
    <n v="270"/>
    <m/>
    <m/>
    <m/>
    <m/>
    <m/>
    <m/>
    <m/>
    <m/>
    <m/>
    <m/>
    <n v="340710490"/>
    <s v="JCOSTOSHRLC"/>
  </r>
  <r>
    <n v="3407"/>
    <s v="15.01.2020"/>
    <n v="2020"/>
    <d v="2020-01-01T00:00:00"/>
    <n v="6"/>
    <n v="700016463"/>
    <s v="WA"/>
    <n v="81"/>
    <x v="0"/>
    <n v="11500060"/>
    <x v="0"/>
    <n v="2530"/>
    <s v="MXN"/>
    <n v="2530"/>
    <x v="0"/>
    <m/>
    <m/>
    <m/>
    <m/>
    <m/>
    <m/>
    <m/>
    <m/>
    <s v="16.01.2020"/>
    <m/>
    <n v="20200115"/>
    <n v="2530"/>
    <m/>
    <m/>
    <m/>
    <m/>
    <m/>
    <m/>
    <m/>
    <m/>
    <m/>
    <m/>
    <n v="340710490"/>
    <s v="JCOSTOSHRLC"/>
  </r>
  <r>
    <n v="3407"/>
    <s v="15.01.2020"/>
    <n v="2020"/>
    <d v="2020-01-01T00:00:00"/>
    <n v="28"/>
    <n v="700016463"/>
    <s v="WA"/>
    <n v="81"/>
    <x v="0"/>
    <n v="11500060"/>
    <x v="0"/>
    <n v="1240.5"/>
    <s v="MXN"/>
    <n v="1240.5"/>
    <x v="0"/>
    <m/>
    <m/>
    <m/>
    <m/>
    <m/>
    <m/>
    <m/>
    <m/>
    <s v="16.01.2020"/>
    <m/>
    <n v="20200115"/>
    <n v="1240.5"/>
    <m/>
    <m/>
    <m/>
    <m/>
    <m/>
    <m/>
    <m/>
    <m/>
    <m/>
    <m/>
    <n v="340710490"/>
    <s v="JCOSTOSHRLC"/>
  </r>
  <r>
    <n v="3407"/>
    <s v="15.01.2020"/>
    <n v="2020"/>
    <d v="2020-01-01T00:00:00"/>
    <n v="30"/>
    <n v="700016463"/>
    <s v="WA"/>
    <n v="81"/>
    <x v="0"/>
    <n v="11500060"/>
    <x v="0"/>
    <n v="649.78"/>
    <s v="MXN"/>
    <n v="649.78"/>
    <x v="0"/>
    <m/>
    <m/>
    <m/>
    <m/>
    <m/>
    <m/>
    <m/>
    <m/>
    <s v="16.01.2020"/>
    <m/>
    <n v="20200115"/>
    <n v="649.78"/>
    <m/>
    <m/>
    <m/>
    <m/>
    <m/>
    <m/>
    <m/>
    <m/>
    <m/>
    <m/>
    <n v="340710490"/>
    <s v="JCOSTOSHRLC"/>
  </r>
  <r>
    <n v="3407"/>
    <s v="15.01.2020"/>
    <n v="2020"/>
    <d v="2020-01-01T00:00:00"/>
    <n v="8"/>
    <n v="700016464"/>
    <s v="WA"/>
    <n v="81"/>
    <x v="0"/>
    <n v="11500060"/>
    <x v="0"/>
    <n v="360"/>
    <s v="MXN"/>
    <n v="360"/>
    <x v="0"/>
    <m/>
    <m/>
    <m/>
    <m/>
    <m/>
    <m/>
    <m/>
    <m/>
    <s v="16.01.2020"/>
    <m/>
    <n v="20200115"/>
    <n v="360"/>
    <m/>
    <m/>
    <m/>
    <m/>
    <m/>
    <m/>
    <m/>
    <m/>
    <m/>
    <m/>
    <n v="340712590"/>
    <s v="AUXCOSTOHRLC"/>
  </r>
  <r>
    <n v="3407"/>
    <s v="15.01.2020"/>
    <n v="2020"/>
    <d v="2020-01-01T00:00:00"/>
    <n v="10"/>
    <n v="700016464"/>
    <s v="WA"/>
    <n v="81"/>
    <x v="0"/>
    <n v="11500060"/>
    <x v="0"/>
    <n v="284.33999999999997"/>
    <s v="MXN"/>
    <n v="284.33999999999997"/>
    <x v="0"/>
    <m/>
    <m/>
    <m/>
    <m/>
    <m/>
    <m/>
    <m/>
    <m/>
    <s v="16.01.2020"/>
    <m/>
    <n v="20200115"/>
    <n v="284.33999999999997"/>
    <m/>
    <m/>
    <m/>
    <m/>
    <m/>
    <m/>
    <m/>
    <m/>
    <m/>
    <m/>
    <n v="340712590"/>
    <s v="AUXCOSTOHRLC"/>
  </r>
  <r>
    <n v="3407"/>
    <s v="15.01.2020"/>
    <n v="2020"/>
    <d v="2020-01-01T00:00:00"/>
    <n v="12"/>
    <n v="700016464"/>
    <s v="WA"/>
    <n v="81"/>
    <x v="0"/>
    <n v="11500060"/>
    <x v="0"/>
    <n v="66.5"/>
    <s v="MXN"/>
    <n v="66.5"/>
    <x v="0"/>
    <m/>
    <m/>
    <m/>
    <m/>
    <m/>
    <m/>
    <m/>
    <m/>
    <s v="16.01.2020"/>
    <m/>
    <n v="20200115"/>
    <n v="66.5"/>
    <m/>
    <m/>
    <m/>
    <m/>
    <m/>
    <m/>
    <m/>
    <m/>
    <m/>
    <m/>
    <n v="340712590"/>
    <s v="AUXCOSTOHRLC"/>
  </r>
  <r>
    <n v="3407"/>
    <s v="15.01.2020"/>
    <n v="2020"/>
    <d v="2020-01-01T00:00:00"/>
    <n v="14"/>
    <n v="700016464"/>
    <s v="WA"/>
    <n v="81"/>
    <x v="0"/>
    <n v="11500060"/>
    <x v="0"/>
    <n v="100"/>
    <s v="MXN"/>
    <n v="100"/>
    <x v="0"/>
    <m/>
    <m/>
    <m/>
    <m/>
    <m/>
    <m/>
    <m/>
    <m/>
    <s v="16.01.2020"/>
    <m/>
    <n v="20200115"/>
    <n v="100"/>
    <m/>
    <m/>
    <m/>
    <m/>
    <m/>
    <m/>
    <m/>
    <m/>
    <m/>
    <m/>
    <n v="340712590"/>
    <s v="AUXCOSTOHRLC"/>
  </r>
  <r>
    <n v="3407"/>
    <s v="15.01.2020"/>
    <n v="2020"/>
    <d v="2020-01-01T00:00:00"/>
    <n v="16"/>
    <n v="700016464"/>
    <s v="WA"/>
    <n v="81"/>
    <x v="0"/>
    <n v="11500060"/>
    <x v="0"/>
    <n v="332.08"/>
    <s v="MXN"/>
    <n v="332.08"/>
    <x v="0"/>
    <m/>
    <m/>
    <m/>
    <m/>
    <m/>
    <m/>
    <m/>
    <m/>
    <s v="16.01.2020"/>
    <m/>
    <n v="20200115"/>
    <n v="332.08"/>
    <m/>
    <m/>
    <m/>
    <m/>
    <m/>
    <m/>
    <m/>
    <m/>
    <m/>
    <m/>
    <n v="340712590"/>
    <s v="AUXCOSTOHRLC"/>
  </r>
  <r>
    <n v="3407"/>
    <s v="15.01.2020"/>
    <n v="2020"/>
    <d v="2020-01-01T00:00:00"/>
    <n v="8"/>
    <n v="700016466"/>
    <s v="WA"/>
    <n v="81"/>
    <x v="0"/>
    <n v="11500060"/>
    <x v="0"/>
    <n v="120"/>
    <s v="MXN"/>
    <n v="120"/>
    <x v="0"/>
    <m/>
    <m/>
    <m/>
    <m/>
    <m/>
    <m/>
    <m/>
    <m/>
    <s v="16.01.2020"/>
    <m/>
    <n v="20200115"/>
    <n v="120"/>
    <m/>
    <m/>
    <m/>
    <m/>
    <m/>
    <m/>
    <m/>
    <m/>
    <m/>
    <m/>
    <n v="340713090"/>
    <s v="JCOSTOSHRLC"/>
  </r>
  <r>
    <n v="3409"/>
    <s v="15.01.2020"/>
    <n v="2020"/>
    <d v="2020-01-01T00:00:00"/>
    <n v="2"/>
    <n v="900005498"/>
    <s v="WA"/>
    <n v="81"/>
    <x v="0"/>
    <n v="11500060"/>
    <x v="0"/>
    <n v="448.54"/>
    <s v="MXN"/>
    <n v="448.54"/>
    <x v="0"/>
    <m/>
    <m/>
    <m/>
    <m/>
    <m/>
    <m/>
    <m/>
    <m/>
    <s v="16.01.2020"/>
    <m/>
    <n v="20200115"/>
    <n v="448.54"/>
    <m/>
    <m/>
    <m/>
    <m/>
    <m/>
    <m/>
    <m/>
    <m/>
    <m/>
    <m/>
    <n v="340910590"/>
    <s v="JMADRID"/>
  </r>
  <r>
    <n v="3409"/>
    <s v="15.01.2020"/>
    <n v="2020"/>
    <d v="2020-01-01T00:00:00"/>
    <n v="4"/>
    <n v="900005498"/>
    <s v="WA"/>
    <n v="81"/>
    <x v="0"/>
    <n v="11500060"/>
    <x v="0"/>
    <n v="439.71"/>
    <s v="MXN"/>
    <n v="439.71"/>
    <x v="0"/>
    <m/>
    <m/>
    <m/>
    <m/>
    <m/>
    <m/>
    <m/>
    <m/>
    <s v="16.01.2020"/>
    <m/>
    <n v="20200115"/>
    <n v="439.71"/>
    <m/>
    <m/>
    <m/>
    <m/>
    <m/>
    <m/>
    <m/>
    <m/>
    <m/>
    <m/>
    <n v="340910590"/>
    <s v="JMADRID"/>
  </r>
  <r>
    <n v="3409"/>
    <s v="15.01.2020"/>
    <n v="2020"/>
    <d v="2020-01-01T00:00:00"/>
    <n v="6"/>
    <n v="900005498"/>
    <s v="WA"/>
    <n v="81"/>
    <x v="0"/>
    <n v="11500060"/>
    <x v="0"/>
    <n v="1411.31"/>
    <s v="MXN"/>
    <n v="1411.31"/>
    <x v="0"/>
    <m/>
    <m/>
    <m/>
    <m/>
    <m/>
    <m/>
    <m/>
    <m/>
    <s v="16.01.2020"/>
    <m/>
    <n v="20200115"/>
    <n v="1411.31"/>
    <m/>
    <m/>
    <m/>
    <m/>
    <m/>
    <m/>
    <m/>
    <m/>
    <m/>
    <m/>
    <n v="340910590"/>
    <s v="JMADRID"/>
  </r>
  <r>
    <n v="3409"/>
    <s v="15.01.2020"/>
    <n v="2020"/>
    <d v="2020-01-01T00:00:00"/>
    <n v="8"/>
    <n v="900005498"/>
    <s v="WA"/>
    <n v="81"/>
    <x v="0"/>
    <n v="11500060"/>
    <x v="0"/>
    <n v="1430.12"/>
    <s v="MXN"/>
    <n v="1430.12"/>
    <x v="0"/>
    <m/>
    <m/>
    <m/>
    <m/>
    <m/>
    <m/>
    <m/>
    <m/>
    <s v="16.01.2020"/>
    <m/>
    <n v="20200115"/>
    <n v="1430.12"/>
    <m/>
    <m/>
    <m/>
    <m/>
    <m/>
    <m/>
    <m/>
    <m/>
    <m/>
    <m/>
    <n v="340910590"/>
    <s v="JMADRID"/>
  </r>
  <r>
    <n v="3409"/>
    <s v="15.01.2020"/>
    <n v="2020"/>
    <d v="2020-01-01T00:00:00"/>
    <n v="10"/>
    <n v="900005498"/>
    <s v="WA"/>
    <n v="81"/>
    <x v="0"/>
    <n v="11500060"/>
    <x v="0"/>
    <n v="762.91"/>
    <s v="MXN"/>
    <n v="762.91"/>
    <x v="0"/>
    <m/>
    <m/>
    <m/>
    <m/>
    <m/>
    <m/>
    <m/>
    <m/>
    <s v="16.01.2020"/>
    <m/>
    <n v="20200115"/>
    <n v="762.91"/>
    <m/>
    <m/>
    <m/>
    <m/>
    <m/>
    <m/>
    <m/>
    <m/>
    <m/>
    <m/>
    <n v="340910590"/>
    <s v="JMADRID"/>
  </r>
  <r>
    <n v="3409"/>
    <s v="15.01.2020"/>
    <n v="2020"/>
    <d v="2020-01-01T00:00:00"/>
    <n v="12"/>
    <n v="900005498"/>
    <s v="WA"/>
    <n v="81"/>
    <x v="0"/>
    <n v="11500060"/>
    <x v="0"/>
    <n v="1152.08"/>
    <s v="MXN"/>
    <n v="1152.08"/>
    <x v="0"/>
    <m/>
    <m/>
    <m/>
    <m/>
    <m/>
    <m/>
    <m/>
    <m/>
    <s v="16.01.2020"/>
    <m/>
    <n v="20200115"/>
    <n v="1152.08"/>
    <m/>
    <m/>
    <m/>
    <m/>
    <m/>
    <m/>
    <m/>
    <m/>
    <m/>
    <m/>
    <n v="340910590"/>
    <s v="JMADRID"/>
  </r>
  <r>
    <n v="3409"/>
    <s v="15.01.2020"/>
    <n v="2020"/>
    <d v="2020-01-01T00:00:00"/>
    <n v="14"/>
    <n v="900005498"/>
    <s v="WA"/>
    <n v="81"/>
    <x v="0"/>
    <n v="11500060"/>
    <x v="0"/>
    <n v="275.75"/>
    <s v="MXN"/>
    <n v="275.75"/>
    <x v="0"/>
    <m/>
    <m/>
    <m/>
    <m/>
    <m/>
    <m/>
    <m/>
    <m/>
    <s v="16.01.2020"/>
    <m/>
    <n v="20200115"/>
    <n v="275.75"/>
    <m/>
    <m/>
    <m/>
    <m/>
    <m/>
    <m/>
    <m/>
    <m/>
    <m/>
    <m/>
    <n v="340910590"/>
    <s v="JMADRID"/>
  </r>
  <r>
    <n v="3409"/>
    <s v="15.01.2020"/>
    <n v="2020"/>
    <d v="2020-01-01T00:00:00"/>
    <n v="16"/>
    <n v="900005498"/>
    <s v="WA"/>
    <n v="81"/>
    <x v="0"/>
    <n v="11500060"/>
    <x v="0"/>
    <n v="618.5"/>
    <s v="MXN"/>
    <n v="618.5"/>
    <x v="0"/>
    <m/>
    <m/>
    <m/>
    <m/>
    <m/>
    <m/>
    <m/>
    <m/>
    <s v="16.01.2020"/>
    <m/>
    <n v="20200115"/>
    <n v="618.5"/>
    <m/>
    <m/>
    <m/>
    <m/>
    <m/>
    <m/>
    <m/>
    <m/>
    <m/>
    <m/>
    <n v="340910590"/>
    <s v="JMADRID"/>
  </r>
  <r>
    <n v="3409"/>
    <s v="15.01.2020"/>
    <n v="2020"/>
    <d v="2020-01-01T00:00:00"/>
    <n v="20"/>
    <n v="900005498"/>
    <s v="WA"/>
    <n v="81"/>
    <x v="0"/>
    <n v="11500060"/>
    <x v="0"/>
    <n v="1679.9"/>
    <s v="MXN"/>
    <n v="1679.9"/>
    <x v="0"/>
    <m/>
    <m/>
    <m/>
    <m/>
    <m/>
    <m/>
    <m/>
    <m/>
    <s v="16.01.2020"/>
    <m/>
    <n v="20200115"/>
    <n v="1679.9"/>
    <m/>
    <m/>
    <m/>
    <m/>
    <m/>
    <m/>
    <m/>
    <m/>
    <m/>
    <m/>
    <n v="340910590"/>
    <s v="JMADRID"/>
  </r>
  <r>
    <n v="3407"/>
    <s v="15.01.2020"/>
    <n v="2020"/>
    <d v="2020-01-01T00:00:00"/>
    <n v="16"/>
    <n v="700016469"/>
    <s v="WA"/>
    <n v="81"/>
    <x v="0"/>
    <n v="11500030"/>
    <x v="0"/>
    <n v="240.12"/>
    <s v="MXN"/>
    <n v="240.12"/>
    <x v="0"/>
    <m/>
    <m/>
    <m/>
    <m/>
    <m/>
    <m/>
    <m/>
    <m/>
    <s v="16.01.2020"/>
    <m/>
    <n v="20200115"/>
    <n v="240.12"/>
    <m/>
    <m/>
    <m/>
    <m/>
    <m/>
    <m/>
    <m/>
    <m/>
    <m/>
    <m/>
    <n v="340712790"/>
    <s v="AUXCOSTOHRLC"/>
  </r>
  <r>
    <n v="3407"/>
    <s v="15.01.2020"/>
    <n v="2020"/>
    <d v="2020-01-01T00:00:00"/>
    <n v="18"/>
    <n v="700016469"/>
    <s v="WA"/>
    <n v="81"/>
    <x v="0"/>
    <n v="11500030"/>
    <x v="0"/>
    <n v="76"/>
    <s v="MXN"/>
    <n v="76"/>
    <x v="0"/>
    <m/>
    <m/>
    <m/>
    <m/>
    <m/>
    <m/>
    <m/>
    <m/>
    <s v="16.01.2020"/>
    <m/>
    <n v="20200115"/>
    <n v="76"/>
    <m/>
    <m/>
    <m/>
    <m/>
    <m/>
    <m/>
    <m/>
    <m/>
    <m/>
    <m/>
    <n v="340712790"/>
    <s v="AUXCOSTOHRLC"/>
  </r>
  <r>
    <n v="3407"/>
    <s v="15.01.2020"/>
    <n v="2020"/>
    <d v="2020-01-01T00:00:00"/>
    <n v="20"/>
    <n v="700016469"/>
    <s v="WA"/>
    <n v="81"/>
    <x v="0"/>
    <n v="11500030"/>
    <x v="0"/>
    <n v="243.72"/>
    <s v="MXN"/>
    <n v="243.72"/>
    <x v="0"/>
    <m/>
    <m/>
    <m/>
    <m/>
    <m/>
    <m/>
    <m/>
    <m/>
    <s v="16.01.2020"/>
    <m/>
    <n v="20200115"/>
    <n v="243.72"/>
    <m/>
    <m/>
    <m/>
    <m/>
    <m/>
    <m/>
    <m/>
    <m/>
    <m/>
    <m/>
    <n v="340712790"/>
    <s v="AUXCOSTOHRLC"/>
  </r>
  <r>
    <n v="3407"/>
    <s v="15.01.2020"/>
    <n v="2020"/>
    <d v="2020-01-01T00:00:00"/>
    <n v="28"/>
    <n v="700016469"/>
    <s v="WA"/>
    <n v="81"/>
    <x v="0"/>
    <n v="11500030"/>
    <x v="0"/>
    <n v="7790"/>
    <s v="MXN"/>
    <n v="7790"/>
    <x v="0"/>
    <m/>
    <m/>
    <m/>
    <m/>
    <m/>
    <m/>
    <m/>
    <m/>
    <s v="16.01.2020"/>
    <m/>
    <n v="20200115"/>
    <n v="7790"/>
    <m/>
    <m/>
    <m/>
    <m/>
    <m/>
    <m/>
    <m/>
    <m/>
    <m/>
    <m/>
    <n v="340712790"/>
    <s v="AUXCOSTOHRLC"/>
  </r>
  <r>
    <n v="3407"/>
    <s v="15.01.2020"/>
    <n v="2020"/>
    <d v="2020-01-01T00:00:00"/>
    <n v="2"/>
    <n v="700016471"/>
    <s v="WA"/>
    <n v="81"/>
    <x v="0"/>
    <n v="11500060"/>
    <x v="0"/>
    <n v="295.48"/>
    <s v="MXN"/>
    <n v="295.48"/>
    <x v="0"/>
    <m/>
    <m/>
    <m/>
    <m/>
    <m/>
    <m/>
    <m/>
    <m/>
    <s v="16.01.2020"/>
    <m/>
    <n v="20200115"/>
    <n v="295.48"/>
    <m/>
    <m/>
    <m/>
    <m/>
    <m/>
    <m/>
    <m/>
    <m/>
    <m/>
    <m/>
    <n v="340710590"/>
    <s v="JCOSTOSHRLC"/>
  </r>
  <r>
    <n v="3407"/>
    <s v="15.01.2020"/>
    <n v="2020"/>
    <d v="2020-01-01T00:00:00"/>
    <n v="4"/>
    <n v="700016471"/>
    <s v="WA"/>
    <n v="81"/>
    <x v="0"/>
    <n v="11500060"/>
    <x v="0"/>
    <n v="1950"/>
    <s v="MXN"/>
    <n v="1950"/>
    <x v="0"/>
    <m/>
    <m/>
    <m/>
    <m/>
    <m/>
    <m/>
    <m/>
    <m/>
    <s v="16.01.2020"/>
    <m/>
    <n v="20200115"/>
    <n v="1950"/>
    <m/>
    <m/>
    <m/>
    <m/>
    <m/>
    <m/>
    <m/>
    <m/>
    <m/>
    <m/>
    <n v="340710590"/>
    <s v="JCOSTOSHRLC"/>
  </r>
  <r>
    <n v="3407"/>
    <s v="15.01.2020"/>
    <n v="2020"/>
    <d v="2020-01-01T00:00:00"/>
    <n v="6"/>
    <n v="700016471"/>
    <s v="WA"/>
    <n v="81"/>
    <x v="0"/>
    <n v="11500060"/>
    <x v="0"/>
    <n v="3150"/>
    <s v="MXN"/>
    <n v="3150"/>
    <x v="0"/>
    <m/>
    <m/>
    <m/>
    <m/>
    <m/>
    <m/>
    <m/>
    <m/>
    <s v="16.01.2020"/>
    <m/>
    <n v="20200115"/>
    <n v="3150"/>
    <m/>
    <m/>
    <m/>
    <m/>
    <m/>
    <m/>
    <m/>
    <m/>
    <m/>
    <m/>
    <n v="340710590"/>
    <s v="JCOSTOSHRLC"/>
  </r>
  <r>
    <n v="3407"/>
    <s v="15.01.2020"/>
    <n v="2020"/>
    <d v="2020-01-01T00:00:00"/>
    <n v="8"/>
    <n v="700016471"/>
    <s v="WA"/>
    <n v="81"/>
    <x v="0"/>
    <n v="11500060"/>
    <x v="0"/>
    <n v="347.28"/>
    <s v="MXN"/>
    <n v="347.28"/>
    <x v="0"/>
    <m/>
    <m/>
    <m/>
    <m/>
    <m/>
    <m/>
    <m/>
    <m/>
    <s v="16.01.2020"/>
    <m/>
    <n v="20200115"/>
    <n v="347.28"/>
    <m/>
    <m/>
    <m/>
    <m/>
    <m/>
    <m/>
    <m/>
    <m/>
    <m/>
    <m/>
    <n v="340710590"/>
    <s v="JCOSTOSHRLC"/>
  </r>
  <r>
    <n v="3407"/>
    <s v="15.01.2020"/>
    <n v="2020"/>
    <d v="2020-01-01T00:00:00"/>
    <n v="10"/>
    <n v="700016471"/>
    <s v="WA"/>
    <n v="81"/>
    <x v="0"/>
    <n v="11500060"/>
    <x v="0"/>
    <n v="2481"/>
    <s v="MXN"/>
    <n v="2481"/>
    <x v="0"/>
    <m/>
    <m/>
    <m/>
    <m/>
    <m/>
    <m/>
    <m/>
    <m/>
    <s v="16.01.2020"/>
    <m/>
    <n v="20200115"/>
    <n v="2481"/>
    <m/>
    <m/>
    <m/>
    <m/>
    <m/>
    <m/>
    <m/>
    <m/>
    <m/>
    <m/>
    <n v="340710590"/>
    <s v="JCOSTOSHRLC"/>
  </r>
  <r>
    <n v="3407"/>
    <s v="15.01.2020"/>
    <n v="2020"/>
    <d v="2020-01-01T00:00:00"/>
    <n v="12"/>
    <n v="700016471"/>
    <s v="WA"/>
    <n v="81"/>
    <x v="0"/>
    <n v="11500060"/>
    <x v="0"/>
    <n v="3505.1"/>
    <s v="MXN"/>
    <n v="3505.1"/>
    <x v="0"/>
    <m/>
    <m/>
    <m/>
    <m/>
    <m/>
    <m/>
    <m/>
    <m/>
    <s v="16.01.2020"/>
    <m/>
    <n v="20200115"/>
    <n v="3505.1"/>
    <m/>
    <m/>
    <m/>
    <m/>
    <m/>
    <m/>
    <m/>
    <m/>
    <m/>
    <m/>
    <n v="340710590"/>
    <s v="JCOSTOSHRLC"/>
  </r>
  <r>
    <n v="3407"/>
    <s v="15.01.2020"/>
    <n v="2020"/>
    <d v="2020-01-01T00:00:00"/>
    <n v="14"/>
    <n v="700016471"/>
    <s v="WA"/>
    <n v="81"/>
    <x v="0"/>
    <n v="11500060"/>
    <x v="0"/>
    <n v="2525.1"/>
    <s v="MXN"/>
    <n v="2525.1"/>
    <x v="0"/>
    <m/>
    <m/>
    <m/>
    <m/>
    <m/>
    <m/>
    <m/>
    <m/>
    <s v="16.01.2020"/>
    <m/>
    <n v="20200115"/>
    <n v="2525.1"/>
    <m/>
    <m/>
    <m/>
    <m/>
    <m/>
    <m/>
    <m/>
    <m/>
    <m/>
    <m/>
    <n v="340710590"/>
    <s v="JCOSTOSHRLC"/>
  </r>
  <r>
    <n v="3407"/>
    <s v="15.01.2020"/>
    <n v="2020"/>
    <d v="2020-01-01T00:00:00"/>
    <n v="16"/>
    <n v="700016471"/>
    <s v="WA"/>
    <n v="81"/>
    <x v="0"/>
    <n v="11500060"/>
    <x v="0"/>
    <n v="8256.7000000000007"/>
    <s v="MXN"/>
    <n v="8256.7000000000007"/>
    <x v="0"/>
    <m/>
    <m/>
    <m/>
    <m/>
    <m/>
    <m/>
    <m/>
    <m/>
    <s v="16.01.2020"/>
    <m/>
    <n v="20200115"/>
    <n v="8256.7000000000007"/>
    <m/>
    <m/>
    <m/>
    <m/>
    <m/>
    <m/>
    <m/>
    <m/>
    <m/>
    <m/>
    <n v="340710590"/>
    <s v="JCOSTOSHRLC"/>
  </r>
  <r>
    <n v="3407"/>
    <s v="15.01.2020"/>
    <n v="2020"/>
    <d v="2020-01-01T00:00:00"/>
    <n v="18"/>
    <n v="700016471"/>
    <s v="WA"/>
    <n v="81"/>
    <x v="0"/>
    <n v="11500060"/>
    <x v="0"/>
    <n v="2198.5500000000002"/>
    <s v="MXN"/>
    <n v="2198.5500000000002"/>
    <x v="0"/>
    <m/>
    <m/>
    <m/>
    <m/>
    <m/>
    <m/>
    <m/>
    <m/>
    <s v="16.01.2020"/>
    <m/>
    <n v="20200115"/>
    <n v="2198.5500000000002"/>
    <m/>
    <m/>
    <m/>
    <m/>
    <m/>
    <m/>
    <m/>
    <m/>
    <m/>
    <m/>
    <n v="340710590"/>
    <s v="JCOSTOSHRLC"/>
  </r>
  <r>
    <n v="3407"/>
    <s v="15.01.2020"/>
    <n v="2020"/>
    <d v="2020-01-01T00:00:00"/>
    <n v="20"/>
    <n v="700016471"/>
    <s v="WA"/>
    <n v="81"/>
    <x v="0"/>
    <n v="11500060"/>
    <x v="0"/>
    <n v="500.92"/>
    <s v="MXN"/>
    <n v="500.92"/>
    <x v="0"/>
    <m/>
    <m/>
    <m/>
    <m/>
    <m/>
    <m/>
    <m/>
    <m/>
    <s v="16.01.2020"/>
    <m/>
    <n v="20200115"/>
    <n v="500.92"/>
    <m/>
    <m/>
    <m/>
    <m/>
    <m/>
    <m/>
    <m/>
    <m/>
    <m/>
    <m/>
    <n v="340710590"/>
    <s v="JCOSTOSHRLC"/>
  </r>
  <r>
    <n v="3407"/>
    <s v="15.01.2020"/>
    <n v="2020"/>
    <d v="2020-01-01T00:00:00"/>
    <n v="22"/>
    <n v="700016471"/>
    <s v="WA"/>
    <n v="81"/>
    <x v="0"/>
    <n v="11500060"/>
    <x v="0"/>
    <n v="328.74"/>
    <s v="MXN"/>
    <n v="328.74"/>
    <x v="0"/>
    <m/>
    <m/>
    <m/>
    <m/>
    <m/>
    <m/>
    <m/>
    <m/>
    <s v="16.01.2020"/>
    <m/>
    <n v="20200115"/>
    <n v="328.74"/>
    <m/>
    <m/>
    <m/>
    <m/>
    <m/>
    <m/>
    <m/>
    <m/>
    <m/>
    <m/>
    <n v="340710590"/>
    <s v="JCOSTOSHRLC"/>
  </r>
  <r>
    <n v="3407"/>
    <s v="15.01.2020"/>
    <n v="2020"/>
    <d v="2020-01-01T00:00:00"/>
    <n v="24"/>
    <n v="700016471"/>
    <s v="WA"/>
    <n v="81"/>
    <x v="0"/>
    <n v="11500060"/>
    <x v="0"/>
    <n v="1485"/>
    <s v="MXN"/>
    <n v="1485"/>
    <x v="0"/>
    <m/>
    <m/>
    <m/>
    <m/>
    <m/>
    <m/>
    <m/>
    <m/>
    <s v="16.01.2020"/>
    <m/>
    <n v="20200115"/>
    <n v="1485"/>
    <m/>
    <m/>
    <m/>
    <m/>
    <m/>
    <m/>
    <m/>
    <m/>
    <m/>
    <m/>
    <n v="340710590"/>
    <s v="JCOSTOSHRLC"/>
  </r>
  <r>
    <n v="3407"/>
    <s v="15.01.2020"/>
    <n v="2020"/>
    <d v="2020-01-01T00:00:00"/>
    <n v="32"/>
    <n v="700016471"/>
    <s v="WA"/>
    <n v="81"/>
    <x v="0"/>
    <n v="11500060"/>
    <x v="0"/>
    <n v="475"/>
    <s v="MXN"/>
    <n v="475"/>
    <x v="0"/>
    <m/>
    <m/>
    <m/>
    <m/>
    <m/>
    <m/>
    <m/>
    <m/>
    <s v="16.01.2020"/>
    <m/>
    <n v="20200115"/>
    <n v="475"/>
    <m/>
    <m/>
    <m/>
    <m/>
    <m/>
    <m/>
    <m/>
    <m/>
    <m/>
    <m/>
    <n v="340710590"/>
    <s v="JCOSTOSHRLC"/>
  </r>
  <r>
    <n v="3407"/>
    <s v="15.01.2020"/>
    <n v="2020"/>
    <d v="2020-01-01T00:00:00"/>
    <n v="34"/>
    <n v="700016471"/>
    <s v="WA"/>
    <n v="81"/>
    <x v="0"/>
    <n v="11500060"/>
    <x v="0"/>
    <n v="600.29999999999995"/>
    <s v="MXN"/>
    <n v="600.29999999999995"/>
    <x v="0"/>
    <m/>
    <m/>
    <m/>
    <m/>
    <m/>
    <m/>
    <m/>
    <m/>
    <s v="16.01.2020"/>
    <m/>
    <n v="20200115"/>
    <n v="600.29999999999995"/>
    <m/>
    <m/>
    <m/>
    <m/>
    <m/>
    <m/>
    <m/>
    <m/>
    <m/>
    <m/>
    <n v="340710590"/>
    <s v="JCOSTOSHRLC"/>
  </r>
  <r>
    <n v="3400"/>
    <s v="31.01.2020"/>
    <n v="2020"/>
    <d v="2020-01-01T00:00:00"/>
    <n v="1"/>
    <n v="880003551"/>
    <s v="Z6"/>
    <n v="40"/>
    <x v="1"/>
    <n v="11127472"/>
    <x v="1"/>
    <n v="32"/>
    <s v="MXN"/>
    <n v="32"/>
    <x v="0"/>
    <s v="D3"/>
    <m/>
    <m/>
    <m/>
    <m/>
    <m/>
    <m/>
    <m/>
    <s v="03.02.2020"/>
    <m/>
    <s v="COM BANCARIAS"/>
    <n v="32"/>
    <m/>
    <m/>
    <m/>
    <s v="COM BANCARIAS HSBC 4106 AL 31.01.2020"/>
    <m/>
    <m/>
    <m/>
    <m/>
    <m/>
    <m/>
    <n v="340099150"/>
    <s v="JAVILES"/>
  </r>
  <r>
    <n v="3400"/>
    <s v="30.01.2020"/>
    <n v="2020"/>
    <d v="2020-01-01T00:00:00"/>
    <n v="1"/>
    <n v="880003555"/>
    <s v="Z6"/>
    <n v="40"/>
    <x v="1"/>
    <n v="11128202"/>
    <x v="1"/>
    <n v="1000"/>
    <s v="MXN"/>
    <n v="1000"/>
    <x v="0"/>
    <s v="D3"/>
    <m/>
    <m/>
    <m/>
    <m/>
    <m/>
    <m/>
    <m/>
    <s v="03.02.2020"/>
    <m/>
    <s v="COM BANCARIAS"/>
    <n v="1000"/>
    <m/>
    <m/>
    <m/>
    <s v="COM BANCARIAS SANTANDER 9096 AL 30.01.2020"/>
    <m/>
    <m/>
    <m/>
    <m/>
    <m/>
    <m/>
    <n v="340099150"/>
    <s v="JAVILES"/>
  </r>
  <r>
    <n v="3400"/>
    <s v="27.01.2020"/>
    <n v="2020"/>
    <d v="2020-01-01T00:00:00"/>
    <n v="1"/>
    <n v="880003557"/>
    <s v="Z6"/>
    <n v="40"/>
    <x v="1"/>
    <n v="11148112"/>
    <x v="1"/>
    <n v="30"/>
    <s v="MXN"/>
    <n v="30"/>
    <x v="0"/>
    <s v="D3"/>
    <m/>
    <m/>
    <m/>
    <m/>
    <m/>
    <m/>
    <m/>
    <s v="03.02.2020"/>
    <m/>
    <s v="COM BANCARIAS"/>
    <n v="30"/>
    <m/>
    <m/>
    <m/>
    <s v="COM BANCARIAS SANTANDER 4234 AL 29.01.2020"/>
    <m/>
    <m/>
    <m/>
    <m/>
    <m/>
    <m/>
    <n v="340099150"/>
    <s v="JAVILES"/>
  </r>
  <r>
    <n v="3400"/>
    <s v="31.01.2020"/>
    <n v="2020"/>
    <d v="2020-01-01T00:00:00"/>
    <n v="1"/>
    <n v="880003722"/>
    <s v="Z6"/>
    <n v="40"/>
    <x v="1"/>
    <n v="11125152"/>
    <x v="1"/>
    <n v="110"/>
    <s v="USD"/>
    <n v="2057.73"/>
    <x v="0"/>
    <s v="D3"/>
    <m/>
    <m/>
    <m/>
    <m/>
    <m/>
    <m/>
    <m/>
    <s v="04.02.2020"/>
    <m/>
    <s v="COM BANCARIAS"/>
    <n v="110"/>
    <m/>
    <m/>
    <m/>
    <s v="COM BANCARIAS BBVA 3802 AL 31.01.2020"/>
    <m/>
    <m/>
    <m/>
    <m/>
    <m/>
    <m/>
    <n v="340099150"/>
    <s v="JAVILES"/>
  </r>
  <r>
    <n v="3400"/>
    <s v="31.01.2020"/>
    <n v="2020"/>
    <d v="2020-01-01T00:00:00"/>
    <n v="1"/>
    <n v="880003727"/>
    <s v="Z6"/>
    <n v="40"/>
    <x v="1"/>
    <n v="11128102"/>
    <x v="1"/>
    <n v="161288.15"/>
    <s v="MXN"/>
    <n v="161288.15"/>
    <x v="0"/>
    <s v="D3"/>
    <m/>
    <m/>
    <m/>
    <m/>
    <m/>
    <m/>
    <m/>
    <s v="04.02.2020"/>
    <m/>
    <s v="COM BANCARIASC"/>
    <n v="161288.15"/>
    <m/>
    <m/>
    <m/>
    <s v="COM BANCARIAS SANTANDER 1595 AL 31.01.2020"/>
    <m/>
    <m/>
    <m/>
    <m/>
    <m/>
    <m/>
    <n v="340099150"/>
    <s v="JAVILES"/>
  </r>
  <r>
    <n v="3401"/>
    <s v="27.01.2020"/>
    <n v="2020"/>
    <d v="2020-01-01T00:00:00"/>
    <n v="1"/>
    <n v="100026729"/>
    <s v="WE"/>
    <n v="81"/>
    <x v="4"/>
    <n v="21021040"/>
    <x v="4"/>
    <n v="49308.02"/>
    <s v="MXN"/>
    <n v="49308.02"/>
    <x v="0"/>
    <m/>
    <m/>
    <s v="27DFA65C-1D63-41B7-9350-ADC68088A10C"/>
    <s v="CSS160330CP7"/>
    <n v="107211"/>
    <s v="CFE SUMINISTRADOR DE SERVICIOS"/>
    <m/>
    <m/>
    <s v="27.01.2020"/>
    <n v="4501216248"/>
    <s v="WH000533227437"/>
    <n v="49308.02"/>
    <n v="368995.17"/>
    <n v="2790526"/>
    <n v="100036889"/>
    <s v="CONSUMO ENERGIA ENERO 2020"/>
    <n v="2790526"/>
    <s v="06.02.2020"/>
    <s v="TRANSFERENCIA"/>
    <n v="100036917"/>
    <s v="HSBC"/>
    <s v="HSBC 004053489092 TP"/>
    <n v="340118590"/>
    <s v="MANTTO_MEX"/>
  </r>
  <r>
    <n v="3401"/>
    <s v="27.01.2020"/>
    <n v="2020"/>
    <d v="2020-01-01T00:00:00"/>
    <n v="1"/>
    <n v="100026958"/>
    <s v="WE"/>
    <n v="81"/>
    <x v="5"/>
    <n v="21021040"/>
    <x v="5"/>
    <n v="10377.35"/>
    <s v="USD"/>
    <n v="195112.86"/>
    <x v="0"/>
    <m/>
    <m/>
    <s v="N/A Registro proveedor extranjero"/>
    <n v="593383972"/>
    <n v="600226"/>
    <s v="HARD ROCK CAFE INTERNATIONAL INC."/>
    <m/>
    <m/>
    <s v="27.01.2020"/>
    <s v="4161219CRS"/>
    <n v="20200127"/>
    <n v="10377.35"/>
    <n v="0"/>
    <n v="10377.35"/>
    <n v="100030322"/>
    <s v="Comisión por reservas de DIC 2019 HRI"/>
    <n v="9433.9545454545441"/>
    <s v="05.02.2020"/>
    <s v="TRANSFERENCIA"/>
    <n v="100036041"/>
    <s v="BOFA"/>
    <s v="BofA RCD 89805242886"/>
    <n v="340121790"/>
    <s v="SOLI1101"/>
  </r>
  <r>
    <n v="3401"/>
    <s v="27.01.2020"/>
    <n v="2020"/>
    <d v="2020-01-01T00:00:00"/>
    <n v="1"/>
    <n v="100026728"/>
    <s v="WE"/>
    <n v="81"/>
    <x v="4"/>
    <n v="21021040"/>
    <x v="4"/>
    <n v="39676"/>
    <s v="MXN"/>
    <n v="39676"/>
    <x v="0"/>
    <m/>
    <m/>
    <s v="27DFA65C-1D63-41B7-9350-ADC68088A10C"/>
    <s v="CSS160330CP7"/>
    <n v="107211"/>
    <s v="CFE SUMINISTRADOR DE SERVICIOS"/>
    <m/>
    <m/>
    <s v="27.01.2020"/>
    <n v="4501216248"/>
    <s v="WH000533227437"/>
    <n v="39676"/>
    <m/>
    <m/>
    <n v="100036889"/>
    <s v="CONSUMO ENERGIA ENERO 2020"/>
    <n v="3245.7840000000001"/>
    <s v="06.02.2020"/>
    <s v="TRANSFERENCIA"/>
    <n v="100036917"/>
    <s v="HSBC"/>
    <s v="HSBC 004053489092 TP"/>
    <n v="340118590"/>
    <s v="MANTTO_MEX"/>
  </r>
  <r>
    <n v="3406"/>
    <s v="27.01.2020"/>
    <n v="2020"/>
    <d v="2020-01-01T00:00:00"/>
    <n v="1"/>
    <n v="600025749"/>
    <s v="WE"/>
    <n v="81"/>
    <x v="5"/>
    <n v="21021040"/>
    <x v="5"/>
    <n v="284.54000000000002"/>
    <s v="USD"/>
    <n v="5349.86"/>
    <x v="0"/>
    <m/>
    <m/>
    <s v="N/A Registro proveedor extranjero"/>
    <n v="752738581"/>
    <n v="602358"/>
    <s v="PEGASUS BUSINESS INTELLIGENCE"/>
    <m/>
    <m/>
    <s v="27.01.2020"/>
    <n v="2292347"/>
    <n v="20200127"/>
    <n v="284.54000000000002"/>
    <n v="0"/>
    <n v="284.54000000000002"/>
    <n v="600027034"/>
    <s v="COMISIONES ONIX CYCLE 02.01.20"/>
    <n v="284.54000000000002"/>
    <s v="10.02.2020"/>
    <s v="TRANSFERENCIA"/>
    <n v="600039069"/>
    <s v="BOFA"/>
    <s v="BofA RCD 89805242886"/>
    <n v="340621790"/>
    <s v="MFRUCTUOSO"/>
  </r>
  <r>
    <n v="3402"/>
    <s v="27.01.2020"/>
    <n v="2020"/>
    <d v="2020-01-01T00:00:00"/>
    <n v="1"/>
    <n v="200086370"/>
    <s v="WE"/>
    <n v="81"/>
    <x v="4"/>
    <n v="21021040"/>
    <x v="4"/>
    <n v="175.05"/>
    <s v="MXN"/>
    <n v="175.05"/>
    <x v="0"/>
    <m/>
    <m/>
    <s v="3BC7123B-A28D-4298-B452-687E6C8B15BB"/>
    <s v="CSS160330CP7"/>
    <n v="107211"/>
    <s v="CFE SUMINISTRADOR DE SERVICIOS"/>
    <m/>
    <m/>
    <s v="27.01.2020"/>
    <n v="4501226797"/>
    <n v="20200127"/>
    <n v="175.05"/>
    <n v="28.008000000000003"/>
    <n v="203.05800000000002"/>
    <n v="200127172"/>
    <s v="Consumo CFE Casa Club 26.01.2020"/>
    <n v="203.05800000000002"/>
    <s v="10.02.2020"/>
    <s v="TRANSFERENCIA"/>
    <n v="200130320"/>
    <s v="HSBC "/>
    <s v="HSBC 004053489092 TP"/>
    <n v="340255290"/>
    <s v="SOLI1102"/>
  </r>
  <r>
    <n v="3402"/>
    <s v="27.01.2020"/>
    <n v="2020"/>
    <d v="2020-01-01T00:00:00"/>
    <n v="3"/>
    <n v="200086370"/>
    <s v="WE"/>
    <n v="81"/>
    <x v="4"/>
    <n v="21021040"/>
    <x v="4"/>
    <n v="2730.06"/>
    <s v="MXN"/>
    <n v="2730.06"/>
    <x v="0"/>
    <m/>
    <m/>
    <s v="3BC7123B-A28D-4298-B452-687E6C8B15BB"/>
    <s v="CSS160330CP7"/>
    <n v="107211"/>
    <s v="CFE SUMINISTRADOR DE SERVICIOS"/>
    <m/>
    <m/>
    <s v="27.01.2020"/>
    <n v="4501226797"/>
    <n v="20200127"/>
    <n v="2730.06"/>
    <n v="436.80959999999999"/>
    <n v="3166.8696"/>
    <n v="200127172"/>
    <s v="Consumo CFE Casa Club 27.01.2020"/>
    <n v="3166.8696"/>
    <s v="10.02.2020"/>
    <s v="TRANSFERENCIA"/>
    <n v="200130320"/>
    <s v="HSBC "/>
    <s v="HSBC 004053489092 TP"/>
    <n v="340255290"/>
    <s v="SOLI1102"/>
  </r>
  <r>
    <n v="3402"/>
    <s v="27.01.2020"/>
    <n v="2020"/>
    <d v="2020-01-01T00:00:00"/>
    <n v="1"/>
    <n v="200086373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7.01.2020"/>
    <n v="4501226813"/>
    <n v="20200127"/>
    <n v="0.05"/>
    <n v="8.0000000000000002E-3"/>
    <n v="5.8000000000000003E-2"/>
    <n v="200211626"/>
    <s v="Consumo CFE Hoyo 5  26.01.2020"/>
    <n v="5.8000000000000003E-2"/>
    <s v="10.03.2020"/>
    <s v="TRANSFERENCIA"/>
    <n v="200225788"/>
    <s v="HSBC"/>
    <s v="HSBC 004053489092 TP"/>
    <n v="340255290"/>
    <s v="SOLI1102"/>
  </r>
  <r>
    <n v="3402"/>
    <s v="27.01.2020"/>
    <n v="2020"/>
    <d v="2020-01-01T00:00:00"/>
    <n v="3"/>
    <n v="200086373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7.01.2020"/>
    <n v="4501226813"/>
    <n v="20200127"/>
    <n v="0.05"/>
    <n v="8.0000000000000002E-3"/>
    <n v="5.8000000000000003E-2"/>
    <n v="200211626"/>
    <s v="Consumo CFE Hoyo 5  27.01.2020"/>
    <n v="5.8000000000000003E-2"/>
    <s v="10.03.2020"/>
    <s v="TRANSFERENCIA"/>
    <n v="200225788"/>
    <s v="HSBC"/>
    <s v="HSBC 004053489092 TP"/>
    <n v="340255290"/>
    <s v="SOLI1102"/>
  </r>
  <r>
    <n v="3402"/>
    <s v="27.01.2020"/>
    <n v="2020"/>
    <d v="2020-01-01T00:00:00"/>
    <n v="1"/>
    <n v="200086374"/>
    <s v="WE"/>
    <n v="81"/>
    <x v="4"/>
    <n v="21021040"/>
    <x v="4"/>
    <n v="114"/>
    <s v="MXN"/>
    <n v="114"/>
    <x v="0"/>
    <m/>
    <m/>
    <s v="9020593F-B07D-45F6-B3AA-D39CF7A80117"/>
    <s v="CSS160330CP7"/>
    <n v="107211"/>
    <s v="CFE SUMINISTRADOR DE SERVICIOS"/>
    <m/>
    <m/>
    <s v="27.01.2020"/>
    <n v="4501226813"/>
    <n v="20200127"/>
    <n v="114"/>
    <n v="18.240000000000002"/>
    <n v="132.24"/>
    <n v="200211626"/>
    <s v="Consumo CFE Hoyo 2  26.01.2020"/>
    <n v="132.24"/>
    <s v="10.03.2020"/>
    <s v="TRANSFERENCIA"/>
    <n v="200225788"/>
    <s v="HSBC"/>
    <s v="HSBC 004053489092 TP"/>
    <n v="340255290"/>
    <s v="SOLI1102"/>
  </r>
  <r>
    <n v="3402"/>
    <s v="27.01.2020"/>
    <n v="2020"/>
    <d v="2020-01-01T00:00:00"/>
    <n v="3"/>
    <n v="200086374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7.01.2020"/>
    <n v="4501226813"/>
    <n v="20200127"/>
    <n v="117.8"/>
    <n v="18.847999999999999"/>
    <n v="136.648"/>
    <n v="200211626"/>
    <s v="Consumo CFE Hoyo 2  27.01.2020"/>
    <n v="136.648"/>
    <s v="10.03.2020"/>
    <s v="TRANSFERENCIA"/>
    <n v="200225788"/>
    <s v="HSBC"/>
    <s v="HSBC 004053489092 TP"/>
    <n v="340255290"/>
    <s v="SOLI1102"/>
  </r>
  <r>
    <n v="3402"/>
    <s v="27.01.2020"/>
    <n v="2020"/>
    <d v="2020-01-01T00:00:00"/>
    <n v="1"/>
    <n v="200086379"/>
    <s v="WE"/>
    <n v="81"/>
    <x v="4"/>
    <n v="21021040"/>
    <x v="4"/>
    <n v="1112.03"/>
    <s v="MXN"/>
    <n v="1112.03"/>
    <x v="0"/>
    <m/>
    <m/>
    <s v="3BC7123B-A28D-4298-B452-687E6C8B15BB"/>
    <s v="CSS160330CP7"/>
    <n v="107211"/>
    <s v="CFE SUMINISTRADOR DE SERVICIOS"/>
    <m/>
    <m/>
    <s v="27.01.2020"/>
    <n v="4501226797"/>
    <n v="20200127"/>
    <n v="1112.03"/>
    <n v="177.9248"/>
    <n v="1289.9548"/>
    <n v="200127172"/>
    <s v="Consumo CFE Lago Riego 26.01.2020"/>
    <n v="1289.9548"/>
    <s v="10.02.2020"/>
    <s v="TRANSFERENCIA"/>
    <n v="200130320"/>
    <s v="HSBC "/>
    <s v="HSBC 004053489092 TP"/>
    <n v="340255290"/>
    <s v="SOLI1102"/>
  </r>
  <r>
    <n v="3402"/>
    <s v="27.01.2020"/>
    <n v="2020"/>
    <d v="2020-01-01T00:00:00"/>
    <n v="1"/>
    <n v="200086381"/>
    <s v="WE"/>
    <n v="81"/>
    <x v="4"/>
    <n v="21021040"/>
    <x v="4"/>
    <n v="624.05999999999995"/>
    <s v="MXN"/>
    <n v="624.05999999999995"/>
    <x v="0"/>
    <m/>
    <m/>
    <s v="3BC7123B-A28D-4298-B452-687E6C8B15BB"/>
    <s v="CSS160330CP7"/>
    <n v="107211"/>
    <s v="CFE SUMINISTRADOR DE SERVICIOS"/>
    <m/>
    <m/>
    <s v="27.01.2020"/>
    <n v="4501226797"/>
    <n v="20200127"/>
    <n v="624.05999999999995"/>
    <n v="99.849599999999995"/>
    <n v="723.90959999999995"/>
    <n v="200127172"/>
    <s v="Consumo CFE Lago Riego 27.01.2020"/>
    <n v="723.90959999999995"/>
    <s v="10.02.2020"/>
    <s v="TRANSFERENCIA"/>
    <n v="200130320"/>
    <s v="HSBC "/>
    <s v="HSBC 004053489092 TP"/>
    <n v="340255290"/>
    <s v="SOLI1102"/>
  </r>
  <r>
    <n v="3402"/>
    <s v="27.01.2020"/>
    <n v="2020"/>
    <d v="2020-01-01T00:00:00"/>
    <n v="1"/>
    <n v="200086384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7.01.2020"/>
    <n v="4501226797"/>
    <n v="20200127"/>
    <n v="0.04"/>
    <n v="6.4000000000000003E-3"/>
    <n v="4.6400000000000004E-2"/>
    <n v="200127172"/>
    <s v="Consumo CFE Taller Mantto 26.01.2020"/>
    <n v="4.6400000000000004E-2"/>
    <s v="10.02.2020"/>
    <s v="TRANSFERENCIA"/>
    <n v="200130320"/>
    <s v="HSBC "/>
    <s v="HSBC 004053489092 TP"/>
    <n v="340255290"/>
    <s v="SOLI1102"/>
  </r>
  <r>
    <n v="3402"/>
    <s v="27.01.2020"/>
    <n v="2020"/>
    <d v="2020-01-01T00:00:00"/>
    <n v="3"/>
    <n v="200086384"/>
    <s v="WE"/>
    <n v="81"/>
    <x v="4"/>
    <n v="21021040"/>
    <x v="4"/>
    <n v="304"/>
    <s v="MXN"/>
    <n v="304"/>
    <x v="0"/>
    <m/>
    <m/>
    <s v="3BC7123B-A28D-4298-B452-687E6C8B15BB"/>
    <s v="CSS160330CP7"/>
    <n v="107211"/>
    <s v="CFE SUMINISTRADOR DE SERVICIOS"/>
    <m/>
    <m/>
    <s v="27.01.2020"/>
    <n v="4501226797"/>
    <n v="20200127"/>
    <n v="304"/>
    <n v="48.64"/>
    <n v="352.64"/>
    <n v="200127172"/>
    <s v="Consumo CFE Taller Mantto 27.01.2020"/>
    <n v="352.64"/>
    <s v="10.02.2020"/>
    <s v="TRANSFERENCIA"/>
    <n v="200130320"/>
    <s v="HSBC "/>
    <s v="HSBC 004053489092 TP"/>
    <n v="340255290"/>
    <s v="SOLI1102"/>
  </r>
  <r>
    <n v="3401"/>
    <s v="27.01.2020"/>
    <n v="2020"/>
    <d v="2020-01-01T00:00:00"/>
    <n v="1"/>
    <n v="100026935"/>
    <s v="WE"/>
    <n v="81"/>
    <x v="5"/>
    <n v="21021040"/>
    <x v="5"/>
    <n v="5730.55"/>
    <s v="USD"/>
    <n v="107744.65"/>
    <x v="0"/>
    <m/>
    <m/>
    <s v="N/A Registro proveedor extranjero"/>
    <n v="752738581"/>
    <n v="602358"/>
    <s v="PEGASUS BUSINESS INTELLIGENCE"/>
    <m/>
    <m/>
    <s v="27.01.2020"/>
    <n v="2273653"/>
    <n v="20200127"/>
    <n v="5730.55"/>
    <n v="0"/>
    <n v="5730.55"/>
    <n v="100027985"/>
    <s v="COMISIONES RESERVAS 2273653"/>
    <n v="5730.55"/>
    <s v="10.02.2020"/>
    <s v="TRANSFERENCIA"/>
    <n v="100040908"/>
    <s v="BOFA"/>
    <s v="BofA RCD 89805242886"/>
    <n v="340121790"/>
    <s v="SOLI1101"/>
  </r>
  <r>
    <n v="3406"/>
    <s v="27.01.2020"/>
    <n v="2020"/>
    <d v="2020-01-01T00:00:00"/>
    <n v="1"/>
    <n v="600025898"/>
    <s v="WE"/>
    <n v="81"/>
    <x v="4"/>
    <n v="21021040"/>
    <x v="4"/>
    <n v="94815"/>
    <s v="MXN"/>
    <n v="94815"/>
    <x v="0"/>
    <m/>
    <m/>
    <s v="092932E6-8FFC-11EF-A47B-8F40AB67745F"/>
    <s v="CSS160330CP7"/>
    <n v="107211"/>
    <s v="CFE SUMINISTRADOR DE SERVICIOS"/>
    <m/>
    <m/>
    <s v="27.01.2020"/>
    <n v="4501226446"/>
    <n v="20200127"/>
    <n v="94815"/>
    <n v="94815"/>
    <n v="189630"/>
    <n v="600035567"/>
    <s v="1 DE ENERO"/>
    <n v="189630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899"/>
    <s v="WE"/>
    <n v="81"/>
    <x v="4"/>
    <n v="21021040"/>
    <x v="4"/>
    <n v="97975.5"/>
    <s v="MXN"/>
    <n v="97975.5"/>
    <x v="0"/>
    <m/>
    <m/>
    <s v="092932E6-8FFC-11EF-A47B-8F40AB67745F"/>
    <s v="CSS160330CP7"/>
    <n v="107211"/>
    <s v="CFE SUMINISTRADOR DE SERVICIOS"/>
    <m/>
    <m/>
    <s v="27.01.2020"/>
    <n v="4501226446"/>
    <n v="20200127"/>
    <n v="97975.5"/>
    <n v="97975.5"/>
    <n v="195951"/>
    <n v="600035567"/>
    <s v="2 DE ENERO"/>
    <n v="195951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1"/>
    <s v="WE"/>
    <n v="81"/>
    <x v="4"/>
    <n v="21021040"/>
    <x v="4"/>
    <n v="101587.5"/>
    <s v="MXN"/>
    <n v="101587.5"/>
    <x v="0"/>
    <m/>
    <m/>
    <s v="092932E6-8FFC-11EF-A47B-8F40AB67745F"/>
    <s v="CSS160330CP7"/>
    <n v="107211"/>
    <s v="CFE SUMINISTRADOR DE SERVICIOS"/>
    <m/>
    <m/>
    <s v="27.01.2020"/>
    <n v="4501226446"/>
    <n v="20200127"/>
    <n v="101587.5"/>
    <n v="101587.5"/>
    <n v="203175"/>
    <n v="600035567"/>
    <s v="3 DE ENERO"/>
    <n v="203175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2"/>
    <s v="WE"/>
    <n v="81"/>
    <x v="4"/>
    <n v="21021040"/>
    <x v="4"/>
    <n v="96169.5"/>
    <s v="MXN"/>
    <n v="96169.5"/>
    <x v="0"/>
    <m/>
    <m/>
    <s v="092932E6-8FFC-11EF-A47B-8F40AB67745F"/>
    <s v="CSS160330CP7"/>
    <n v="107211"/>
    <s v="CFE SUMINISTRADOR DE SERVICIOS"/>
    <m/>
    <m/>
    <s v="27.01.2020"/>
    <n v="4501226446"/>
    <n v="20200127"/>
    <n v="96169.5"/>
    <n v="96169.5"/>
    <n v="192339"/>
    <n v="600035567"/>
    <s v="4 DE ENERO"/>
    <n v="192339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3"/>
    <s v="WE"/>
    <n v="81"/>
    <x v="4"/>
    <n v="21021040"/>
    <x v="4"/>
    <n v="86688"/>
    <s v="MXN"/>
    <n v="86688"/>
    <x v="0"/>
    <m/>
    <m/>
    <s v="092932E6-8FFC-11EF-A47B-8F40AB67745F"/>
    <s v="CSS160330CP7"/>
    <n v="107211"/>
    <s v="CFE SUMINISTRADOR DE SERVICIOS"/>
    <m/>
    <m/>
    <s v="27.01.2020"/>
    <n v="4501226446"/>
    <n v="20200127"/>
    <n v="86688"/>
    <n v="86688"/>
    <n v="173376"/>
    <n v="600035567"/>
    <s v="5 DE ENERO"/>
    <n v="173376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4"/>
    <s v="WE"/>
    <n v="81"/>
    <x v="4"/>
    <n v="21021040"/>
    <x v="4"/>
    <n v="81270"/>
    <s v="MXN"/>
    <n v="81270"/>
    <x v="0"/>
    <m/>
    <m/>
    <s v="092932E6-8FFC-11EF-A47B-8F40AB67745F"/>
    <s v="CSS160330CP7"/>
    <n v="107211"/>
    <s v="CFE SUMINISTRADOR DE SERVICIOS"/>
    <m/>
    <m/>
    <s v="27.01.2020"/>
    <n v="4501226446"/>
    <n v="20200127"/>
    <n v="81270"/>
    <n v="81270"/>
    <n v="162540"/>
    <n v="600035567"/>
    <s v="6 DE ENERO"/>
    <n v="162540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5"/>
    <s v="WE"/>
    <n v="81"/>
    <x v="4"/>
    <n v="21021040"/>
    <x v="4"/>
    <n v="80367"/>
    <s v="MXN"/>
    <n v="80367"/>
    <x v="0"/>
    <m/>
    <m/>
    <s v="092932E6-8FFC-11EF-A47B-8F40AB67745F"/>
    <s v="CSS160330CP7"/>
    <n v="107211"/>
    <s v="CFE SUMINISTRADOR DE SERVICIOS"/>
    <m/>
    <m/>
    <s v="27.01.2020"/>
    <n v="4501226446"/>
    <n v="20200127"/>
    <n v="80367"/>
    <n v="80367"/>
    <n v="160734"/>
    <n v="600035567"/>
    <s v="7 DE ENERO"/>
    <n v="160734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6"/>
    <s v="WE"/>
    <n v="81"/>
    <x v="4"/>
    <n v="21021040"/>
    <x v="4"/>
    <n v="80818.5"/>
    <s v="MXN"/>
    <n v="80818.5"/>
    <x v="0"/>
    <m/>
    <m/>
    <s v="092932E6-8FFC-11EF-A47B-8F40AB67745F"/>
    <s v="CSS160330CP7"/>
    <n v="107211"/>
    <s v="CFE SUMINISTRADOR DE SERVICIOS"/>
    <m/>
    <m/>
    <s v="27.01.2020"/>
    <n v="4501226446"/>
    <n v="20200127"/>
    <n v="80818.5"/>
    <n v="80818.5"/>
    <n v="161637"/>
    <n v="600035567"/>
    <s v="8 DE ENERO"/>
    <n v="161637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7"/>
    <s v="WE"/>
    <n v="81"/>
    <x v="4"/>
    <n v="21021040"/>
    <x v="4"/>
    <n v="86688"/>
    <s v="MXN"/>
    <n v="86688"/>
    <x v="0"/>
    <m/>
    <m/>
    <s v="092932E6-8FFC-11EF-A47B-8F40AB67745F"/>
    <s v="CSS160330CP7"/>
    <n v="107211"/>
    <s v="CFE SUMINISTRADOR DE SERVICIOS"/>
    <m/>
    <m/>
    <s v="27.01.2020"/>
    <n v="4501226446"/>
    <n v="20200127"/>
    <n v="86688"/>
    <n v="86688"/>
    <n v="173376"/>
    <n v="600035567"/>
    <s v="9 DE ENERO"/>
    <n v="173376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8"/>
    <s v="WE"/>
    <n v="81"/>
    <x v="4"/>
    <n v="21021040"/>
    <x v="4"/>
    <n v="97975.5"/>
    <s v="MXN"/>
    <n v="97975.5"/>
    <x v="0"/>
    <m/>
    <m/>
    <s v="092932E6-8FFC-11EF-A47B-8F40AB67745F"/>
    <s v="CSS160330CP7"/>
    <n v="107211"/>
    <s v="CFE SUMINISTRADOR DE SERVICIOS"/>
    <m/>
    <m/>
    <s v="27.01.2020"/>
    <n v="4501226446"/>
    <n v="20200127"/>
    <n v="97975.5"/>
    <n v="97975.5"/>
    <n v="195951"/>
    <n v="600035567"/>
    <s v="10 DE ENERO"/>
    <n v="195951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9"/>
    <s v="WE"/>
    <n v="81"/>
    <x v="4"/>
    <n v="21021040"/>
    <x v="4"/>
    <n v="99781.5"/>
    <s v="MXN"/>
    <n v="99781.5"/>
    <x v="0"/>
    <m/>
    <m/>
    <s v="092932E6-8FFC-11EF-A47B-8F40AB67745F"/>
    <s v="CSS160330CP7"/>
    <n v="107211"/>
    <s v="CFE SUMINISTRADOR DE SERVICIOS"/>
    <m/>
    <m/>
    <s v="27.01.2020"/>
    <n v="4501226446"/>
    <n v="20200127"/>
    <n v="99781.5"/>
    <n v="99781.5"/>
    <n v="199563"/>
    <n v="600035567"/>
    <s v="11 DE ENERO"/>
    <n v="199563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0"/>
    <s v="WE"/>
    <n v="81"/>
    <x v="4"/>
    <n v="21021040"/>
    <x v="4"/>
    <n v="96169.5"/>
    <s v="MXN"/>
    <n v="96169.5"/>
    <x v="0"/>
    <m/>
    <m/>
    <s v="092932E6-8FFC-11EF-A47B-8F40AB67745F"/>
    <s v="CSS160330CP7"/>
    <n v="107211"/>
    <s v="CFE SUMINISTRADOR DE SERVICIOS"/>
    <m/>
    <m/>
    <s v="27.01.2020"/>
    <n v="4501226446"/>
    <n v="20200127"/>
    <n v="96169.5"/>
    <n v="96169.5"/>
    <n v="192339"/>
    <n v="600035567"/>
    <s v="12 DE ENERO"/>
    <n v="192339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2"/>
    <s v="WE"/>
    <n v="81"/>
    <x v="4"/>
    <n v="21021040"/>
    <x v="4"/>
    <n v="93460.5"/>
    <s v="MXN"/>
    <n v="93460.5"/>
    <x v="0"/>
    <m/>
    <m/>
    <s v="092932E6-8FFC-11EF-A47B-8F40AB67745F"/>
    <s v="CSS160330CP7"/>
    <n v="107211"/>
    <s v="CFE SUMINISTRADOR DE SERVICIOS"/>
    <m/>
    <m/>
    <s v="27.01.2020"/>
    <n v="4501226446"/>
    <n v="20200127"/>
    <n v="93460.5"/>
    <n v="93460.5"/>
    <n v="186921"/>
    <n v="600035567"/>
    <s v="13 DE ENERO"/>
    <n v="186921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3"/>
    <s v="WE"/>
    <n v="81"/>
    <x v="4"/>
    <n v="21021040"/>
    <x v="4"/>
    <n v="96169.5"/>
    <s v="MXN"/>
    <n v="96169.5"/>
    <x v="0"/>
    <m/>
    <m/>
    <s v="092932E6-8FFC-11EF-A47B-8F40AB67745F"/>
    <s v="CSS160330CP7"/>
    <n v="107211"/>
    <s v="CFE SUMINISTRADOR DE SERVICIOS"/>
    <m/>
    <m/>
    <s v="27.01.2020"/>
    <n v="4501226446"/>
    <n v="20200127"/>
    <n v="96169.5"/>
    <n v="96169.5"/>
    <n v="192339"/>
    <n v="600035567"/>
    <s v="14 DE ENERO"/>
    <n v="192339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4"/>
    <s v="WE"/>
    <n v="81"/>
    <x v="4"/>
    <n v="21021040"/>
    <x v="4"/>
    <n v="96169.5"/>
    <s v="MXN"/>
    <n v="96169.5"/>
    <x v="0"/>
    <m/>
    <m/>
    <s v="092932E6-8FFC-11EF-A47B-8F40AB67745F"/>
    <s v="CSS160330CP7"/>
    <n v="107211"/>
    <s v="CFE SUMINISTRADOR DE SERVICIOS"/>
    <m/>
    <m/>
    <s v="27.01.2020"/>
    <n v="4501226446"/>
    <n v="20200127"/>
    <n v="96169.5"/>
    <n v="96169.5"/>
    <n v="192339"/>
    <n v="600035567"/>
    <s v="15 DE ENERO"/>
    <n v="192339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5"/>
    <s v="WE"/>
    <n v="81"/>
    <x v="4"/>
    <n v="21021040"/>
    <x v="4"/>
    <n v="92557.5"/>
    <s v="MXN"/>
    <n v="92557.5"/>
    <x v="0"/>
    <m/>
    <m/>
    <s v="092932E6-8FFC-11EF-A47B-8F40AB67745F"/>
    <s v="CSS160330CP7"/>
    <n v="107211"/>
    <s v="CFE SUMINISTRADOR DE SERVICIOS"/>
    <m/>
    <m/>
    <s v="27.01.2020"/>
    <n v="4501226446"/>
    <n v="20200127"/>
    <n v="92557.5"/>
    <n v="92557.5"/>
    <n v="185115"/>
    <n v="600035567"/>
    <s v="18 DE ENERO"/>
    <n v="185115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6"/>
    <s v="WE"/>
    <n v="81"/>
    <x v="4"/>
    <n v="21021040"/>
    <x v="4"/>
    <n v="97975.5"/>
    <s v="MXN"/>
    <n v="97975.5"/>
    <x v="0"/>
    <m/>
    <m/>
    <s v="092932E6-8FFC-11EF-A47B-8F40AB67745F"/>
    <s v="CSS160330CP7"/>
    <n v="107211"/>
    <s v="CFE SUMINISTRADOR DE SERVICIOS"/>
    <m/>
    <m/>
    <s v="27.01.2020"/>
    <n v="4501226446"/>
    <n v="20200127"/>
    <n v="97975.5"/>
    <n v="97975.5"/>
    <n v="195951"/>
    <n v="600035567"/>
    <s v="19 DE ENERO"/>
    <n v="195951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7"/>
    <s v="WE"/>
    <n v="81"/>
    <x v="4"/>
    <n v="21021040"/>
    <x v="4"/>
    <n v="94363.5"/>
    <s v="MXN"/>
    <n v="94363.5"/>
    <x v="0"/>
    <m/>
    <m/>
    <s v="092932E6-8FFC-11EF-A47B-8F40AB67745F"/>
    <s v="CSS160330CP7"/>
    <n v="107211"/>
    <s v="CFE SUMINISTRADOR DE SERVICIOS"/>
    <m/>
    <m/>
    <s v="27.01.2020"/>
    <n v="4501226446"/>
    <n v="20200127"/>
    <n v="94363.5"/>
    <n v="94363.5"/>
    <n v="188727"/>
    <n v="600035567"/>
    <s v="20 DE ENERO"/>
    <n v="188727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8"/>
    <s v="WE"/>
    <n v="81"/>
    <x v="4"/>
    <n v="21021040"/>
    <x v="4"/>
    <n v="94363.5"/>
    <s v="MXN"/>
    <n v="94363.5"/>
    <x v="0"/>
    <m/>
    <m/>
    <s v="092932E6-8FFC-11EF-A47B-8F40AB67745F"/>
    <s v="CSS160330CP7"/>
    <n v="107211"/>
    <s v="CFE SUMINISTRADOR DE SERVICIOS"/>
    <m/>
    <m/>
    <s v="27.01.2020"/>
    <n v="4501226446"/>
    <n v="20200127"/>
    <n v="94363.5"/>
    <n v="94363.5"/>
    <n v="188727"/>
    <n v="600035567"/>
    <s v="21 DE ENERO"/>
    <n v="188727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9"/>
    <s v="WE"/>
    <n v="81"/>
    <x v="4"/>
    <n v="21021040"/>
    <x v="4"/>
    <n v="79012.5"/>
    <s v="MXN"/>
    <n v="79012.5"/>
    <x v="0"/>
    <m/>
    <m/>
    <s v="092932E6-8FFC-11EF-A47B-8F40AB67745F"/>
    <s v="CSS160330CP7"/>
    <n v="107211"/>
    <s v="CFE SUMINISTRADOR DE SERVICIOS"/>
    <m/>
    <m/>
    <s v="27.01.2020"/>
    <n v="4501226446"/>
    <n v="20200127"/>
    <n v="79012.5"/>
    <n v="79012.5"/>
    <n v="158025"/>
    <n v="600035567"/>
    <s v="22 DE ENERO"/>
    <n v="158025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0"/>
    <s v="WE"/>
    <n v="81"/>
    <x v="4"/>
    <n v="21021040"/>
    <x v="4"/>
    <n v="79464"/>
    <s v="MXN"/>
    <n v="79464"/>
    <x v="0"/>
    <m/>
    <m/>
    <s v="092932E6-8FFC-11EF-A47B-8F40AB67745F"/>
    <s v="CSS160330CP7"/>
    <n v="107211"/>
    <s v="CFE SUMINISTRADOR DE SERVICIOS"/>
    <m/>
    <m/>
    <s v="27.01.2020"/>
    <n v="4501226446"/>
    <n v="20200127"/>
    <n v="79464"/>
    <n v="79464"/>
    <n v="158928"/>
    <n v="600035567"/>
    <s v="23 DE ENERO"/>
    <n v="158928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1"/>
    <s v="WE"/>
    <n v="81"/>
    <x v="4"/>
    <n v="21021040"/>
    <x v="4"/>
    <n v="79915.5"/>
    <s v="MXN"/>
    <n v="79915.5"/>
    <x v="0"/>
    <m/>
    <m/>
    <s v="092932E6-8FFC-11EF-A47B-8F40AB67745F"/>
    <s v="CSS160330CP7"/>
    <n v="107211"/>
    <s v="CFE SUMINISTRADOR DE SERVICIOS"/>
    <m/>
    <m/>
    <s v="27.01.2020"/>
    <n v="4501226446"/>
    <n v="20200127"/>
    <n v="79915.5"/>
    <n v="79915.5"/>
    <n v="159831"/>
    <n v="600035567"/>
    <s v="24 DE ENERO"/>
    <n v="159831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2"/>
    <s v="WE"/>
    <n v="81"/>
    <x v="4"/>
    <n v="21021040"/>
    <x v="4"/>
    <n v="78561"/>
    <s v="MXN"/>
    <n v="78561"/>
    <x v="0"/>
    <m/>
    <m/>
    <s v="092932E6-8FFC-11EF-A47B-8F40AB67745F"/>
    <s v="CSS160330CP7"/>
    <n v="107211"/>
    <s v="CFE SUMINISTRADOR DE SERVICIOS"/>
    <m/>
    <m/>
    <s v="27.01.2020"/>
    <n v="4501226446"/>
    <n v="20200127"/>
    <n v="78561"/>
    <n v="78561"/>
    <n v="157122"/>
    <n v="600035567"/>
    <s v="25 DE ENERO"/>
    <n v="157122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3"/>
    <s v="WE"/>
    <n v="81"/>
    <x v="4"/>
    <n v="21021040"/>
    <x v="4"/>
    <n v="78561"/>
    <s v="MXN"/>
    <n v="78561"/>
    <x v="0"/>
    <m/>
    <m/>
    <s v="092932E6-8FFC-11EF-A47B-8F40AB67745F"/>
    <s v="CSS160330CP7"/>
    <n v="107211"/>
    <s v="CFE SUMINISTRADOR DE SERVICIOS"/>
    <m/>
    <m/>
    <s v="27.01.2020"/>
    <n v="4501226446"/>
    <n v="20200127"/>
    <n v="78561"/>
    <n v="78561"/>
    <n v="157122"/>
    <n v="600035567"/>
    <s v="26  DE ENERO"/>
    <n v="157122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5"/>
    <s v="WE"/>
    <n v="81"/>
    <x v="4"/>
    <n v="21021040"/>
    <x v="4"/>
    <n v="92557.5"/>
    <s v="MXN"/>
    <n v="92557.5"/>
    <x v="0"/>
    <m/>
    <m/>
    <s v="092932E6-8FFC-11EF-A47B-8F40AB67745F"/>
    <s v="CSS160330CP7"/>
    <n v="107211"/>
    <s v="CFE SUMINISTRADOR DE SERVICIOS"/>
    <m/>
    <m/>
    <s v="27.01.2020"/>
    <n v="4501226446"/>
    <n v="20200127"/>
    <n v="92557.5"/>
    <n v="92557.5"/>
    <n v="185115"/>
    <n v="600035567"/>
    <s v="16 DE ENERO"/>
    <n v="185115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7"/>
    <s v="WE"/>
    <n v="81"/>
    <x v="4"/>
    <n v="21021040"/>
    <x v="4"/>
    <n v="97975.5"/>
    <s v="MXN"/>
    <n v="97975.5"/>
    <x v="0"/>
    <m/>
    <m/>
    <s v="092932E6-8FFC-11EF-A47B-8F40AB67745F"/>
    <s v="CSS160330CP7"/>
    <n v="107211"/>
    <s v="CFE SUMINISTRADOR DE SERVICIOS"/>
    <m/>
    <m/>
    <s v="27.01.2020"/>
    <n v="4501226446"/>
    <n v="20200127"/>
    <n v="97975.5"/>
    <n v="97975.5"/>
    <n v="195951"/>
    <n v="600035567"/>
    <s v="17 DE ENERO"/>
    <n v="195951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8"/>
    <s v="WE"/>
    <n v="81"/>
    <x v="4"/>
    <n v="21021040"/>
    <x v="4"/>
    <n v="83205"/>
    <s v="MXN"/>
    <n v="83205"/>
    <x v="0"/>
    <m/>
    <m/>
    <s v="092932E6-8FFC-11EF-A47B-8F40AB67745F"/>
    <s v="CSS160330CP7"/>
    <n v="107211"/>
    <s v="CFE SUMINISTRADOR DE SERVICIOS"/>
    <m/>
    <m/>
    <s v="27.01.2020"/>
    <n v="4501226446"/>
    <n v="20200127"/>
    <n v="83205"/>
    <n v="83205"/>
    <n v="166410"/>
    <n v="600035567"/>
    <s v="27 DE ENERO"/>
    <n v="166410"/>
    <s v="06.02.2020"/>
    <s v="TRANSFERENCIA"/>
    <n v="600035588"/>
    <s v="HSBC "/>
    <s v="HSBC 004053489092 TP"/>
    <n v="340618590"/>
    <s v="SOLIUNICO"/>
  </r>
  <r>
    <n v="3403"/>
    <s v="27.01.2020"/>
    <n v="2020"/>
    <d v="2020-01-01T00:00:00"/>
    <n v="1"/>
    <n v="300015083"/>
    <s v="WE"/>
    <n v="81"/>
    <x v="5"/>
    <n v="21021040"/>
    <x v="5"/>
    <n v="634.57000000000005"/>
    <s v="USD"/>
    <n v="11931.06"/>
    <x v="0"/>
    <m/>
    <m/>
    <s v="N/A Registro proveedor extranjero"/>
    <n v="752738581"/>
    <n v="602358"/>
    <s v="PEGASUS BUSINESS INTELLIGENCE"/>
    <m/>
    <m/>
    <s v="27.01.2020"/>
    <n v="2292349"/>
    <n v="20200127"/>
    <n v="634.57000000000005"/>
    <n v="0"/>
    <n v="634.57000000000005"/>
    <n v="300018475"/>
    <s v="Travel Agent Commissions - Pegasus Cycle"/>
    <n v="634.57000000000005"/>
    <s v="10.02.2020"/>
    <s v="TRANSFERENCIA"/>
    <n v="300026024"/>
    <s v="BOFA"/>
    <s v="BofA RCD 89805242886"/>
    <n v="340321990"/>
    <s v="DRUBIO"/>
  </r>
  <r>
    <n v="3402"/>
    <s v="27.01.2020"/>
    <n v="2020"/>
    <d v="2020-01-01T00:00:00"/>
    <n v="1"/>
    <n v="200091597"/>
    <s v="WE"/>
    <n v="81"/>
    <x v="3"/>
    <n v="21021040"/>
    <x v="3"/>
    <n v="7909.01"/>
    <s v="USD"/>
    <n v="148703.62"/>
    <x v="0"/>
    <m/>
    <m/>
    <s v="N/A Registro proveedor extranjero"/>
    <n v="593383972"/>
    <n v="600226"/>
    <s v="HARD ROCK CAFE INTERNATIONAL INC."/>
    <m/>
    <m/>
    <s v="28.01.2020"/>
    <s v="INVOICE 4181219M"/>
    <n v="20200127"/>
    <n v="7909.01"/>
    <n v="0"/>
    <n v="7909.01"/>
    <n v="200091600"/>
    <s v="RENTA MENSUAL MEMORABILIA ENE2020"/>
    <n v="6327.2080000000005"/>
    <s v="02.06.2020"/>
    <s v="TRANSFERENCIA"/>
    <n v="200783543"/>
    <s v="BOFA"/>
    <s v="BofA RCD 89805242886"/>
    <n v="340221790"/>
    <s v="SOLI1102"/>
  </r>
  <r>
    <n v="3409"/>
    <s v="18.01.2020"/>
    <n v="2020"/>
    <d v="2020-01-01T00:00:00"/>
    <n v="1"/>
    <n v="900006201"/>
    <s v="WE"/>
    <n v="81"/>
    <x v="5"/>
    <n v="21021040"/>
    <x v="5"/>
    <n v="115.68"/>
    <s v="USD"/>
    <n v="2173.9699999999998"/>
    <x v="0"/>
    <m/>
    <m/>
    <s v="N/A Registro proveedor extranjero"/>
    <n v="133189146"/>
    <n v="105142"/>
    <s v="PROTRAVEL INTERNATIONAL"/>
    <m/>
    <m/>
    <s v="18.01.2020"/>
    <s v="RVA 19735066"/>
    <n v="20200118"/>
    <n v="115.68"/>
    <n v="0"/>
    <n v="115.68"/>
    <n v="900006377"/>
    <s v="Protravel International - Rva 19735066"/>
    <n v="115.68"/>
    <s v="24.01.2020"/>
    <s v="TRANSFERENCIA"/>
    <n v="900008379"/>
    <s v="BOFA"/>
    <s v="BofA RCD 89805242886"/>
    <n v="340921790"/>
    <s v="SOLI3409"/>
  </r>
  <r>
    <n v="3406"/>
    <s v="31.01.2020"/>
    <n v="2020"/>
    <d v="2020-01-01T00:00:00"/>
    <n v="2"/>
    <n v="600031588"/>
    <s v="WA"/>
    <n v="81"/>
    <x v="0"/>
    <n v="11500010"/>
    <x v="0"/>
    <n v="2733.35"/>
    <s v="MXN"/>
    <n v="2733.35"/>
    <x v="0"/>
    <m/>
    <m/>
    <m/>
    <m/>
    <m/>
    <m/>
    <m/>
    <m/>
    <s v="01.02.2020"/>
    <m/>
    <n v="20200131"/>
    <n v="2733.35"/>
    <m/>
    <m/>
    <m/>
    <m/>
    <m/>
    <m/>
    <m/>
    <m/>
    <m/>
    <m/>
    <n v="340610490"/>
    <s v="JGARCIA"/>
  </r>
  <r>
    <n v="3406"/>
    <s v="31.01.2020"/>
    <n v="2020"/>
    <d v="2020-01-01T00:00:00"/>
    <n v="4"/>
    <n v="600031588"/>
    <s v="WA"/>
    <n v="81"/>
    <x v="0"/>
    <n v="11500010"/>
    <x v="0"/>
    <n v="1356.66"/>
    <s v="MXN"/>
    <n v="1356.66"/>
    <x v="0"/>
    <m/>
    <m/>
    <m/>
    <m/>
    <m/>
    <m/>
    <m/>
    <m/>
    <s v="01.02.2020"/>
    <m/>
    <n v="20200131"/>
    <n v="1356.66"/>
    <m/>
    <m/>
    <m/>
    <m/>
    <m/>
    <m/>
    <m/>
    <m/>
    <m/>
    <m/>
    <n v="340610490"/>
    <s v="JGARCIA"/>
  </r>
  <r>
    <n v="3406"/>
    <s v="31.01.2020"/>
    <n v="2020"/>
    <d v="2020-01-01T00:00:00"/>
    <n v="6"/>
    <n v="600031588"/>
    <s v="WA"/>
    <n v="81"/>
    <x v="0"/>
    <n v="11500010"/>
    <x v="0"/>
    <n v="1680"/>
    <s v="MXN"/>
    <n v="1680"/>
    <x v="0"/>
    <m/>
    <m/>
    <m/>
    <m/>
    <m/>
    <m/>
    <m/>
    <m/>
    <s v="01.02.2020"/>
    <m/>
    <n v="20200131"/>
    <n v="1680"/>
    <m/>
    <m/>
    <m/>
    <m/>
    <m/>
    <m/>
    <m/>
    <m/>
    <m/>
    <m/>
    <n v="340610490"/>
    <s v="JGARCIA"/>
  </r>
  <r>
    <n v="3406"/>
    <s v="31.01.2020"/>
    <n v="2020"/>
    <d v="2020-01-01T00:00:00"/>
    <n v="12"/>
    <n v="600031588"/>
    <s v="WA"/>
    <n v="81"/>
    <x v="0"/>
    <n v="11500010"/>
    <x v="0"/>
    <n v="146.9"/>
    <s v="MXN"/>
    <n v="146.9"/>
    <x v="0"/>
    <m/>
    <m/>
    <m/>
    <m/>
    <m/>
    <m/>
    <m/>
    <m/>
    <s v="01.02.2020"/>
    <m/>
    <n v="20200131"/>
    <n v="146.9"/>
    <m/>
    <m/>
    <m/>
    <m/>
    <m/>
    <m/>
    <m/>
    <m/>
    <m/>
    <m/>
    <n v="340610490"/>
    <s v="JGARCIA"/>
  </r>
  <r>
    <n v="3406"/>
    <s v="31.01.2020"/>
    <n v="2020"/>
    <d v="2020-01-01T00:00:00"/>
    <n v="14"/>
    <n v="600031588"/>
    <s v="WA"/>
    <n v="81"/>
    <x v="0"/>
    <n v="11500010"/>
    <x v="0"/>
    <n v="73.45"/>
    <s v="MXN"/>
    <n v="73.45"/>
    <x v="0"/>
    <m/>
    <m/>
    <m/>
    <m/>
    <m/>
    <m/>
    <m/>
    <m/>
    <s v="01.02.2020"/>
    <m/>
    <n v="20200131"/>
    <n v="73.45"/>
    <m/>
    <m/>
    <m/>
    <m/>
    <m/>
    <m/>
    <m/>
    <m/>
    <m/>
    <m/>
    <n v="340610490"/>
    <s v="JGARCIA"/>
  </r>
  <r>
    <n v="3406"/>
    <s v="31.01.2020"/>
    <n v="2020"/>
    <d v="2020-01-01T00:00:00"/>
    <n v="22"/>
    <n v="600031588"/>
    <s v="WA"/>
    <n v="81"/>
    <x v="0"/>
    <n v="11500010"/>
    <x v="0"/>
    <n v="563.5"/>
    <s v="MXN"/>
    <n v="563.5"/>
    <x v="0"/>
    <m/>
    <m/>
    <m/>
    <m/>
    <m/>
    <m/>
    <m/>
    <m/>
    <s v="01.02.2020"/>
    <m/>
    <n v="20200131"/>
    <n v="563.5"/>
    <m/>
    <m/>
    <m/>
    <m/>
    <m/>
    <m/>
    <m/>
    <m/>
    <m/>
    <m/>
    <n v="340610490"/>
    <s v="JGARCIA"/>
  </r>
  <r>
    <n v="3406"/>
    <s v="31.01.2020"/>
    <n v="2020"/>
    <d v="2020-01-01T00:00:00"/>
    <n v="24"/>
    <n v="600031588"/>
    <s v="WA"/>
    <n v="81"/>
    <x v="0"/>
    <n v="11500010"/>
    <x v="0"/>
    <n v="55"/>
    <s v="MXN"/>
    <n v="55"/>
    <x v="0"/>
    <m/>
    <m/>
    <m/>
    <m/>
    <m/>
    <m/>
    <m/>
    <m/>
    <s v="01.02.2020"/>
    <m/>
    <n v="20200131"/>
    <n v="55"/>
    <m/>
    <m/>
    <m/>
    <m/>
    <m/>
    <m/>
    <m/>
    <m/>
    <m/>
    <m/>
    <n v="340610490"/>
    <s v="JGARCIA"/>
  </r>
  <r>
    <n v="3406"/>
    <s v="31.01.2020"/>
    <n v="2020"/>
    <d v="2020-01-01T00:00:00"/>
    <n v="26"/>
    <n v="600031588"/>
    <s v="WA"/>
    <n v="81"/>
    <x v="0"/>
    <n v="11500010"/>
    <x v="0"/>
    <n v="80.5"/>
    <s v="MXN"/>
    <n v="80.5"/>
    <x v="0"/>
    <m/>
    <m/>
    <m/>
    <m/>
    <m/>
    <m/>
    <m/>
    <m/>
    <s v="01.02.2020"/>
    <m/>
    <n v="20200131"/>
    <n v="80.5"/>
    <m/>
    <m/>
    <m/>
    <m/>
    <m/>
    <m/>
    <m/>
    <m/>
    <m/>
    <m/>
    <n v="340610490"/>
    <s v="JGARCIA"/>
  </r>
  <r>
    <n v="3406"/>
    <s v="31.01.2020"/>
    <n v="2020"/>
    <d v="2020-01-01T00:00:00"/>
    <n v="28"/>
    <n v="600031588"/>
    <s v="WA"/>
    <n v="81"/>
    <x v="0"/>
    <n v="11500010"/>
    <x v="0"/>
    <n v="184.73"/>
    <s v="MXN"/>
    <n v="184.73"/>
    <x v="0"/>
    <m/>
    <m/>
    <m/>
    <m/>
    <m/>
    <m/>
    <m/>
    <m/>
    <s v="01.02.2020"/>
    <m/>
    <n v="20200131"/>
    <n v="184.73"/>
    <m/>
    <m/>
    <m/>
    <m/>
    <m/>
    <m/>
    <m/>
    <m/>
    <m/>
    <m/>
    <n v="340610490"/>
    <s v="JGARCIA"/>
  </r>
  <r>
    <n v="3406"/>
    <s v="31.01.2020"/>
    <n v="2020"/>
    <d v="2020-01-01T00:00:00"/>
    <n v="30"/>
    <n v="600031588"/>
    <s v="WA"/>
    <n v="81"/>
    <x v="0"/>
    <n v="11500010"/>
    <x v="0"/>
    <n v="840"/>
    <s v="MXN"/>
    <n v="840"/>
    <x v="0"/>
    <m/>
    <m/>
    <m/>
    <m/>
    <m/>
    <m/>
    <m/>
    <m/>
    <s v="01.02.2020"/>
    <m/>
    <n v="20200131"/>
    <n v="840"/>
    <m/>
    <m/>
    <m/>
    <m/>
    <m/>
    <m/>
    <m/>
    <m/>
    <m/>
    <m/>
    <n v="340610490"/>
    <s v="JGARCIA"/>
  </r>
  <r>
    <n v="3406"/>
    <s v="31.01.2020"/>
    <n v="2020"/>
    <d v="2020-01-01T00:00:00"/>
    <n v="32"/>
    <n v="600031588"/>
    <s v="WA"/>
    <n v="81"/>
    <x v="0"/>
    <n v="11500010"/>
    <x v="0"/>
    <n v="734.75"/>
    <s v="MXN"/>
    <n v="734.75"/>
    <x v="0"/>
    <m/>
    <m/>
    <m/>
    <m/>
    <m/>
    <m/>
    <m/>
    <m/>
    <s v="01.02.2020"/>
    <m/>
    <n v="20200131"/>
    <n v="734.75"/>
    <m/>
    <m/>
    <m/>
    <m/>
    <m/>
    <m/>
    <m/>
    <m/>
    <m/>
    <m/>
    <n v="340610490"/>
    <s v="JGARCIA"/>
  </r>
  <r>
    <n v="3406"/>
    <s v="31.01.2020"/>
    <n v="2020"/>
    <d v="2020-01-01T00:00:00"/>
    <n v="82"/>
    <n v="600031588"/>
    <s v="WA"/>
    <n v="81"/>
    <x v="0"/>
    <n v="11500010"/>
    <x v="0"/>
    <n v="73.45"/>
    <s v="MXN"/>
    <n v="73.45"/>
    <x v="0"/>
    <m/>
    <m/>
    <m/>
    <m/>
    <m/>
    <m/>
    <m/>
    <m/>
    <s v="01.02.2020"/>
    <m/>
    <n v="20200131"/>
    <n v="73.45"/>
    <m/>
    <m/>
    <m/>
    <m/>
    <m/>
    <m/>
    <m/>
    <m/>
    <m/>
    <m/>
    <n v="340610490"/>
    <s v="JGARCIA"/>
  </r>
  <r>
    <n v="3406"/>
    <s v="31.01.2020"/>
    <n v="2020"/>
    <d v="2020-01-01T00:00:00"/>
    <n v="84"/>
    <n v="600031588"/>
    <s v="WA"/>
    <n v="81"/>
    <x v="0"/>
    <n v="11500010"/>
    <x v="0"/>
    <n v="10262"/>
    <s v="MXN"/>
    <n v="10262"/>
    <x v="0"/>
    <m/>
    <m/>
    <m/>
    <m/>
    <m/>
    <m/>
    <m/>
    <m/>
    <s v="01.02.2020"/>
    <m/>
    <n v="20200131"/>
    <n v="10262"/>
    <m/>
    <m/>
    <m/>
    <m/>
    <m/>
    <m/>
    <m/>
    <m/>
    <m/>
    <m/>
    <n v="340610490"/>
    <s v="JGARCIA"/>
  </r>
  <r>
    <n v="3406"/>
    <s v="31.01.2020"/>
    <n v="2020"/>
    <d v="2020-01-01T00:00:00"/>
    <n v="86"/>
    <n v="600031588"/>
    <s v="WA"/>
    <n v="81"/>
    <x v="0"/>
    <n v="11500010"/>
    <x v="0"/>
    <n v="5131"/>
    <s v="MXN"/>
    <n v="5131"/>
    <x v="0"/>
    <m/>
    <m/>
    <m/>
    <m/>
    <m/>
    <m/>
    <m/>
    <m/>
    <s v="01.02.2020"/>
    <m/>
    <n v="20200131"/>
    <n v="5131"/>
    <m/>
    <m/>
    <m/>
    <m/>
    <m/>
    <m/>
    <m/>
    <m/>
    <m/>
    <m/>
    <n v="340610490"/>
    <s v="JGARCIA"/>
  </r>
  <r>
    <n v="3406"/>
    <s v="31.01.2020"/>
    <n v="2020"/>
    <d v="2020-01-01T00:00:00"/>
    <n v="88"/>
    <n v="600031588"/>
    <s v="WA"/>
    <n v="81"/>
    <x v="0"/>
    <n v="11500010"/>
    <x v="0"/>
    <n v="10262"/>
    <s v="MXN"/>
    <n v="10262"/>
    <x v="0"/>
    <m/>
    <m/>
    <m/>
    <m/>
    <m/>
    <m/>
    <m/>
    <m/>
    <s v="01.02.2020"/>
    <m/>
    <n v="20200131"/>
    <n v="10262"/>
    <m/>
    <m/>
    <m/>
    <m/>
    <m/>
    <m/>
    <m/>
    <m/>
    <m/>
    <m/>
    <n v="340610490"/>
    <s v="JGARCIA"/>
  </r>
  <r>
    <n v="3406"/>
    <s v="31.01.2020"/>
    <n v="2020"/>
    <d v="2020-01-01T00:00:00"/>
    <n v="90"/>
    <n v="600031588"/>
    <s v="WA"/>
    <n v="81"/>
    <x v="0"/>
    <n v="11500010"/>
    <x v="0"/>
    <n v="5131"/>
    <s v="MXN"/>
    <n v="5131"/>
    <x v="0"/>
    <m/>
    <m/>
    <m/>
    <m/>
    <m/>
    <m/>
    <m/>
    <m/>
    <s v="01.02.2020"/>
    <m/>
    <n v="20200131"/>
    <n v="5131"/>
    <m/>
    <m/>
    <m/>
    <m/>
    <m/>
    <m/>
    <m/>
    <m/>
    <m/>
    <m/>
    <n v="340610490"/>
    <s v="JGARCIA"/>
  </r>
  <r>
    <n v="3406"/>
    <s v="31.01.2020"/>
    <n v="2020"/>
    <d v="2020-01-01T00:00:00"/>
    <n v="106"/>
    <n v="600031588"/>
    <s v="WA"/>
    <n v="81"/>
    <x v="0"/>
    <n v="11500010"/>
    <x v="0"/>
    <n v="1261.25"/>
    <s v="MXN"/>
    <n v="1261.25"/>
    <x v="0"/>
    <m/>
    <m/>
    <m/>
    <m/>
    <m/>
    <m/>
    <m/>
    <m/>
    <s v="01.02.2020"/>
    <m/>
    <n v="20200131"/>
    <n v="1261.25"/>
    <m/>
    <m/>
    <m/>
    <m/>
    <m/>
    <m/>
    <m/>
    <m/>
    <m/>
    <m/>
    <n v="340610490"/>
    <s v="JGARCIA"/>
  </r>
  <r>
    <n v="3406"/>
    <s v="31.01.2020"/>
    <n v="2020"/>
    <d v="2020-01-01T00:00:00"/>
    <n v="108"/>
    <n v="600031588"/>
    <s v="WA"/>
    <n v="81"/>
    <x v="0"/>
    <n v="11500010"/>
    <x v="0"/>
    <n v="504.5"/>
    <s v="MXN"/>
    <n v="504.5"/>
    <x v="0"/>
    <m/>
    <m/>
    <m/>
    <m/>
    <m/>
    <m/>
    <m/>
    <m/>
    <s v="01.02.2020"/>
    <m/>
    <n v="20200131"/>
    <n v="504.5"/>
    <m/>
    <m/>
    <m/>
    <m/>
    <m/>
    <m/>
    <m/>
    <m/>
    <m/>
    <m/>
    <n v="340610490"/>
    <s v="JGARCIA"/>
  </r>
  <r>
    <n v="3406"/>
    <s v="31.01.2020"/>
    <n v="2020"/>
    <d v="2020-01-01T00:00:00"/>
    <n v="110"/>
    <n v="600031588"/>
    <s v="WA"/>
    <n v="81"/>
    <x v="0"/>
    <n v="11500010"/>
    <x v="0"/>
    <n v="408.1"/>
    <s v="MXN"/>
    <n v="408.1"/>
    <x v="0"/>
    <m/>
    <m/>
    <m/>
    <m/>
    <m/>
    <m/>
    <m/>
    <m/>
    <s v="01.02.2020"/>
    <m/>
    <n v="20200131"/>
    <n v="408.1"/>
    <m/>
    <m/>
    <m/>
    <m/>
    <m/>
    <m/>
    <m/>
    <m/>
    <m/>
    <m/>
    <n v="340610490"/>
    <s v="JGARCIA"/>
  </r>
  <r>
    <n v="3406"/>
    <s v="31.01.2020"/>
    <n v="2020"/>
    <d v="2020-01-01T00:00:00"/>
    <n v="134"/>
    <n v="600031588"/>
    <s v="WA"/>
    <n v="81"/>
    <x v="0"/>
    <n v="11500010"/>
    <x v="0"/>
    <n v="10857"/>
    <s v="MXN"/>
    <n v="10857"/>
    <x v="0"/>
    <m/>
    <m/>
    <m/>
    <m/>
    <m/>
    <m/>
    <m/>
    <m/>
    <s v="01.02.2020"/>
    <m/>
    <n v="20200131"/>
    <n v="10857"/>
    <m/>
    <m/>
    <m/>
    <m/>
    <m/>
    <m/>
    <m/>
    <m/>
    <m/>
    <m/>
    <n v="340610490"/>
    <s v="JGARCIA"/>
  </r>
  <r>
    <n v="3406"/>
    <s v="31.01.2020"/>
    <n v="2020"/>
    <d v="2020-01-01T00:00:00"/>
    <n v="136"/>
    <n v="600031588"/>
    <s v="WA"/>
    <n v="81"/>
    <x v="0"/>
    <n v="11500010"/>
    <x v="0"/>
    <n v="8976"/>
    <s v="MXN"/>
    <n v="8976"/>
    <x v="0"/>
    <m/>
    <m/>
    <m/>
    <m/>
    <m/>
    <m/>
    <m/>
    <m/>
    <s v="01.02.2020"/>
    <m/>
    <n v="20200131"/>
    <n v="8976"/>
    <m/>
    <m/>
    <m/>
    <m/>
    <m/>
    <m/>
    <m/>
    <m/>
    <m/>
    <m/>
    <n v="340610490"/>
    <s v="JGARCIA"/>
  </r>
  <r>
    <n v="3406"/>
    <s v="31.01.2020"/>
    <n v="2020"/>
    <d v="2020-01-01T00:00:00"/>
    <n v="138"/>
    <n v="600031588"/>
    <s v="WA"/>
    <n v="81"/>
    <x v="0"/>
    <n v="11500010"/>
    <x v="0"/>
    <n v="9262.2999999999993"/>
    <s v="MXN"/>
    <n v="9262.2999999999993"/>
    <x v="0"/>
    <m/>
    <m/>
    <m/>
    <m/>
    <m/>
    <m/>
    <m/>
    <m/>
    <s v="01.02.2020"/>
    <m/>
    <n v="20200131"/>
    <n v="9262.2999999999993"/>
    <m/>
    <m/>
    <m/>
    <m/>
    <m/>
    <m/>
    <m/>
    <m/>
    <m/>
    <m/>
    <n v="340610490"/>
    <s v="JGARCIA"/>
  </r>
  <r>
    <n v="3406"/>
    <s v="31.01.2020"/>
    <n v="2020"/>
    <d v="2020-01-01T00:00:00"/>
    <n v="140"/>
    <n v="600031588"/>
    <s v="WA"/>
    <n v="81"/>
    <x v="0"/>
    <n v="11500010"/>
    <x v="0"/>
    <n v="1531.28"/>
    <s v="MXN"/>
    <n v="1531.28"/>
    <x v="0"/>
    <m/>
    <m/>
    <m/>
    <m/>
    <m/>
    <m/>
    <m/>
    <m/>
    <s v="01.02.2020"/>
    <m/>
    <n v="20200131"/>
    <n v="1531.28"/>
    <m/>
    <m/>
    <m/>
    <m/>
    <m/>
    <m/>
    <m/>
    <m/>
    <m/>
    <m/>
    <n v="340610490"/>
    <s v="JGARCIA"/>
  </r>
  <r>
    <n v="3406"/>
    <s v="31.01.2020"/>
    <n v="2020"/>
    <d v="2020-01-01T00:00:00"/>
    <n v="142"/>
    <n v="600031588"/>
    <s v="WA"/>
    <n v="81"/>
    <x v="0"/>
    <n v="11500010"/>
    <x v="0"/>
    <n v="2365.5"/>
    <s v="MXN"/>
    <n v="2365.5"/>
    <x v="0"/>
    <m/>
    <m/>
    <m/>
    <m/>
    <m/>
    <m/>
    <m/>
    <m/>
    <s v="01.02.2020"/>
    <m/>
    <n v="20200131"/>
    <n v="2365.5"/>
    <m/>
    <m/>
    <m/>
    <m/>
    <m/>
    <m/>
    <m/>
    <m/>
    <m/>
    <m/>
    <n v="340610490"/>
    <s v="JGARCIA"/>
  </r>
  <r>
    <n v="3406"/>
    <s v="31.01.2020"/>
    <n v="2020"/>
    <d v="2020-01-01T00:00:00"/>
    <n v="144"/>
    <n v="600031588"/>
    <s v="WA"/>
    <n v="81"/>
    <x v="0"/>
    <n v="11500010"/>
    <x v="0"/>
    <n v="2660"/>
    <s v="MXN"/>
    <n v="2660"/>
    <x v="0"/>
    <m/>
    <m/>
    <m/>
    <m/>
    <m/>
    <m/>
    <m/>
    <m/>
    <s v="01.02.2020"/>
    <m/>
    <n v="20200131"/>
    <n v="2660"/>
    <m/>
    <m/>
    <m/>
    <m/>
    <m/>
    <m/>
    <m/>
    <m/>
    <m/>
    <m/>
    <n v="340610490"/>
    <s v="JGARCIA"/>
  </r>
  <r>
    <n v="3406"/>
    <s v="31.01.2020"/>
    <n v="2020"/>
    <d v="2020-01-01T00:00:00"/>
    <n v="146"/>
    <n v="600031588"/>
    <s v="WA"/>
    <n v="81"/>
    <x v="0"/>
    <n v="11500010"/>
    <x v="0"/>
    <n v="1900"/>
    <s v="MXN"/>
    <n v="1900"/>
    <x v="0"/>
    <m/>
    <m/>
    <m/>
    <m/>
    <m/>
    <m/>
    <m/>
    <m/>
    <s v="01.02.2020"/>
    <m/>
    <n v="20200131"/>
    <n v="1900"/>
    <m/>
    <m/>
    <m/>
    <m/>
    <m/>
    <m/>
    <m/>
    <m/>
    <m/>
    <m/>
    <n v="340610490"/>
    <s v="JGARCIA"/>
  </r>
  <r>
    <n v="3401"/>
    <s v="31.01.2020"/>
    <n v="2020"/>
    <d v="2020-01-01T00:00:00"/>
    <n v="22"/>
    <n v="100031797"/>
    <s v="WA"/>
    <n v="81"/>
    <x v="0"/>
    <n v="11500040"/>
    <x v="0"/>
    <n v="214"/>
    <s v="MXN"/>
    <n v="214"/>
    <x v="0"/>
    <m/>
    <m/>
    <m/>
    <m/>
    <m/>
    <m/>
    <m/>
    <m/>
    <s v="31.01.2020"/>
    <m/>
    <n v="20200131"/>
    <n v="214"/>
    <m/>
    <m/>
    <m/>
    <m/>
    <m/>
    <m/>
    <m/>
    <m/>
    <m/>
    <m/>
    <n v="340112390"/>
    <s v="FLUGO"/>
  </r>
  <r>
    <n v="3401"/>
    <s v="31.01.2020"/>
    <n v="2020"/>
    <d v="2020-01-01T00:00:00"/>
    <n v="28"/>
    <n v="100031797"/>
    <s v="WA"/>
    <n v="81"/>
    <x v="0"/>
    <n v="11500040"/>
    <x v="0"/>
    <n v="784"/>
    <s v="MXN"/>
    <n v="784"/>
    <x v="0"/>
    <m/>
    <m/>
    <m/>
    <m/>
    <m/>
    <m/>
    <m/>
    <m/>
    <s v="31.01.2020"/>
    <m/>
    <n v="20200131"/>
    <n v="784"/>
    <m/>
    <m/>
    <m/>
    <m/>
    <m/>
    <m/>
    <m/>
    <m/>
    <m/>
    <m/>
    <n v="340112390"/>
    <s v="FLUGO"/>
  </r>
  <r>
    <n v="3401"/>
    <s v="31.01.2020"/>
    <n v="2020"/>
    <d v="2020-01-01T00:00:00"/>
    <n v="30"/>
    <n v="100031797"/>
    <s v="WA"/>
    <n v="81"/>
    <x v="0"/>
    <n v="11500040"/>
    <x v="0"/>
    <n v="1239.7"/>
    <s v="MXN"/>
    <n v="1239.7"/>
    <x v="0"/>
    <m/>
    <m/>
    <m/>
    <m/>
    <m/>
    <m/>
    <m/>
    <m/>
    <s v="31.01.2020"/>
    <m/>
    <n v="20200131"/>
    <n v="1239.7"/>
    <m/>
    <m/>
    <m/>
    <m/>
    <m/>
    <m/>
    <m/>
    <m/>
    <m/>
    <m/>
    <n v="340112390"/>
    <s v="FLUGO"/>
  </r>
  <r>
    <n v="3401"/>
    <s v="31.01.2020"/>
    <n v="2020"/>
    <d v="2020-01-01T00:00:00"/>
    <n v="56"/>
    <n v="100031797"/>
    <s v="WA"/>
    <n v="81"/>
    <x v="0"/>
    <n v="11500040"/>
    <x v="0"/>
    <n v="1933.33"/>
    <s v="MXN"/>
    <n v="1933.33"/>
    <x v="0"/>
    <m/>
    <m/>
    <m/>
    <m/>
    <m/>
    <m/>
    <m/>
    <m/>
    <s v="31.01.2020"/>
    <m/>
    <n v="20200131"/>
    <n v="1933.33"/>
    <m/>
    <m/>
    <m/>
    <m/>
    <m/>
    <m/>
    <m/>
    <m/>
    <m/>
    <m/>
    <n v="340112390"/>
    <s v="FLUGO"/>
  </r>
  <r>
    <n v="3401"/>
    <s v="31.01.2020"/>
    <n v="2020"/>
    <d v="2020-01-01T00:00:00"/>
    <n v="58"/>
    <n v="100031797"/>
    <s v="WA"/>
    <n v="81"/>
    <x v="0"/>
    <n v="11500040"/>
    <x v="0"/>
    <n v="5578.95"/>
    <s v="MXN"/>
    <n v="5578.95"/>
    <x v="0"/>
    <m/>
    <m/>
    <m/>
    <m/>
    <m/>
    <m/>
    <m/>
    <m/>
    <s v="31.01.2020"/>
    <m/>
    <n v="20200131"/>
    <n v="5578.95"/>
    <m/>
    <m/>
    <m/>
    <m/>
    <m/>
    <m/>
    <m/>
    <m/>
    <m/>
    <m/>
    <n v="340112390"/>
    <s v="FLUGO"/>
  </r>
  <r>
    <n v="3401"/>
    <s v="31.01.2020"/>
    <n v="2020"/>
    <d v="2020-01-01T00:00:00"/>
    <n v="58"/>
    <n v="100031475"/>
    <s v="WA"/>
    <n v="81"/>
    <x v="0"/>
    <n v="11500010"/>
    <x v="0"/>
    <n v="33.6"/>
    <s v="MXN"/>
    <n v="33.6"/>
    <x v="0"/>
    <m/>
    <m/>
    <m/>
    <m/>
    <m/>
    <m/>
    <m/>
    <m/>
    <s v="31.01.2020"/>
    <m/>
    <n v="20200131"/>
    <n v="33.6"/>
    <m/>
    <m/>
    <m/>
    <m/>
    <m/>
    <m/>
    <m/>
    <m/>
    <m/>
    <m/>
    <n v="340112690"/>
    <s v="FLUGO"/>
  </r>
  <r>
    <n v="3400"/>
    <s v="31.01.2020"/>
    <n v="2020"/>
    <d v="2020-01-01T00:00:00"/>
    <n v="1"/>
    <n v="880003729"/>
    <s v="Z6"/>
    <n v="40"/>
    <x v="1"/>
    <n v="11128112"/>
    <x v="1"/>
    <n v="3310.28"/>
    <s v="USD"/>
    <n v="61924.41"/>
    <x v="0"/>
    <s v="D3"/>
    <m/>
    <m/>
    <m/>
    <m/>
    <m/>
    <m/>
    <m/>
    <s v="04.02.2020"/>
    <m/>
    <s v="COM BANCARIASC"/>
    <n v="3310.28"/>
    <m/>
    <m/>
    <m/>
    <s v="COM BANCARIAS SANTANDER 3341 AL 31.01.2020"/>
    <m/>
    <m/>
    <m/>
    <m/>
    <m/>
    <m/>
    <n v="340099150"/>
    <s v="JAVILES"/>
  </r>
  <r>
    <n v="3401"/>
    <s v="31.01.2020"/>
    <n v="2020"/>
    <d v="2020-01-01T00:00:00"/>
    <n v="5"/>
    <n v="100035321"/>
    <s v="SA"/>
    <n v="40"/>
    <x v="6"/>
    <n v="11210050"/>
    <x v="6"/>
    <n v="472.59"/>
    <s v="USD"/>
    <n v="8862.06"/>
    <x v="0"/>
    <m/>
    <m/>
    <m/>
    <m/>
    <m/>
    <m/>
    <m/>
    <m/>
    <s v="04.02.2020"/>
    <m/>
    <n v="20200131"/>
    <n v="472.59"/>
    <m/>
    <m/>
    <m/>
    <s v="DIST LAVANDERIA  2,001 KG ENE 20"/>
    <m/>
    <m/>
    <m/>
    <m/>
    <m/>
    <m/>
    <n v="340112790"/>
    <s v="THUCHIN"/>
  </r>
  <r>
    <n v="3406"/>
    <s v="31.01.2020"/>
    <n v="2020"/>
    <d v="2020-01-01T00:00:00"/>
    <n v="1"/>
    <n v="600033612"/>
    <s v="SA"/>
    <n v="40"/>
    <x v="6"/>
    <n v="11210050"/>
    <x v="6"/>
    <n v="21295.86"/>
    <s v="USD"/>
    <n v="399341.11"/>
    <x v="0"/>
    <m/>
    <m/>
    <m/>
    <m/>
    <m/>
    <m/>
    <m/>
    <m/>
    <s v="04.02.2020"/>
    <m/>
    <n v="20200131"/>
    <n v="21295.86"/>
    <m/>
    <m/>
    <m/>
    <s v="DIST LAVANDERIA 90,187 KG ENE 20"/>
    <m/>
    <m/>
    <m/>
    <m/>
    <m/>
    <m/>
    <n v="340610490"/>
    <s v="THUCHIN"/>
  </r>
  <r>
    <n v="3406"/>
    <s v="31.01.2020"/>
    <n v="2020"/>
    <d v="2020-01-01T00:00:00"/>
    <n v="2"/>
    <n v="600033612"/>
    <s v="SA"/>
    <n v="40"/>
    <x v="6"/>
    <n v="11210050"/>
    <x v="6"/>
    <n v="2286.04"/>
    <s v="USD"/>
    <n v="42867.96"/>
    <x v="0"/>
    <m/>
    <m/>
    <m/>
    <m/>
    <m/>
    <m/>
    <m/>
    <m/>
    <s v="04.02.2020"/>
    <m/>
    <n v="20200131"/>
    <n v="2286.04"/>
    <m/>
    <m/>
    <m/>
    <s v="DIST LAVANDERIA 9,681 KG ENE 20"/>
    <m/>
    <m/>
    <m/>
    <m/>
    <m/>
    <m/>
    <n v="340612590"/>
    <s v="THUCHIN"/>
  </r>
  <r>
    <n v="3406"/>
    <s v="31.01.2020"/>
    <n v="2020"/>
    <d v="2020-01-01T00:00:00"/>
    <n v="3"/>
    <n v="600033612"/>
    <s v="SA"/>
    <n v="40"/>
    <x v="6"/>
    <n v="11210050"/>
    <x v="6"/>
    <n v="91.9"/>
    <s v="USD"/>
    <n v="1723.35"/>
    <x v="0"/>
    <m/>
    <m/>
    <m/>
    <m/>
    <m/>
    <m/>
    <m/>
    <m/>
    <s v="04.02.2020"/>
    <m/>
    <n v="20200131"/>
    <n v="91.9"/>
    <m/>
    <m/>
    <m/>
    <s v="DIST LAVANDERIA  389 KG ENE 20"/>
    <m/>
    <m/>
    <m/>
    <m/>
    <m/>
    <m/>
    <n v="340610490"/>
    <s v="THUCHIN"/>
  </r>
  <r>
    <n v="3406"/>
    <s v="31.01.2020"/>
    <n v="2020"/>
    <d v="2020-01-01T00:00:00"/>
    <n v="4"/>
    <n v="600033612"/>
    <s v="SA"/>
    <n v="40"/>
    <x v="6"/>
    <n v="11210050"/>
    <x v="6"/>
    <n v="2948.65"/>
    <s v="USD"/>
    <n v="55293.27"/>
    <x v="0"/>
    <m/>
    <m/>
    <m/>
    <m/>
    <m/>
    <m/>
    <m/>
    <m/>
    <s v="04.02.2020"/>
    <m/>
    <n v="20200131"/>
    <n v="2948.65"/>
    <m/>
    <m/>
    <m/>
    <s v="DIST LAVANDERIA 12487 KG ENE 20"/>
    <m/>
    <m/>
    <m/>
    <m/>
    <m/>
    <m/>
    <n v="340653290"/>
    <s v="THUCHIN"/>
  </r>
  <r>
    <n v="3402"/>
    <s v="31.01.2020"/>
    <n v="2020"/>
    <d v="2020-01-01T00:00:00"/>
    <n v="1"/>
    <n v="200124444"/>
    <s v="SA"/>
    <n v="40"/>
    <x v="6"/>
    <n v="71111040"/>
    <x v="6"/>
    <n v="6.89"/>
    <s v="USD"/>
    <n v="129.30000000000001"/>
    <x v="0"/>
    <m/>
    <m/>
    <m/>
    <m/>
    <m/>
    <m/>
    <m/>
    <m/>
    <s v="04.02.2020"/>
    <m/>
    <n v="20200131"/>
    <n v="6.89"/>
    <m/>
    <m/>
    <m/>
    <s v="DIST LAVANDERIA  29 KG ENE 20"/>
    <m/>
    <m/>
    <m/>
    <m/>
    <m/>
    <m/>
    <n v="340219290"/>
    <s v="THUCHIN"/>
  </r>
  <r>
    <n v="3402"/>
    <s v="31.01.2020"/>
    <n v="2020"/>
    <d v="2020-01-01T00:00:00"/>
    <n v="2"/>
    <n v="200124444"/>
    <s v="SA"/>
    <n v="40"/>
    <x v="6"/>
    <n v="71111040"/>
    <x v="6"/>
    <n v="2.31"/>
    <s v="USD"/>
    <n v="43.39"/>
    <x v="0"/>
    <m/>
    <m/>
    <m/>
    <m/>
    <m/>
    <m/>
    <m/>
    <m/>
    <s v="04.02.2020"/>
    <m/>
    <n v="20200131"/>
    <n v="2.31"/>
    <m/>
    <m/>
    <m/>
    <s v="DIST LAVANDERIA  10 KG ENE 20"/>
    <m/>
    <m/>
    <m/>
    <m/>
    <m/>
    <m/>
    <n v="340233190"/>
    <s v="THUCHIN"/>
  </r>
  <r>
    <n v="3402"/>
    <s v="31.01.2020"/>
    <n v="2020"/>
    <d v="2020-01-01T00:00:00"/>
    <n v="3"/>
    <n v="200124444"/>
    <s v="SA"/>
    <n v="40"/>
    <x v="6"/>
    <n v="71111040"/>
    <x v="6"/>
    <n v="56075.87"/>
    <s v="USD"/>
    <n v="1051638.83"/>
    <x v="0"/>
    <m/>
    <m/>
    <m/>
    <m/>
    <m/>
    <m/>
    <m/>
    <m/>
    <s v="04.02.2020"/>
    <m/>
    <n v="20200131"/>
    <n v="56075.87"/>
    <m/>
    <m/>
    <m/>
    <s v="DIST LAVANDERIA 237,501 KG ENE 20"/>
    <m/>
    <m/>
    <m/>
    <m/>
    <m/>
    <m/>
    <n v="340210490"/>
    <s v="THUCHIN"/>
  </r>
  <r>
    <n v="3402"/>
    <s v="31.01.2020"/>
    <n v="2020"/>
    <d v="2020-01-01T00:00:00"/>
    <n v="4"/>
    <n v="200124444"/>
    <s v="SA"/>
    <n v="40"/>
    <x v="6"/>
    <n v="71111040"/>
    <x v="6"/>
    <n v="17642.189999999999"/>
    <s v="USD"/>
    <n v="330859.09000000003"/>
    <x v="0"/>
    <m/>
    <m/>
    <m/>
    <m/>
    <m/>
    <m/>
    <m/>
    <m/>
    <s v="04.02.2020"/>
    <m/>
    <n v="20200131"/>
    <n v="17642.189999999999"/>
    <m/>
    <m/>
    <m/>
    <s v="DIST LAVANDERIA 74721 KG ENE 20"/>
    <m/>
    <m/>
    <m/>
    <m/>
    <m/>
    <m/>
    <n v="340210590"/>
    <s v="THUCHIN"/>
  </r>
  <r>
    <n v="3402"/>
    <s v="31.01.2020"/>
    <n v="2020"/>
    <d v="2020-01-01T00:00:00"/>
    <n v="5"/>
    <n v="200124444"/>
    <s v="SA"/>
    <n v="40"/>
    <x v="6"/>
    <n v="71111040"/>
    <x v="6"/>
    <n v="86.93"/>
    <s v="USD"/>
    <n v="1630.27"/>
    <x v="0"/>
    <m/>
    <m/>
    <m/>
    <m/>
    <m/>
    <m/>
    <m/>
    <m/>
    <s v="04.02.2020"/>
    <m/>
    <n v="20200131"/>
    <n v="86.93"/>
    <m/>
    <m/>
    <m/>
    <s v="DIST LAVANDERIA  368 KG ENE 20"/>
    <m/>
    <m/>
    <m/>
    <m/>
    <m/>
    <m/>
    <n v="340232290"/>
    <s v="THUCHIN"/>
  </r>
  <r>
    <n v="3402"/>
    <s v="31.01.2020"/>
    <n v="2020"/>
    <d v="2020-01-01T00:00:00"/>
    <n v="6"/>
    <n v="200124444"/>
    <s v="SA"/>
    <n v="40"/>
    <x v="6"/>
    <n v="71111040"/>
    <x v="6"/>
    <n v="5407.76"/>
    <s v="USD"/>
    <n v="101416.38"/>
    <x v="0"/>
    <m/>
    <m/>
    <m/>
    <m/>
    <m/>
    <m/>
    <m/>
    <m/>
    <s v="04.02.2020"/>
    <m/>
    <n v="20200131"/>
    <n v="5407.76"/>
    <m/>
    <m/>
    <m/>
    <s v="DIST LAVANDERIA 22904 KG ENE 20"/>
    <m/>
    <m/>
    <m/>
    <m/>
    <m/>
    <m/>
    <n v="340212590"/>
    <s v="THUCHIN"/>
  </r>
  <r>
    <n v="3402"/>
    <s v="31.01.2020"/>
    <n v="2020"/>
    <d v="2020-01-01T00:00:00"/>
    <n v="7"/>
    <n v="200124444"/>
    <s v="SA"/>
    <n v="40"/>
    <x v="6"/>
    <n v="71111040"/>
    <x v="6"/>
    <n v="18.77"/>
    <s v="USD"/>
    <n v="352.02"/>
    <x v="0"/>
    <m/>
    <m/>
    <m/>
    <m/>
    <m/>
    <m/>
    <m/>
    <m/>
    <s v="04.02.2020"/>
    <m/>
    <n v="20200131"/>
    <n v="18.77"/>
    <m/>
    <m/>
    <m/>
    <s v="DIST LAVANDERIA  80 KG ENE 20"/>
    <m/>
    <m/>
    <m/>
    <m/>
    <m/>
    <m/>
    <n v="340210490"/>
    <s v="THUCHIN"/>
  </r>
  <r>
    <n v="3402"/>
    <s v="31.01.2020"/>
    <n v="2020"/>
    <d v="2020-01-01T00:00:00"/>
    <n v="8"/>
    <n v="200124444"/>
    <s v="SA"/>
    <n v="40"/>
    <x v="6"/>
    <n v="71111040"/>
    <x v="6"/>
    <n v="243.48"/>
    <s v="USD"/>
    <n v="4566.26"/>
    <x v="0"/>
    <m/>
    <m/>
    <m/>
    <m/>
    <m/>
    <m/>
    <m/>
    <m/>
    <s v="04.02.2020"/>
    <m/>
    <n v="20200131"/>
    <n v="243.48"/>
    <m/>
    <m/>
    <m/>
    <s v="DIST LAVANDERIA 1,031 KG ENE 20"/>
    <m/>
    <m/>
    <m/>
    <m/>
    <m/>
    <m/>
    <n v="340215190"/>
    <s v="THUCHIN"/>
  </r>
  <r>
    <n v="3402"/>
    <s v="31.01.2020"/>
    <n v="2020"/>
    <d v="2020-01-01T00:00:00"/>
    <n v="9"/>
    <n v="200124444"/>
    <s v="SA"/>
    <n v="40"/>
    <x v="6"/>
    <n v="71111040"/>
    <x v="6"/>
    <n v="7049.86"/>
    <s v="USD"/>
    <n v="132212"/>
    <x v="0"/>
    <m/>
    <m/>
    <m/>
    <m/>
    <m/>
    <m/>
    <m/>
    <m/>
    <s v="04.02.2020"/>
    <m/>
    <n v="20200131"/>
    <n v="7049.86"/>
    <m/>
    <m/>
    <m/>
    <s v="DIST LAVANDERIA 29859 KG ENE 20"/>
    <m/>
    <m/>
    <m/>
    <m/>
    <m/>
    <m/>
    <n v="340253290"/>
    <s v="THUCHIN"/>
  </r>
  <r>
    <n v="3402"/>
    <s v="31.01.2020"/>
    <n v="2020"/>
    <d v="2020-01-01T00:00:00"/>
    <n v="10"/>
    <n v="200124444"/>
    <s v="SA"/>
    <n v="40"/>
    <x v="6"/>
    <n v="71111040"/>
    <x v="6"/>
    <n v="360.3"/>
    <s v="USD"/>
    <n v="6757.02"/>
    <x v="0"/>
    <m/>
    <m/>
    <m/>
    <m/>
    <m/>
    <m/>
    <m/>
    <m/>
    <s v="04.02.2020"/>
    <m/>
    <n v="20200131"/>
    <n v="360.3"/>
    <m/>
    <m/>
    <m/>
    <s v="DIST LAVANDERIA 1,526 KG ENE 20"/>
    <m/>
    <m/>
    <m/>
    <m/>
    <m/>
    <m/>
    <n v="340253890"/>
    <s v="THUCHIN"/>
  </r>
  <r>
    <n v="3402"/>
    <s v="31.01.2020"/>
    <n v="2020"/>
    <d v="2020-01-01T00:00:00"/>
    <n v="11"/>
    <n v="200124444"/>
    <s v="SA"/>
    <n v="40"/>
    <x v="6"/>
    <n v="71111040"/>
    <x v="6"/>
    <n v="1585.42"/>
    <s v="USD"/>
    <n v="29732.65"/>
    <x v="0"/>
    <m/>
    <m/>
    <m/>
    <m/>
    <m/>
    <m/>
    <m/>
    <m/>
    <s v="04.02.2020"/>
    <m/>
    <n v="20200131"/>
    <n v="1585.42"/>
    <m/>
    <m/>
    <m/>
    <s v="DIST LAVANDERIA 6,715 KG ENE 20"/>
    <m/>
    <m/>
    <m/>
    <m/>
    <m/>
    <m/>
    <n v="340212790"/>
    <s v="THUCHIN"/>
  </r>
  <r>
    <n v="3402"/>
    <s v="31.01.2020"/>
    <n v="2020"/>
    <d v="2020-01-01T00:00:00"/>
    <n v="12"/>
    <n v="200124444"/>
    <s v="SA"/>
    <n v="40"/>
    <x v="6"/>
    <n v="71111040"/>
    <x v="6"/>
    <n v="643.74"/>
    <s v="USD"/>
    <n v="12072.52"/>
    <x v="0"/>
    <m/>
    <m/>
    <m/>
    <m/>
    <m/>
    <m/>
    <m/>
    <m/>
    <s v="04.02.2020"/>
    <m/>
    <n v="20200131"/>
    <n v="643.74"/>
    <m/>
    <m/>
    <m/>
    <s v="DIST LAVANDERIA 2,726 KG ENE 20"/>
    <m/>
    <m/>
    <m/>
    <m/>
    <m/>
    <m/>
    <n v="340255290"/>
    <s v="THUCHIN"/>
  </r>
  <r>
    <n v="3402"/>
    <s v="31.01.2020"/>
    <n v="2020"/>
    <d v="2020-01-01T00:00:00"/>
    <n v="13"/>
    <n v="200124444"/>
    <s v="SA"/>
    <n v="40"/>
    <x v="6"/>
    <n v="71111040"/>
    <x v="6"/>
    <n v="35.700000000000003"/>
    <s v="USD"/>
    <n v="669.5"/>
    <x v="0"/>
    <m/>
    <m/>
    <m/>
    <m/>
    <m/>
    <m/>
    <m/>
    <m/>
    <s v="04.02.2020"/>
    <m/>
    <n v="20200131"/>
    <n v="35.700000000000003"/>
    <m/>
    <m/>
    <m/>
    <s v="DIST LAVANDERIA 151 KG ENE 20"/>
    <m/>
    <m/>
    <m/>
    <m/>
    <m/>
    <m/>
    <n v="340210890"/>
    <s v="THUCHIN"/>
  </r>
  <r>
    <n v="3409"/>
    <s v="31.01.2020"/>
    <n v="2020"/>
    <d v="2020-01-01T00:00:00"/>
    <n v="1"/>
    <n v="900012533"/>
    <s v="SA"/>
    <n v="40"/>
    <x v="3"/>
    <n v="21230140"/>
    <x v="3"/>
    <n v="39570.43"/>
    <s v="USD"/>
    <n v="740232.16"/>
    <x v="0"/>
    <m/>
    <m/>
    <m/>
    <m/>
    <m/>
    <m/>
    <m/>
    <n v="900030183"/>
    <s v="04.02.2020"/>
    <s v="PROV FEE ENERO20"/>
    <n v="20200131"/>
    <n v="39570.43"/>
    <m/>
    <m/>
    <m/>
    <s v="PROV FEE MARKETING 3% ENERO 2020"/>
    <m/>
    <m/>
    <m/>
    <m/>
    <m/>
    <m/>
    <n v="340921790"/>
    <s v="JQUITERIO"/>
  </r>
  <r>
    <n v="3409"/>
    <s v="31.01.2020"/>
    <n v="2020"/>
    <d v="2020-01-01T00:00:00"/>
    <n v="2"/>
    <n v="900012533"/>
    <s v="SA"/>
    <n v="40"/>
    <x v="3"/>
    <n v="21230140"/>
    <x v="3"/>
    <n v="13190.14"/>
    <s v="USD"/>
    <n v="246743.99"/>
    <x v="0"/>
    <m/>
    <m/>
    <m/>
    <m/>
    <m/>
    <m/>
    <m/>
    <n v="900030183"/>
    <s v="04.02.2020"/>
    <s v="PROV FEE ENERO20"/>
    <n v="20200131"/>
    <n v="13190.14"/>
    <m/>
    <m/>
    <m/>
    <s v="PROV FEE MARKETING 1% ENERO 2020"/>
    <m/>
    <m/>
    <m/>
    <m/>
    <m/>
    <m/>
    <n v="340921790"/>
    <s v="JQUITERIO"/>
  </r>
  <r>
    <n v="3409"/>
    <s v="31.01.2020"/>
    <n v="2020"/>
    <d v="2020-01-01T00:00:00"/>
    <n v="3"/>
    <n v="900012533"/>
    <s v="SA"/>
    <n v="40"/>
    <x v="3"/>
    <n v="21230140"/>
    <x v="3"/>
    <n v="34118.660000000003"/>
    <s v="USD"/>
    <n v="638247.54"/>
    <x v="0"/>
    <m/>
    <m/>
    <m/>
    <m/>
    <m/>
    <m/>
    <m/>
    <n v="900030183"/>
    <s v="04.02.2020"/>
    <s v="PROV FEE ENERO20"/>
    <n v="20200131"/>
    <n v="34118.660000000003"/>
    <m/>
    <m/>
    <m/>
    <s v="PROV FEE NOBU RESTAURANTE 8.5% ENERO 2020"/>
    <m/>
    <m/>
    <m/>
    <m/>
    <m/>
    <m/>
    <n v="340981990"/>
    <s v="JQUITERIO"/>
  </r>
  <r>
    <n v="3400"/>
    <s v="31.01.2020"/>
    <n v="2020"/>
    <d v="2020-01-01T00:00:00"/>
    <n v="1"/>
    <n v="100011912"/>
    <s v="SA"/>
    <n v="40"/>
    <x v="5"/>
    <n v="21230130"/>
    <x v="5"/>
    <n v="228798.92"/>
    <s v="USD"/>
    <n v="4303181.45"/>
    <x v="0"/>
    <s v="U3"/>
    <m/>
    <m/>
    <m/>
    <m/>
    <m/>
    <m/>
    <n v="100021855"/>
    <s v="05.02.2020"/>
    <s v="RAPPEL"/>
    <n v="20200131"/>
    <n v="228798.92"/>
    <m/>
    <m/>
    <m/>
    <s v="RAPPEL"/>
    <m/>
    <m/>
    <m/>
    <m/>
    <m/>
    <m/>
    <n v="340021950"/>
    <s v="CMOTA"/>
  </r>
  <r>
    <n v="3407"/>
    <s v="31.01.2020"/>
    <n v="2020"/>
    <d v="2020-01-01T00:00:00"/>
    <n v="1"/>
    <n v="700039121"/>
    <s v="WE"/>
    <n v="91"/>
    <x v="3"/>
    <n v="21021040"/>
    <x v="3"/>
    <n v="3294.02"/>
    <s v="USD"/>
    <n v="62467.8"/>
    <x v="0"/>
    <m/>
    <m/>
    <s v="N/A Registro proveedor extranjero"/>
    <n v="593383972"/>
    <n v="600226"/>
    <s v="HARD ROCK CAFE INTERNATIONAL INC."/>
    <m/>
    <m/>
    <s v="31.01.2020"/>
    <s v="5001219M"/>
    <n v="20200131"/>
    <m/>
    <n v="0"/>
    <m/>
    <m/>
    <s v="Fee Memorabilia Dic 2019"/>
    <m/>
    <m/>
    <m/>
    <m/>
    <s v="BOFA"/>
    <s v="BofA RCD 89805242886"/>
    <n v="340721790"/>
    <s v="CGUTIERREZ"/>
  </r>
  <r>
    <n v="3403"/>
    <s v="31.01.2020"/>
    <n v="2020"/>
    <d v="2020-01-01T00:00:00"/>
    <n v="1"/>
    <n v="300017857"/>
    <s v="WE"/>
    <n v="81"/>
    <x v="5"/>
    <n v="21021040"/>
    <x v="5"/>
    <n v="19637.509999999998"/>
    <s v="MXN"/>
    <n v="19637.509999999998"/>
    <x v="0"/>
    <m/>
    <m/>
    <s v="229043C1-1634-46CA-86E7-7D6F4F0FC837"/>
    <s v="RCI930401GV1"/>
    <n v="600623"/>
    <s v="RESORT CONDOMINIUMS INTERNATIONAL"/>
    <m/>
    <m/>
    <s v="31.01.2020"/>
    <s v="RCI-53062"/>
    <n v="4501231390"/>
    <n v="19637.509999999998"/>
    <n v="3142.0015999999996"/>
    <n v="22779.511599999998"/>
    <n v="300020318"/>
    <s v="PRECOBROS COMISION AGENCIA RCI ENE 2020"/>
    <n v="22779.511599999998"/>
    <s v="06.03.2020"/>
    <s v="TRANSFERENCIA"/>
    <n v="300049758"/>
    <s v="BBVA"/>
    <s v="BBVAB 00188039070 TP"/>
    <n v="340310190"/>
    <s v="SOLI1103"/>
  </r>
  <r>
    <n v="3403"/>
    <s v="31.01.2020"/>
    <n v="2020"/>
    <d v="2020-01-01T00:00:00"/>
    <n v="1"/>
    <n v="300017858"/>
    <s v="WE"/>
    <n v="81"/>
    <x v="5"/>
    <n v="21021040"/>
    <x v="5"/>
    <n v="874"/>
    <s v="USD"/>
    <n v="16349.66"/>
    <x v="0"/>
    <m/>
    <m/>
    <s v="E8B9374F-B6E6-41FB-AF83-74A1B8D1FCF8"/>
    <s v="RCI930401GV1"/>
    <n v="600623"/>
    <s v="RESORT CONDOMINIUMS INTERNATIONAL"/>
    <m/>
    <m/>
    <s v="31.01.2020"/>
    <s v="RCI-52960"/>
    <n v="4501231419"/>
    <n v="874"/>
    <n v="139.84"/>
    <n v="1013.84"/>
    <n v="300020317"/>
    <s v="COMISION RCI ALL INCLUSIVE HRV ENE 2020"/>
    <n v="1013.84"/>
    <s v="28.05.2020"/>
    <s v="TRANSFERENCIA"/>
    <n v="300236206"/>
    <s v="BOFA"/>
    <s v="BofA RCD 89805242886"/>
    <n v="340310190"/>
    <s v="SOLI1103"/>
  </r>
  <r>
    <n v="3409"/>
    <s v="31.01.2020"/>
    <n v="2020"/>
    <d v="2020-01-01T00:00:00"/>
    <n v="1"/>
    <n v="900012530"/>
    <s v="AB"/>
    <n v="50"/>
    <x v="3"/>
    <n v="21230140"/>
    <x v="3"/>
    <n v="41153.25"/>
    <s v="USD"/>
    <n v="769841.5"/>
    <x v="0"/>
    <m/>
    <m/>
    <m/>
    <m/>
    <m/>
    <m/>
    <m/>
    <n v="900012439"/>
    <s v="04.02.2020"/>
    <s v="PROV FEE ENERO20"/>
    <n v="20200131"/>
    <n v="41153.25"/>
    <m/>
    <m/>
    <m/>
    <s v="PROV FEE MARKETING 3% ENERO 2020"/>
    <m/>
    <m/>
    <m/>
    <m/>
    <m/>
    <m/>
    <n v="340921790"/>
    <s v="JQUITERIO"/>
  </r>
  <r>
    <n v="3409"/>
    <s v="31.01.2020"/>
    <n v="2020"/>
    <d v="2020-01-01T00:00:00"/>
    <n v="2"/>
    <n v="900012530"/>
    <s v="AB"/>
    <n v="50"/>
    <x v="3"/>
    <n v="21230140"/>
    <x v="3"/>
    <n v="13717.75"/>
    <s v="USD"/>
    <n v="256613.83"/>
    <x v="0"/>
    <m/>
    <m/>
    <m/>
    <m/>
    <m/>
    <m/>
    <m/>
    <n v="900012439"/>
    <s v="04.02.2020"/>
    <s v="PROV FEE ENERO20"/>
    <n v="20200131"/>
    <n v="13717.75"/>
    <m/>
    <m/>
    <m/>
    <s v="PROV FEE MARKETING 1% ENERO 2020"/>
    <m/>
    <m/>
    <m/>
    <m/>
    <m/>
    <m/>
    <n v="340921790"/>
    <s v="JQUITERIO"/>
  </r>
  <r>
    <n v="3409"/>
    <s v="31.01.2020"/>
    <n v="2020"/>
    <d v="2020-01-01T00:00:00"/>
    <n v="3"/>
    <n v="900012530"/>
    <s v="AB"/>
    <n v="50"/>
    <x v="3"/>
    <n v="21230140"/>
    <x v="3"/>
    <n v="34118.660000000003"/>
    <s v="USD"/>
    <n v="638247.54"/>
    <x v="0"/>
    <m/>
    <m/>
    <m/>
    <m/>
    <m/>
    <m/>
    <m/>
    <n v="900012439"/>
    <s v="04.02.2020"/>
    <s v="PROV FEE ENERO20"/>
    <n v="20200131"/>
    <n v="34118.660000000003"/>
    <m/>
    <m/>
    <m/>
    <s v="PROV FEE NOBU RESTAURANTE 8.5% ENERO 2020"/>
    <m/>
    <m/>
    <m/>
    <m/>
    <m/>
    <m/>
    <n v="340981990"/>
    <s v="JQUITERIO"/>
  </r>
  <r>
    <n v="3406"/>
    <s v="31.01.2020"/>
    <n v="2020"/>
    <d v="2020-01-01T00:00:00"/>
    <n v="1"/>
    <n v="600036774"/>
    <s v="AB"/>
    <n v="50"/>
    <x v="6"/>
    <n v="71111040"/>
    <x v="6"/>
    <n v="193.9"/>
    <s v="MXN"/>
    <n v="193.9"/>
    <x v="0"/>
    <m/>
    <m/>
    <m/>
    <m/>
    <m/>
    <m/>
    <m/>
    <n v="600033366"/>
    <s v="07.02.2020"/>
    <s v="SERV DE LAVANDER"/>
    <n v="20200131"/>
    <n v="193.9"/>
    <m/>
    <m/>
    <m/>
    <s v="35 KG SERV DE LAVANDERIA INT ENE20"/>
    <m/>
    <m/>
    <m/>
    <m/>
    <m/>
    <m/>
    <n v="340619290"/>
    <s v="WGALLARDO"/>
  </r>
  <r>
    <n v="3406"/>
    <s v="31.01.2020"/>
    <n v="2020"/>
    <d v="2020-01-01T00:00:00"/>
    <n v="2"/>
    <n v="600036774"/>
    <s v="AB"/>
    <n v="50"/>
    <x v="6"/>
    <n v="71111040"/>
    <x v="6"/>
    <n v="113.76"/>
    <s v="MXN"/>
    <n v="113.76"/>
    <x v="0"/>
    <m/>
    <m/>
    <m/>
    <m/>
    <m/>
    <m/>
    <m/>
    <n v="600033366"/>
    <s v="07.02.2020"/>
    <s v="SERV DE LAVANDER"/>
    <n v="20200131"/>
    <n v="113.76"/>
    <m/>
    <m/>
    <m/>
    <s v="20 KG SERV DE LAVANDERIA INT ENE 20"/>
    <m/>
    <m/>
    <m/>
    <m/>
    <m/>
    <m/>
    <n v="340633190"/>
    <s v="WGALLARDO"/>
  </r>
  <r>
    <n v="3406"/>
    <s v="31.01.2020"/>
    <n v="2020"/>
    <d v="2020-01-01T00:00:00"/>
    <n v="3"/>
    <n v="600036774"/>
    <s v="AB"/>
    <n v="50"/>
    <x v="6"/>
    <n v="71111040"/>
    <x v="6"/>
    <n v="16642.62"/>
    <s v="MXN"/>
    <n v="16642.62"/>
    <x v="0"/>
    <m/>
    <m/>
    <m/>
    <m/>
    <m/>
    <m/>
    <m/>
    <n v="600033366"/>
    <s v="07.02.2020"/>
    <s v="SERV DE LAVANDER"/>
    <n v="20200131"/>
    <n v="16642.62"/>
    <m/>
    <m/>
    <m/>
    <s v=" 2,970  KG SERV DE LAVANDERIA INT ENE 20"/>
    <m/>
    <m/>
    <m/>
    <m/>
    <m/>
    <m/>
    <n v="340610490"/>
    <s v="WGALLARDO"/>
  </r>
  <r>
    <n v="3406"/>
    <s v="31.01.2020"/>
    <n v="2020"/>
    <d v="2020-01-01T00:00:00"/>
    <n v="4"/>
    <n v="600036774"/>
    <s v="AB"/>
    <n v="50"/>
    <x v="6"/>
    <n v="71111040"/>
    <x v="6"/>
    <n v="1371.87"/>
    <s v="MXN"/>
    <n v="1371.87"/>
    <x v="0"/>
    <m/>
    <m/>
    <m/>
    <m/>
    <m/>
    <m/>
    <m/>
    <n v="600033366"/>
    <s v="07.02.2020"/>
    <s v="SERV DE LAVANDER"/>
    <n v="20200131"/>
    <n v="1371.87"/>
    <m/>
    <m/>
    <m/>
    <s v=" 245  KG SERV DE LAVANDERIA INT ENE 20"/>
    <m/>
    <m/>
    <m/>
    <m/>
    <m/>
    <m/>
    <n v="340612890"/>
    <s v="WGALLARDO"/>
  </r>
  <r>
    <n v="3406"/>
    <s v="31.01.2020"/>
    <n v="2020"/>
    <d v="2020-01-01T00:00:00"/>
    <n v="5"/>
    <n v="600036774"/>
    <s v="AB"/>
    <n v="50"/>
    <x v="6"/>
    <n v="71111040"/>
    <x v="6"/>
    <n v="970.9"/>
    <s v="MXN"/>
    <n v="970.9"/>
    <x v="0"/>
    <m/>
    <m/>
    <m/>
    <m/>
    <m/>
    <m/>
    <m/>
    <n v="600033366"/>
    <s v="07.02.2020"/>
    <s v="SERV DE LAVANDER"/>
    <n v="20200131"/>
    <n v="970.9"/>
    <m/>
    <m/>
    <m/>
    <s v=" 173  KG SERV DE LAVANDERIA INT ENE 20"/>
    <m/>
    <m/>
    <m/>
    <m/>
    <m/>
    <m/>
    <n v="340632290"/>
    <s v="WGALLARDO"/>
  </r>
  <r>
    <n v="3406"/>
    <s v="31.01.2020"/>
    <n v="2020"/>
    <d v="2020-01-01T00:00:00"/>
    <n v="6"/>
    <n v="600036774"/>
    <s v="AB"/>
    <n v="50"/>
    <x v="6"/>
    <n v="71111040"/>
    <x v="6"/>
    <n v="105.92"/>
    <s v="MXN"/>
    <n v="105.92"/>
    <x v="0"/>
    <m/>
    <m/>
    <m/>
    <m/>
    <m/>
    <m/>
    <m/>
    <n v="600033366"/>
    <s v="07.02.2020"/>
    <s v="SERV DE LAVANDER"/>
    <n v="20200131"/>
    <n v="105.92"/>
    <m/>
    <m/>
    <m/>
    <s v=" 19  KG SERV DE LAVANDERIA INT ENE2020"/>
    <m/>
    <m/>
    <m/>
    <m/>
    <m/>
    <m/>
    <n v="340619190"/>
    <s v="WGALLARDO"/>
  </r>
  <r>
    <n v="3406"/>
    <s v="31.01.2020"/>
    <n v="2020"/>
    <d v="2020-01-01T00:00:00"/>
    <n v="8"/>
    <n v="600036774"/>
    <s v="AB"/>
    <n v="50"/>
    <x v="6"/>
    <n v="71111040"/>
    <x v="6"/>
    <n v="2119.67"/>
    <s v="MXN"/>
    <n v="2119.67"/>
    <x v="0"/>
    <m/>
    <m/>
    <m/>
    <m/>
    <m/>
    <m/>
    <m/>
    <n v="600033366"/>
    <s v="07.02.2020"/>
    <s v="SERV DE LAVANDER"/>
    <n v="20200131"/>
    <n v="2119.67"/>
    <m/>
    <m/>
    <m/>
    <s v=" 378  KG SERV DE LAVANDERIA INT ENE20"/>
    <m/>
    <m/>
    <m/>
    <m/>
    <m/>
    <m/>
    <n v="340615190"/>
    <s v="WGALLARDO"/>
  </r>
  <r>
    <n v="3401"/>
    <s v="31.01.2020"/>
    <n v="2020"/>
    <d v="2020-01-01T00:00:00"/>
    <n v="76"/>
    <n v="100031721"/>
    <s v="WA"/>
    <n v="81"/>
    <x v="0"/>
    <n v="11500060"/>
    <x v="0"/>
    <n v="14113.1"/>
    <s v="MXN"/>
    <n v="14113.1"/>
    <x v="0"/>
    <m/>
    <m/>
    <m/>
    <m/>
    <m/>
    <m/>
    <m/>
    <m/>
    <s v="31.01.2020"/>
    <m/>
    <n v="20200131"/>
    <n v="14113.1"/>
    <m/>
    <m/>
    <m/>
    <m/>
    <m/>
    <m/>
    <m/>
    <m/>
    <m/>
    <m/>
    <n v="340112890"/>
    <s v="FLUGO"/>
  </r>
  <r>
    <n v="3401"/>
    <s v="31.01.2020"/>
    <n v="2020"/>
    <d v="2020-01-01T00:00:00"/>
    <n v="78"/>
    <n v="100031721"/>
    <s v="WA"/>
    <n v="81"/>
    <x v="0"/>
    <n v="11500060"/>
    <x v="0"/>
    <n v="4414.6899999999996"/>
    <s v="MXN"/>
    <n v="4414.6899999999996"/>
    <x v="0"/>
    <m/>
    <m/>
    <m/>
    <m/>
    <m/>
    <m/>
    <m/>
    <m/>
    <s v="31.01.2020"/>
    <m/>
    <n v="20200131"/>
    <n v="4414.6899999999996"/>
    <m/>
    <m/>
    <m/>
    <m/>
    <m/>
    <m/>
    <m/>
    <m/>
    <m/>
    <m/>
    <n v="340112890"/>
    <s v="FLUGO"/>
  </r>
  <r>
    <n v="3401"/>
    <s v="31.01.2020"/>
    <n v="2020"/>
    <d v="2020-01-01T00:00:00"/>
    <n v="80"/>
    <n v="100031721"/>
    <s v="WA"/>
    <n v="81"/>
    <x v="0"/>
    <n v="11500060"/>
    <x v="0"/>
    <n v="10794"/>
    <s v="MXN"/>
    <n v="10794"/>
    <x v="0"/>
    <m/>
    <m/>
    <m/>
    <m/>
    <m/>
    <m/>
    <m/>
    <m/>
    <s v="31.01.2020"/>
    <m/>
    <n v="20200131"/>
    <n v="10794"/>
    <m/>
    <m/>
    <m/>
    <m/>
    <m/>
    <m/>
    <m/>
    <m/>
    <m/>
    <m/>
    <n v="340112890"/>
    <s v="FLUGO"/>
  </r>
  <r>
    <n v="3401"/>
    <s v="31.01.2020"/>
    <n v="2020"/>
    <d v="2020-01-01T00:00:00"/>
    <n v="82"/>
    <n v="100031721"/>
    <s v="WA"/>
    <n v="81"/>
    <x v="0"/>
    <n v="11500060"/>
    <x v="0"/>
    <n v="404.25"/>
    <s v="MXN"/>
    <n v="404.25"/>
    <x v="0"/>
    <m/>
    <m/>
    <m/>
    <m/>
    <m/>
    <m/>
    <m/>
    <m/>
    <s v="31.01.2020"/>
    <m/>
    <n v="20200131"/>
    <n v="404.25"/>
    <m/>
    <m/>
    <m/>
    <m/>
    <m/>
    <m/>
    <m/>
    <m/>
    <m/>
    <m/>
    <n v="340112890"/>
    <s v="FLUGO"/>
  </r>
  <r>
    <n v="3401"/>
    <s v="31.01.2020"/>
    <n v="2020"/>
    <d v="2020-01-01T00:00:00"/>
    <n v="84"/>
    <n v="100031721"/>
    <s v="WA"/>
    <n v="81"/>
    <x v="0"/>
    <n v="11500060"/>
    <x v="0"/>
    <n v="7963.14"/>
    <s v="MXN"/>
    <n v="7963.14"/>
    <x v="0"/>
    <m/>
    <m/>
    <m/>
    <m/>
    <m/>
    <m/>
    <m/>
    <m/>
    <s v="31.01.2020"/>
    <m/>
    <n v="20200131"/>
    <n v="7963.14"/>
    <m/>
    <m/>
    <m/>
    <m/>
    <m/>
    <m/>
    <m/>
    <m/>
    <m/>
    <m/>
    <n v="340112890"/>
    <s v="FLUGO"/>
  </r>
  <r>
    <n v="3401"/>
    <s v="31.01.2020"/>
    <n v="2020"/>
    <d v="2020-01-01T00:00:00"/>
    <n v="86"/>
    <n v="100031721"/>
    <s v="WA"/>
    <n v="81"/>
    <x v="0"/>
    <n v="11500060"/>
    <x v="0"/>
    <n v="5492.58"/>
    <s v="MXN"/>
    <n v="5492.58"/>
    <x v="0"/>
    <m/>
    <m/>
    <m/>
    <m/>
    <m/>
    <m/>
    <m/>
    <m/>
    <s v="31.01.2020"/>
    <m/>
    <n v="20200131"/>
    <n v="5492.58"/>
    <m/>
    <m/>
    <m/>
    <m/>
    <m/>
    <m/>
    <m/>
    <m/>
    <m/>
    <m/>
    <n v="340112890"/>
    <s v="FLUGO"/>
  </r>
  <r>
    <n v="3401"/>
    <s v="31.01.2020"/>
    <n v="2020"/>
    <d v="2020-01-01T00:00:00"/>
    <n v="88"/>
    <n v="100031721"/>
    <s v="WA"/>
    <n v="81"/>
    <x v="0"/>
    <n v="11500060"/>
    <x v="0"/>
    <n v="16871.36"/>
    <s v="MXN"/>
    <n v="16871.36"/>
    <x v="0"/>
    <m/>
    <m/>
    <m/>
    <m/>
    <m/>
    <m/>
    <m/>
    <m/>
    <s v="31.01.2020"/>
    <m/>
    <n v="20200131"/>
    <n v="16871.36"/>
    <m/>
    <m/>
    <m/>
    <m/>
    <m/>
    <m/>
    <m/>
    <m/>
    <m/>
    <m/>
    <n v="340112890"/>
    <s v="FLUGO"/>
  </r>
  <r>
    <n v="3401"/>
    <s v="31.01.2020"/>
    <n v="2020"/>
    <d v="2020-01-01T00:00:00"/>
    <n v="90"/>
    <n v="100031721"/>
    <s v="WA"/>
    <n v="81"/>
    <x v="0"/>
    <n v="11500060"/>
    <x v="0"/>
    <n v="29119.98"/>
    <s v="MXN"/>
    <n v="29119.98"/>
    <x v="0"/>
    <m/>
    <m/>
    <m/>
    <m/>
    <m/>
    <m/>
    <m/>
    <m/>
    <s v="31.01.2020"/>
    <m/>
    <n v="20200131"/>
    <n v="29119.98"/>
    <m/>
    <m/>
    <m/>
    <m/>
    <m/>
    <m/>
    <m/>
    <m/>
    <m/>
    <m/>
    <n v="340112890"/>
    <s v="FLUGO"/>
  </r>
  <r>
    <n v="3401"/>
    <s v="31.01.2020"/>
    <n v="2020"/>
    <d v="2020-01-01T00:00:00"/>
    <n v="92"/>
    <n v="100031721"/>
    <s v="WA"/>
    <n v="81"/>
    <x v="0"/>
    <n v="11500060"/>
    <x v="0"/>
    <n v="13271.54"/>
    <s v="MXN"/>
    <n v="13271.54"/>
    <x v="0"/>
    <m/>
    <m/>
    <m/>
    <m/>
    <m/>
    <m/>
    <m/>
    <m/>
    <s v="31.01.2020"/>
    <m/>
    <n v="20200131"/>
    <n v="13271.54"/>
    <m/>
    <m/>
    <m/>
    <m/>
    <m/>
    <m/>
    <m/>
    <m/>
    <m/>
    <m/>
    <n v="340112890"/>
    <s v="FLUGO"/>
  </r>
  <r>
    <n v="3401"/>
    <s v="31.01.2020"/>
    <n v="2020"/>
    <d v="2020-01-01T00:00:00"/>
    <n v="94"/>
    <n v="100031721"/>
    <s v="WA"/>
    <n v="81"/>
    <x v="0"/>
    <n v="11500060"/>
    <x v="0"/>
    <n v="1824"/>
    <s v="MXN"/>
    <n v="1824"/>
    <x v="0"/>
    <m/>
    <m/>
    <m/>
    <m/>
    <m/>
    <m/>
    <m/>
    <m/>
    <s v="31.01.2020"/>
    <m/>
    <n v="20200131"/>
    <n v="1824"/>
    <m/>
    <m/>
    <m/>
    <m/>
    <m/>
    <m/>
    <m/>
    <m/>
    <m/>
    <m/>
    <n v="340112890"/>
    <s v="FLUGO"/>
  </r>
  <r>
    <n v="3401"/>
    <s v="31.01.2020"/>
    <n v="2020"/>
    <d v="2020-01-01T00:00:00"/>
    <n v="96"/>
    <n v="100031721"/>
    <s v="WA"/>
    <n v="81"/>
    <x v="0"/>
    <n v="11500060"/>
    <x v="0"/>
    <n v="22960.14"/>
    <s v="MXN"/>
    <n v="22960.14"/>
    <x v="0"/>
    <m/>
    <m/>
    <m/>
    <m/>
    <m/>
    <m/>
    <m/>
    <m/>
    <s v="31.01.2020"/>
    <m/>
    <n v="20200131"/>
    <n v="22960.14"/>
    <m/>
    <m/>
    <m/>
    <m/>
    <m/>
    <m/>
    <m/>
    <m/>
    <m/>
    <m/>
    <n v="340112890"/>
    <s v="FLUGO"/>
  </r>
  <r>
    <n v="3401"/>
    <s v="31.01.2020"/>
    <n v="2020"/>
    <d v="2020-01-01T00:00:00"/>
    <n v="98"/>
    <n v="100031721"/>
    <s v="WA"/>
    <n v="81"/>
    <x v="0"/>
    <n v="11500060"/>
    <x v="0"/>
    <n v="7733.32"/>
    <s v="MXN"/>
    <n v="7733.32"/>
    <x v="0"/>
    <m/>
    <m/>
    <m/>
    <m/>
    <m/>
    <m/>
    <m/>
    <m/>
    <s v="31.01.2020"/>
    <m/>
    <n v="20200131"/>
    <n v="7733.32"/>
    <m/>
    <m/>
    <m/>
    <m/>
    <m/>
    <m/>
    <m/>
    <m/>
    <m/>
    <m/>
    <n v="340112890"/>
    <s v="FLUGO"/>
  </r>
  <r>
    <n v="3401"/>
    <s v="31.01.2020"/>
    <n v="2020"/>
    <d v="2020-01-01T00:00:00"/>
    <n v="100"/>
    <n v="100031721"/>
    <s v="WA"/>
    <n v="81"/>
    <x v="0"/>
    <n v="11500060"/>
    <x v="0"/>
    <n v="1125"/>
    <s v="MXN"/>
    <n v="1125"/>
    <x v="0"/>
    <m/>
    <m/>
    <m/>
    <m/>
    <m/>
    <m/>
    <m/>
    <m/>
    <s v="31.01.2020"/>
    <m/>
    <n v="20200131"/>
    <n v="1125"/>
    <m/>
    <m/>
    <m/>
    <m/>
    <m/>
    <m/>
    <m/>
    <m/>
    <m/>
    <m/>
    <n v="340112890"/>
    <s v="FLUGO"/>
  </r>
  <r>
    <n v="3401"/>
    <s v="31.01.2020"/>
    <n v="2020"/>
    <d v="2020-01-01T00:00:00"/>
    <n v="102"/>
    <n v="100031721"/>
    <s v="WA"/>
    <n v="81"/>
    <x v="0"/>
    <n v="11500060"/>
    <x v="0"/>
    <n v="225"/>
    <s v="MXN"/>
    <n v="225"/>
    <x v="0"/>
    <m/>
    <m/>
    <m/>
    <m/>
    <m/>
    <m/>
    <m/>
    <m/>
    <s v="31.01.2020"/>
    <m/>
    <n v="20200131"/>
    <n v="225"/>
    <m/>
    <m/>
    <m/>
    <m/>
    <m/>
    <m/>
    <m/>
    <m/>
    <m/>
    <m/>
    <n v="340112890"/>
    <s v="FLUGO"/>
  </r>
  <r>
    <n v="3401"/>
    <s v="31.01.2020"/>
    <n v="2020"/>
    <d v="2020-01-01T00:00:00"/>
    <n v="104"/>
    <n v="100031721"/>
    <s v="WA"/>
    <n v="81"/>
    <x v="0"/>
    <n v="11500060"/>
    <x v="0"/>
    <n v="900"/>
    <s v="MXN"/>
    <n v="900"/>
    <x v="0"/>
    <m/>
    <m/>
    <m/>
    <m/>
    <m/>
    <m/>
    <m/>
    <m/>
    <s v="31.01.2020"/>
    <m/>
    <n v="20200131"/>
    <n v="900"/>
    <m/>
    <m/>
    <m/>
    <m/>
    <m/>
    <m/>
    <m/>
    <m/>
    <m/>
    <m/>
    <n v="340112890"/>
    <s v="FLUGO"/>
  </r>
  <r>
    <n v="3401"/>
    <s v="31.01.2020"/>
    <n v="2020"/>
    <d v="2020-01-01T00:00:00"/>
    <n v="106"/>
    <n v="100031721"/>
    <s v="WA"/>
    <n v="81"/>
    <x v="0"/>
    <n v="11500060"/>
    <x v="0"/>
    <n v="1350"/>
    <s v="MXN"/>
    <n v="1350"/>
    <x v="0"/>
    <m/>
    <m/>
    <m/>
    <m/>
    <m/>
    <m/>
    <m/>
    <m/>
    <s v="31.01.2020"/>
    <m/>
    <n v="20200131"/>
    <n v="1350"/>
    <m/>
    <m/>
    <m/>
    <m/>
    <m/>
    <m/>
    <m/>
    <m/>
    <m/>
    <m/>
    <n v="340112890"/>
    <s v="FLUGO"/>
  </r>
  <r>
    <n v="3401"/>
    <s v="31.01.2020"/>
    <n v="2020"/>
    <d v="2020-01-01T00:00:00"/>
    <n v="108"/>
    <n v="100031721"/>
    <s v="WA"/>
    <n v="81"/>
    <x v="0"/>
    <n v="11500060"/>
    <x v="0"/>
    <n v="2250"/>
    <s v="MXN"/>
    <n v="2250"/>
    <x v="0"/>
    <m/>
    <m/>
    <m/>
    <m/>
    <m/>
    <m/>
    <m/>
    <m/>
    <s v="31.01.2020"/>
    <m/>
    <n v="20200131"/>
    <n v="2250"/>
    <m/>
    <m/>
    <m/>
    <m/>
    <m/>
    <m/>
    <m/>
    <m/>
    <m/>
    <m/>
    <n v="340112890"/>
    <s v="FLUGO"/>
  </r>
  <r>
    <n v="3401"/>
    <s v="31.01.2020"/>
    <n v="2020"/>
    <d v="2020-01-01T00:00:00"/>
    <n v="110"/>
    <n v="100031721"/>
    <s v="WA"/>
    <n v="81"/>
    <x v="0"/>
    <n v="11500060"/>
    <x v="0"/>
    <n v="2250"/>
    <s v="MXN"/>
    <n v="2250"/>
    <x v="0"/>
    <m/>
    <m/>
    <m/>
    <m/>
    <m/>
    <m/>
    <m/>
    <m/>
    <s v="31.01.2020"/>
    <m/>
    <n v="20200131"/>
    <n v="2250"/>
    <m/>
    <m/>
    <m/>
    <m/>
    <m/>
    <m/>
    <m/>
    <m/>
    <m/>
    <m/>
    <n v="340112890"/>
    <s v="FLUGO"/>
  </r>
  <r>
    <n v="3401"/>
    <s v="31.01.2020"/>
    <n v="2020"/>
    <d v="2020-01-01T00:00:00"/>
    <n v="112"/>
    <n v="100031721"/>
    <s v="WA"/>
    <n v="81"/>
    <x v="0"/>
    <n v="11500060"/>
    <x v="0"/>
    <n v="225"/>
    <s v="MXN"/>
    <n v="225"/>
    <x v="0"/>
    <m/>
    <m/>
    <m/>
    <m/>
    <m/>
    <m/>
    <m/>
    <m/>
    <s v="31.01.2020"/>
    <m/>
    <n v="20200131"/>
    <n v="225"/>
    <m/>
    <m/>
    <m/>
    <m/>
    <m/>
    <m/>
    <m/>
    <m/>
    <m/>
    <m/>
    <n v="340112890"/>
    <s v="FLUGO"/>
  </r>
  <r>
    <n v="3401"/>
    <s v="31.01.2020"/>
    <n v="2020"/>
    <d v="2020-01-01T00:00:00"/>
    <n v="114"/>
    <n v="100031721"/>
    <s v="WA"/>
    <n v="81"/>
    <x v="0"/>
    <n v="11500060"/>
    <x v="0"/>
    <n v="450"/>
    <s v="MXN"/>
    <n v="450"/>
    <x v="0"/>
    <m/>
    <m/>
    <m/>
    <m/>
    <m/>
    <m/>
    <m/>
    <m/>
    <s v="31.01.2020"/>
    <m/>
    <n v="20200131"/>
    <n v="450"/>
    <m/>
    <m/>
    <m/>
    <m/>
    <m/>
    <m/>
    <m/>
    <m/>
    <m/>
    <m/>
    <n v="340112890"/>
    <s v="FLUGO"/>
  </r>
  <r>
    <n v="3402"/>
    <s v="31.01.2020"/>
    <n v="2020"/>
    <d v="2020-01-01T00:00:00"/>
    <n v="1"/>
    <n v="200120048"/>
    <s v="SA"/>
    <n v="40"/>
    <x v="3"/>
    <n v="21230140"/>
    <x v="3"/>
    <n v="2333"/>
    <s v="USD"/>
    <n v="43642.73"/>
    <x v="0"/>
    <m/>
    <m/>
    <m/>
    <m/>
    <m/>
    <m/>
    <m/>
    <n v="200883964"/>
    <s v="02.02.2020"/>
    <m/>
    <n v="20200131"/>
    <n v="2333"/>
    <m/>
    <m/>
    <m/>
    <s v="HRI ANNUAL QUALITY ASSURANCE PROGRAM 2020 ENE"/>
    <m/>
    <m/>
    <m/>
    <m/>
    <m/>
    <m/>
    <n v="340221790"/>
    <s v="THUCHIN"/>
  </r>
  <r>
    <n v="3400"/>
    <s v="31.01.2020"/>
    <n v="2020"/>
    <d v="2020-01-01T00:00:00"/>
    <n v="1"/>
    <n v="880003405"/>
    <s v="Z6"/>
    <n v="40"/>
    <x v="1"/>
    <n v="11128102"/>
    <x v="1"/>
    <n v="5001.66"/>
    <s v="MXN"/>
    <n v="5001.66"/>
    <x v="0"/>
    <s v="D3"/>
    <m/>
    <m/>
    <m/>
    <m/>
    <m/>
    <m/>
    <m/>
    <s v="01.02.2020"/>
    <m/>
    <n v="20200131"/>
    <n v="5001.66"/>
    <m/>
    <m/>
    <m/>
    <s v="comisiones 1595 stdr"/>
    <m/>
    <m/>
    <m/>
    <m/>
    <m/>
    <m/>
    <n v="340099150"/>
    <s v="BAVILA"/>
  </r>
  <r>
    <n v="3400"/>
    <s v="30.01.2020"/>
    <n v="2020"/>
    <d v="2020-01-01T00:00:00"/>
    <n v="1"/>
    <n v="880003556"/>
    <s v="Z6"/>
    <n v="40"/>
    <x v="1"/>
    <n v="11128212"/>
    <x v="1"/>
    <n v="53.09"/>
    <s v="USD"/>
    <n v="998.21"/>
    <x v="0"/>
    <s v="D3"/>
    <m/>
    <m/>
    <m/>
    <m/>
    <m/>
    <m/>
    <m/>
    <s v="03.02.2020"/>
    <m/>
    <n v="20200130"/>
    <n v="53.09"/>
    <m/>
    <m/>
    <m/>
    <s v="COM BANCARIAS SANTANDER 3752 AL 30.01.2020"/>
    <m/>
    <m/>
    <m/>
    <m/>
    <m/>
    <m/>
    <n v="340099150"/>
    <s v="JAVILES"/>
  </r>
  <r>
    <n v="3402"/>
    <s v="29.01.2020"/>
    <n v="2020"/>
    <d v="2020-01-01T00:00:00"/>
    <n v="1"/>
    <n v="200096302"/>
    <s v="WE"/>
    <n v="81"/>
    <x v="7"/>
    <n v="21021040"/>
    <x v="7"/>
    <n v="30524.48"/>
    <s v="MXN"/>
    <n v="30524.48"/>
    <x v="0"/>
    <m/>
    <m/>
    <s v="4212A6A7-52DA-4CD3-B6B3-A9EB0E49A56F"/>
    <s v="MOFR810207T10"/>
    <n v="606476"/>
    <s v="MORALES FLORES RICARDO JAVIER"/>
    <m/>
    <m/>
    <s v="29.01.2020"/>
    <s v="FOLIO 105"/>
    <n v="20200129"/>
    <n v="30524.48"/>
    <n v="4883.9168"/>
    <n v="35408.396800000002"/>
    <n v="200124279"/>
    <s v="plan de manejo mapaches"/>
    <n v="35408.396800000002"/>
    <s v="17.02.2020"/>
    <s v="TRANSFERENCIA"/>
    <n v="200154027"/>
    <s v="BBVA"/>
    <s v="BBVAB 00188039070 TP"/>
    <n v="340225490"/>
    <s v="SOLI1102"/>
  </r>
  <r>
    <n v="3407"/>
    <s v="29.01.2020"/>
    <n v="2020"/>
    <d v="2020-01-01T00:00:00"/>
    <n v="1"/>
    <n v="700034671"/>
    <s v="WE"/>
    <n v="81"/>
    <x v="5"/>
    <n v="21021040"/>
    <x v="5"/>
    <n v="1889.25"/>
    <s v="USD"/>
    <n v="35783.72"/>
    <x v="0"/>
    <m/>
    <m/>
    <s v="N/A Registro proveedor extranjero"/>
    <n v="752738581"/>
    <n v="602358"/>
    <s v="PEGASUS BUSINESS INTELLIGENCE"/>
    <m/>
    <m/>
    <s v="29.01.2020"/>
    <n v="2292345"/>
    <n v="20200129"/>
    <n v="1889.25"/>
    <n v="0"/>
    <n v="1889.25"/>
    <n v="700043292"/>
    <s v="Comision Pegasus CYCLE END 02/01/2020."/>
    <n v="1889.25"/>
    <s v="10.02.2020"/>
    <s v="TRANSFERENCIA"/>
    <n v="700050731"/>
    <s v="BOFA"/>
    <s v="BofA RCD 89805242886"/>
    <n v="340721790"/>
    <s v="SOLI3407"/>
  </r>
  <r>
    <n v="3401"/>
    <s v="29.01.2020"/>
    <n v="2020"/>
    <d v="2020-01-01T00:00:00"/>
    <n v="1"/>
    <n v="100029231"/>
    <s v="WE"/>
    <n v="81"/>
    <x v="4"/>
    <n v="21021040"/>
    <x v="4"/>
    <n v="50484"/>
    <s v="MXN"/>
    <n v="50484"/>
    <x v="0"/>
    <m/>
    <m/>
    <s v="27DFA65C-1D63-41B7-9350-ADC68088A10C"/>
    <s v="CSS160330CP7"/>
    <n v="107211"/>
    <s v="CFE SUMINISTRADOR DE SERVICIOS"/>
    <m/>
    <m/>
    <s v="29.01.2020"/>
    <n v="4501216248"/>
    <s v="WH000533227437"/>
    <n v="50484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2"/>
    <s v="29.01.2020"/>
    <n v="2020"/>
    <d v="2020-01-01T00:00:00"/>
    <n v="1"/>
    <n v="200096515"/>
    <s v="WE"/>
    <n v="81"/>
    <x v="3"/>
    <n v="21021040"/>
    <x v="3"/>
    <n v="24002.6"/>
    <s v="USD"/>
    <n v="454626.05"/>
    <x v="0"/>
    <m/>
    <m/>
    <m/>
    <m/>
    <n v="604928"/>
    <s v="POWDR WOODWARD PA LLC"/>
    <m/>
    <m/>
    <s v="29.01.2020"/>
    <s v="WWRM-044"/>
    <n v="20200129"/>
    <n v="24002.6"/>
    <m/>
    <m/>
    <m/>
    <s v="PAGO TRIMESTRAL OCT-DIC19"/>
    <m/>
    <m/>
    <m/>
    <m/>
    <m/>
    <m/>
    <n v="340275190"/>
    <s v="SOLI1102"/>
  </r>
  <r>
    <n v="3402"/>
    <s v="29.01.2020"/>
    <n v="2020"/>
    <d v="2020-01-01T00:00:00"/>
    <n v="1"/>
    <n v="200096532"/>
    <s v="WE"/>
    <n v="81"/>
    <x v="7"/>
    <n v="21021040"/>
    <x v="7"/>
    <n v="9475"/>
    <s v="MXN"/>
    <n v="9475"/>
    <x v="0"/>
    <m/>
    <m/>
    <s v="0A22F755-3D21-4B48-8F4A-37B37BBC74E9"/>
    <m/>
    <n v="101476"/>
    <s v="ESTRADA RODRIGUEZ RAFAEL"/>
    <m/>
    <m/>
    <s v="29.01.2020"/>
    <s v="D128"/>
    <n v="20200129"/>
    <n v="9475"/>
    <n v="1516"/>
    <n v="10991"/>
    <n v="200124339"/>
    <s v="pago temazcal del 8 al 22 enero"/>
    <n v="10991"/>
    <s v="17.02.2020"/>
    <s v="TRANSFERENCIA"/>
    <n v="200154004"/>
    <s v="BBVA"/>
    <s v="BBVAB 00188039070 TP"/>
    <n v="340253290"/>
    <s v="SOLI1102"/>
  </r>
  <r>
    <n v="3401"/>
    <s v="03.01.2020"/>
    <n v="2020"/>
    <d v="2020-01-01T00:00:00"/>
    <n v="2"/>
    <n v="100004606"/>
    <s v="DZ"/>
    <n v="40"/>
    <x v="1"/>
    <n v="11210050"/>
    <x v="1"/>
    <n v="2430.52"/>
    <s v="USD"/>
    <n v="45849.82"/>
    <x v="0"/>
    <m/>
    <m/>
    <m/>
    <m/>
    <m/>
    <m/>
    <m/>
    <m/>
    <s v="06.01.2020"/>
    <n v="200103151541"/>
    <s v="GLOBAL COLLECT"/>
    <n v="2430.52"/>
    <m/>
    <m/>
    <n v="200047512"/>
    <s v="INVOICE GC IND MEX CTA 837-9303 OCTUBRE 2019"/>
    <m/>
    <m/>
    <m/>
    <m/>
    <m/>
    <m/>
    <n v="340140390"/>
    <s v="CXC14"/>
  </r>
  <r>
    <n v="3401"/>
    <s v="30.01.2020"/>
    <n v="2020"/>
    <d v="2020-01-01T00:00:00"/>
    <n v="354"/>
    <n v="100030622"/>
    <s v="Z4"/>
    <n v="40"/>
    <x v="1"/>
    <n v="5000001"/>
    <x v="1"/>
    <n v="20"/>
    <s v="USD"/>
    <n v="376.04"/>
    <x v="0"/>
    <m/>
    <m/>
    <m/>
    <m/>
    <m/>
    <m/>
    <m/>
    <m/>
    <s v="31.01.2020"/>
    <m/>
    <n v="20200130"/>
    <n v="20"/>
    <m/>
    <m/>
    <m/>
    <s v="Cobro 30.01.2020 ( 9124 )"/>
    <m/>
    <m/>
    <m/>
    <m/>
    <m/>
    <m/>
    <n v="340140390"/>
    <s v="PIRFC"/>
  </r>
  <r>
    <n v="3400"/>
    <s v="07.01.2020"/>
    <n v="2020"/>
    <d v="2020-01-01T00:00:00"/>
    <n v="1"/>
    <n v="880000089"/>
    <s v="Z6"/>
    <n v="40"/>
    <x v="1"/>
    <n v="11123162"/>
    <x v="1"/>
    <n v="25"/>
    <s v="USD"/>
    <n v="471.68"/>
    <x v="0"/>
    <m/>
    <m/>
    <m/>
    <m/>
    <m/>
    <m/>
    <m/>
    <m/>
    <s v="08.01.2020"/>
    <m/>
    <n v="20200107"/>
    <n v="25"/>
    <m/>
    <m/>
    <m/>
    <s v="PGO DEVUELTO 7 ENERO 2020 ID PROVEE 601915"/>
    <m/>
    <m/>
    <m/>
    <m/>
    <m/>
    <m/>
    <n v="340099150"/>
    <s v="JAVILES"/>
  </r>
  <r>
    <n v="3400"/>
    <s v="14.01.2020"/>
    <n v="2020"/>
    <d v="2020-01-01T00:00:00"/>
    <n v="1"/>
    <n v="880000290"/>
    <s v="Z6"/>
    <n v="40"/>
    <x v="1"/>
    <n v="11127102"/>
    <x v="1"/>
    <n v="360.5"/>
    <s v="MXN"/>
    <n v="360.5"/>
    <x v="0"/>
    <s v="D3"/>
    <m/>
    <m/>
    <m/>
    <m/>
    <m/>
    <m/>
    <m/>
    <s v="14.01.2020"/>
    <m/>
    <n v="20200114"/>
    <n v="360.5"/>
    <m/>
    <m/>
    <m/>
    <s v="comisiones 9092 hsbc"/>
    <m/>
    <m/>
    <m/>
    <m/>
    <m/>
    <m/>
    <n v="340099150"/>
    <s v="BAVILA"/>
  </r>
  <r>
    <n v="3402"/>
    <s v="23.01.2020"/>
    <n v="2020"/>
    <d v="2020-01-01T00:00:00"/>
    <n v="2"/>
    <n v="200076796"/>
    <s v="DZ"/>
    <n v="40"/>
    <x v="1"/>
    <n v="102070"/>
    <x v="1"/>
    <n v="25"/>
    <s v="USD"/>
    <n v="467.52"/>
    <x v="0"/>
    <m/>
    <m/>
    <m/>
    <m/>
    <m/>
    <m/>
    <m/>
    <m/>
    <s v="25.01.2020"/>
    <n v="4310806"/>
    <n v="102070"/>
    <n v="25"/>
    <m/>
    <m/>
    <m/>
    <s v="COM BANK - BB 2013215 W BUENO SANO - 23.01.20"/>
    <m/>
    <m/>
    <m/>
    <m/>
    <m/>
    <m/>
    <n v="340240390"/>
    <s v="CXC10"/>
  </r>
  <r>
    <n v="3402"/>
    <s v="29.01.2020"/>
    <n v="2020"/>
    <d v="2020-01-01T00:00:00"/>
    <n v="2"/>
    <n v="200108868"/>
    <s v="DZ"/>
    <n v="40"/>
    <x v="1"/>
    <n v="102070"/>
    <x v="1"/>
    <n v="20"/>
    <s v="USD"/>
    <n v="378.81"/>
    <x v="0"/>
    <m/>
    <m/>
    <m/>
    <m/>
    <m/>
    <m/>
    <m/>
    <m/>
    <s v="31.01.2020"/>
    <n v="4321597"/>
    <n v="102070"/>
    <n v="20"/>
    <m/>
    <m/>
    <m/>
    <s v="COM BANK - ORINTER - 29.01.2020"/>
    <m/>
    <m/>
    <m/>
    <m/>
    <m/>
    <m/>
    <n v="340240390"/>
    <s v="CXC10"/>
  </r>
  <r>
    <n v="3401"/>
    <s v="30.01.2020"/>
    <n v="2020"/>
    <d v="2020-01-01T00:00:00"/>
    <n v="1"/>
    <n v="100030312"/>
    <s v="WE"/>
    <n v="81"/>
    <x v="5"/>
    <n v="21021040"/>
    <x v="5"/>
    <n v="294.10000000000002"/>
    <s v="USD"/>
    <n v="5529.73"/>
    <x v="0"/>
    <m/>
    <m/>
    <s v="N/A Registro proveedor extranjero"/>
    <n v="435003532"/>
    <n v="600803"/>
    <s v="TRIPADVISOR LLC."/>
    <m/>
    <m/>
    <s v="30.01.2020"/>
    <n v="881747592654"/>
    <n v="20200130"/>
    <n v="294.10000000000002"/>
    <n v="0"/>
    <n v="294.10000000000002"/>
    <m/>
    <s v="Travel Agent Commissions"/>
    <n v="294.10000000000002"/>
    <s v="25.02.2020"/>
    <s v="TRANSFERENCIA"/>
    <n v="100063856"/>
    <s v="BOFA"/>
    <s v="BofA RCD 89805242886"/>
    <n v="340121790"/>
    <s v="SOLI1101"/>
  </r>
  <r>
    <n v="3407"/>
    <s v="30.01.2020"/>
    <n v="2020"/>
    <d v="2020-01-01T00:00:00"/>
    <n v="1"/>
    <n v="700036796"/>
    <s v="WE"/>
    <n v="81"/>
    <x v="7"/>
    <n v="21021040"/>
    <x v="7"/>
    <n v="104895.14"/>
    <s v="MXN"/>
    <n v="104895.14"/>
    <x v="0"/>
    <m/>
    <m/>
    <s v="DDBBEA96-ED35-427F-B186-E849239B944D"/>
    <s v="GOCF680717UJ8"/>
    <n v="606740"/>
    <s v="GONZALEZ RUBIO CERECER FERNANDO"/>
    <m/>
    <m/>
    <s v="30.01.2020"/>
    <n v="1766"/>
    <n v="20200130"/>
    <n v="104895.14"/>
    <n v="16783.222399999999"/>
    <n v="121678.3624"/>
    <n v="700036809"/>
    <s v="Notario Fe Hechos Prob Sindicato"/>
    <n v="121678.3624"/>
    <s v="31.01.2020"/>
    <s v="TRANSFERENCIA"/>
    <n v="700037016"/>
    <s v="BBVA"/>
    <s v="BBVAB 00188039070 TP"/>
    <n v="340727190"/>
    <s v="CGUTIERREZ"/>
  </r>
  <r>
    <n v="3400"/>
    <s v="30.01.2020"/>
    <n v="2020"/>
    <d v="2020-01-01T00:00:00"/>
    <n v="1"/>
    <n v="100010311"/>
    <s v="SA"/>
    <n v="40"/>
    <x v="8"/>
    <n v="11610030"/>
    <x v="8"/>
    <n v="85.45"/>
    <s v="USD"/>
    <n v="1606.65"/>
    <x v="0"/>
    <s v="D0"/>
    <m/>
    <m/>
    <m/>
    <m/>
    <m/>
    <m/>
    <m/>
    <s v="30.01.2020"/>
    <s v="AMORT 01 2020"/>
    <n v="20200130"/>
    <n v="85.45"/>
    <m/>
    <m/>
    <m/>
    <s v="DISTRIBUCION LICENCIAS SAP ENERO 2020"/>
    <m/>
    <m/>
    <m/>
    <m/>
    <m/>
    <m/>
    <n v="340019450"/>
    <s v="YCUTZ"/>
  </r>
  <r>
    <n v="3400"/>
    <s v="30.01.2020"/>
    <n v="2020"/>
    <d v="2020-01-01T00:00:00"/>
    <n v="2"/>
    <n v="100010311"/>
    <s v="SA"/>
    <n v="40"/>
    <x v="8"/>
    <n v="1161003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019550"/>
    <s v="YCUTZ"/>
  </r>
  <r>
    <n v="3400"/>
    <s v="30.01.2020"/>
    <n v="2020"/>
    <d v="2020-01-01T00:00:00"/>
    <n v="3"/>
    <n v="100010311"/>
    <s v="SA"/>
    <n v="40"/>
    <x v="8"/>
    <n v="11610030"/>
    <x v="8"/>
    <n v="113.93"/>
    <s v="USD"/>
    <n v="2142.13"/>
    <x v="0"/>
    <s v="D0"/>
    <m/>
    <m/>
    <m/>
    <m/>
    <m/>
    <m/>
    <m/>
    <s v="30.01.2020"/>
    <s v="AMORT 01 2020"/>
    <n v="20200130"/>
    <n v="113.93"/>
    <m/>
    <m/>
    <m/>
    <s v="DISTRIBUCION LICENCIAS SAP ENERO 2020"/>
    <m/>
    <m/>
    <m/>
    <m/>
    <m/>
    <m/>
    <n v="340019850"/>
    <s v="YCUTZ"/>
  </r>
  <r>
    <n v="3400"/>
    <s v="30.01.2020"/>
    <n v="2020"/>
    <d v="2020-01-01T00:00:00"/>
    <n v="4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20050"/>
    <s v="YCUTZ"/>
  </r>
  <r>
    <n v="3400"/>
    <s v="30.01.2020"/>
    <n v="2020"/>
    <d v="2020-01-01T00:00:00"/>
    <n v="5"/>
    <n v="100010311"/>
    <s v="SA"/>
    <n v="40"/>
    <x v="8"/>
    <n v="1161003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021950"/>
    <s v="YCUTZ"/>
  </r>
  <r>
    <n v="3400"/>
    <s v="30.01.2020"/>
    <n v="2020"/>
    <d v="2020-01-01T00:00:00"/>
    <n v="6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22150"/>
    <s v="YCUTZ"/>
  </r>
  <r>
    <n v="3400"/>
    <s v="30.01.2020"/>
    <n v="2020"/>
    <d v="2020-01-01T00:00:00"/>
    <n v="7"/>
    <n v="100010311"/>
    <s v="SA"/>
    <n v="40"/>
    <x v="8"/>
    <n v="1161003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022250"/>
    <s v="YCUTZ"/>
  </r>
  <r>
    <n v="3400"/>
    <s v="30.01.2020"/>
    <n v="2020"/>
    <d v="2020-01-01T00:00:00"/>
    <n v="8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22950"/>
    <s v="YCUTZ"/>
  </r>
  <r>
    <n v="3400"/>
    <s v="30.01.2020"/>
    <n v="2020"/>
    <d v="2020-01-01T00:00:00"/>
    <n v="9"/>
    <n v="100010311"/>
    <s v="SA"/>
    <n v="40"/>
    <x v="8"/>
    <n v="1161003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023250"/>
    <s v="YCUTZ"/>
  </r>
  <r>
    <n v="3400"/>
    <s v="30.01.2020"/>
    <n v="2020"/>
    <d v="2020-01-01T00:00:00"/>
    <n v="10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23450"/>
    <s v="YCUTZ"/>
  </r>
  <r>
    <n v="3400"/>
    <s v="30.01.2020"/>
    <n v="2020"/>
    <d v="2020-01-01T00:00:00"/>
    <n v="11"/>
    <n v="100010311"/>
    <s v="SA"/>
    <n v="40"/>
    <x v="8"/>
    <n v="1161003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023550"/>
    <s v="YCUTZ"/>
  </r>
  <r>
    <n v="3400"/>
    <s v="30.01.2020"/>
    <n v="2020"/>
    <d v="2020-01-01T00:00:00"/>
    <n v="12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25050"/>
    <s v="YCUTZ"/>
  </r>
  <r>
    <n v="3400"/>
    <s v="30.01.2020"/>
    <n v="2020"/>
    <d v="2020-01-01T00:00:00"/>
    <n v="13"/>
    <n v="100010311"/>
    <s v="SA"/>
    <n v="40"/>
    <x v="8"/>
    <n v="11610030"/>
    <x v="8"/>
    <n v="569.65"/>
    <s v="USD"/>
    <n v="10710.67"/>
    <x v="0"/>
    <s v="D0"/>
    <m/>
    <m/>
    <m/>
    <m/>
    <m/>
    <m/>
    <m/>
    <s v="30.01.2020"/>
    <s v="AMORT 01 2020"/>
    <n v="20200130"/>
    <n v="569.65"/>
    <m/>
    <m/>
    <m/>
    <s v="DISTRIBUCION LICENCIAS SAP ENERO 2020"/>
    <m/>
    <m/>
    <m/>
    <m/>
    <m/>
    <m/>
    <n v="340036150"/>
    <s v="YCUTZ"/>
  </r>
  <r>
    <n v="3400"/>
    <s v="30.01.2020"/>
    <n v="2020"/>
    <d v="2020-01-01T00:00:00"/>
    <n v="14"/>
    <n v="100010311"/>
    <s v="SA"/>
    <n v="40"/>
    <x v="8"/>
    <n v="11610030"/>
    <x v="8"/>
    <n v="227.86"/>
    <s v="USD"/>
    <n v="4284.2700000000004"/>
    <x v="0"/>
    <s v="D0"/>
    <m/>
    <m/>
    <m/>
    <m/>
    <m/>
    <m/>
    <m/>
    <s v="30.01.2020"/>
    <s v="AMORT 01 2020"/>
    <n v="20200130"/>
    <n v="227.86"/>
    <m/>
    <m/>
    <m/>
    <s v="DISTRIBUCION LICENCIAS SAP ENERO 2020"/>
    <m/>
    <m/>
    <m/>
    <m/>
    <m/>
    <m/>
    <n v="340036350"/>
    <s v="YCUTZ"/>
  </r>
  <r>
    <n v="3400"/>
    <s v="30.01.2020"/>
    <n v="2020"/>
    <d v="2020-01-01T00:00:00"/>
    <n v="15"/>
    <n v="100010311"/>
    <s v="SA"/>
    <n v="40"/>
    <x v="8"/>
    <n v="11610030"/>
    <x v="8"/>
    <n v="170.89"/>
    <s v="USD"/>
    <n v="3213.11"/>
    <x v="0"/>
    <s v="D0"/>
    <m/>
    <m/>
    <m/>
    <m/>
    <m/>
    <m/>
    <m/>
    <s v="30.01.2020"/>
    <s v="AMORT 01 2020"/>
    <n v="20200130"/>
    <n v="170.89"/>
    <m/>
    <m/>
    <m/>
    <s v="DISTRIBUCION LICENCIAS SAP ENERO 2020"/>
    <m/>
    <m/>
    <m/>
    <m/>
    <m/>
    <m/>
    <n v="340040050"/>
    <s v="YCUTZ"/>
  </r>
  <r>
    <n v="3400"/>
    <s v="30.01.2020"/>
    <n v="2020"/>
    <d v="2020-01-01T00:00:00"/>
    <n v="16"/>
    <n v="100010311"/>
    <s v="SA"/>
    <n v="40"/>
    <x v="8"/>
    <n v="1161003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040150"/>
    <s v="YCUTZ"/>
  </r>
  <r>
    <n v="3400"/>
    <s v="30.01.2020"/>
    <n v="2020"/>
    <d v="2020-01-01T00:00:00"/>
    <n v="17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40250"/>
    <s v="YCUTZ"/>
  </r>
  <r>
    <n v="3400"/>
    <s v="30.01.2020"/>
    <n v="2020"/>
    <d v="2020-01-01T00:00:00"/>
    <n v="18"/>
    <n v="100010311"/>
    <s v="SA"/>
    <n v="40"/>
    <x v="8"/>
    <n v="11610030"/>
    <x v="8"/>
    <n v="569.65"/>
    <s v="USD"/>
    <n v="10710.67"/>
    <x v="0"/>
    <s v="D0"/>
    <m/>
    <m/>
    <m/>
    <m/>
    <m/>
    <m/>
    <m/>
    <s v="30.01.2020"/>
    <s v="AMORT 01 2020"/>
    <n v="20200130"/>
    <n v="569.65"/>
    <m/>
    <m/>
    <m/>
    <s v="DISTRIBUCION LICENCIAS SAP ENERO 2020"/>
    <m/>
    <m/>
    <m/>
    <m/>
    <m/>
    <m/>
    <n v="340040450"/>
    <s v="YCUTZ"/>
  </r>
  <r>
    <n v="3400"/>
    <s v="30.01.2020"/>
    <n v="2020"/>
    <d v="2020-01-01T00:00:00"/>
    <n v="19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40550"/>
    <s v="YCUTZ"/>
  </r>
  <r>
    <n v="3400"/>
    <s v="30.01.2020"/>
    <n v="2020"/>
    <d v="2020-01-01T00:00:00"/>
    <n v="20"/>
    <n v="100010311"/>
    <s v="SA"/>
    <n v="40"/>
    <x v="8"/>
    <n v="1161003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040650"/>
    <s v="YCUTZ"/>
  </r>
  <r>
    <n v="3400"/>
    <s v="30.01.2020"/>
    <n v="2020"/>
    <d v="2020-01-01T00:00:00"/>
    <n v="21"/>
    <n v="100010311"/>
    <s v="SA"/>
    <n v="40"/>
    <x v="8"/>
    <n v="11610030"/>
    <x v="8"/>
    <n v="199.38"/>
    <s v="USD"/>
    <n v="3748.78"/>
    <x v="0"/>
    <s v="D0"/>
    <m/>
    <m/>
    <m/>
    <m/>
    <m/>
    <m/>
    <m/>
    <s v="30.01.2020"/>
    <s v="AMORT 01 2020"/>
    <n v="20200130"/>
    <n v="199.38"/>
    <m/>
    <m/>
    <m/>
    <s v="DISTRIBUCION LICENCIAS SAP ENERO 2020"/>
    <m/>
    <m/>
    <m/>
    <m/>
    <m/>
    <m/>
    <n v="340040750"/>
    <s v="YCUTZ"/>
  </r>
  <r>
    <n v="3400"/>
    <s v="30.01.2020"/>
    <n v="2020"/>
    <d v="2020-01-01T00:00:00"/>
    <n v="22"/>
    <n v="100010311"/>
    <s v="SA"/>
    <n v="40"/>
    <x v="8"/>
    <n v="11610030"/>
    <x v="8"/>
    <n v="256.33999999999997"/>
    <s v="USD"/>
    <n v="4819.76"/>
    <x v="0"/>
    <s v="D0"/>
    <m/>
    <m/>
    <m/>
    <m/>
    <m/>
    <m/>
    <m/>
    <s v="30.01.2020"/>
    <s v="AMORT 01 2020"/>
    <n v="20200130"/>
    <n v="256.33999999999997"/>
    <m/>
    <m/>
    <m/>
    <s v="DISTRIBUCION LICENCIAS SAP ENERO 2020"/>
    <m/>
    <m/>
    <m/>
    <m/>
    <m/>
    <m/>
    <n v="340040850"/>
    <s v="YCUTZ"/>
  </r>
  <r>
    <n v="3400"/>
    <s v="30.01.2020"/>
    <n v="2020"/>
    <d v="2020-01-01T00:00:00"/>
    <n v="23"/>
    <n v="100010311"/>
    <s v="SA"/>
    <n v="40"/>
    <x v="8"/>
    <n v="11610030"/>
    <x v="8"/>
    <n v="455.72"/>
    <s v="USD"/>
    <n v="8568.5400000000009"/>
    <x v="0"/>
    <s v="D0"/>
    <m/>
    <m/>
    <m/>
    <m/>
    <m/>
    <m/>
    <m/>
    <s v="30.01.2020"/>
    <s v="AMORT 01 2020"/>
    <n v="20200130"/>
    <n v="455.72"/>
    <m/>
    <m/>
    <m/>
    <s v="DISTRIBUCION LICENCIAS SAP ENERO 2020"/>
    <m/>
    <m/>
    <m/>
    <m/>
    <m/>
    <m/>
    <n v="340040950"/>
    <s v="YCUTZ"/>
  </r>
  <r>
    <n v="3400"/>
    <s v="30.01.2020"/>
    <n v="2020"/>
    <d v="2020-01-01T00:00:00"/>
    <n v="24"/>
    <n v="100010311"/>
    <s v="SA"/>
    <n v="40"/>
    <x v="8"/>
    <n v="11610030"/>
    <x v="8"/>
    <n v="256.33999999999997"/>
    <s v="USD"/>
    <n v="4819.76"/>
    <x v="0"/>
    <s v="D0"/>
    <m/>
    <m/>
    <m/>
    <m/>
    <m/>
    <m/>
    <m/>
    <s v="30.01.2020"/>
    <s v="AMORT 01 2020"/>
    <n v="20200130"/>
    <n v="256.33999999999997"/>
    <m/>
    <m/>
    <m/>
    <s v="DISTRIBUCION LICENCIAS SAP ENERO 2020"/>
    <m/>
    <m/>
    <m/>
    <m/>
    <m/>
    <m/>
    <n v="340041550"/>
    <s v="YCUTZ"/>
  </r>
  <r>
    <n v="3400"/>
    <s v="30.01.2020"/>
    <n v="2020"/>
    <d v="2020-01-01T00:00:00"/>
    <n v="25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41650"/>
    <s v="YCUTZ"/>
  </r>
  <r>
    <n v="3400"/>
    <s v="30.01.2020"/>
    <n v="2020"/>
    <d v="2020-01-01T00:00:00"/>
    <n v="26"/>
    <n v="100010311"/>
    <s v="SA"/>
    <n v="40"/>
    <x v="8"/>
    <n v="11610030"/>
    <x v="8"/>
    <n v="85.45"/>
    <s v="USD"/>
    <n v="1606.65"/>
    <x v="0"/>
    <s v="D0"/>
    <m/>
    <m/>
    <m/>
    <m/>
    <m/>
    <m/>
    <m/>
    <s v="30.01.2020"/>
    <s v="AMORT 01 2020"/>
    <n v="20200130"/>
    <n v="85.45"/>
    <m/>
    <m/>
    <m/>
    <s v="DISTRIBUCION LICENCIAS SAP ENERO 2020"/>
    <m/>
    <m/>
    <m/>
    <m/>
    <m/>
    <m/>
    <n v="340041850"/>
    <s v="YCUTZ"/>
  </r>
  <r>
    <n v="3400"/>
    <s v="30.01.2020"/>
    <n v="2020"/>
    <d v="2020-01-01T00:00:00"/>
    <n v="27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44150"/>
    <s v="YCUTZ"/>
  </r>
  <r>
    <n v="3400"/>
    <s v="30.01.2020"/>
    <n v="2020"/>
    <d v="2020-01-01T00:00:00"/>
    <n v="28"/>
    <n v="100010311"/>
    <s v="SA"/>
    <n v="40"/>
    <x v="8"/>
    <n v="11610030"/>
    <x v="8"/>
    <n v="8430.7800000000007"/>
    <s v="USD"/>
    <n v="158517.21"/>
    <x v="0"/>
    <s v="D0"/>
    <m/>
    <m/>
    <m/>
    <m/>
    <m/>
    <m/>
    <m/>
    <s v="30.01.2020"/>
    <s v="AMORT 01 2020"/>
    <n v="20200130"/>
    <n v="8430.7800000000007"/>
    <m/>
    <m/>
    <m/>
    <s v="DISTRIBUCION LICENCIAS SAP ENERO 2020"/>
    <m/>
    <m/>
    <m/>
    <m/>
    <m/>
    <m/>
    <n v="340046150"/>
    <s v="YCUTZ"/>
  </r>
  <r>
    <n v="3400"/>
    <s v="30.01.2020"/>
    <n v="2020"/>
    <d v="2020-01-01T00:00:00"/>
    <n v="29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48150"/>
    <s v="YCUTZ"/>
  </r>
  <r>
    <n v="3400"/>
    <s v="30.01.2020"/>
    <n v="2020"/>
    <d v="2020-01-01T00:00:00"/>
    <n v="30"/>
    <n v="100010311"/>
    <s v="SA"/>
    <n v="40"/>
    <x v="8"/>
    <n v="11610030"/>
    <x v="8"/>
    <n v="85.45"/>
    <s v="USD"/>
    <n v="1606.65"/>
    <x v="0"/>
    <s v="D0"/>
    <m/>
    <m/>
    <m/>
    <m/>
    <m/>
    <m/>
    <m/>
    <s v="30.01.2020"/>
    <s v="AMORT 01 2020"/>
    <n v="20200130"/>
    <n v="85.45"/>
    <m/>
    <m/>
    <m/>
    <s v="DISTRIBUCION LICENCIAS SAP ENERO 2020"/>
    <m/>
    <m/>
    <m/>
    <m/>
    <m/>
    <m/>
    <n v="340049150"/>
    <s v="YCUTZ"/>
  </r>
  <r>
    <n v="3400"/>
    <s v="30.01.2020"/>
    <n v="2020"/>
    <d v="2020-01-01T00:00:00"/>
    <n v="31"/>
    <n v="100010311"/>
    <s v="SA"/>
    <n v="40"/>
    <x v="8"/>
    <n v="1161003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049250"/>
    <s v="YCUTZ"/>
  </r>
  <r>
    <n v="3400"/>
    <s v="30.01.2020"/>
    <n v="2020"/>
    <d v="2020-01-01T00:00:00"/>
    <n v="32"/>
    <n v="100010311"/>
    <s v="SA"/>
    <n v="40"/>
    <x v="8"/>
    <n v="11610030"/>
    <x v="8"/>
    <n v="85.45"/>
    <s v="USD"/>
    <n v="1606.65"/>
    <x v="0"/>
    <s v="D0"/>
    <m/>
    <m/>
    <m/>
    <m/>
    <m/>
    <m/>
    <m/>
    <s v="30.01.2020"/>
    <s v="AMORT 01 2020"/>
    <n v="20200130"/>
    <n v="85.45"/>
    <m/>
    <m/>
    <m/>
    <s v="DISTRIBUCION LICENCIAS SAP ENERO 2020"/>
    <m/>
    <m/>
    <m/>
    <m/>
    <m/>
    <m/>
    <n v="340098550"/>
    <s v="YCUTZ"/>
  </r>
  <r>
    <n v="3400"/>
    <s v="30.01.2020"/>
    <n v="2020"/>
    <d v="2020-01-01T00:00:00"/>
    <n v="33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98950"/>
    <s v="YCUTZ"/>
  </r>
  <r>
    <n v="3400"/>
    <s v="30.01.2020"/>
    <n v="2020"/>
    <d v="2020-01-01T00:00:00"/>
    <n v="34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98950"/>
    <s v="YCUTZ"/>
  </r>
  <r>
    <n v="3400"/>
    <s v="30.01.2020"/>
    <n v="2020"/>
    <d v="2020-01-01T00:00:00"/>
    <n v="35"/>
    <n v="100010311"/>
    <s v="SA"/>
    <n v="40"/>
    <x v="8"/>
    <n v="11610030"/>
    <x v="8"/>
    <n v="85.45"/>
    <s v="USD"/>
    <n v="1606.65"/>
    <x v="0"/>
    <s v="D0"/>
    <m/>
    <m/>
    <m/>
    <m/>
    <m/>
    <m/>
    <m/>
    <s v="30.01.2020"/>
    <s v="AMORT 01 2020"/>
    <n v="20200130"/>
    <n v="85.45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36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37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38"/>
    <n v="100010311"/>
    <s v="SA"/>
    <n v="40"/>
    <x v="8"/>
    <n v="11610030"/>
    <x v="8"/>
    <n v="142.41"/>
    <s v="USD"/>
    <n v="2677.62"/>
    <x v="0"/>
    <s v="D0"/>
    <m/>
    <m/>
    <m/>
    <m/>
    <m/>
    <m/>
    <m/>
    <s v="30.01.2020"/>
    <s v="AMORT 01 2020"/>
    <n v="20200130"/>
    <n v="142.41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39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40"/>
    <n v="100010311"/>
    <s v="SA"/>
    <n v="40"/>
    <x v="8"/>
    <n v="11610030"/>
    <x v="8"/>
    <n v="85.45"/>
    <s v="USD"/>
    <n v="1606.65"/>
    <x v="0"/>
    <s v="D0"/>
    <m/>
    <m/>
    <m/>
    <m/>
    <m/>
    <m/>
    <m/>
    <s v="30.01.2020"/>
    <s v="AMORT 01 2020"/>
    <n v="20200130"/>
    <n v="85.45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41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98950"/>
    <s v="YCUTZ"/>
  </r>
  <r>
    <n v="3400"/>
    <s v="30.01.2020"/>
    <n v="2020"/>
    <d v="2020-01-01T00:00:00"/>
    <n v="42"/>
    <n v="100010311"/>
    <s v="SA"/>
    <n v="40"/>
    <x v="8"/>
    <n v="1161003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43"/>
    <n v="100010311"/>
    <s v="SA"/>
    <n v="40"/>
    <x v="8"/>
    <n v="11610030"/>
    <x v="8"/>
    <n v="398.75"/>
    <s v="USD"/>
    <n v="7497.38"/>
    <x v="0"/>
    <s v="D0"/>
    <m/>
    <m/>
    <m/>
    <m/>
    <m/>
    <m/>
    <m/>
    <s v="30.01.2020"/>
    <s v="AMORT 01 2020"/>
    <n v="20200130"/>
    <n v="398.75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44"/>
    <n v="100010311"/>
    <s v="SA"/>
    <n v="40"/>
    <x v="8"/>
    <n v="11610030"/>
    <x v="8"/>
    <n v="740.54"/>
    <s v="USD"/>
    <n v="13923.78"/>
    <x v="0"/>
    <s v="D0"/>
    <m/>
    <m/>
    <m/>
    <m/>
    <m/>
    <m/>
    <m/>
    <s v="30.01.2020"/>
    <s v="AMORT 01 2020"/>
    <n v="20200130"/>
    <n v="740.54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45"/>
    <n v="100010311"/>
    <s v="SA"/>
    <n v="40"/>
    <x v="8"/>
    <n v="11610030"/>
    <x v="8"/>
    <n v="113.93"/>
    <s v="USD"/>
    <n v="2142.13"/>
    <x v="0"/>
    <s v="D0"/>
    <m/>
    <m/>
    <m/>
    <m/>
    <m/>
    <m/>
    <m/>
    <s v="30.01.2020"/>
    <s v="AMORT 01 2020"/>
    <n v="20200130"/>
    <n v="113.93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46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47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48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49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99350"/>
    <s v="YCUTZ"/>
  </r>
  <r>
    <n v="3400"/>
    <s v="30.01.2020"/>
    <n v="2020"/>
    <d v="2020-01-01T00:00:00"/>
    <n v="50"/>
    <n v="100010311"/>
    <s v="SA"/>
    <n v="40"/>
    <x v="8"/>
    <n v="1161003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099350"/>
    <s v="YCUTZ"/>
  </r>
  <r>
    <n v="3401"/>
    <s v="30.01.2020"/>
    <n v="2020"/>
    <d v="2020-01-01T00:00:00"/>
    <n v="1"/>
    <n v="100030579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110890"/>
    <s v="YCUTZ"/>
  </r>
  <r>
    <n v="3401"/>
    <s v="30.01.2020"/>
    <n v="2020"/>
    <d v="2020-01-01T00:00:00"/>
    <n v="2"/>
    <n v="100030579"/>
    <s v="SA"/>
    <n v="40"/>
    <x v="8"/>
    <n v="11210050"/>
    <x v="8"/>
    <n v="512.67999999999995"/>
    <s v="USD"/>
    <n v="9639.51"/>
    <x v="0"/>
    <s v="D0"/>
    <m/>
    <m/>
    <m/>
    <m/>
    <m/>
    <m/>
    <m/>
    <s v="30.01.2020"/>
    <s v="AMORT 01 2020"/>
    <n v="20200130"/>
    <n v="512.67999999999995"/>
    <m/>
    <m/>
    <m/>
    <s v="DISTRIBUCION LICENCIAS SAP ENERO 2020"/>
    <m/>
    <m/>
    <m/>
    <m/>
    <m/>
    <m/>
    <n v="340116690"/>
    <s v="YCUTZ"/>
  </r>
  <r>
    <n v="3401"/>
    <s v="30.01.2020"/>
    <n v="2020"/>
    <d v="2020-01-01T00:00:00"/>
    <n v="3"/>
    <n v="100030579"/>
    <s v="SA"/>
    <n v="40"/>
    <x v="8"/>
    <n v="11210050"/>
    <x v="8"/>
    <n v="170.89"/>
    <s v="USD"/>
    <n v="3213.11"/>
    <x v="0"/>
    <s v="D0"/>
    <m/>
    <m/>
    <m/>
    <m/>
    <m/>
    <m/>
    <m/>
    <s v="30.01.2020"/>
    <s v="AMORT 01 2020"/>
    <n v="20200130"/>
    <n v="170.89"/>
    <m/>
    <m/>
    <m/>
    <s v="DISTRIBUCION LICENCIAS SAP ENERO 2020"/>
    <m/>
    <m/>
    <m/>
    <m/>
    <m/>
    <m/>
    <n v="340117690"/>
    <s v="YCUTZ"/>
  </r>
  <r>
    <n v="3401"/>
    <s v="30.01.2020"/>
    <n v="2020"/>
    <d v="2020-01-01T00:00:00"/>
    <n v="4"/>
    <n v="100030579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121690"/>
    <s v="YCUTZ"/>
  </r>
  <r>
    <n v="3401"/>
    <s v="30.01.2020"/>
    <n v="2020"/>
    <d v="2020-01-01T00:00:00"/>
    <n v="5"/>
    <n v="100030579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125190"/>
    <s v="YCUTZ"/>
  </r>
  <r>
    <n v="3401"/>
    <s v="30.01.2020"/>
    <n v="2020"/>
    <d v="2020-01-01T00:00:00"/>
    <n v="6"/>
    <n v="100030579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133190"/>
    <s v="YCUTZ"/>
  </r>
  <r>
    <n v="3401"/>
    <s v="30.01.2020"/>
    <n v="2020"/>
    <d v="2020-01-01T00:00:00"/>
    <n v="7"/>
    <n v="100030579"/>
    <s v="SA"/>
    <n v="40"/>
    <x v="8"/>
    <n v="11210050"/>
    <x v="8"/>
    <n v="113.93"/>
    <s v="USD"/>
    <n v="2142.13"/>
    <x v="0"/>
    <s v="D0"/>
    <m/>
    <m/>
    <m/>
    <m/>
    <m/>
    <m/>
    <m/>
    <s v="30.01.2020"/>
    <s v="AMORT 01 2020"/>
    <n v="20200130"/>
    <n v="113.93"/>
    <m/>
    <m/>
    <m/>
    <s v="DISTRIBUCION LICENCIAS SAP ENERO 2020"/>
    <m/>
    <m/>
    <m/>
    <m/>
    <m/>
    <m/>
    <n v="340136290"/>
    <s v="YCUTZ"/>
  </r>
  <r>
    <n v="3401"/>
    <s v="30.01.2020"/>
    <n v="2020"/>
    <d v="2020-01-01T00:00:00"/>
    <n v="8"/>
    <n v="100030579"/>
    <s v="SA"/>
    <n v="40"/>
    <x v="8"/>
    <n v="11210050"/>
    <x v="8"/>
    <n v="313.31"/>
    <s v="USD"/>
    <n v="5890.92"/>
    <x v="0"/>
    <s v="D0"/>
    <m/>
    <m/>
    <m/>
    <m/>
    <m/>
    <m/>
    <m/>
    <s v="30.01.2020"/>
    <s v="AMORT 01 2020"/>
    <n v="20200130"/>
    <n v="313.31"/>
    <m/>
    <m/>
    <m/>
    <s v="DISTRIBUCION LICENCIAS SAP ENERO 2020"/>
    <m/>
    <m/>
    <m/>
    <m/>
    <m/>
    <m/>
    <n v="340140390"/>
    <s v="YCUTZ"/>
  </r>
  <r>
    <n v="3401"/>
    <s v="30.01.2020"/>
    <n v="2020"/>
    <d v="2020-01-01T00:00:00"/>
    <n v="9"/>
    <n v="100030579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162190"/>
    <s v="YCUTZ"/>
  </r>
  <r>
    <n v="3402"/>
    <s v="30.01.2020"/>
    <n v="2020"/>
    <d v="2020-01-01T00:00:00"/>
    <n v="1"/>
    <n v="200102604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210890"/>
    <s v="YCUTZ"/>
  </r>
  <r>
    <n v="3402"/>
    <s v="30.01.2020"/>
    <n v="2020"/>
    <d v="2020-01-01T00:00:00"/>
    <n v="2"/>
    <n v="200102604"/>
    <s v="SA"/>
    <n v="40"/>
    <x v="8"/>
    <n v="1121005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216690"/>
    <s v="YCUTZ"/>
  </r>
  <r>
    <n v="3402"/>
    <s v="30.01.2020"/>
    <n v="2020"/>
    <d v="2020-01-01T00:00:00"/>
    <n v="3"/>
    <n v="200102604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217690"/>
    <s v="YCUTZ"/>
  </r>
  <r>
    <n v="3402"/>
    <s v="30.01.2020"/>
    <n v="2020"/>
    <d v="2020-01-01T00:00:00"/>
    <n v="4"/>
    <n v="200102604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217990"/>
    <s v="YCUTZ"/>
  </r>
  <r>
    <n v="3402"/>
    <s v="30.01.2020"/>
    <n v="2020"/>
    <d v="2020-01-01T00:00:00"/>
    <n v="5"/>
    <n v="200102604"/>
    <s v="SA"/>
    <n v="40"/>
    <x v="8"/>
    <n v="1121005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220490"/>
    <s v="YCUTZ"/>
  </r>
  <r>
    <n v="3402"/>
    <s v="30.01.2020"/>
    <n v="2020"/>
    <d v="2020-01-01T00:00:00"/>
    <n v="6"/>
    <n v="200102604"/>
    <s v="SA"/>
    <n v="40"/>
    <x v="8"/>
    <n v="11210050"/>
    <x v="8"/>
    <n v="85.45"/>
    <s v="USD"/>
    <n v="1606.65"/>
    <x v="0"/>
    <s v="D0"/>
    <m/>
    <m/>
    <m/>
    <m/>
    <m/>
    <m/>
    <m/>
    <s v="30.01.2020"/>
    <s v="AMORT 01 2020"/>
    <n v="20200130"/>
    <n v="85.45"/>
    <m/>
    <m/>
    <m/>
    <s v="DISTRIBUCION LICENCIAS SAP ENERO 2020"/>
    <m/>
    <m/>
    <m/>
    <m/>
    <m/>
    <m/>
    <n v="340221690"/>
    <s v="YCUTZ"/>
  </r>
  <r>
    <n v="3402"/>
    <s v="30.01.2020"/>
    <n v="2020"/>
    <d v="2020-01-01T00:00:00"/>
    <n v="7"/>
    <n v="200102604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225190"/>
    <s v="YCUTZ"/>
  </r>
  <r>
    <n v="3402"/>
    <s v="30.01.2020"/>
    <n v="2020"/>
    <d v="2020-01-01T00:00:00"/>
    <n v="8"/>
    <n v="200102604"/>
    <s v="SA"/>
    <n v="40"/>
    <x v="8"/>
    <n v="1121005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227190"/>
    <s v="YCUTZ"/>
  </r>
  <r>
    <n v="3402"/>
    <s v="30.01.2020"/>
    <n v="2020"/>
    <d v="2020-01-01T00:00:00"/>
    <n v="9"/>
    <n v="200102604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233190"/>
    <s v="YCUTZ"/>
  </r>
  <r>
    <n v="3402"/>
    <s v="30.01.2020"/>
    <n v="2020"/>
    <d v="2020-01-01T00:00:00"/>
    <n v="10"/>
    <n v="200102604"/>
    <s v="SA"/>
    <n v="40"/>
    <x v="8"/>
    <n v="11210050"/>
    <x v="8"/>
    <n v="199.38"/>
    <s v="USD"/>
    <n v="3748.78"/>
    <x v="0"/>
    <s v="D0"/>
    <m/>
    <m/>
    <m/>
    <m/>
    <m/>
    <m/>
    <m/>
    <s v="30.01.2020"/>
    <s v="AMORT 01 2020"/>
    <n v="20200130"/>
    <n v="199.38"/>
    <m/>
    <m/>
    <m/>
    <s v="DISTRIBUCION LICENCIAS SAP ENERO 2020"/>
    <m/>
    <m/>
    <m/>
    <m/>
    <m/>
    <m/>
    <n v="340236290"/>
    <s v="YCUTZ"/>
  </r>
  <r>
    <n v="3402"/>
    <s v="30.01.2020"/>
    <n v="2020"/>
    <d v="2020-01-01T00:00:00"/>
    <n v="11"/>
    <n v="200102604"/>
    <s v="SA"/>
    <n v="40"/>
    <x v="8"/>
    <n v="11210050"/>
    <x v="8"/>
    <n v="398.75"/>
    <s v="USD"/>
    <n v="7497.38"/>
    <x v="0"/>
    <s v="D0"/>
    <m/>
    <m/>
    <m/>
    <m/>
    <m/>
    <m/>
    <m/>
    <s v="30.01.2020"/>
    <s v="AMORT 01 2020"/>
    <n v="20200130"/>
    <n v="398.75"/>
    <m/>
    <m/>
    <m/>
    <s v="DISTRIBUCION LICENCIAS SAP ENERO 2020"/>
    <m/>
    <m/>
    <m/>
    <m/>
    <m/>
    <m/>
    <n v="340240390"/>
    <s v="YCUTZ"/>
  </r>
  <r>
    <n v="3402"/>
    <s v="30.01.2020"/>
    <n v="2020"/>
    <d v="2020-01-01T00:00:00"/>
    <n v="12"/>
    <n v="200102604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248290"/>
    <s v="YCUTZ"/>
  </r>
  <r>
    <n v="3402"/>
    <s v="30.01.2020"/>
    <n v="2020"/>
    <d v="2020-01-01T00:00:00"/>
    <n v="13"/>
    <n v="200102604"/>
    <s v="SA"/>
    <n v="40"/>
    <x v="8"/>
    <n v="11210050"/>
    <x v="8"/>
    <n v="85.45"/>
    <s v="USD"/>
    <n v="1606.65"/>
    <x v="0"/>
    <s v="D0"/>
    <m/>
    <m/>
    <m/>
    <m/>
    <m/>
    <m/>
    <m/>
    <s v="30.01.2020"/>
    <s v="AMORT 01 2020"/>
    <n v="20200130"/>
    <n v="85.45"/>
    <m/>
    <m/>
    <m/>
    <s v="DISTRIBUCION LICENCIAS SAP ENERO 2020"/>
    <m/>
    <m/>
    <m/>
    <m/>
    <m/>
    <m/>
    <n v="340255290"/>
    <s v="YCUTZ"/>
  </r>
  <r>
    <n v="3402"/>
    <s v="30.01.2020"/>
    <n v="2020"/>
    <d v="2020-01-01T00:00:00"/>
    <n v="14"/>
    <n v="200102604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262190"/>
    <s v="YCUTZ"/>
  </r>
  <r>
    <n v="3402"/>
    <s v="30.01.2020"/>
    <n v="2020"/>
    <d v="2020-01-01T00:00:00"/>
    <n v="15"/>
    <n v="200102604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268190"/>
    <s v="YCUTZ"/>
  </r>
  <r>
    <n v="3403"/>
    <s v="30.01.2020"/>
    <n v="2020"/>
    <d v="2020-01-01T00:00:00"/>
    <n v="1"/>
    <n v="300017103"/>
    <s v="SA"/>
    <n v="40"/>
    <x v="8"/>
    <n v="1121005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316690"/>
    <s v="YCUTZ"/>
  </r>
  <r>
    <n v="3403"/>
    <s v="30.01.2020"/>
    <n v="2020"/>
    <d v="2020-01-01T00:00:00"/>
    <n v="2"/>
    <n v="300017103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325190"/>
    <s v="YCUTZ"/>
  </r>
  <r>
    <n v="3403"/>
    <s v="30.01.2020"/>
    <n v="2020"/>
    <d v="2020-01-01T00:00:00"/>
    <n v="3"/>
    <n v="300017103"/>
    <s v="SA"/>
    <n v="40"/>
    <x v="8"/>
    <n v="1121005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333190"/>
    <s v="YCUTZ"/>
  </r>
  <r>
    <n v="3403"/>
    <s v="30.01.2020"/>
    <n v="2020"/>
    <d v="2020-01-01T00:00:00"/>
    <n v="4"/>
    <n v="300017103"/>
    <s v="SA"/>
    <n v="40"/>
    <x v="8"/>
    <n v="11210050"/>
    <x v="8"/>
    <n v="113.93"/>
    <s v="USD"/>
    <n v="2142.13"/>
    <x v="0"/>
    <s v="D0"/>
    <m/>
    <m/>
    <m/>
    <m/>
    <m/>
    <m/>
    <m/>
    <s v="30.01.2020"/>
    <s v="AMORT 01 2020"/>
    <n v="20200130"/>
    <n v="113.93"/>
    <m/>
    <m/>
    <m/>
    <s v="DISTRIBUCION LICENCIAS SAP ENERO 2020"/>
    <m/>
    <m/>
    <m/>
    <m/>
    <m/>
    <m/>
    <n v="340336290"/>
    <s v="YCUTZ"/>
  </r>
  <r>
    <n v="3403"/>
    <s v="30.01.2020"/>
    <n v="2020"/>
    <d v="2020-01-01T00:00:00"/>
    <n v="5"/>
    <n v="300017103"/>
    <s v="SA"/>
    <n v="40"/>
    <x v="8"/>
    <n v="11210050"/>
    <x v="8"/>
    <n v="256.33999999999997"/>
    <s v="USD"/>
    <n v="4819.76"/>
    <x v="0"/>
    <s v="D0"/>
    <m/>
    <m/>
    <m/>
    <m/>
    <m/>
    <m/>
    <m/>
    <s v="30.01.2020"/>
    <s v="AMORT 01 2020"/>
    <n v="20200130"/>
    <n v="256.33999999999997"/>
    <m/>
    <m/>
    <m/>
    <s v="DISTRIBUCION LICENCIAS SAP ENERO 2020"/>
    <m/>
    <m/>
    <m/>
    <m/>
    <m/>
    <m/>
    <n v="340340390"/>
    <s v="YCUTZ"/>
  </r>
  <r>
    <n v="3403"/>
    <s v="30.01.2020"/>
    <n v="2020"/>
    <d v="2020-01-01T00:00:00"/>
    <n v="6"/>
    <n v="300017103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348290"/>
    <s v="YCUTZ"/>
  </r>
  <r>
    <n v="3406"/>
    <s v="30.01.2020"/>
    <n v="2020"/>
    <d v="2020-01-01T00:00:00"/>
    <n v="1"/>
    <n v="600029768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612290"/>
    <s v="YCUTZ"/>
  </r>
  <r>
    <n v="3406"/>
    <s v="30.01.2020"/>
    <n v="2020"/>
    <d v="2020-01-01T00:00:00"/>
    <n v="2"/>
    <n v="600029768"/>
    <s v="SA"/>
    <n v="40"/>
    <x v="8"/>
    <n v="11210050"/>
    <x v="8"/>
    <n v="113.93"/>
    <s v="USD"/>
    <n v="2142.13"/>
    <x v="0"/>
    <s v="D0"/>
    <m/>
    <m/>
    <m/>
    <m/>
    <m/>
    <m/>
    <m/>
    <s v="30.01.2020"/>
    <s v="AMORT 01 2020"/>
    <n v="20200130"/>
    <n v="113.93"/>
    <m/>
    <m/>
    <m/>
    <s v="DISTRIBUCION LICENCIAS SAP ENERO 2020"/>
    <m/>
    <m/>
    <m/>
    <m/>
    <m/>
    <m/>
    <n v="340617690"/>
    <s v="YCUTZ"/>
  </r>
  <r>
    <n v="3406"/>
    <s v="30.01.2020"/>
    <n v="2020"/>
    <d v="2020-01-01T00:00:00"/>
    <n v="3"/>
    <n v="600029768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621690"/>
    <s v="YCUTZ"/>
  </r>
  <r>
    <n v="3406"/>
    <s v="30.01.2020"/>
    <n v="2020"/>
    <d v="2020-01-01T00:00:00"/>
    <n v="4"/>
    <n v="600029768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627190"/>
    <s v="YCUTZ"/>
  </r>
  <r>
    <n v="3406"/>
    <s v="30.01.2020"/>
    <n v="2020"/>
    <d v="2020-01-01T00:00:00"/>
    <n v="5"/>
    <n v="600029768"/>
    <s v="SA"/>
    <n v="40"/>
    <x v="8"/>
    <n v="11210050"/>
    <x v="8"/>
    <n v="85.45"/>
    <s v="USD"/>
    <n v="1606.65"/>
    <x v="0"/>
    <s v="D0"/>
    <m/>
    <m/>
    <m/>
    <m/>
    <m/>
    <m/>
    <m/>
    <s v="30.01.2020"/>
    <s v="AMORT 01 2020"/>
    <n v="20200130"/>
    <n v="85.45"/>
    <m/>
    <m/>
    <m/>
    <s v="DISTRIBUCION LICENCIAS SAP ENERO 2020"/>
    <m/>
    <m/>
    <m/>
    <m/>
    <m/>
    <m/>
    <n v="340633190"/>
    <s v="YCUTZ"/>
  </r>
  <r>
    <n v="3406"/>
    <s v="30.01.2020"/>
    <n v="2020"/>
    <d v="2020-01-01T00:00:00"/>
    <n v="6"/>
    <n v="600029768"/>
    <s v="SA"/>
    <n v="40"/>
    <x v="8"/>
    <n v="11210050"/>
    <x v="8"/>
    <n v="85.45"/>
    <s v="USD"/>
    <n v="1606.65"/>
    <x v="0"/>
    <s v="D0"/>
    <m/>
    <m/>
    <m/>
    <m/>
    <m/>
    <m/>
    <m/>
    <s v="30.01.2020"/>
    <s v="AMORT 01 2020"/>
    <n v="20200130"/>
    <n v="85.45"/>
    <m/>
    <m/>
    <m/>
    <s v="DISTRIBUCION LICENCIAS SAP ENERO 2020"/>
    <m/>
    <m/>
    <m/>
    <m/>
    <m/>
    <m/>
    <n v="340636290"/>
    <s v="YCUTZ"/>
  </r>
  <r>
    <n v="3406"/>
    <s v="30.01.2020"/>
    <n v="2020"/>
    <d v="2020-01-01T00:00:00"/>
    <n v="7"/>
    <n v="600029768"/>
    <s v="SA"/>
    <n v="40"/>
    <x v="8"/>
    <n v="11210050"/>
    <x v="8"/>
    <n v="313.31"/>
    <s v="USD"/>
    <n v="5890.92"/>
    <x v="0"/>
    <s v="D0"/>
    <m/>
    <m/>
    <m/>
    <m/>
    <m/>
    <m/>
    <m/>
    <s v="30.01.2020"/>
    <s v="AMORT 01 2020"/>
    <n v="20200130"/>
    <n v="313.31"/>
    <m/>
    <m/>
    <m/>
    <s v="DISTRIBUCION LICENCIAS SAP ENERO 2020"/>
    <m/>
    <m/>
    <m/>
    <m/>
    <m/>
    <m/>
    <n v="340640390"/>
    <s v="YCUTZ"/>
  </r>
  <r>
    <n v="3406"/>
    <s v="30.01.2020"/>
    <n v="2020"/>
    <d v="2020-01-01T00:00:00"/>
    <n v="8"/>
    <n v="600029768"/>
    <s v="SA"/>
    <n v="40"/>
    <x v="8"/>
    <n v="1121005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646390"/>
    <s v="YCUTZ"/>
  </r>
  <r>
    <n v="3407"/>
    <s v="30.01.2020"/>
    <n v="2020"/>
    <d v="2020-01-01T00:00:00"/>
    <n v="1"/>
    <n v="700037146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710490"/>
    <s v="YCUTZ"/>
  </r>
  <r>
    <n v="3407"/>
    <s v="30.01.2020"/>
    <n v="2020"/>
    <d v="2020-01-01T00:00:00"/>
    <n v="2"/>
    <n v="700037146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712890"/>
    <s v="YCUTZ"/>
  </r>
  <r>
    <n v="3407"/>
    <s v="30.01.2020"/>
    <n v="2020"/>
    <d v="2020-01-01T00:00:00"/>
    <n v="3"/>
    <n v="700037146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716690"/>
    <s v="YCUTZ"/>
  </r>
  <r>
    <n v="3407"/>
    <s v="30.01.2020"/>
    <n v="2020"/>
    <d v="2020-01-01T00:00:00"/>
    <n v="4"/>
    <n v="700037146"/>
    <s v="SA"/>
    <n v="40"/>
    <x v="8"/>
    <n v="11210050"/>
    <x v="8"/>
    <n v="85.45"/>
    <s v="USD"/>
    <n v="1606.65"/>
    <x v="0"/>
    <s v="D0"/>
    <m/>
    <m/>
    <m/>
    <m/>
    <m/>
    <m/>
    <m/>
    <s v="30.01.2020"/>
    <s v="AMORT 01 2020"/>
    <n v="20200130"/>
    <n v="85.45"/>
    <m/>
    <m/>
    <m/>
    <s v="DISTRIBUCION LICENCIAS SAP ENERO 2020"/>
    <m/>
    <m/>
    <m/>
    <m/>
    <m/>
    <m/>
    <n v="340717690"/>
    <s v="YCUTZ"/>
  </r>
  <r>
    <n v="3407"/>
    <s v="30.01.2020"/>
    <n v="2020"/>
    <d v="2020-01-01T00:00:00"/>
    <n v="5"/>
    <n v="700037146"/>
    <s v="SA"/>
    <n v="40"/>
    <x v="8"/>
    <n v="11210050"/>
    <x v="8"/>
    <n v="85.45"/>
    <s v="USD"/>
    <n v="1606.65"/>
    <x v="0"/>
    <s v="D0"/>
    <m/>
    <m/>
    <m/>
    <m/>
    <m/>
    <m/>
    <m/>
    <s v="30.01.2020"/>
    <s v="AMORT 01 2020"/>
    <n v="20200130"/>
    <n v="85.45"/>
    <m/>
    <m/>
    <m/>
    <s v="DISTRIBUCION LICENCIAS SAP ENERO 2020"/>
    <m/>
    <m/>
    <m/>
    <m/>
    <m/>
    <m/>
    <n v="340725190"/>
    <s v="YCUTZ"/>
  </r>
  <r>
    <n v="3407"/>
    <s v="30.01.2020"/>
    <n v="2020"/>
    <d v="2020-01-01T00:00:00"/>
    <n v="6"/>
    <n v="700037146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725490"/>
    <s v="YCUTZ"/>
  </r>
  <r>
    <n v="3407"/>
    <s v="30.01.2020"/>
    <n v="2020"/>
    <d v="2020-01-01T00:00:00"/>
    <n v="7"/>
    <n v="700037146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727190"/>
    <s v="YCUTZ"/>
  </r>
  <r>
    <n v="3407"/>
    <s v="30.01.2020"/>
    <n v="2020"/>
    <d v="2020-01-01T00:00:00"/>
    <n v="8"/>
    <n v="700037146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732290"/>
    <s v="YCUTZ"/>
  </r>
  <r>
    <n v="3407"/>
    <s v="30.01.2020"/>
    <n v="2020"/>
    <d v="2020-01-01T00:00:00"/>
    <n v="9"/>
    <n v="700037146"/>
    <s v="SA"/>
    <n v="40"/>
    <x v="8"/>
    <n v="11210050"/>
    <x v="8"/>
    <n v="113.93"/>
    <s v="USD"/>
    <n v="2142.13"/>
    <x v="0"/>
    <s v="D0"/>
    <m/>
    <m/>
    <m/>
    <m/>
    <m/>
    <m/>
    <m/>
    <s v="30.01.2020"/>
    <s v="AMORT 01 2020"/>
    <n v="20200130"/>
    <n v="113.93"/>
    <m/>
    <m/>
    <m/>
    <s v="DISTRIBUCION LICENCIAS SAP ENERO 2020"/>
    <m/>
    <m/>
    <m/>
    <m/>
    <m/>
    <m/>
    <n v="340736290"/>
    <s v="YCUTZ"/>
  </r>
  <r>
    <n v="3407"/>
    <s v="30.01.2020"/>
    <n v="2020"/>
    <d v="2020-01-01T00:00:00"/>
    <n v="10"/>
    <n v="700037146"/>
    <s v="SA"/>
    <n v="40"/>
    <x v="8"/>
    <n v="11210050"/>
    <x v="8"/>
    <n v="341.79"/>
    <s v="USD"/>
    <n v="6426.4"/>
    <x v="0"/>
    <s v="D0"/>
    <m/>
    <m/>
    <m/>
    <m/>
    <m/>
    <m/>
    <m/>
    <s v="30.01.2020"/>
    <s v="AMORT 01 2020"/>
    <n v="20200130"/>
    <n v="341.79"/>
    <m/>
    <m/>
    <m/>
    <s v="DISTRIBUCION LICENCIAS SAP ENERO 2020"/>
    <m/>
    <m/>
    <m/>
    <m/>
    <m/>
    <m/>
    <n v="340740390"/>
    <s v="YCUTZ"/>
  </r>
  <r>
    <n v="3407"/>
    <s v="30.01.2020"/>
    <n v="2020"/>
    <d v="2020-01-01T00:00:00"/>
    <n v="11"/>
    <n v="700037146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746390"/>
    <s v="YCUTZ"/>
  </r>
  <r>
    <n v="3407"/>
    <s v="30.01.2020"/>
    <n v="2020"/>
    <d v="2020-01-01T00:00:00"/>
    <n v="12"/>
    <n v="700037146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748290"/>
    <s v="YCUTZ"/>
  </r>
  <r>
    <n v="3407"/>
    <s v="30.01.2020"/>
    <n v="2020"/>
    <d v="2020-01-01T00:00:00"/>
    <n v="13"/>
    <n v="700037146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762190"/>
    <s v="YCUTZ"/>
  </r>
  <r>
    <n v="3407"/>
    <s v="30.01.2020"/>
    <n v="2020"/>
    <d v="2020-01-01T00:00:00"/>
    <n v="14"/>
    <n v="700037146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768190"/>
    <s v="YCUTZ"/>
  </r>
  <r>
    <n v="3409"/>
    <s v="30.01.2020"/>
    <n v="2020"/>
    <d v="2020-01-01T00:00:00"/>
    <n v="1"/>
    <n v="900010617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910490"/>
    <s v="YCUTZ"/>
  </r>
  <r>
    <n v="3409"/>
    <s v="30.01.2020"/>
    <n v="2020"/>
    <d v="2020-01-01T00:00:00"/>
    <n v="2"/>
    <n v="900010617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910790"/>
    <s v="YCUTZ"/>
  </r>
  <r>
    <n v="3409"/>
    <s v="30.01.2020"/>
    <n v="2020"/>
    <d v="2020-01-01T00:00:00"/>
    <n v="3"/>
    <n v="900010617"/>
    <s v="SA"/>
    <n v="40"/>
    <x v="8"/>
    <n v="1121005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0917690"/>
    <s v="YCUTZ"/>
  </r>
  <r>
    <n v="3409"/>
    <s v="30.01.2020"/>
    <n v="2020"/>
    <d v="2020-01-01T00:00:00"/>
    <n v="4"/>
    <n v="900010617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921690"/>
    <s v="YCUTZ"/>
  </r>
  <r>
    <n v="3409"/>
    <s v="30.01.2020"/>
    <n v="2020"/>
    <d v="2020-01-01T00:00:00"/>
    <n v="5"/>
    <n v="900010617"/>
    <s v="SA"/>
    <n v="40"/>
    <x v="8"/>
    <n v="11210050"/>
    <x v="8"/>
    <n v="85.45"/>
    <s v="USD"/>
    <n v="1606.65"/>
    <x v="0"/>
    <s v="D0"/>
    <m/>
    <m/>
    <m/>
    <m/>
    <m/>
    <m/>
    <m/>
    <s v="30.01.2020"/>
    <s v="AMORT 01 2020"/>
    <n v="20200130"/>
    <n v="85.45"/>
    <m/>
    <m/>
    <m/>
    <s v="DISTRIBUCION LICENCIAS SAP ENERO 2020"/>
    <m/>
    <m/>
    <m/>
    <m/>
    <m/>
    <m/>
    <n v="340936290"/>
    <s v="YCUTZ"/>
  </r>
  <r>
    <n v="3409"/>
    <s v="30.01.2020"/>
    <n v="2020"/>
    <d v="2020-01-01T00:00:00"/>
    <n v="6"/>
    <n v="900010617"/>
    <s v="SA"/>
    <n v="40"/>
    <x v="8"/>
    <n v="11210050"/>
    <x v="8"/>
    <n v="199.53"/>
    <s v="USD"/>
    <n v="3751.6"/>
    <x v="0"/>
    <s v="D0"/>
    <m/>
    <m/>
    <m/>
    <m/>
    <m/>
    <m/>
    <m/>
    <s v="30.01.2020"/>
    <s v="AMORT 01 2020"/>
    <n v="20200130"/>
    <n v="199.53"/>
    <m/>
    <m/>
    <m/>
    <s v="DISTRIBUCION LICENCIAS SAP ENERO 2020"/>
    <m/>
    <m/>
    <m/>
    <m/>
    <m/>
    <m/>
    <n v="340940390"/>
    <s v="YCUTZ"/>
  </r>
  <r>
    <n v="3409"/>
    <s v="30.01.2020"/>
    <n v="2020"/>
    <d v="2020-01-01T00:00:00"/>
    <n v="7"/>
    <n v="900010617"/>
    <s v="SA"/>
    <n v="40"/>
    <x v="8"/>
    <n v="11210050"/>
    <x v="8"/>
    <n v="28.48"/>
    <s v="USD"/>
    <n v="535.49"/>
    <x v="0"/>
    <s v="D0"/>
    <m/>
    <m/>
    <m/>
    <m/>
    <m/>
    <m/>
    <m/>
    <s v="30.01.2020"/>
    <s v="AMORT 01 2020"/>
    <n v="20200130"/>
    <n v="28.48"/>
    <m/>
    <m/>
    <m/>
    <s v="DISTRIBUCION LICENCIAS SAP ENERO 2020"/>
    <m/>
    <m/>
    <m/>
    <m/>
    <m/>
    <m/>
    <n v="340953290"/>
    <s v="YCUTZ"/>
  </r>
  <r>
    <n v="3413"/>
    <s v="30.01.2020"/>
    <n v="2020"/>
    <d v="2020-01-01T00:00:00"/>
    <n v="1"/>
    <n v="130000428"/>
    <s v="SA"/>
    <n v="40"/>
    <x v="8"/>
    <n v="11210050"/>
    <x v="8"/>
    <n v="56.96"/>
    <s v="USD"/>
    <n v="1070.97"/>
    <x v="0"/>
    <s v="D0"/>
    <m/>
    <m/>
    <m/>
    <m/>
    <m/>
    <m/>
    <m/>
    <s v="30.01.2020"/>
    <s v="AMORT 01 2020"/>
    <n v="20200130"/>
    <n v="56.96"/>
    <m/>
    <m/>
    <m/>
    <s v="DISTRIBUCION LICENCIAS SAP ENERO 2020"/>
    <m/>
    <m/>
    <m/>
    <m/>
    <m/>
    <m/>
    <n v="341340390"/>
    <s v="YCUTZ"/>
  </r>
  <r>
    <n v="3402"/>
    <s v="30.01.2020"/>
    <n v="2020"/>
    <d v="2020-01-01T00:00:00"/>
    <n v="1"/>
    <n v="200102631"/>
    <s v="WE"/>
    <n v="81"/>
    <x v="4"/>
    <n v="21021040"/>
    <x v="4"/>
    <n v="133.24"/>
    <s v="MXN"/>
    <n v="133.24"/>
    <x v="0"/>
    <m/>
    <m/>
    <s v="B36F144B-FEAA-423B-A586-88467135EEF1"/>
    <s v="CSS160330CP7"/>
    <n v="107211"/>
    <s v="CFE SUMINISTRADOR DE SERVICIOS"/>
    <m/>
    <m/>
    <s v="30.01.2020"/>
    <n v="4501229349"/>
    <n v="20200130"/>
    <n v="133.24"/>
    <n v="21.3184"/>
    <n v="154.55840000000001"/>
    <n v="200124384"/>
    <s v="LUZ 2 ENERO"/>
    <n v="154.5584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8"/>
    <s v="WE"/>
    <n v="81"/>
    <x v="4"/>
    <n v="21021040"/>
    <x v="4"/>
    <n v="131.58000000000001"/>
    <s v="MXN"/>
    <n v="131.58000000000001"/>
    <x v="0"/>
    <m/>
    <m/>
    <s v="B36F144B-FEAA-423B-A586-88467135EEF1"/>
    <s v="CSS160330CP7"/>
    <n v="107211"/>
    <s v="CFE SUMINISTRADOR DE SERVICIOS"/>
    <m/>
    <m/>
    <s v="30.01.2020"/>
    <n v="4501229349"/>
    <n v="20200130"/>
    <n v="131.58000000000001"/>
    <n v="21.052800000000001"/>
    <n v="152.6328"/>
    <n v="200124384"/>
    <s v="LUZ 27 ENERO"/>
    <n v="152.632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0"/>
    <s v="WE"/>
    <n v="91"/>
    <x v="4"/>
    <n v="21021040"/>
    <x v="4"/>
    <n v="144.96"/>
    <s v="MXN"/>
    <n v="144.96"/>
    <x v="0"/>
    <m/>
    <m/>
    <s v="B36F144B-FEAA-423B-A586-88467135EEF1"/>
    <s v="CSS160330CP7"/>
    <n v="107211"/>
    <s v="CFE SUMINISTRADOR DE SERVICIOS"/>
    <m/>
    <m/>
    <s v="01.02.2020"/>
    <n v="4501229349"/>
    <n v="20200130"/>
    <n v="144.96"/>
    <n v="23.1936"/>
    <n v="168.15360000000001"/>
    <n v="200124384"/>
    <s v="LUZ 3 ENERO"/>
    <n v="168.1536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1"/>
    <s v="WE"/>
    <n v="81"/>
    <x v="4"/>
    <n v="21021040"/>
    <x v="4"/>
    <n v="144965.98000000001"/>
    <s v="MXN"/>
    <n v="144965.98000000001"/>
    <x v="0"/>
    <m/>
    <m/>
    <s v="B36F144B-FEAA-423B-A586-88467135EEF1"/>
    <s v="CSS160330CP7"/>
    <n v="107211"/>
    <s v="CFE SUMINISTRADOR DE SERVICIOS"/>
    <m/>
    <m/>
    <s v="01.02.2020"/>
    <n v="4501229349"/>
    <n v="20200130"/>
    <n v="144965.98000000001"/>
    <n v="23194.556800000002"/>
    <n v="168160.5368"/>
    <n v="200124384"/>
    <s v="LUZ 3 ENERO"/>
    <n v="168160.536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3"/>
    <s v="WE"/>
    <n v="81"/>
    <x v="4"/>
    <n v="21021040"/>
    <x v="4"/>
    <n v="126548.08"/>
    <s v="MXN"/>
    <n v="126548.08"/>
    <x v="0"/>
    <m/>
    <m/>
    <s v="B36F144B-FEAA-423B-A586-88467135EEF1"/>
    <s v="CSS160330CP7"/>
    <n v="107211"/>
    <s v="CFE SUMINISTRADOR DE SERVICIOS"/>
    <m/>
    <m/>
    <s v="01.02.2020"/>
    <n v="4501229349"/>
    <n v="20200130"/>
    <n v="126548.08"/>
    <n v="20247.692800000001"/>
    <n v="146795.77280000001"/>
    <n v="200124384"/>
    <s v="LUZ 4 ENERO"/>
    <n v="146795.7728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6"/>
    <s v="WE"/>
    <n v="81"/>
    <x v="4"/>
    <n v="21021040"/>
    <x v="4"/>
    <n v="92593.4"/>
    <s v="MXN"/>
    <n v="92593.4"/>
    <x v="0"/>
    <m/>
    <m/>
    <s v="B36F144B-FEAA-423B-A586-88467135EEF1"/>
    <s v="CSS160330CP7"/>
    <n v="107211"/>
    <s v="CFE SUMINISTRADOR DE SERVICIOS"/>
    <m/>
    <m/>
    <s v="01.02.2020"/>
    <n v="4501229349"/>
    <n v="20200130"/>
    <n v="92593.4"/>
    <n v="14814.944"/>
    <n v="107408.344"/>
    <n v="200124384"/>
    <s v="LUZ 5 ENERO"/>
    <n v="107408.34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75"/>
    <s v="WE"/>
    <n v="91"/>
    <x v="4"/>
    <n v="21021040"/>
    <x v="4"/>
    <n v="131.54"/>
    <s v="MXN"/>
    <n v="131.54"/>
    <x v="0"/>
    <m/>
    <m/>
    <s v="B36F144B-FEAA-423B-A586-88467135EEF1"/>
    <s v="CSS160330CP7"/>
    <n v="107211"/>
    <s v="CFE SUMINISTRADOR DE SERVICIOS"/>
    <m/>
    <m/>
    <s v="01.02.2020"/>
    <n v="4501229349"/>
    <n v="20200130"/>
    <n v="131.54"/>
    <n v="21.046399999999998"/>
    <n v="152.5864"/>
    <n v="200124384"/>
    <s v="LUZ 16 ENERO"/>
    <n v="152.586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87"/>
    <s v="WE"/>
    <n v="81"/>
    <x v="4"/>
    <n v="21021040"/>
    <x v="4"/>
    <n v="135096.29999999999"/>
    <s v="MXN"/>
    <n v="135096.29999999999"/>
    <x v="0"/>
    <m/>
    <m/>
    <s v="B36F144B-FEAA-423B-A586-88467135EEF1"/>
    <s v="CSS160330CP7"/>
    <n v="107211"/>
    <s v="CFE SUMINISTRADOR DE SERVICIOS"/>
    <m/>
    <m/>
    <s v="01.02.2020"/>
    <n v="4501229349"/>
    <n v="20200130"/>
    <n v="135096.29999999999"/>
    <n v="21615.407999999999"/>
    <n v="156711.70799999998"/>
    <n v="200124384"/>
    <s v="LUZ 17 ENERO"/>
    <n v="156711.7079999999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88"/>
    <s v="WE"/>
    <n v="91"/>
    <x v="4"/>
    <n v="21021040"/>
    <x v="4"/>
    <n v="132.84"/>
    <s v="MXN"/>
    <n v="132.84"/>
    <x v="0"/>
    <m/>
    <m/>
    <s v="B36F144B-FEAA-423B-A586-88467135EEF1"/>
    <s v="CSS160330CP7"/>
    <n v="107211"/>
    <s v="CFE SUMINISTRADOR DE SERVICIOS"/>
    <m/>
    <m/>
    <s v="01.02.2020"/>
    <n v="4501229349"/>
    <n v="20200130"/>
    <n v="132.84"/>
    <n v="21.2544"/>
    <n v="154.09440000000001"/>
    <n v="200124384"/>
    <s v="LUZ 18 ENERO"/>
    <n v="154.0944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89"/>
    <s v="WE"/>
    <n v="81"/>
    <x v="4"/>
    <n v="21021040"/>
    <x v="4"/>
    <n v="132835.92000000001"/>
    <s v="MXN"/>
    <n v="132835.92000000001"/>
    <x v="0"/>
    <m/>
    <m/>
    <s v="B36F144B-FEAA-423B-A586-88467135EEF1"/>
    <s v="CSS160330CP7"/>
    <n v="107211"/>
    <s v="CFE SUMINISTRADOR DE SERVICIOS"/>
    <m/>
    <m/>
    <s v="01.02.2020"/>
    <n v="4501229349"/>
    <n v="20200130"/>
    <n v="132835.92000000001"/>
    <n v="21253.747200000002"/>
    <n v="154089.66720000003"/>
    <n v="200124384"/>
    <s v="LUZ 18 ENERO"/>
    <n v="154089.66720000003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2"/>
    <s v="WE"/>
    <n v="91"/>
    <x v="4"/>
    <n v="21021040"/>
    <x v="4"/>
    <n v="132.56"/>
    <s v="MXN"/>
    <n v="132.56"/>
    <x v="0"/>
    <m/>
    <m/>
    <s v="B36F144B-FEAA-423B-A586-88467135EEF1"/>
    <s v="CSS160330CP7"/>
    <n v="107211"/>
    <s v="CFE SUMINISTRADOR DE SERVICIOS"/>
    <m/>
    <m/>
    <s v="01.02.2020"/>
    <n v="4501229349"/>
    <n v="20200130"/>
    <n v="132.56"/>
    <n v="21.209600000000002"/>
    <n v="153.7696"/>
    <n v="200124384"/>
    <s v="LUZ 20 ENERO"/>
    <n v="153.769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3"/>
    <s v="WE"/>
    <n v="81"/>
    <x v="4"/>
    <n v="21021040"/>
    <x v="4"/>
    <n v="132559.07999999999"/>
    <s v="MXN"/>
    <n v="132559.07999999999"/>
    <x v="0"/>
    <m/>
    <m/>
    <s v="B36F144B-FEAA-423B-A586-88467135EEF1"/>
    <s v="CSS160330CP7"/>
    <n v="107211"/>
    <s v="CFE SUMINISTRADOR DE SERVICIOS"/>
    <m/>
    <m/>
    <s v="01.02.2020"/>
    <n v="4501229349"/>
    <n v="20200130"/>
    <n v="132559.07999999999"/>
    <n v="21209.452799999999"/>
    <n v="153768.53279999999"/>
    <n v="200124384"/>
    <s v="LUZ 20 ENERO"/>
    <n v="153768.5327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0"/>
    <s v="WE"/>
    <n v="91"/>
    <x v="4"/>
    <n v="21021040"/>
    <x v="4"/>
    <n v="112.94"/>
    <s v="MXN"/>
    <n v="112.94"/>
    <x v="0"/>
    <m/>
    <m/>
    <s v="B36F144B-FEAA-423B-A586-88467135EEF1"/>
    <s v="CSS160330CP7"/>
    <n v="107211"/>
    <s v="CFE SUMINISTRADOR DE SERVICIOS"/>
    <m/>
    <m/>
    <s v="01.02.2020"/>
    <n v="4501229349"/>
    <n v="20200130"/>
    <n v="112.94"/>
    <n v="18.070399999999999"/>
    <n v="131.0104"/>
    <n v="200124384"/>
    <s v="LUZ 24 ENERO"/>
    <n v="131.010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2"/>
    <s v="WE"/>
    <n v="91"/>
    <x v="4"/>
    <n v="21021040"/>
    <x v="4"/>
    <n v="113.71"/>
    <s v="MXN"/>
    <n v="113.71"/>
    <x v="0"/>
    <m/>
    <m/>
    <s v="B36F144B-FEAA-423B-A586-88467135EEF1"/>
    <s v="CSS160330CP7"/>
    <n v="107211"/>
    <s v="CFE SUMINISTRADOR DE SERVICIOS"/>
    <m/>
    <m/>
    <s v="01.02.2020"/>
    <n v="4501229349"/>
    <n v="20200130"/>
    <n v="113.71"/>
    <n v="18.1936"/>
    <n v="131.90359999999998"/>
    <n v="200124384"/>
    <s v="LUZ 25 ENERO"/>
    <n v="131.9035999999999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8"/>
    <s v="WE"/>
    <n v="81"/>
    <x v="4"/>
    <n v="21021040"/>
    <x v="4"/>
    <n v="131581.92000000001"/>
    <s v="MXN"/>
    <n v="131581.92000000001"/>
    <x v="0"/>
    <m/>
    <m/>
    <s v="B36F144B-FEAA-423B-A586-88467135EEF1"/>
    <s v="CSS160330CP7"/>
    <n v="107211"/>
    <s v="CFE SUMINISTRADOR DE SERVICIOS"/>
    <m/>
    <m/>
    <s v="01.02.2020"/>
    <n v="4501229349"/>
    <n v="20200130"/>
    <n v="131581.92000000001"/>
    <n v="21053.107200000002"/>
    <n v="152635.02720000001"/>
    <n v="200124384"/>
    <s v="LUZ 27 ENERO"/>
    <n v="152635.02720000001"/>
    <s v="06.02.2020"/>
    <s v="TRANSFERENCIA"/>
    <n v="200127161"/>
    <s v="HSBC "/>
    <s v="HSBC 004053489092 TP"/>
    <n v="340218590"/>
    <s v="SOLI1102"/>
  </r>
  <r>
    <n v="3406"/>
    <s v="30.01.2020"/>
    <n v="2020"/>
    <d v="2020-01-01T00:00:00"/>
    <n v="1"/>
    <n v="600029607"/>
    <s v="WE"/>
    <n v="81"/>
    <x v="4"/>
    <n v="21021040"/>
    <x v="4"/>
    <n v="85785"/>
    <s v="MXN"/>
    <n v="85785"/>
    <x v="0"/>
    <m/>
    <m/>
    <s v="092932E6-8FFC-11EF-A47B-8F40AB67745F"/>
    <s v="CSS160330CP7"/>
    <n v="107211"/>
    <s v="CFE SUMINISTRADOR DE SERVICIOS"/>
    <m/>
    <m/>
    <s v="30.01.2020"/>
    <n v="4501226446"/>
    <n v="20200130"/>
    <n v="85785"/>
    <n v="85785"/>
    <n v="171570"/>
    <n v="600035567"/>
    <s v="28 DE ENERO"/>
    <n v="171570"/>
    <s v="06.02.2020"/>
    <s v="TRANSFERENCIA"/>
    <n v="600035588"/>
    <s v="HSBC "/>
    <s v="HSBC 004053489092 TP"/>
    <n v="340618590"/>
    <s v="SOLIUNICO"/>
  </r>
  <r>
    <n v="3406"/>
    <s v="30.01.2020"/>
    <n v="2020"/>
    <d v="2020-01-01T00:00:00"/>
    <n v="1"/>
    <n v="600029609"/>
    <s v="WE"/>
    <n v="81"/>
    <x v="4"/>
    <n v="21021040"/>
    <x v="4"/>
    <n v="90300"/>
    <s v="MXN"/>
    <n v="90300"/>
    <x v="0"/>
    <m/>
    <m/>
    <s v="092932E6-8FFC-11EF-A47B-8F40AB67745F"/>
    <s v="CSS160330CP7"/>
    <n v="107211"/>
    <s v="CFE SUMINISTRADOR DE SERVICIOS"/>
    <m/>
    <m/>
    <s v="30.01.2020"/>
    <n v="4501226446"/>
    <n v="20200130"/>
    <n v="90300"/>
    <n v="90300"/>
    <n v="180600"/>
    <n v="600035567"/>
    <s v="29 DE ENERO"/>
    <n v="180600"/>
    <s v="06.02.2020"/>
    <s v="TRANSFERENCIA"/>
    <n v="600035588"/>
    <s v="HSBC "/>
    <s v="HSBC 004053489092 TP"/>
    <n v="340618590"/>
    <s v="SOLIUNICO"/>
  </r>
  <r>
    <n v="3406"/>
    <s v="30.01.2020"/>
    <n v="2020"/>
    <d v="2020-01-01T00:00:00"/>
    <n v="1"/>
    <n v="600029610"/>
    <s v="WE"/>
    <n v="81"/>
    <x v="4"/>
    <n v="21021040"/>
    <x v="4"/>
    <n v="95718"/>
    <s v="MXN"/>
    <n v="95718"/>
    <x v="0"/>
    <m/>
    <m/>
    <s v="092932E6-8FFC-11EF-A47B-8F40AB67745F"/>
    <s v="CSS160330CP7"/>
    <n v="107211"/>
    <s v="CFE SUMINISTRADOR DE SERVICIOS"/>
    <m/>
    <m/>
    <s v="30.01.2020"/>
    <n v="4501226446"/>
    <n v="20200130"/>
    <n v="95718"/>
    <n v="95718"/>
    <n v="191436"/>
    <n v="600035567"/>
    <s v="30 DE ENERO"/>
    <n v="191436"/>
    <s v="06.02.2020"/>
    <s v="TRANSFERENCIA"/>
    <n v="600035588"/>
    <s v="HSBC "/>
    <s v="HSBC 004053489092 TP"/>
    <n v="340618590"/>
    <s v="SOLIUNICO"/>
  </r>
  <r>
    <n v="3402"/>
    <s v="30.01.2020"/>
    <n v="2020"/>
    <d v="2020-01-01T00:00:00"/>
    <n v="1"/>
    <n v="200102630"/>
    <s v="WE"/>
    <n v="81"/>
    <x v="4"/>
    <n v="21021040"/>
    <x v="4"/>
    <n v="109.7"/>
    <s v="MXN"/>
    <n v="109.7"/>
    <x v="0"/>
    <m/>
    <m/>
    <s v="B36F144B-FEAA-423B-A586-88467135EEF1"/>
    <s v="CSS160330CP7"/>
    <n v="107211"/>
    <s v="CFE SUMINISTRADOR DE SERVICIOS"/>
    <m/>
    <m/>
    <s v="30.01.2020"/>
    <n v="4501229349"/>
    <n v="20200130"/>
    <n v="109.7"/>
    <n v="17.552"/>
    <n v="127.25200000000001"/>
    <n v="200124384"/>
    <s v="LUZ 1 ENERO"/>
    <n v="127.2520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2"/>
    <s v="WE"/>
    <n v="81"/>
    <x v="4"/>
    <n v="21021040"/>
    <x v="4"/>
    <n v="144.96"/>
    <s v="MXN"/>
    <n v="144.96"/>
    <x v="0"/>
    <m/>
    <m/>
    <s v="B36F144B-FEAA-423B-A586-88467135EEF1"/>
    <s v="CSS160330CP7"/>
    <n v="107211"/>
    <s v="CFE SUMINISTRADOR DE SERVICIOS"/>
    <m/>
    <m/>
    <s v="30.01.2020"/>
    <n v="4501229349"/>
    <n v="20200130"/>
    <n v="144.96"/>
    <n v="23.1936"/>
    <n v="168.15360000000001"/>
    <n v="200124384"/>
    <s v="LUZ 3 ENERO"/>
    <n v="168.1536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3"/>
    <s v="WE"/>
    <n v="81"/>
    <x v="4"/>
    <n v="21021040"/>
    <x v="4"/>
    <n v="126.54"/>
    <s v="MXN"/>
    <n v="126.54"/>
    <x v="0"/>
    <m/>
    <m/>
    <s v="B36F144B-FEAA-423B-A586-88467135EEF1"/>
    <s v="CSS160330CP7"/>
    <n v="107211"/>
    <s v="CFE SUMINISTRADOR DE SERVICIOS"/>
    <m/>
    <m/>
    <s v="30.01.2020"/>
    <n v="4501229349"/>
    <n v="20200130"/>
    <n v="126.54"/>
    <n v="20.246400000000001"/>
    <n v="146.78640000000001"/>
    <n v="200124384"/>
    <s v="LUZ 4 ENERO"/>
    <n v="146.7864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4"/>
    <s v="WE"/>
    <n v="81"/>
    <x v="4"/>
    <n v="21021040"/>
    <x v="4"/>
    <n v="92.61"/>
    <s v="MXN"/>
    <n v="92.61"/>
    <x v="0"/>
    <m/>
    <m/>
    <s v="B36F144B-FEAA-423B-A586-88467135EEF1"/>
    <s v="CSS160330CP7"/>
    <n v="107211"/>
    <s v="CFE SUMINISTRADOR DE SERVICIOS"/>
    <m/>
    <m/>
    <s v="30.01.2020"/>
    <n v="4501229349"/>
    <n v="20200130"/>
    <n v="92.61"/>
    <n v="14.817600000000001"/>
    <n v="107.4276"/>
    <n v="200124384"/>
    <s v="LUZ 5 ENERO"/>
    <n v="107.427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5"/>
    <s v="WE"/>
    <n v="81"/>
    <x v="4"/>
    <n v="21021040"/>
    <x v="4"/>
    <n v="124.01"/>
    <s v="MXN"/>
    <n v="124.01"/>
    <x v="0"/>
    <m/>
    <m/>
    <s v="B36F144B-FEAA-423B-A586-88467135EEF1"/>
    <s v="CSS160330CP7"/>
    <n v="107211"/>
    <s v="CFE SUMINISTRADOR DE SERVICIOS"/>
    <m/>
    <m/>
    <s v="30.01.2020"/>
    <n v="4501229349"/>
    <n v="20200130"/>
    <n v="124.01"/>
    <n v="19.8416"/>
    <n v="143.85160000000002"/>
    <n v="200124384"/>
    <s v="LUZ 6 ENERO"/>
    <n v="143.8516000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6"/>
    <s v="WE"/>
    <n v="81"/>
    <x v="4"/>
    <n v="21021040"/>
    <x v="4"/>
    <n v="110.07"/>
    <s v="MXN"/>
    <n v="110.07"/>
    <x v="0"/>
    <m/>
    <m/>
    <s v="B36F144B-FEAA-423B-A586-88467135EEF1"/>
    <s v="CSS160330CP7"/>
    <n v="107211"/>
    <s v="CFE SUMINISTRADOR DE SERVICIOS"/>
    <m/>
    <m/>
    <s v="30.01.2020"/>
    <n v="4501229349"/>
    <n v="20200130"/>
    <n v="110.07"/>
    <n v="17.6112"/>
    <n v="127.68119999999999"/>
    <n v="200124384"/>
    <s v="LUZ 7 ENERO"/>
    <n v="127.6811999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7"/>
    <s v="WE"/>
    <n v="81"/>
    <x v="4"/>
    <n v="21021040"/>
    <x v="4"/>
    <n v="128.66"/>
    <s v="MXN"/>
    <n v="128.66"/>
    <x v="0"/>
    <m/>
    <m/>
    <s v="B36F144B-FEAA-423B-A586-88467135EEF1"/>
    <s v="CSS160330CP7"/>
    <n v="107211"/>
    <s v="CFE SUMINISTRADOR DE SERVICIOS"/>
    <m/>
    <m/>
    <s v="30.01.2020"/>
    <n v="4501229349"/>
    <n v="20200130"/>
    <n v="128.66"/>
    <n v="20.585599999999999"/>
    <n v="149.2456"/>
    <n v="200124384"/>
    <s v="LUZ 8 ENERO"/>
    <n v="149.245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8"/>
    <s v="WE"/>
    <n v="81"/>
    <x v="4"/>
    <n v="21021040"/>
    <x v="4"/>
    <n v="125.42"/>
    <s v="MXN"/>
    <n v="125.42"/>
    <x v="0"/>
    <m/>
    <m/>
    <s v="B36F144B-FEAA-423B-A586-88467135EEF1"/>
    <s v="CSS160330CP7"/>
    <n v="107211"/>
    <s v="CFE SUMINISTRADOR DE SERVICIOS"/>
    <m/>
    <m/>
    <s v="30.01.2020"/>
    <n v="4501229349"/>
    <n v="20200130"/>
    <n v="125.42"/>
    <n v="20.0672"/>
    <n v="145.4872"/>
    <n v="200124384"/>
    <s v="LUZ 9 ENERO"/>
    <n v="145.487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9"/>
    <s v="WE"/>
    <n v="81"/>
    <x v="4"/>
    <n v="21021040"/>
    <x v="4"/>
    <n v="146.44999999999999"/>
    <s v="MXN"/>
    <n v="146.44999999999999"/>
    <x v="0"/>
    <m/>
    <m/>
    <s v="B36F144B-FEAA-423B-A586-88467135EEF1"/>
    <s v="CSS160330CP7"/>
    <n v="107211"/>
    <s v="CFE SUMINISTRADOR DE SERVICIOS"/>
    <m/>
    <m/>
    <s v="30.01.2020"/>
    <n v="4501229349"/>
    <n v="20200130"/>
    <n v="146.44999999999999"/>
    <n v="23.431999999999999"/>
    <n v="169.88199999999998"/>
    <n v="200124384"/>
    <s v="LUZ 10 ENERO"/>
    <n v="169.8819999999999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0"/>
    <s v="WE"/>
    <n v="81"/>
    <x v="4"/>
    <n v="21021040"/>
    <x v="4"/>
    <n v="133.81"/>
    <s v="MXN"/>
    <n v="133.81"/>
    <x v="0"/>
    <m/>
    <m/>
    <s v="B36F144B-FEAA-423B-A586-88467135EEF1"/>
    <s v="CSS160330CP7"/>
    <n v="107211"/>
    <s v="CFE SUMINISTRADOR DE SERVICIOS"/>
    <m/>
    <m/>
    <s v="30.01.2020"/>
    <n v="4501229349"/>
    <n v="20200130"/>
    <n v="133.81"/>
    <n v="21.409600000000001"/>
    <n v="155.21960000000001"/>
    <n v="200124384"/>
    <s v="LUZ 11 ENERO"/>
    <n v="155.2196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1"/>
    <s v="WE"/>
    <n v="81"/>
    <x v="4"/>
    <n v="21021040"/>
    <x v="4"/>
    <n v="106.13"/>
    <s v="MXN"/>
    <n v="106.13"/>
    <x v="0"/>
    <m/>
    <m/>
    <s v="B36F144B-FEAA-423B-A586-88467135EEF1"/>
    <s v="CSS160330CP7"/>
    <n v="107211"/>
    <s v="CFE SUMINISTRADOR DE SERVICIOS"/>
    <m/>
    <m/>
    <s v="30.01.2020"/>
    <n v="4501229349"/>
    <n v="20200130"/>
    <n v="106.13"/>
    <n v="16.980799999999999"/>
    <n v="123.1108"/>
    <n v="200124384"/>
    <s v="LUZ 12 ENERO"/>
    <n v="123.110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2"/>
    <s v="WE"/>
    <n v="81"/>
    <x v="4"/>
    <n v="21021040"/>
    <x v="4"/>
    <n v="152.13"/>
    <s v="MXN"/>
    <n v="152.13"/>
    <x v="0"/>
    <m/>
    <m/>
    <s v="B36F144B-FEAA-423B-A586-88467135EEF1"/>
    <s v="CSS160330CP7"/>
    <n v="107211"/>
    <s v="CFE SUMINISTRADOR DE SERVICIOS"/>
    <m/>
    <m/>
    <s v="30.01.2020"/>
    <n v="4501229349"/>
    <n v="20200130"/>
    <n v="152.13"/>
    <n v="24.340800000000002"/>
    <n v="176.4708"/>
    <n v="200124384"/>
    <s v="LUZ 13 ENERO"/>
    <n v="176.470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3"/>
    <s v="WE"/>
    <n v="81"/>
    <x v="4"/>
    <n v="21021040"/>
    <x v="4"/>
    <n v="139.52000000000001"/>
    <s v="MXN"/>
    <n v="139.52000000000001"/>
    <x v="0"/>
    <m/>
    <m/>
    <s v="B36F144B-FEAA-423B-A586-88467135EEF1"/>
    <s v="CSS160330CP7"/>
    <n v="107211"/>
    <s v="CFE SUMINISTRADOR DE SERVICIOS"/>
    <m/>
    <m/>
    <s v="30.01.2020"/>
    <n v="4501229349"/>
    <n v="20200130"/>
    <n v="139.52000000000001"/>
    <n v="22.323200000000003"/>
    <n v="161.84320000000002"/>
    <n v="200124384"/>
    <s v="LUZ 14 ENERO"/>
    <n v="161.8432000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5"/>
    <s v="WE"/>
    <n v="81"/>
    <x v="4"/>
    <n v="21021040"/>
    <x v="4"/>
    <n v="139.66"/>
    <s v="MXN"/>
    <n v="139.66"/>
    <x v="0"/>
    <m/>
    <m/>
    <s v="B36F144B-FEAA-423B-A586-88467135EEF1"/>
    <s v="CSS160330CP7"/>
    <n v="107211"/>
    <s v="CFE SUMINISTRADOR DE SERVICIOS"/>
    <m/>
    <m/>
    <s v="30.01.2020"/>
    <n v="4501229349"/>
    <n v="20200130"/>
    <n v="139.66"/>
    <n v="22.345600000000001"/>
    <n v="162.00559999999999"/>
    <n v="200124384"/>
    <s v="LUZ 15 ENERO"/>
    <n v="162.0055999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6"/>
    <s v="WE"/>
    <n v="81"/>
    <x v="4"/>
    <n v="21021040"/>
    <x v="4"/>
    <n v="131.54"/>
    <s v="MXN"/>
    <n v="131.54"/>
    <x v="0"/>
    <m/>
    <m/>
    <s v="B36F144B-FEAA-423B-A586-88467135EEF1"/>
    <s v="CSS160330CP7"/>
    <n v="107211"/>
    <s v="CFE SUMINISTRADOR DE SERVICIOS"/>
    <m/>
    <m/>
    <s v="30.01.2020"/>
    <n v="4501229349"/>
    <n v="20200130"/>
    <n v="131.54"/>
    <n v="21.046399999999998"/>
    <n v="152.5864"/>
    <n v="200124384"/>
    <s v="LUZ 16 ENERO"/>
    <n v="152.586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8"/>
    <s v="WE"/>
    <n v="81"/>
    <x v="4"/>
    <n v="21021040"/>
    <x v="4"/>
    <n v="135.1"/>
    <s v="MXN"/>
    <n v="135.1"/>
    <x v="0"/>
    <m/>
    <m/>
    <s v="B36F144B-FEAA-423B-A586-88467135EEF1"/>
    <s v="CSS160330CP7"/>
    <n v="107211"/>
    <s v="CFE SUMINISTRADOR DE SERVICIOS"/>
    <m/>
    <m/>
    <s v="30.01.2020"/>
    <n v="4501229349"/>
    <n v="20200130"/>
    <n v="135.1"/>
    <n v="21.616"/>
    <n v="156.71600000000001"/>
    <n v="200124384"/>
    <s v="LUZ 17 ENERO"/>
    <n v="156.7160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9"/>
    <s v="WE"/>
    <n v="81"/>
    <x v="4"/>
    <n v="21021040"/>
    <x v="4"/>
    <n v="132.84"/>
    <s v="MXN"/>
    <n v="132.84"/>
    <x v="0"/>
    <m/>
    <m/>
    <s v="B36F144B-FEAA-423B-A586-88467135EEF1"/>
    <s v="CSS160330CP7"/>
    <n v="107211"/>
    <s v="CFE SUMINISTRADOR DE SERVICIOS"/>
    <m/>
    <m/>
    <s v="30.01.2020"/>
    <n v="4501229349"/>
    <n v="20200130"/>
    <n v="132.84"/>
    <n v="21.2544"/>
    <n v="154.09440000000001"/>
    <n v="200124384"/>
    <s v="LUZ 18 ENERO"/>
    <n v="154.0944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0"/>
    <s v="WE"/>
    <n v="81"/>
    <x v="4"/>
    <n v="21021040"/>
    <x v="4"/>
    <n v="99.77"/>
    <s v="MXN"/>
    <n v="99.77"/>
    <x v="0"/>
    <m/>
    <m/>
    <s v="B36F144B-FEAA-423B-A586-88467135EEF1"/>
    <s v="CSS160330CP7"/>
    <n v="107211"/>
    <s v="CFE SUMINISTRADOR DE SERVICIOS"/>
    <m/>
    <m/>
    <s v="30.01.2020"/>
    <n v="4501229349"/>
    <n v="20200130"/>
    <n v="99.77"/>
    <n v="15.963200000000001"/>
    <n v="115.7332"/>
    <n v="200124384"/>
    <s v="LUZ 19 ENERO"/>
    <n v="115.733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1"/>
    <s v="WE"/>
    <n v="81"/>
    <x v="4"/>
    <n v="21021040"/>
    <x v="4"/>
    <n v="132.56"/>
    <s v="MXN"/>
    <n v="132.56"/>
    <x v="0"/>
    <m/>
    <m/>
    <s v="B36F144B-FEAA-423B-A586-88467135EEF1"/>
    <s v="CSS160330CP7"/>
    <n v="107211"/>
    <s v="CFE SUMINISTRADOR DE SERVICIOS"/>
    <m/>
    <m/>
    <s v="30.01.2020"/>
    <n v="4501229349"/>
    <n v="20200130"/>
    <n v="132.56"/>
    <n v="21.209600000000002"/>
    <n v="153.7696"/>
    <n v="200124384"/>
    <s v="LUZ 20 ENERO"/>
    <n v="153.769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2"/>
    <s v="WE"/>
    <n v="81"/>
    <x v="4"/>
    <n v="21021040"/>
    <x v="4"/>
    <n v="114.32"/>
    <s v="MXN"/>
    <n v="114.32"/>
    <x v="0"/>
    <m/>
    <m/>
    <s v="B36F144B-FEAA-423B-A586-88467135EEF1"/>
    <s v="CSS160330CP7"/>
    <n v="107211"/>
    <s v="CFE SUMINISTRADOR DE SERVICIOS"/>
    <m/>
    <m/>
    <s v="30.01.2020"/>
    <n v="4501229349"/>
    <n v="20200130"/>
    <n v="114.32"/>
    <n v="18.2912"/>
    <n v="132.6112"/>
    <n v="200124384"/>
    <s v="LUZ 21 ENERO"/>
    <n v="132.611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3"/>
    <s v="WE"/>
    <n v="81"/>
    <x v="4"/>
    <n v="21021040"/>
    <x v="4"/>
    <n v="103.05"/>
    <s v="MXN"/>
    <n v="103.05"/>
    <x v="0"/>
    <m/>
    <m/>
    <s v="B36F144B-FEAA-423B-A586-88467135EEF1"/>
    <s v="CSS160330CP7"/>
    <n v="107211"/>
    <s v="CFE SUMINISTRADOR DE SERVICIOS"/>
    <m/>
    <m/>
    <s v="30.01.2020"/>
    <n v="4501229349"/>
    <n v="20200130"/>
    <n v="103.05"/>
    <n v="16.488"/>
    <n v="119.538"/>
    <n v="200124384"/>
    <s v="LUZ 22 ENERO"/>
    <n v="119.53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4"/>
    <s v="WE"/>
    <n v="81"/>
    <x v="4"/>
    <n v="21021040"/>
    <x v="4"/>
    <n v="106.36"/>
    <s v="MXN"/>
    <n v="106.36"/>
    <x v="0"/>
    <m/>
    <m/>
    <s v="B36F144B-FEAA-423B-A586-88467135EEF1"/>
    <s v="CSS160330CP7"/>
    <n v="107211"/>
    <s v="CFE SUMINISTRADOR DE SERVICIOS"/>
    <m/>
    <m/>
    <s v="30.01.2020"/>
    <n v="4501229349"/>
    <n v="20200130"/>
    <n v="106.36"/>
    <n v="17.017600000000002"/>
    <n v="123.3776"/>
    <n v="200124384"/>
    <s v="LUZ 23 ENERO"/>
    <n v="123.377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5"/>
    <s v="WE"/>
    <n v="81"/>
    <x v="4"/>
    <n v="21021040"/>
    <x v="4"/>
    <n v="112.94"/>
    <s v="MXN"/>
    <n v="112.94"/>
    <x v="0"/>
    <m/>
    <m/>
    <s v="B36F144B-FEAA-423B-A586-88467135EEF1"/>
    <s v="CSS160330CP7"/>
    <n v="107211"/>
    <s v="CFE SUMINISTRADOR DE SERVICIOS"/>
    <m/>
    <m/>
    <s v="30.01.2020"/>
    <n v="4501229349"/>
    <n v="20200130"/>
    <n v="112.94"/>
    <n v="18.070399999999999"/>
    <n v="131.0104"/>
    <n v="200124384"/>
    <s v="LUZ 24 ENERO"/>
    <n v="131.010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6"/>
    <s v="WE"/>
    <n v="81"/>
    <x v="4"/>
    <n v="21021040"/>
    <x v="4"/>
    <n v="113.71"/>
    <s v="MXN"/>
    <n v="113.71"/>
    <x v="0"/>
    <m/>
    <m/>
    <s v="B36F144B-FEAA-423B-A586-88467135EEF1"/>
    <s v="CSS160330CP7"/>
    <n v="107211"/>
    <s v="CFE SUMINISTRADOR DE SERVICIOS"/>
    <m/>
    <m/>
    <s v="30.01.2020"/>
    <n v="4501229349"/>
    <n v="20200130"/>
    <n v="113.71"/>
    <n v="18.1936"/>
    <n v="131.90359999999998"/>
    <n v="200124384"/>
    <s v="LUZ 25 ENERO"/>
    <n v="131.9035999999999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7"/>
    <s v="WE"/>
    <n v="81"/>
    <x v="4"/>
    <n v="21021040"/>
    <x v="4"/>
    <n v="92.39"/>
    <s v="MXN"/>
    <n v="92.39"/>
    <x v="0"/>
    <m/>
    <m/>
    <s v="B36F144B-FEAA-423B-A586-88467135EEF1"/>
    <s v="CSS160330CP7"/>
    <n v="107211"/>
    <s v="CFE SUMINISTRADOR DE SERVICIOS"/>
    <m/>
    <m/>
    <s v="30.01.2020"/>
    <n v="4501229349"/>
    <n v="20200130"/>
    <n v="92.39"/>
    <n v="14.782400000000001"/>
    <n v="107.1724"/>
    <n v="200124384"/>
    <s v="LUZ 26 ENERO"/>
    <n v="107.172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9"/>
    <s v="WE"/>
    <n v="81"/>
    <x v="4"/>
    <n v="21021040"/>
    <x v="4"/>
    <n v="134.05000000000001"/>
    <s v="MXN"/>
    <n v="134.05000000000001"/>
    <x v="0"/>
    <m/>
    <m/>
    <s v="B36F144B-FEAA-423B-A586-88467135EEF1"/>
    <s v="CSS160330CP7"/>
    <n v="107211"/>
    <s v="CFE SUMINISTRADOR DE SERVICIOS"/>
    <m/>
    <m/>
    <s v="30.01.2020"/>
    <n v="4501229349"/>
    <n v="20200130"/>
    <n v="134.05000000000001"/>
    <n v="21.448000000000004"/>
    <n v="155.49800000000002"/>
    <n v="200124384"/>
    <s v="LUZ 28 ENERO"/>
    <n v="155.4980000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60"/>
    <s v="WE"/>
    <n v="81"/>
    <x v="4"/>
    <n v="21021040"/>
    <x v="4"/>
    <n v="140.38999999999999"/>
    <s v="MXN"/>
    <n v="140.38999999999999"/>
    <x v="0"/>
    <m/>
    <m/>
    <s v="B36F144B-FEAA-423B-A586-88467135EEF1"/>
    <s v="CSS160330CP7"/>
    <n v="107211"/>
    <s v="CFE SUMINISTRADOR DE SERVICIOS"/>
    <m/>
    <m/>
    <s v="30.01.2020"/>
    <n v="4501229349"/>
    <n v="20200130"/>
    <n v="140.38999999999999"/>
    <n v="22.462399999999999"/>
    <n v="162.85239999999999"/>
    <n v="200124384"/>
    <s v="LUZ 29 ENERO"/>
    <n v="162.8523999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35"/>
    <s v="WE"/>
    <n v="91"/>
    <x v="4"/>
    <n v="21021040"/>
    <x v="4"/>
    <n v="109.7"/>
    <s v="MXN"/>
    <n v="109.7"/>
    <x v="0"/>
    <m/>
    <m/>
    <s v="B36F144B-FEAA-423B-A586-88467135EEF1"/>
    <s v="CSS160330CP7"/>
    <n v="107211"/>
    <s v="CFE SUMINISTRADOR DE SERVICIOS"/>
    <m/>
    <m/>
    <s v="01.02.2020"/>
    <n v="4501229349"/>
    <n v="20200130"/>
    <n v="109.7"/>
    <n v="17.552"/>
    <n v="127.25200000000001"/>
    <n v="200124384"/>
    <s v="LUZ 1 ENERO"/>
    <n v="127.2520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36"/>
    <s v="WE"/>
    <n v="81"/>
    <x v="4"/>
    <n v="21021040"/>
    <x v="4"/>
    <n v="109685.4"/>
    <s v="MXN"/>
    <n v="109685.4"/>
    <x v="0"/>
    <m/>
    <m/>
    <s v="B36F144B-FEAA-423B-A586-88467135EEF1"/>
    <s v="CSS160330CP7"/>
    <n v="107211"/>
    <s v="CFE SUMINISTRADOR DE SERVICIOS"/>
    <m/>
    <m/>
    <s v="01.02.2020"/>
    <n v="4501229349"/>
    <n v="20200130"/>
    <n v="109685.4"/>
    <n v="17549.664000000001"/>
    <n v="127235.064"/>
    <n v="200124384"/>
    <s v="LUZ 1 ENERO"/>
    <n v="127235.06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38"/>
    <s v="WE"/>
    <n v="91"/>
    <x v="4"/>
    <n v="21021040"/>
    <x v="4"/>
    <n v="133.24"/>
    <s v="MXN"/>
    <n v="133.24"/>
    <x v="0"/>
    <m/>
    <m/>
    <s v="B36F144B-FEAA-423B-A586-88467135EEF1"/>
    <s v="CSS160330CP7"/>
    <n v="107211"/>
    <s v="CFE SUMINISTRADOR DE SERVICIOS"/>
    <m/>
    <m/>
    <s v="01.02.2020"/>
    <n v="4501229349"/>
    <n v="20200130"/>
    <n v="133.24"/>
    <n v="21.3184"/>
    <n v="154.55840000000001"/>
    <n v="200124384"/>
    <s v="LUZ 2 ENERO"/>
    <n v="154.5584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39"/>
    <s v="WE"/>
    <n v="81"/>
    <x v="4"/>
    <n v="21021040"/>
    <x v="4"/>
    <n v="133232.92000000001"/>
    <s v="MXN"/>
    <n v="133232.92000000001"/>
    <x v="0"/>
    <m/>
    <m/>
    <s v="B36F144B-FEAA-423B-A586-88467135EEF1"/>
    <s v="CSS160330CP7"/>
    <n v="107211"/>
    <s v="CFE SUMINISTRADOR DE SERVICIOS"/>
    <m/>
    <m/>
    <s v="01.02.2020"/>
    <n v="4501229349"/>
    <n v="20200130"/>
    <n v="133232.92000000001"/>
    <n v="21317.267200000002"/>
    <n v="154550.18720000001"/>
    <n v="200124384"/>
    <s v="LUZ 2 ENERO"/>
    <n v="154550.1872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2"/>
    <s v="WE"/>
    <n v="91"/>
    <x v="4"/>
    <n v="21021040"/>
    <x v="4"/>
    <n v="126.54"/>
    <s v="MXN"/>
    <n v="126.54"/>
    <x v="0"/>
    <m/>
    <m/>
    <s v="B36F144B-FEAA-423B-A586-88467135EEF1"/>
    <s v="CSS160330CP7"/>
    <n v="107211"/>
    <s v="CFE SUMINISTRADOR DE SERVICIOS"/>
    <m/>
    <m/>
    <s v="01.02.2020"/>
    <n v="4501229349"/>
    <n v="20200130"/>
    <n v="126.54"/>
    <n v="20.246400000000001"/>
    <n v="146.78640000000001"/>
    <n v="200124384"/>
    <s v="LUZ 4 ENERO"/>
    <n v="146.7864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4"/>
    <s v="WE"/>
    <n v="91"/>
    <x v="4"/>
    <n v="21021040"/>
    <x v="4"/>
    <n v="92.61"/>
    <s v="MXN"/>
    <n v="92.61"/>
    <x v="0"/>
    <m/>
    <m/>
    <s v="B36F144B-FEAA-423B-A586-88467135EEF1"/>
    <s v="CSS160330CP7"/>
    <n v="107211"/>
    <s v="CFE SUMINISTRADOR DE SERVICIOS"/>
    <m/>
    <m/>
    <s v="01.02.2020"/>
    <n v="4501229349"/>
    <n v="20200130"/>
    <n v="92.61"/>
    <n v="14.817600000000001"/>
    <n v="107.4276"/>
    <n v="200124384"/>
    <s v="LUZ 5 ENERO"/>
    <n v="107.427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7"/>
    <s v="WE"/>
    <n v="91"/>
    <x v="4"/>
    <n v="21021040"/>
    <x v="4"/>
    <n v="124.01"/>
    <s v="MXN"/>
    <n v="124.01"/>
    <x v="0"/>
    <m/>
    <m/>
    <s v="B36F144B-FEAA-423B-A586-88467135EEF1"/>
    <s v="CSS160330CP7"/>
    <n v="107211"/>
    <s v="CFE SUMINISTRADOR DE SERVICIOS"/>
    <m/>
    <m/>
    <s v="01.02.2020"/>
    <n v="4501229349"/>
    <n v="20200130"/>
    <n v="124.01"/>
    <n v="19.8416"/>
    <n v="143.85160000000002"/>
    <n v="200124384"/>
    <s v="LUZ 6 ENERO"/>
    <n v="143.8516000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8"/>
    <s v="WE"/>
    <n v="81"/>
    <x v="4"/>
    <n v="21021040"/>
    <x v="4"/>
    <n v="124005.88"/>
    <s v="MXN"/>
    <n v="124005.88"/>
    <x v="0"/>
    <m/>
    <m/>
    <s v="B36F144B-FEAA-423B-A586-88467135EEF1"/>
    <s v="CSS160330CP7"/>
    <n v="107211"/>
    <s v="CFE SUMINISTRADOR DE SERVICIOS"/>
    <m/>
    <m/>
    <s v="01.02.2020"/>
    <n v="4501229349"/>
    <n v="20200130"/>
    <n v="124005.88"/>
    <n v="19840.9408"/>
    <n v="143846.82080000002"/>
    <n v="200124384"/>
    <s v="LUZ 6 ENERO"/>
    <n v="143846.8208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9"/>
    <s v="WE"/>
    <n v="91"/>
    <x v="4"/>
    <n v="21021040"/>
    <x v="4"/>
    <n v="124005.88"/>
    <s v="MXN"/>
    <n v="124005.88"/>
    <x v="0"/>
    <m/>
    <m/>
    <s v="B36F144B-FEAA-423B-A586-88467135EEF1"/>
    <s v="CSS160330CP7"/>
    <n v="107211"/>
    <s v="CFE SUMINISTRADOR DE SERVICIOS"/>
    <m/>
    <m/>
    <s v="01.02.2020"/>
    <n v="4501229349"/>
    <n v="20200130"/>
    <n v="124005.88"/>
    <n v="19840.9408"/>
    <n v="143846.82080000002"/>
    <n v="200124384"/>
    <s v="LUZ 6 ENERO"/>
    <n v="143846.8208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0"/>
    <s v="WE"/>
    <n v="81"/>
    <x v="4"/>
    <n v="21021040"/>
    <x v="4"/>
    <n v="124005.88"/>
    <s v="MXN"/>
    <n v="124005.88"/>
    <x v="0"/>
    <m/>
    <m/>
    <s v="B36F144B-FEAA-423B-A586-88467135EEF1"/>
    <s v="CSS160330CP7"/>
    <n v="107211"/>
    <s v="CFE SUMINISTRADOR DE SERVICIOS"/>
    <m/>
    <m/>
    <s v="01.02.2020"/>
    <n v="4501229349"/>
    <n v="20200130"/>
    <n v="124005.88"/>
    <n v="19840.9408"/>
    <n v="143846.82080000002"/>
    <n v="200124384"/>
    <s v="LUZ 6 ENERO"/>
    <n v="143846.8208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1"/>
    <s v="WE"/>
    <n v="91"/>
    <x v="4"/>
    <n v="21021040"/>
    <x v="4"/>
    <n v="128.66"/>
    <s v="MXN"/>
    <n v="128.66"/>
    <x v="0"/>
    <m/>
    <m/>
    <s v="B36F144B-FEAA-423B-A586-88467135EEF1"/>
    <s v="CSS160330CP7"/>
    <n v="107211"/>
    <s v="CFE SUMINISTRADOR DE SERVICIOS"/>
    <m/>
    <m/>
    <s v="01.02.2020"/>
    <n v="4501229349"/>
    <n v="20200130"/>
    <n v="128.66"/>
    <n v="20.585599999999999"/>
    <n v="149.2456"/>
    <n v="200124384"/>
    <s v="LUZ 8 ENERO"/>
    <n v="149.245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2"/>
    <s v="WE"/>
    <n v="81"/>
    <x v="4"/>
    <n v="21021040"/>
    <x v="4"/>
    <n v="128660.9"/>
    <s v="MXN"/>
    <n v="128660.9"/>
    <x v="0"/>
    <m/>
    <m/>
    <s v="B36F144B-FEAA-423B-A586-88467135EEF1"/>
    <s v="CSS160330CP7"/>
    <n v="107211"/>
    <s v="CFE SUMINISTRADOR DE SERVICIOS"/>
    <m/>
    <m/>
    <s v="01.02.2020"/>
    <n v="4501229349"/>
    <n v="20200130"/>
    <n v="128660.9"/>
    <n v="20585.743999999999"/>
    <n v="149246.644"/>
    <n v="200124384"/>
    <s v="LUZ 8 ENERO"/>
    <n v="149246.64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3"/>
    <s v="WE"/>
    <n v="91"/>
    <x v="4"/>
    <n v="21021040"/>
    <x v="4"/>
    <n v="125.42"/>
    <s v="MXN"/>
    <n v="125.42"/>
    <x v="0"/>
    <m/>
    <m/>
    <s v="B36F144B-FEAA-423B-A586-88467135EEF1"/>
    <s v="CSS160330CP7"/>
    <n v="107211"/>
    <s v="CFE SUMINISTRADOR DE SERVICIOS"/>
    <m/>
    <m/>
    <s v="01.02.2020"/>
    <n v="4501229349"/>
    <n v="20200130"/>
    <n v="125.42"/>
    <n v="20.0672"/>
    <n v="145.4872"/>
    <n v="200124384"/>
    <s v="LUZ 9 ENERO"/>
    <n v="145.487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4"/>
    <s v="WE"/>
    <n v="81"/>
    <x v="4"/>
    <n v="21021040"/>
    <x v="4"/>
    <n v="125422.5"/>
    <s v="MXN"/>
    <n v="125422.5"/>
    <x v="0"/>
    <m/>
    <m/>
    <s v="B36F144B-FEAA-423B-A586-88467135EEF1"/>
    <s v="CSS160330CP7"/>
    <n v="107211"/>
    <s v="CFE SUMINISTRADOR DE SERVICIOS"/>
    <m/>
    <m/>
    <s v="01.02.2020"/>
    <n v="4501229349"/>
    <n v="20200130"/>
    <n v="125422.5"/>
    <n v="20067.600000000002"/>
    <n v="145490.1"/>
    <n v="200124384"/>
    <s v="LUZ 9 ENERO"/>
    <n v="145490.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5"/>
    <s v="WE"/>
    <n v="91"/>
    <x v="4"/>
    <n v="21021040"/>
    <x v="4"/>
    <n v="146.44999999999999"/>
    <s v="MXN"/>
    <n v="146.44999999999999"/>
    <x v="0"/>
    <m/>
    <m/>
    <s v="B36F144B-FEAA-423B-A586-88467135EEF1"/>
    <s v="CSS160330CP7"/>
    <n v="107211"/>
    <s v="CFE SUMINISTRADOR DE SERVICIOS"/>
    <m/>
    <m/>
    <s v="01.02.2020"/>
    <n v="4501229349"/>
    <n v="20200130"/>
    <n v="146.44999999999999"/>
    <n v="23.431999999999999"/>
    <n v="169.88199999999998"/>
    <n v="200124384"/>
    <s v="LUZ 10 ENERO"/>
    <n v="169.8819999999999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6"/>
    <s v="WE"/>
    <n v="81"/>
    <x v="4"/>
    <n v="21021040"/>
    <x v="4"/>
    <n v="146443.92000000001"/>
    <s v="MXN"/>
    <n v="146443.92000000001"/>
    <x v="0"/>
    <m/>
    <m/>
    <s v="B36F144B-FEAA-423B-A586-88467135EEF1"/>
    <s v="CSS160330CP7"/>
    <n v="107211"/>
    <s v="CFE SUMINISTRADOR DE SERVICIOS"/>
    <m/>
    <m/>
    <s v="01.02.2020"/>
    <n v="4501229349"/>
    <n v="20200130"/>
    <n v="146443.92000000001"/>
    <n v="23431.027200000004"/>
    <n v="169874.94720000002"/>
    <n v="200124384"/>
    <s v="LUZ 10 ENERO"/>
    <n v="169874.9472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7"/>
    <s v="WE"/>
    <n v="91"/>
    <x v="4"/>
    <n v="21021040"/>
    <x v="4"/>
    <n v="133.81"/>
    <s v="MXN"/>
    <n v="133.81"/>
    <x v="0"/>
    <m/>
    <m/>
    <s v="B36F144B-FEAA-423B-A586-88467135EEF1"/>
    <s v="CSS160330CP7"/>
    <n v="107211"/>
    <s v="CFE SUMINISTRADOR DE SERVICIOS"/>
    <m/>
    <m/>
    <s v="01.02.2020"/>
    <n v="4501229349"/>
    <n v="20200130"/>
    <n v="133.81"/>
    <n v="21.409600000000001"/>
    <n v="155.21960000000001"/>
    <n v="200124384"/>
    <s v="LUZ 11 ENERO"/>
    <n v="155.2196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9"/>
    <s v="WE"/>
    <n v="81"/>
    <x v="4"/>
    <n v="21021040"/>
    <x v="4"/>
    <n v="133814.44"/>
    <s v="MXN"/>
    <n v="133814.44"/>
    <x v="0"/>
    <m/>
    <m/>
    <s v="B36F144B-FEAA-423B-A586-88467135EEF1"/>
    <s v="CSS160330CP7"/>
    <n v="107211"/>
    <s v="CFE SUMINISTRADOR DE SERVICIOS"/>
    <m/>
    <m/>
    <s v="01.02.2020"/>
    <n v="4501229349"/>
    <n v="20200130"/>
    <n v="133814.44"/>
    <n v="21410.310400000002"/>
    <n v="155224.75040000002"/>
    <n v="200124384"/>
    <s v="LUZ 11 ENERO"/>
    <n v="155224.7504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60"/>
    <s v="WE"/>
    <n v="91"/>
    <x v="4"/>
    <n v="21021040"/>
    <x v="4"/>
    <n v="106.13"/>
    <s v="MXN"/>
    <n v="106.13"/>
    <x v="0"/>
    <m/>
    <m/>
    <s v="B36F144B-FEAA-423B-A586-88467135EEF1"/>
    <s v="CSS160330CP7"/>
    <n v="107211"/>
    <s v="CFE SUMINISTRADOR DE SERVICIOS"/>
    <m/>
    <m/>
    <s v="01.02.2020"/>
    <n v="4501229349"/>
    <n v="20200130"/>
    <n v="106.13"/>
    <n v="16.980799999999999"/>
    <n v="123.1108"/>
    <n v="200124384"/>
    <s v="LUZ 12 ENERO"/>
    <n v="123.110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61"/>
    <s v="WE"/>
    <n v="81"/>
    <x v="4"/>
    <n v="21021040"/>
    <x v="4"/>
    <n v="106113.52"/>
    <s v="MXN"/>
    <n v="106113.52"/>
    <x v="0"/>
    <m/>
    <m/>
    <s v="B36F144B-FEAA-423B-A586-88467135EEF1"/>
    <s v="CSS160330CP7"/>
    <n v="107211"/>
    <s v="CFE SUMINISTRADOR DE SERVICIOS"/>
    <m/>
    <m/>
    <s v="01.02.2020"/>
    <n v="4501229349"/>
    <n v="20200130"/>
    <n v="106113.52"/>
    <n v="16978.163200000003"/>
    <n v="123091.6832"/>
    <n v="200124384"/>
    <s v="LUZ 12 ENERO"/>
    <n v="123091.683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62"/>
    <s v="WE"/>
    <n v="91"/>
    <x v="4"/>
    <n v="21021040"/>
    <x v="4"/>
    <n v="152.13"/>
    <s v="MXN"/>
    <n v="152.13"/>
    <x v="0"/>
    <m/>
    <m/>
    <s v="B36F144B-FEAA-423B-A586-88467135EEF1"/>
    <s v="CSS160330CP7"/>
    <n v="107211"/>
    <s v="CFE SUMINISTRADOR DE SERVICIOS"/>
    <m/>
    <m/>
    <s v="01.02.2020"/>
    <n v="4501229349"/>
    <n v="20200130"/>
    <n v="152.13"/>
    <n v="24.340800000000002"/>
    <n v="176.4708"/>
    <n v="200124384"/>
    <s v="LUZ 13 ENERO"/>
    <n v="176.470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63"/>
    <s v="WE"/>
    <n v="81"/>
    <x v="4"/>
    <n v="21021040"/>
    <x v="4"/>
    <n v="152129.60000000001"/>
    <s v="MXN"/>
    <n v="152129.60000000001"/>
    <x v="0"/>
    <m/>
    <m/>
    <s v="B36F144B-FEAA-423B-A586-88467135EEF1"/>
    <s v="CSS160330CP7"/>
    <n v="107211"/>
    <s v="CFE SUMINISTRADOR DE SERVICIOS"/>
    <m/>
    <m/>
    <s v="01.02.2020"/>
    <n v="4501229349"/>
    <n v="20200130"/>
    <n v="152129.60000000001"/>
    <n v="24340.736000000001"/>
    <n v="176470.33600000001"/>
    <n v="200124384"/>
    <s v="LUZ 13 ENERO"/>
    <n v="176470.336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64"/>
    <s v="WE"/>
    <n v="91"/>
    <x v="4"/>
    <n v="21021040"/>
    <x v="4"/>
    <n v="139.52000000000001"/>
    <s v="MXN"/>
    <n v="139.52000000000001"/>
    <x v="0"/>
    <m/>
    <m/>
    <s v="B36F144B-FEAA-423B-A586-88467135EEF1"/>
    <s v="CSS160330CP7"/>
    <n v="107211"/>
    <s v="CFE SUMINISTRADOR DE SERVICIOS"/>
    <m/>
    <m/>
    <s v="01.02.2020"/>
    <n v="4501229349"/>
    <n v="20200130"/>
    <n v="139.52000000000001"/>
    <n v="22.323200000000003"/>
    <n v="161.84320000000002"/>
    <n v="200124384"/>
    <s v="LUZ 14 ENERO"/>
    <n v="161.8432000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67"/>
    <s v="WE"/>
    <n v="81"/>
    <x v="4"/>
    <n v="21021040"/>
    <x v="4"/>
    <n v="139516.32"/>
    <s v="MXN"/>
    <n v="139516.32"/>
    <x v="0"/>
    <m/>
    <m/>
    <s v="B36F144B-FEAA-423B-A586-88467135EEF1"/>
    <s v="CSS160330CP7"/>
    <n v="107211"/>
    <s v="CFE SUMINISTRADOR DE SERVICIOS"/>
    <m/>
    <m/>
    <s v="01.02.2020"/>
    <n v="4501229349"/>
    <n v="20200130"/>
    <n v="139516.32"/>
    <n v="22322.611200000003"/>
    <n v="161838.93120000002"/>
    <n v="200124384"/>
    <s v="LUZ 14 ENERO"/>
    <n v="161838.9312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70"/>
    <s v="WE"/>
    <n v="91"/>
    <x v="4"/>
    <n v="21021040"/>
    <x v="4"/>
    <n v="139.66"/>
    <s v="MXN"/>
    <n v="139.66"/>
    <x v="0"/>
    <m/>
    <m/>
    <s v="B36F144B-FEAA-423B-A586-88467135EEF1"/>
    <s v="CSS160330CP7"/>
    <n v="107211"/>
    <s v="CFE SUMINISTRADOR DE SERVICIOS"/>
    <m/>
    <m/>
    <s v="01.02.2020"/>
    <n v="4501229349"/>
    <n v="20200130"/>
    <n v="139.66"/>
    <n v="22.345600000000001"/>
    <n v="162.00559999999999"/>
    <n v="200124384"/>
    <s v="LUZ 15 ENERO"/>
    <n v="162.0055999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73"/>
    <s v="WE"/>
    <n v="81"/>
    <x v="4"/>
    <n v="21021040"/>
    <x v="4"/>
    <n v="139653.68"/>
    <s v="MXN"/>
    <n v="139653.68"/>
    <x v="0"/>
    <m/>
    <m/>
    <s v="B36F144B-FEAA-423B-A586-88467135EEF1"/>
    <s v="CSS160330CP7"/>
    <n v="107211"/>
    <s v="CFE SUMINISTRADOR DE SERVICIOS"/>
    <m/>
    <m/>
    <s v="01.02.2020"/>
    <n v="4501229349"/>
    <n v="20200130"/>
    <n v="139653.68"/>
    <n v="22344.588799999998"/>
    <n v="161998.26879999999"/>
    <n v="200124384"/>
    <s v="LUZ 15 ENERO"/>
    <n v="161998.2687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85"/>
    <s v="WE"/>
    <n v="81"/>
    <x v="4"/>
    <n v="21021040"/>
    <x v="4"/>
    <n v="131539.44"/>
    <s v="MXN"/>
    <n v="131539.44"/>
    <x v="0"/>
    <m/>
    <m/>
    <s v="B36F144B-FEAA-423B-A586-88467135EEF1"/>
    <s v="CSS160330CP7"/>
    <n v="107211"/>
    <s v="CFE SUMINISTRADOR DE SERVICIOS"/>
    <m/>
    <m/>
    <s v="01.02.2020"/>
    <n v="4501229349"/>
    <n v="20200130"/>
    <n v="131539.44"/>
    <n v="21046.310400000002"/>
    <n v="152585.75040000002"/>
    <n v="200124384"/>
    <s v="LUZ 16 ENERO"/>
    <n v="152585.7504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86"/>
    <s v="WE"/>
    <n v="91"/>
    <x v="4"/>
    <n v="21021040"/>
    <x v="4"/>
    <n v="135.1"/>
    <s v="MXN"/>
    <n v="135.1"/>
    <x v="0"/>
    <m/>
    <m/>
    <s v="B36F144B-FEAA-423B-A586-88467135EEF1"/>
    <s v="CSS160330CP7"/>
    <n v="107211"/>
    <s v="CFE SUMINISTRADOR DE SERVICIOS"/>
    <m/>
    <m/>
    <s v="01.02.2020"/>
    <n v="4501229349"/>
    <n v="20200130"/>
    <n v="135.1"/>
    <n v="21.616"/>
    <n v="156.71600000000001"/>
    <n v="200124384"/>
    <s v="LUZ 17 ENERO"/>
    <n v="156.7160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0"/>
    <s v="WE"/>
    <n v="91"/>
    <x v="4"/>
    <n v="21021040"/>
    <x v="4"/>
    <n v="99.77"/>
    <s v="MXN"/>
    <n v="99.77"/>
    <x v="0"/>
    <m/>
    <m/>
    <s v="B36F144B-FEAA-423B-A586-88467135EEF1"/>
    <s v="CSS160330CP7"/>
    <n v="107211"/>
    <s v="CFE SUMINISTRADOR DE SERVICIOS"/>
    <m/>
    <m/>
    <s v="01.02.2020"/>
    <n v="4501229349"/>
    <n v="20200130"/>
    <n v="99.77"/>
    <n v="15.963200000000001"/>
    <n v="115.7332"/>
    <n v="200124384"/>
    <s v="LUZ 19 ENERO"/>
    <n v="115.733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1"/>
    <s v="WE"/>
    <n v="81"/>
    <x v="4"/>
    <n v="21021040"/>
    <x v="4"/>
    <n v="99744.78"/>
    <s v="MXN"/>
    <n v="99744.78"/>
    <x v="0"/>
    <m/>
    <m/>
    <s v="B36F144B-FEAA-423B-A586-88467135EEF1"/>
    <s v="CSS160330CP7"/>
    <n v="107211"/>
    <s v="CFE SUMINISTRADOR DE SERVICIOS"/>
    <m/>
    <m/>
    <s v="01.02.2020"/>
    <n v="4501229349"/>
    <n v="20200130"/>
    <n v="99744.78"/>
    <n v="15959.1648"/>
    <n v="115703.9448"/>
    <n v="200124384"/>
    <s v="LUZ 19 ENERO"/>
    <n v="115703.944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4"/>
    <s v="WE"/>
    <n v="91"/>
    <x v="4"/>
    <n v="21021040"/>
    <x v="4"/>
    <n v="114.32"/>
    <s v="MXN"/>
    <n v="114.32"/>
    <x v="0"/>
    <m/>
    <m/>
    <s v="B36F144B-FEAA-423B-A586-88467135EEF1"/>
    <s v="CSS160330CP7"/>
    <n v="107211"/>
    <s v="CFE SUMINISTRADOR DE SERVICIOS"/>
    <m/>
    <m/>
    <s v="01.02.2020"/>
    <n v="4501229349"/>
    <n v="20200130"/>
    <n v="114.32"/>
    <n v="18.2912"/>
    <n v="132.6112"/>
    <n v="200124384"/>
    <s v="LUZ 21 ENERO"/>
    <n v="132.611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5"/>
    <s v="WE"/>
    <n v="81"/>
    <x v="4"/>
    <n v="21021040"/>
    <x v="4"/>
    <n v="114322.46"/>
    <s v="MXN"/>
    <n v="114322.46"/>
    <x v="0"/>
    <m/>
    <m/>
    <s v="B36F144B-FEAA-423B-A586-88467135EEF1"/>
    <s v="CSS160330CP7"/>
    <n v="107211"/>
    <s v="CFE SUMINISTRADOR DE SERVICIOS"/>
    <m/>
    <m/>
    <s v="01.02.2020"/>
    <n v="4501229349"/>
    <n v="20200130"/>
    <n v="114322.46"/>
    <n v="18291.5936"/>
    <n v="132614.05360000001"/>
    <n v="200124384"/>
    <s v="LUZ 21 ENERO"/>
    <n v="132614.0536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6"/>
    <s v="WE"/>
    <n v="91"/>
    <x v="4"/>
    <n v="21021040"/>
    <x v="4"/>
    <n v="103.05"/>
    <s v="MXN"/>
    <n v="103.05"/>
    <x v="0"/>
    <m/>
    <m/>
    <s v="B36F144B-FEAA-423B-A586-88467135EEF1"/>
    <s v="CSS160330CP7"/>
    <n v="107211"/>
    <s v="CFE SUMINISTRADOR DE SERVICIOS"/>
    <m/>
    <m/>
    <s v="01.02.2020"/>
    <n v="4501229349"/>
    <n v="20200130"/>
    <n v="103.05"/>
    <n v="16.488"/>
    <n v="119.538"/>
    <n v="200124384"/>
    <s v="LUZ 22 ENERO"/>
    <n v="119.53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7"/>
    <s v="WE"/>
    <n v="81"/>
    <x v="4"/>
    <n v="21021040"/>
    <x v="4"/>
    <n v="103053.84"/>
    <s v="MXN"/>
    <n v="103053.84"/>
    <x v="0"/>
    <m/>
    <m/>
    <s v="B36F144B-FEAA-423B-A586-88467135EEF1"/>
    <s v="CSS160330CP7"/>
    <n v="107211"/>
    <s v="CFE SUMINISTRADOR DE SERVICIOS"/>
    <m/>
    <m/>
    <s v="01.02.2020"/>
    <n v="4501229349"/>
    <n v="20200130"/>
    <n v="103053.84"/>
    <n v="16488.614399999999"/>
    <n v="119542.45439999999"/>
    <n v="200124384"/>
    <s v="LUZ 22 ENERO"/>
    <n v="119542.4543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8"/>
    <s v="WE"/>
    <n v="91"/>
    <x v="4"/>
    <n v="21021040"/>
    <x v="4"/>
    <n v="106.36"/>
    <s v="MXN"/>
    <n v="106.36"/>
    <x v="0"/>
    <m/>
    <m/>
    <s v="B36F144B-FEAA-423B-A586-88467135EEF1"/>
    <s v="CSS160330CP7"/>
    <n v="107211"/>
    <s v="CFE SUMINISTRADOR DE SERVICIOS"/>
    <m/>
    <m/>
    <s v="01.02.2020"/>
    <n v="4501229349"/>
    <n v="20200130"/>
    <n v="106.36"/>
    <n v="17.017600000000002"/>
    <n v="123.3776"/>
    <n v="200124384"/>
    <s v="LUZ 23 ENERO"/>
    <n v="123.377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9"/>
    <s v="WE"/>
    <n v="81"/>
    <x v="4"/>
    <n v="21021040"/>
    <x v="4"/>
    <n v="106362.82"/>
    <s v="MXN"/>
    <n v="106362.82"/>
    <x v="0"/>
    <m/>
    <m/>
    <s v="B36F144B-FEAA-423B-A586-88467135EEF1"/>
    <s v="CSS160330CP7"/>
    <n v="107211"/>
    <s v="CFE SUMINISTRADOR DE SERVICIOS"/>
    <m/>
    <m/>
    <s v="01.02.2020"/>
    <n v="4501229349"/>
    <n v="20200130"/>
    <n v="106362.82"/>
    <n v="17018.051200000002"/>
    <n v="123380.87120000001"/>
    <n v="200124384"/>
    <s v="LUZ 23 ENERO"/>
    <n v="123380.8712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1"/>
    <s v="WE"/>
    <n v="81"/>
    <x v="4"/>
    <n v="21021040"/>
    <x v="4"/>
    <n v="112943.74"/>
    <s v="MXN"/>
    <n v="112943.74"/>
    <x v="0"/>
    <m/>
    <m/>
    <s v="B36F144B-FEAA-423B-A586-88467135EEF1"/>
    <s v="CSS160330CP7"/>
    <n v="107211"/>
    <s v="CFE SUMINISTRADOR DE SERVICIOS"/>
    <m/>
    <m/>
    <s v="01.02.2020"/>
    <n v="4501229349"/>
    <n v="20200130"/>
    <n v="112943.74"/>
    <n v="18070.9984"/>
    <n v="131014.7384"/>
    <n v="200124384"/>
    <s v="LUZ 24 ENERO"/>
    <n v="131014.738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4"/>
    <s v="WE"/>
    <n v="81"/>
    <x v="4"/>
    <n v="21021040"/>
    <x v="4"/>
    <n v="113707.4"/>
    <s v="MXN"/>
    <n v="113707.4"/>
    <x v="0"/>
    <m/>
    <m/>
    <s v="B36F144B-FEAA-423B-A586-88467135EEF1"/>
    <s v="CSS160330CP7"/>
    <n v="107211"/>
    <s v="CFE SUMINISTRADOR DE SERVICIOS"/>
    <m/>
    <m/>
    <s v="01.02.2020"/>
    <n v="4501229349"/>
    <n v="20200130"/>
    <n v="113707.4"/>
    <n v="18193.184000000001"/>
    <n v="131900.584"/>
    <n v="200124384"/>
    <s v="LUZ 25 ENERO"/>
    <n v="131900.58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5"/>
    <s v="WE"/>
    <n v="91"/>
    <x v="4"/>
    <n v="21021040"/>
    <x v="4"/>
    <n v="92.39"/>
    <s v="MXN"/>
    <n v="92.39"/>
    <x v="0"/>
    <m/>
    <m/>
    <s v="B36F144B-FEAA-423B-A586-88467135EEF1"/>
    <s v="CSS160330CP7"/>
    <n v="107211"/>
    <s v="CFE SUMINISTRADOR DE SERVICIOS"/>
    <m/>
    <m/>
    <s v="01.02.2020"/>
    <n v="4501229349"/>
    <n v="20200130"/>
    <n v="92.39"/>
    <n v="14.782400000000001"/>
    <n v="107.1724"/>
    <n v="200124384"/>
    <s v="LUZ 26 ENERO"/>
    <n v="107.172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6"/>
    <s v="WE"/>
    <n v="81"/>
    <x v="4"/>
    <n v="21021040"/>
    <x v="4"/>
    <n v="92364.68"/>
    <s v="MXN"/>
    <n v="92364.68"/>
    <x v="0"/>
    <m/>
    <m/>
    <s v="B36F144B-FEAA-423B-A586-88467135EEF1"/>
    <s v="CSS160330CP7"/>
    <n v="107211"/>
    <s v="CFE SUMINISTRADOR DE SERVICIOS"/>
    <m/>
    <m/>
    <s v="01.02.2020"/>
    <n v="4501229349"/>
    <n v="20200130"/>
    <n v="92364.68"/>
    <n v="14778.3488"/>
    <n v="107143.0288"/>
    <n v="200124384"/>
    <s v="LUZ 26 ENERO"/>
    <n v="107143.028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7"/>
    <s v="WE"/>
    <n v="91"/>
    <x v="4"/>
    <n v="21021040"/>
    <x v="4"/>
    <n v="131.58000000000001"/>
    <s v="MXN"/>
    <n v="131.58000000000001"/>
    <x v="0"/>
    <m/>
    <m/>
    <s v="B36F144B-FEAA-423B-A586-88467135EEF1"/>
    <s v="CSS160330CP7"/>
    <n v="107211"/>
    <s v="CFE SUMINISTRADOR DE SERVICIOS"/>
    <m/>
    <m/>
    <s v="01.02.2020"/>
    <n v="4501229349"/>
    <n v="20200130"/>
    <n v="131.58000000000001"/>
    <n v="21.052800000000001"/>
    <n v="152.6328"/>
    <n v="200124384"/>
    <s v="LUZ 27 ENERO"/>
    <n v="152.632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9"/>
    <s v="WE"/>
    <n v="91"/>
    <x v="4"/>
    <n v="21021040"/>
    <x v="4"/>
    <n v="134.05000000000001"/>
    <s v="MXN"/>
    <n v="134.05000000000001"/>
    <x v="0"/>
    <m/>
    <m/>
    <s v="B36F144B-FEAA-423B-A586-88467135EEF1"/>
    <s v="CSS160330CP7"/>
    <n v="107211"/>
    <s v="CFE SUMINISTRADOR DE SERVICIOS"/>
    <m/>
    <m/>
    <s v="01.02.2020"/>
    <n v="4501229349"/>
    <n v="20200130"/>
    <n v="134.05000000000001"/>
    <n v="21.448000000000004"/>
    <n v="155.49800000000002"/>
    <n v="200124384"/>
    <s v="LUZ 28 ENERO"/>
    <n v="155.4980000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10"/>
    <s v="WE"/>
    <n v="81"/>
    <x v="4"/>
    <n v="21021040"/>
    <x v="4"/>
    <n v="134060.46"/>
    <s v="MXN"/>
    <n v="134060.46"/>
    <x v="0"/>
    <m/>
    <m/>
    <s v="B36F144B-FEAA-423B-A586-88467135EEF1"/>
    <s v="CSS160330CP7"/>
    <n v="107211"/>
    <s v="CFE SUMINISTRADOR DE SERVICIOS"/>
    <m/>
    <m/>
    <s v="01.02.2020"/>
    <n v="4501229349"/>
    <n v="20200130"/>
    <n v="134060.46"/>
    <n v="21449.673599999998"/>
    <n v="155510.1336"/>
    <n v="200124384"/>
    <s v="LUZ 28 ENERO"/>
    <n v="155510.133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11"/>
    <s v="WE"/>
    <n v="91"/>
    <x v="4"/>
    <n v="21021040"/>
    <x v="4"/>
    <n v="140.38999999999999"/>
    <s v="MXN"/>
    <n v="140.38999999999999"/>
    <x v="0"/>
    <m/>
    <m/>
    <s v="B36F144B-FEAA-423B-A586-88467135EEF1"/>
    <s v="CSS160330CP7"/>
    <n v="107211"/>
    <s v="CFE SUMINISTRADOR DE SERVICIOS"/>
    <m/>
    <m/>
    <s v="01.02.2020"/>
    <n v="4501229349"/>
    <n v="20200130"/>
    <n v="140.38999999999999"/>
    <n v="22.462399999999999"/>
    <n v="162.85239999999999"/>
    <n v="200124384"/>
    <s v="LUZ 29 ENERO"/>
    <n v="162.8523999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12"/>
    <s v="WE"/>
    <n v="81"/>
    <x v="4"/>
    <n v="21021040"/>
    <x v="4"/>
    <n v="140387.4"/>
    <s v="MXN"/>
    <n v="140387.4"/>
    <x v="0"/>
    <m/>
    <m/>
    <s v="B36F144B-FEAA-423B-A586-88467135EEF1"/>
    <s v="CSS160330CP7"/>
    <n v="107211"/>
    <s v="CFE SUMINISTRADOR DE SERVICIOS"/>
    <m/>
    <m/>
    <s v="01.02.2020"/>
    <n v="4501229349"/>
    <n v="20200130"/>
    <n v="140387.4"/>
    <n v="22461.984"/>
    <n v="162849.38399999999"/>
    <n v="200124384"/>
    <s v="LUZ 29 ENERO"/>
    <n v="162849.38399999999"/>
    <s v="06.02.2020"/>
    <s v="TRANSFERENCIA"/>
    <n v="200127161"/>
    <s v="HSBC "/>
    <s v="HSBC 004053489092 TP"/>
    <n v="340218590"/>
    <s v="SOLI1102"/>
  </r>
  <r>
    <n v="3400"/>
    <s v="31.01.2020"/>
    <n v="2020"/>
    <d v="2020-01-01T00:00:00"/>
    <n v="1"/>
    <n v="100010628"/>
    <s v="FE"/>
    <n v="40"/>
    <x v="9"/>
    <n v="21021040"/>
    <x v="9"/>
    <n v="4038.35"/>
    <s v="USD"/>
    <n v="75544.2"/>
    <x v="0"/>
    <s v="D0"/>
    <m/>
    <m/>
    <m/>
    <m/>
    <m/>
    <m/>
    <m/>
    <s v="31.01.2020"/>
    <m/>
    <s v="REFG:RCDPI00020329"/>
    <n v="4038.35"/>
    <m/>
    <m/>
    <m/>
    <s v="DESC AS: Notificaciones Email Reservas y Cortesías"/>
    <m/>
    <m/>
    <m/>
    <m/>
    <m/>
    <m/>
    <n v="340020050"/>
    <s v="PIRFC"/>
  </r>
  <r>
    <n v="3400"/>
    <s v="31.01.2020"/>
    <n v="2020"/>
    <d v="2020-01-01T00:00:00"/>
    <n v="1"/>
    <n v="100010630"/>
    <s v="FE"/>
    <n v="40"/>
    <x v="9"/>
    <n v="21021040"/>
    <x v="9"/>
    <n v="2305.0300000000002"/>
    <s v="USD"/>
    <n v="43119.5"/>
    <x v="0"/>
    <s v="D0"/>
    <m/>
    <m/>
    <m/>
    <m/>
    <m/>
    <m/>
    <m/>
    <s v="31.01.2020"/>
    <m/>
    <s v="REFG:RCDPI00020331"/>
    <n v="2305.0300000000002"/>
    <m/>
    <m/>
    <m/>
    <s v="DESC AS: Notificaciones Email Reservas y Cortesías"/>
    <m/>
    <m/>
    <m/>
    <m/>
    <m/>
    <m/>
    <n v="340020050"/>
    <s v="PIRFC"/>
  </r>
  <r>
    <n v="3400"/>
    <s v="10.01.2020"/>
    <n v="2020"/>
    <d v="2020-01-01T00:00:00"/>
    <n v="1"/>
    <n v="100003067"/>
    <s v="FE"/>
    <n v="40"/>
    <x v="7"/>
    <n v="21021040"/>
    <x v="7"/>
    <n v="176000"/>
    <s v="MXN"/>
    <n v="176000"/>
    <x v="0"/>
    <s v="U3"/>
    <m/>
    <m/>
    <m/>
    <m/>
    <m/>
    <m/>
    <m/>
    <s v="10.01.2020"/>
    <m/>
    <s v="REFG:RCDPI00019398"/>
    <n v="176000"/>
    <m/>
    <m/>
    <m/>
    <s v="DESC AS: Call Center Externo"/>
    <m/>
    <m/>
    <m/>
    <m/>
    <m/>
    <m/>
    <n v="340020050"/>
    <s v="PIRFC"/>
  </r>
  <r>
    <n v="3400"/>
    <s v="10.01.2020"/>
    <n v="2020"/>
    <d v="2020-01-01T00:00:00"/>
    <n v="1"/>
    <n v="100003175"/>
    <s v="FE"/>
    <n v="40"/>
    <x v="2"/>
    <n v="21021040"/>
    <x v="2"/>
    <n v="101696"/>
    <s v="MXN"/>
    <n v="101696"/>
    <x v="0"/>
    <s v="U3"/>
    <m/>
    <m/>
    <m/>
    <m/>
    <m/>
    <m/>
    <m/>
    <s v="10.01.2020"/>
    <m/>
    <s v="REFG:RCDPI00019409"/>
    <n v="101696"/>
    <m/>
    <m/>
    <m/>
    <s v="DESC AS: Publicidad Aerea"/>
    <m/>
    <m/>
    <m/>
    <m/>
    <m/>
    <m/>
    <n v="340022250"/>
    <s v="PIRFC"/>
  </r>
  <r>
    <n v="3400"/>
    <s v="16.01.2020"/>
    <n v="2020"/>
    <d v="2020-01-01T00:00:00"/>
    <n v="1"/>
    <n v="100004818"/>
    <s v="FE"/>
    <n v="40"/>
    <x v="2"/>
    <n v="21021040"/>
    <x v="2"/>
    <n v="220724"/>
    <s v="MXN"/>
    <n v="220724"/>
    <x v="0"/>
    <s v="U3"/>
    <m/>
    <m/>
    <m/>
    <m/>
    <m/>
    <m/>
    <m/>
    <s v="16.01.2020"/>
    <m/>
    <s v="REFG:RCDPI00019618"/>
    <n v="220724"/>
    <m/>
    <m/>
    <m/>
    <s v="DESC AS: Publicidad Revista"/>
    <m/>
    <m/>
    <m/>
    <m/>
    <m/>
    <m/>
    <n v="340022250"/>
    <s v="PIRFC"/>
  </r>
  <r>
    <n v="3400"/>
    <s v="10.01.2020"/>
    <n v="2020"/>
    <d v="2020-01-01T00:00:00"/>
    <n v="1"/>
    <n v="100003176"/>
    <s v="FE"/>
    <n v="40"/>
    <x v="7"/>
    <n v="21021040"/>
    <x v="7"/>
    <n v="180000"/>
    <s v="MXN"/>
    <n v="180000"/>
    <x v="0"/>
    <s v="U3"/>
    <m/>
    <m/>
    <m/>
    <m/>
    <m/>
    <m/>
    <m/>
    <s v="10.01.2020"/>
    <m/>
    <s v="REFG:RCDPI00019410"/>
    <n v="180000"/>
    <m/>
    <m/>
    <m/>
    <s v="DESC AS: Relaciones Publicas-Marketing"/>
    <m/>
    <m/>
    <m/>
    <m/>
    <m/>
    <m/>
    <n v="340022250"/>
    <s v="PIRFC"/>
  </r>
  <r>
    <n v="3400"/>
    <s v="17.01.2020"/>
    <n v="2020"/>
    <d v="2020-01-01T00:00:00"/>
    <n v="1"/>
    <n v="100006091"/>
    <s v="FE"/>
    <n v="40"/>
    <x v="7"/>
    <n v="21021040"/>
    <x v="7"/>
    <n v="20000"/>
    <s v="MXN"/>
    <n v="20000"/>
    <x v="0"/>
    <s v="U3"/>
    <m/>
    <m/>
    <m/>
    <m/>
    <m/>
    <m/>
    <m/>
    <s v="22.01.2020"/>
    <m/>
    <s v="REFG:RCDPI00019697"/>
    <n v="20000"/>
    <m/>
    <m/>
    <m/>
    <s v="DESC AS: Relaciones Publicas-Marketing"/>
    <m/>
    <m/>
    <m/>
    <m/>
    <m/>
    <m/>
    <n v="340022250"/>
    <s v="CONSULTORLT"/>
  </r>
  <r>
    <n v="3400"/>
    <s v="23.01.2020"/>
    <n v="2020"/>
    <d v="2020-01-01T00:00:00"/>
    <n v="1"/>
    <n v="100007315"/>
    <s v="FE"/>
    <n v="40"/>
    <x v="9"/>
    <n v="21021040"/>
    <x v="9"/>
    <n v="963.05"/>
    <s v="MXN"/>
    <n v="963.05"/>
    <x v="0"/>
    <s v="U3"/>
    <m/>
    <m/>
    <m/>
    <m/>
    <m/>
    <m/>
    <m/>
    <s v="23.01.2020"/>
    <m/>
    <s v="REFG:RCDPI00019837"/>
    <n v="963.05"/>
    <m/>
    <m/>
    <m/>
    <s v="DESC AS: Servicio de hosting  Amplified Rewards Ve"/>
    <m/>
    <m/>
    <m/>
    <m/>
    <m/>
    <m/>
    <n v="340022250"/>
    <s v="PIRFC"/>
  </r>
  <r>
    <n v="3400"/>
    <s v="27.01.2020"/>
    <n v="2020"/>
    <d v="2020-01-01T00:00:00"/>
    <n v="1"/>
    <n v="100009263"/>
    <s v="FE"/>
    <n v="40"/>
    <x v="7"/>
    <n v="21021040"/>
    <x v="7"/>
    <n v="30000"/>
    <s v="MXN"/>
    <n v="30000"/>
    <x v="0"/>
    <s v="U3"/>
    <m/>
    <m/>
    <m/>
    <m/>
    <m/>
    <m/>
    <m/>
    <s v="28.01.2020"/>
    <m/>
    <s v="REFG:RCDPI00020079"/>
    <n v="30000"/>
    <m/>
    <m/>
    <m/>
    <s v="DESC AS: Monitoreo De Campañas Digitales"/>
    <m/>
    <m/>
    <m/>
    <m/>
    <m/>
    <m/>
    <n v="340022250"/>
    <s v="PIRFC"/>
  </r>
  <r>
    <n v="3400"/>
    <s v="27.01.2020"/>
    <n v="2020"/>
    <d v="2020-01-01T00:00:00"/>
    <n v="1"/>
    <n v="100009703"/>
    <s v="FE"/>
    <n v="40"/>
    <x v="9"/>
    <n v="21021040"/>
    <x v="9"/>
    <n v="1293.75"/>
    <s v="USD"/>
    <n v="24324.83"/>
    <x v="0"/>
    <s v="D0"/>
    <m/>
    <m/>
    <m/>
    <m/>
    <m/>
    <m/>
    <m/>
    <s v="29.01.2020"/>
    <m/>
    <s v="REFG:RCDPI00020199"/>
    <n v="1293.75"/>
    <m/>
    <m/>
    <m/>
    <s v="DESC AS: Hosting CRM"/>
    <m/>
    <m/>
    <m/>
    <m/>
    <m/>
    <m/>
    <n v="340022250"/>
    <s v="PIRFC"/>
  </r>
  <r>
    <n v="3400"/>
    <s v="08.01.2020"/>
    <n v="2020"/>
    <d v="2020-01-01T00:00:00"/>
    <n v="1"/>
    <n v="100001322"/>
    <s v="FE"/>
    <n v="40"/>
    <x v="9"/>
    <n v="21021040"/>
    <x v="9"/>
    <n v="478870.39"/>
    <s v="MXN"/>
    <n v="478870.39"/>
    <x v="0"/>
    <s v="U3"/>
    <m/>
    <m/>
    <m/>
    <m/>
    <m/>
    <m/>
    <m/>
    <s v="08.01.2020"/>
    <m/>
    <s v="REFG:RCDPI00019351"/>
    <n v="478870.39"/>
    <m/>
    <m/>
    <m/>
    <s v="DESC AS: HOSTING SAP ENERO 20 #37"/>
    <m/>
    <m/>
    <m/>
    <m/>
    <m/>
    <m/>
    <n v="340046150"/>
    <s v="PIRFC"/>
  </r>
  <r>
    <n v="3400"/>
    <s v="31.01.2020"/>
    <n v="2020"/>
    <d v="2020-01-01T00:00:00"/>
    <n v="1"/>
    <n v="100011184"/>
    <s v="CR"/>
    <n v="40"/>
    <x v="0"/>
    <n v="606338"/>
    <x v="0"/>
    <n v="1500"/>
    <s v="MXN"/>
    <n v="1500"/>
    <x v="0"/>
    <s v="D3"/>
    <s v="51A79E55FEC844C3AE34A89F892F0B6F"/>
    <m/>
    <m/>
    <m/>
    <m/>
    <m/>
    <m/>
    <s v="03.02.2020"/>
    <n v="79220"/>
    <s v="7F402B4794D547F3A9"/>
    <n v="1500"/>
    <m/>
    <m/>
    <m/>
    <s v="7F402B4794D547F3A92C|79220|"/>
    <m/>
    <m/>
    <m/>
    <m/>
    <m/>
    <m/>
    <n v="340023450"/>
    <s v="OTUN"/>
  </r>
  <r>
    <n v="3400"/>
    <s v="31.01.2020"/>
    <n v="2020"/>
    <d v="2020-01-01T00:00:00"/>
    <n v="1"/>
    <n v="100011185"/>
    <s v="CR"/>
    <n v="40"/>
    <x v="0"/>
    <n v="606338"/>
    <x v="0"/>
    <n v="1500"/>
    <s v="MXN"/>
    <n v="1500"/>
    <x v="0"/>
    <s v="D3"/>
    <s v="C4D5F5FDBAEB4A2588C64A1C32383CDB"/>
    <m/>
    <m/>
    <m/>
    <m/>
    <m/>
    <m/>
    <s v="03.02.2020"/>
    <n v="79220"/>
    <s v="7F402B4794D547F3A9"/>
    <n v="1500"/>
    <m/>
    <m/>
    <m/>
    <s v="7F402B4794D547F3A92C|79220|"/>
    <m/>
    <m/>
    <m/>
    <m/>
    <m/>
    <m/>
    <n v="340023450"/>
    <s v="OTUN"/>
  </r>
  <r>
    <n v="3400"/>
    <s v="31.01.2020"/>
    <n v="2020"/>
    <d v="2020-01-01T00:00:00"/>
    <n v="1"/>
    <n v="100010673"/>
    <s v="FE"/>
    <n v="40"/>
    <x v="2"/>
    <n v="21021040"/>
    <x v="2"/>
    <n v="1621.62"/>
    <s v="USD"/>
    <n v="30335.16"/>
    <x v="0"/>
    <s v="D0"/>
    <m/>
    <m/>
    <m/>
    <m/>
    <m/>
    <m/>
    <m/>
    <s v="31.01.2020"/>
    <m/>
    <s v="REFG:RCDPI00020345"/>
    <n v="1621.62"/>
    <m/>
    <m/>
    <m/>
    <s v="DESC AS: Advertising"/>
    <m/>
    <m/>
    <m/>
    <m/>
    <m/>
    <m/>
    <n v="340021950"/>
    <s v="PIRFC"/>
  </r>
  <r>
    <n v="3400"/>
    <s v="31.01.2020"/>
    <n v="2020"/>
    <d v="2020-01-01T00:00:00"/>
    <n v="1"/>
    <n v="100010674"/>
    <s v="FE"/>
    <n v="40"/>
    <x v="2"/>
    <n v="21021040"/>
    <x v="2"/>
    <n v="3917.19"/>
    <s v="USD"/>
    <n v="73277.7"/>
    <x v="0"/>
    <s v="D0"/>
    <m/>
    <m/>
    <m/>
    <m/>
    <m/>
    <m/>
    <m/>
    <s v="31.01.2020"/>
    <m/>
    <s v="REFG:RCDPI00020346"/>
    <n v="3917.19"/>
    <m/>
    <m/>
    <m/>
    <s v="DESC AS: Advertising"/>
    <m/>
    <m/>
    <m/>
    <m/>
    <m/>
    <m/>
    <n v="340021950"/>
    <s v="PIRFC"/>
  </r>
  <r>
    <n v="3400"/>
    <s v="31.01.2020"/>
    <n v="2020"/>
    <d v="2020-01-01T00:00:00"/>
    <n v="1"/>
    <n v="100010675"/>
    <s v="FE"/>
    <n v="40"/>
    <x v="2"/>
    <n v="21021040"/>
    <x v="2"/>
    <n v="435.25"/>
    <s v="USD"/>
    <n v="8142.09"/>
    <x v="0"/>
    <s v="D0"/>
    <m/>
    <m/>
    <m/>
    <m/>
    <m/>
    <m/>
    <m/>
    <s v="31.01.2020"/>
    <m/>
    <s v="REFG:RCDPI00020347"/>
    <n v="435.25"/>
    <m/>
    <m/>
    <m/>
    <s v="DESC AS: Advertising"/>
    <m/>
    <m/>
    <m/>
    <m/>
    <m/>
    <m/>
    <n v="340021950"/>
    <s v="PIRFC"/>
  </r>
  <r>
    <n v="3400"/>
    <s v="31.01.2020"/>
    <n v="2020"/>
    <d v="2020-01-01T00:00:00"/>
    <n v="1"/>
    <n v="100010676"/>
    <s v="FE"/>
    <n v="40"/>
    <x v="2"/>
    <n v="21021040"/>
    <x v="2"/>
    <n v="8114.2"/>
    <s v="USD"/>
    <n v="151789.91"/>
    <x v="0"/>
    <s v="D0"/>
    <m/>
    <m/>
    <m/>
    <m/>
    <m/>
    <m/>
    <m/>
    <s v="31.01.2020"/>
    <m/>
    <s v="REFG:RCDPI00020348"/>
    <n v="8114.2"/>
    <m/>
    <m/>
    <m/>
    <s v="DESC AS: Advertising"/>
    <m/>
    <m/>
    <m/>
    <m/>
    <m/>
    <m/>
    <n v="340021950"/>
    <s v="PIRFC"/>
  </r>
  <r>
    <n v="3400"/>
    <s v="31.01.2020"/>
    <n v="2020"/>
    <d v="2020-01-01T00:00:00"/>
    <n v="1"/>
    <n v="100010677"/>
    <s v="FE"/>
    <n v="40"/>
    <x v="2"/>
    <n v="21021040"/>
    <x v="2"/>
    <n v="37264.519999999997"/>
    <s v="USD"/>
    <n v="697096.2"/>
    <x v="0"/>
    <s v="D0"/>
    <m/>
    <m/>
    <m/>
    <m/>
    <m/>
    <m/>
    <m/>
    <s v="31.01.2020"/>
    <m/>
    <s v="REFG:RCDPI00020349"/>
    <n v="37264.519999999997"/>
    <m/>
    <m/>
    <m/>
    <s v="DESC AS: Advertising"/>
    <m/>
    <m/>
    <m/>
    <m/>
    <m/>
    <m/>
    <n v="340021950"/>
    <s v="PIRFC"/>
  </r>
  <r>
    <n v="3400"/>
    <s v="31.01.2020"/>
    <n v="2020"/>
    <d v="2020-01-01T00:00:00"/>
    <n v="1"/>
    <n v="100010678"/>
    <s v="FE"/>
    <n v="40"/>
    <x v="2"/>
    <n v="21021040"/>
    <x v="2"/>
    <n v="6294.84"/>
    <s v="USD"/>
    <n v="117755.68"/>
    <x v="0"/>
    <s v="D0"/>
    <m/>
    <m/>
    <m/>
    <m/>
    <m/>
    <m/>
    <m/>
    <s v="31.01.2020"/>
    <m/>
    <s v="REFG:RCDPI00020351"/>
    <n v="6294.84"/>
    <m/>
    <m/>
    <m/>
    <s v="DESC AS: Advertising"/>
    <m/>
    <m/>
    <m/>
    <m/>
    <m/>
    <m/>
    <n v="340021950"/>
    <s v="PIRFC"/>
  </r>
  <r>
    <n v="3400"/>
    <s v="27.01.2020"/>
    <n v="2020"/>
    <d v="2020-01-01T00:00:00"/>
    <n v="1"/>
    <n v="100010693"/>
    <s v="FE"/>
    <n v="40"/>
    <x v="9"/>
    <n v="21021040"/>
    <x v="9"/>
    <n v="1293.75"/>
    <s v="USD"/>
    <n v="24324.83"/>
    <x v="0"/>
    <s v="D0"/>
    <m/>
    <m/>
    <m/>
    <m/>
    <m/>
    <m/>
    <m/>
    <s v="31.01.2020"/>
    <m/>
    <s v="REFG:RCDPI00020200"/>
    <n v="1293.75"/>
    <m/>
    <m/>
    <m/>
    <s v="DESC AS: Hosting CRM"/>
    <m/>
    <m/>
    <m/>
    <m/>
    <m/>
    <m/>
    <n v="340021950"/>
    <s v="YCUTZ"/>
  </r>
  <r>
    <n v="3409"/>
    <s v="31.01.2020"/>
    <n v="2020"/>
    <d v="2020-01-01T00:00:00"/>
    <n v="1"/>
    <n v="900012395"/>
    <s v="FE"/>
    <n v="40"/>
    <x v="9"/>
    <n v="21021040"/>
    <x v="9"/>
    <n v="1293.75"/>
    <s v="USD"/>
    <n v="24201.79"/>
    <x v="0"/>
    <s v="U3"/>
    <m/>
    <m/>
    <m/>
    <m/>
    <m/>
    <m/>
    <m/>
    <s v="04.02.2020"/>
    <m/>
    <s v="REFG:RCDPI00020481"/>
    <n v="1293.75"/>
    <m/>
    <m/>
    <m/>
    <s v="DESC AS: Hosting CRM"/>
    <m/>
    <m/>
    <m/>
    <m/>
    <m/>
    <m/>
    <n v="340921790"/>
    <s v="PIRFC"/>
  </r>
  <r>
    <n v="3409"/>
    <s v="20.01.2020"/>
    <n v="2020"/>
    <d v="2020-01-01T00:00:00"/>
    <n v="2"/>
    <n v="900008124"/>
    <s v="AB"/>
    <n v="50"/>
    <x v="3"/>
    <n v="21230140"/>
    <x v="3"/>
    <n v="18936.080000000002"/>
    <s v="USD"/>
    <n v="356854.21"/>
    <x v="0"/>
    <m/>
    <m/>
    <m/>
    <m/>
    <m/>
    <m/>
    <m/>
    <n v="100100275"/>
    <s v="23.01.2020"/>
    <s v="PROV FEE DIC2019"/>
    <s v="2019 A"/>
    <n v="18936.080000000002"/>
    <m/>
    <m/>
    <m/>
    <s v="PROV FEE MARKETING 1% DICIEMBRE 2019"/>
    <m/>
    <m/>
    <m/>
    <m/>
    <m/>
    <m/>
    <n v="340921790"/>
    <s v="JQUITERIO"/>
  </r>
  <r>
    <n v="3409"/>
    <s v="20.01.2020"/>
    <n v="2020"/>
    <d v="2020-01-01T00:00:00"/>
    <n v="1"/>
    <n v="900008124"/>
    <s v="AB"/>
    <n v="50"/>
    <x v="3"/>
    <n v="21230140"/>
    <x v="3"/>
    <n v="56808.25"/>
    <s v="USD"/>
    <n v="1070562.83"/>
    <x v="0"/>
    <m/>
    <m/>
    <m/>
    <m/>
    <m/>
    <m/>
    <m/>
    <n v="100100275"/>
    <s v="23.01.2020"/>
    <s v="PROV FEE DIC2019"/>
    <s v="2019 A"/>
    <n v="56808.25"/>
    <m/>
    <m/>
    <m/>
    <s v="PROV FEE MARKETING 3% DICIEMBRE 2019"/>
    <m/>
    <m/>
    <m/>
    <m/>
    <m/>
    <m/>
    <n v="340921790"/>
    <s v="JQUITERIO"/>
  </r>
  <r>
    <n v="3409"/>
    <s v="20.01.2020"/>
    <n v="2020"/>
    <d v="2020-01-01T00:00:00"/>
    <n v="1"/>
    <n v="900006650"/>
    <s v="WE"/>
    <n v="81"/>
    <x v="3"/>
    <n v="21021040"/>
    <x v="3"/>
    <n v="75744.33"/>
    <s v="USD"/>
    <n v="1423463.19"/>
    <x v="0"/>
    <m/>
    <m/>
    <s v="N/A Registro proveedor extranjero"/>
    <n v="270972527"/>
    <n v="200497"/>
    <s v="NOBU HOSPITALITY LLC"/>
    <m/>
    <m/>
    <s v="20.01.2020"/>
    <s v="INVOICE 1219"/>
    <s v="2019 A"/>
    <n v="75744.33"/>
    <n v="0"/>
    <n v="75744.33"/>
    <n v="900006711"/>
    <s v="FEE DICIEMBRE NOBU"/>
    <n v="75744.33"/>
    <s v="05.11.2020"/>
    <s v="TRANSFERENCIA"/>
    <n v="900203553"/>
    <s v="BOFA"/>
    <s v="BofA RCD 89805242886"/>
    <n v="340921790"/>
    <s v="SOLI3409"/>
  </r>
  <r>
    <n v="3402"/>
    <s v="03.01.2020"/>
    <n v="2020"/>
    <d v="2020-01-01T00:00:00"/>
    <n v="1"/>
    <n v="200016561"/>
    <s v="DZ"/>
    <n v="40"/>
    <x v="1"/>
    <n v="5000010"/>
    <x v="1"/>
    <n v="10427.14"/>
    <s v="USD"/>
    <n v="196699.65"/>
    <x v="0"/>
    <m/>
    <m/>
    <m/>
    <m/>
    <m/>
    <m/>
    <m/>
    <m/>
    <s v="06.01.2020"/>
    <n v="200103151541"/>
    <s v="GLOBAL COLLECT"/>
    <n v="10427.14"/>
    <m/>
    <m/>
    <m/>
    <s v="INVOICE GC IND MEX CTA 837-9303 OCTUBRE 2019"/>
    <m/>
    <m/>
    <m/>
    <m/>
    <m/>
    <m/>
    <n v="340240390"/>
    <s v="CXC14"/>
  </r>
  <r>
    <n v="3403"/>
    <s v="03.01.2020"/>
    <n v="2020"/>
    <d v="2020-01-01T00:00:00"/>
    <n v="1"/>
    <n v="300002925"/>
    <s v="DZ"/>
    <n v="40"/>
    <x v="1"/>
    <n v="5000010"/>
    <x v="1"/>
    <n v="847.42"/>
    <s v="USD"/>
    <n v="15985.9"/>
    <x v="0"/>
    <m/>
    <m/>
    <m/>
    <m/>
    <m/>
    <m/>
    <m/>
    <m/>
    <s v="06.01.2020"/>
    <n v="200103151541"/>
    <s v="GLOBAL COLLECT"/>
    <n v="847.42"/>
    <m/>
    <m/>
    <m/>
    <s v="INVOICE GC IND MEX CTA 837-9303 OCTUBRE 2019"/>
    <m/>
    <m/>
    <m/>
    <m/>
    <m/>
    <m/>
    <n v="340340390"/>
    <s v="CXC14"/>
  </r>
  <r>
    <n v="3407"/>
    <s v="03.01.2020"/>
    <n v="2020"/>
    <d v="2020-01-01T00:00:00"/>
    <n v="1"/>
    <n v="700004412"/>
    <s v="DZ"/>
    <n v="40"/>
    <x v="1"/>
    <n v="5000010"/>
    <x v="1"/>
    <n v="14453.1"/>
    <s v="USD"/>
    <n v="272646.17"/>
    <x v="0"/>
    <m/>
    <m/>
    <m/>
    <m/>
    <m/>
    <m/>
    <m/>
    <m/>
    <s v="06.01.2020"/>
    <n v="200103151541"/>
    <s v="GLOBAL COLLECT"/>
    <n v="14453.1"/>
    <m/>
    <m/>
    <m/>
    <s v="INVOICE GC IND MEX CTA 837-9303 OCTUBRE 2019"/>
    <m/>
    <m/>
    <m/>
    <m/>
    <m/>
    <m/>
    <n v="340740390"/>
    <s v="CXC14"/>
  </r>
  <r>
    <n v="3401"/>
    <s v="15.01.2020"/>
    <n v="2020"/>
    <d v="2020-01-01T00:00:00"/>
    <n v="4"/>
    <n v="100014903"/>
    <s v="DZ"/>
    <n v="40"/>
    <x v="1"/>
    <n v="11210050"/>
    <x v="1"/>
    <n v="11896.17"/>
    <s v="USD"/>
    <n v="223903.76"/>
    <x v="0"/>
    <m/>
    <m/>
    <m/>
    <m/>
    <m/>
    <m/>
    <m/>
    <m/>
    <s v="15.01.2020"/>
    <n v="200115185108"/>
    <s v="GLOBAL COLLECT"/>
    <n v="11896.17"/>
    <m/>
    <m/>
    <m/>
    <s v="INVOICE GC IND MEX CTA 7714-8376 NOVIEMBRE 2019"/>
    <m/>
    <m/>
    <m/>
    <m/>
    <m/>
    <m/>
    <n v="340140390"/>
    <s v="CXC14"/>
  </r>
  <r>
    <n v="3402"/>
    <s v="15.01.2020"/>
    <n v="2020"/>
    <d v="2020-01-01T00:00:00"/>
    <n v="1"/>
    <n v="200041376"/>
    <s v="DZ"/>
    <n v="40"/>
    <x v="1"/>
    <n v="5000010"/>
    <x v="1"/>
    <n v="12829.83"/>
    <s v="USD"/>
    <n v="241476.65"/>
    <x v="0"/>
    <m/>
    <m/>
    <m/>
    <m/>
    <m/>
    <m/>
    <m/>
    <m/>
    <s v="15.01.2020"/>
    <n v="200115185108"/>
    <s v="GLOBAL COLLECT"/>
    <n v="12829.83"/>
    <m/>
    <m/>
    <m/>
    <s v="INVOICE GC IND MEX CTA 7714-8376 NOVIEMBRE 2019"/>
    <m/>
    <m/>
    <m/>
    <m/>
    <m/>
    <m/>
    <n v="340240390"/>
    <s v="CXC14"/>
  </r>
  <r>
    <n v="3403"/>
    <s v="15.01.2020"/>
    <n v="2020"/>
    <d v="2020-01-01T00:00:00"/>
    <n v="1"/>
    <n v="300008360"/>
    <s v="DZ"/>
    <n v="40"/>
    <x v="1"/>
    <n v="11210050"/>
    <x v="1"/>
    <n v="8233.43"/>
    <s v="USD"/>
    <n v="154965.5"/>
    <x v="0"/>
    <m/>
    <m/>
    <m/>
    <m/>
    <m/>
    <m/>
    <m/>
    <m/>
    <s v="15.01.2020"/>
    <n v="200115185108"/>
    <s v="GLOBAL COLLECT"/>
    <n v="8233.43"/>
    <m/>
    <m/>
    <m/>
    <s v="INVOICE GC IND MEX CTA 7714-8376 NOVIEMBRE 2019"/>
    <m/>
    <m/>
    <m/>
    <m/>
    <m/>
    <m/>
    <n v="340340390"/>
    <s v="CXC14"/>
  </r>
  <r>
    <n v="3407"/>
    <s v="15.01.2020"/>
    <n v="2020"/>
    <d v="2020-01-01T00:00:00"/>
    <n v="1"/>
    <n v="700015473"/>
    <s v="DZ"/>
    <n v="40"/>
    <x v="1"/>
    <n v="5000010"/>
    <x v="1"/>
    <n v="7219.36"/>
    <s v="USD"/>
    <n v="135879.18"/>
    <x v="0"/>
    <m/>
    <m/>
    <m/>
    <m/>
    <m/>
    <m/>
    <m/>
    <m/>
    <s v="15.01.2020"/>
    <n v="200115185108"/>
    <s v="GLOBAL COLLECT"/>
    <n v="7219.36"/>
    <m/>
    <m/>
    <m/>
    <s v="INVOICE GC IND MEX CTA 7714-8376 NOVIEMBRE 2019"/>
    <m/>
    <m/>
    <m/>
    <m/>
    <m/>
    <m/>
    <n v="340740390"/>
    <s v="CXC14"/>
  </r>
  <r>
    <n v="3401"/>
    <s v="28.01.2020"/>
    <n v="2020"/>
    <d v="2020-01-01T00:00:00"/>
    <n v="2"/>
    <n v="100028034"/>
    <s v="DZ"/>
    <n v="40"/>
    <x v="1"/>
    <n v="5000010"/>
    <x v="1"/>
    <n v="3446.21"/>
    <s v="USD"/>
    <n v="64896.61"/>
    <x v="0"/>
    <m/>
    <m/>
    <m/>
    <m/>
    <m/>
    <m/>
    <m/>
    <m/>
    <s v="28.01.2020"/>
    <n v="200128117681"/>
    <s v="GLOBAL COLLECT"/>
    <n v="3446.21"/>
    <m/>
    <m/>
    <m/>
    <s v="INVOICE GC IND MEX CTA 837-9303 NOVIEMBRE 2019"/>
    <m/>
    <m/>
    <m/>
    <m/>
    <m/>
    <m/>
    <n v="340140390"/>
    <s v="CXC14"/>
  </r>
  <r>
    <n v="3402"/>
    <s v="28.01.2020"/>
    <n v="2020"/>
    <d v="2020-01-01T00:00:00"/>
    <n v="1"/>
    <n v="200091400"/>
    <s v="DZ"/>
    <n v="40"/>
    <x v="1"/>
    <n v="5000010"/>
    <x v="1"/>
    <n v="2306.4899999999998"/>
    <s v="USD"/>
    <n v="43434.21"/>
    <x v="0"/>
    <m/>
    <m/>
    <m/>
    <m/>
    <m/>
    <m/>
    <m/>
    <m/>
    <s v="28.01.2020"/>
    <n v="200128117681"/>
    <s v="GLOBAL COLLECT"/>
    <n v="2306.4899999999998"/>
    <m/>
    <m/>
    <m/>
    <s v="INVOICE GC IND MEX CTA 837-9303 NOVIEMBRE 2019"/>
    <m/>
    <m/>
    <m/>
    <m/>
    <m/>
    <m/>
    <n v="340240390"/>
    <s v="CXC14"/>
  </r>
  <r>
    <n v="3403"/>
    <s v="28.01.2020"/>
    <n v="2020"/>
    <d v="2020-01-01T00:00:00"/>
    <n v="1"/>
    <n v="300015514"/>
    <s v="DZ"/>
    <n v="40"/>
    <x v="1"/>
    <n v="11210050"/>
    <x v="1"/>
    <n v="4809.28"/>
    <s v="USD"/>
    <n v="90564.99"/>
    <x v="0"/>
    <m/>
    <m/>
    <m/>
    <m/>
    <m/>
    <m/>
    <m/>
    <m/>
    <s v="28.01.2020"/>
    <n v="200128117681"/>
    <s v="GLOBAL COLLECT"/>
    <n v="4809.28"/>
    <m/>
    <m/>
    <m/>
    <s v="INVOICE GC IND MEX CTA 837-9303 NOVIEMBRE 2019"/>
    <m/>
    <m/>
    <m/>
    <m/>
    <m/>
    <m/>
    <n v="340340390"/>
    <s v="CXC14"/>
  </r>
  <r>
    <n v="3407"/>
    <s v="28.01.2020"/>
    <n v="2020"/>
    <d v="2020-01-01T00:00:00"/>
    <n v="1"/>
    <n v="700032922"/>
    <s v="DZ"/>
    <n v="40"/>
    <x v="1"/>
    <n v="11210050"/>
    <x v="1"/>
    <n v="3907.74"/>
    <s v="USD"/>
    <n v="73587.820000000007"/>
    <x v="0"/>
    <m/>
    <m/>
    <m/>
    <m/>
    <m/>
    <m/>
    <m/>
    <m/>
    <s v="28.01.2020"/>
    <n v="200128117681"/>
    <s v="GLOBAL COLLECT"/>
    <n v="3907.74"/>
    <m/>
    <m/>
    <m/>
    <s v="INVOICE GC IND MEX CTA 837-9303 NOVIEMBRE 2019"/>
    <m/>
    <m/>
    <m/>
    <m/>
    <m/>
    <m/>
    <n v="340740390"/>
    <s v="CXC14"/>
  </r>
  <r>
    <n v="3402"/>
    <s v="02.01.2020"/>
    <n v="2020"/>
    <d v="2020-01-01T00:00:00"/>
    <n v="2"/>
    <n v="200016804"/>
    <s v="DZ"/>
    <n v="40"/>
    <x v="1"/>
    <n v="102070"/>
    <x v="1"/>
    <n v="20"/>
    <s v="USD"/>
    <n v="377.45"/>
    <x v="0"/>
    <m/>
    <m/>
    <m/>
    <m/>
    <m/>
    <m/>
    <m/>
    <m/>
    <s v="06.01.2020"/>
    <n v="4266059"/>
    <n v="2247968"/>
    <n v="20"/>
    <m/>
    <m/>
    <m/>
    <s v="SANT3341 BB2247968 W RIGONI CASTRO"/>
    <m/>
    <m/>
    <m/>
    <m/>
    <m/>
    <m/>
    <n v="340240390"/>
    <s v="CXC10"/>
  </r>
  <r>
    <n v="3402"/>
    <s v="17.01.2020"/>
    <n v="2020"/>
    <d v="2020-01-01T00:00:00"/>
    <n v="2"/>
    <n v="200057557"/>
    <s v="DZ"/>
    <n v="40"/>
    <x v="1"/>
    <n v="6000005"/>
    <x v="1"/>
    <n v="10"/>
    <s v="USD"/>
    <n v="188.08"/>
    <x v="0"/>
    <m/>
    <m/>
    <m/>
    <m/>
    <m/>
    <m/>
    <m/>
    <m/>
    <s v="20.01.2020"/>
    <n v="200117527947"/>
    <n v="6000005"/>
    <n v="10"/>
    <m/>
    <m/>
    <m/>
    <s v="HOTEL ROYAL PLAYACAR - COM.BANC - 17.01.2020"/>
    <m/>
    <m/>
    <m/>
    <m/>
    <m/>
    <m/>
    <n v="340240390"/>
    <s v="CXC7"/>
  </r>
  <r>
    <n v="3401"/>
    <s v="14.01.2020"/>
    <n v="2020"/>
    <d v="2020-01-01T00:00:00"/>
    <n v="3"/>
    <n v="100035289"/>
    <s v="DZ"/>
    <n v="40"/>
    <x v="1"/>
    <n v="2000045"/>
    <x v="1"/>
    <n v="40"/>
    <s v="USD"/>
    <n v="750.93"/>
    <x v="0"/>
    <m/>
    <m/>
    <m/>
    <m/>
    <m/>
    <m/>
    <m/>
    <m/>
    <s v="04.02.2020"/>
    <n v="200113272415"/>
    <n v="200045"/>
    <n v="40"/>
    <m/>
    <m/>
    <m/>
    <s v="COMISION BANCARIA BOFA2501- 14.01.20"/>
    <m/>
    <m/>
    <m/>
    <m/>
    <m/>
    <m/>
    <n v="340140390"/>
    <s v="CXC5"/>
  </r>
  <r>
    <n v="3401"/>
    <s v="17.01.2020"/>
    <n v="2020"/>
    <d v="2020-01-01T00:00:00"/>
    <n v="1"/>
    <n v="100016554"/>
    <s v="WE"/>
    <n v="81"/>
    <x v="4"/>
    <n v="21021040"/>
    <x v="4"/>
    <n v="61152"/>
    <s v="MXN"/>
    <n v="61152"/>
    <x v="0"/>
    <m/>
    <m/>
    <s v="27DFA65C-1D63-41B7-9350-ADC68088A10C"/>
    <s v="CSS160330CP7"/>
    <n v="107211"/>
    <s v="CFE SUMINISTRADOR DE SERVICIOS"/>
    <m/>
    <m/>
    <s v="17.01.2020"/>
    <n v="4501216248"/>
    <s v="WH000533227437"/>
    <n v="61152"/>
    <m/>
    <m/>
    <n v="100036889"/>
    <s v="CONSUMO ENERGIA ENERO 2020"/>
    <m/>
    <m/>
    <s v="TRANSFERENCIA"/>
    <s v="06.02.2020"/>
    <s v="HSBC "/>
    <s v="HSBC 004053489092 TP"/>
    <n v="340118590"/>
    <s v="MANTTO_MEX"/>
  </r>
  <r>
    <n v="3402"/>
    <s v="17.01.2020"/>
    <n v="2020"/>
    <d v="2020-01-01T00:00:00"/>
    <n v="1"/>
    <n v="200044644"/>
    <s v="WE"/>
    <n v="81"/>
    <x v="5"/>
    <n v="21021040"/>
    <x v="5"/>
    <n v="38730.230000000003"/>
    <s v="MXN"/>
    <n v="38730.230000000003"/>
    <x v="0"/>
    <m/>
    <m/>
    <s v="BD88B363-95A7-4071-82E9-ACF028EE7E63"/>
    <s v="CCI190617M37"/>
    <n v="801033"/>
    <s v="CARIBBEAN CIT SA DE CV"/>
    <m/>
    <m/>
    <s v="17.01.2020"/>
    <s v="FACTURA A 1"/>
    <n v="4501221659"/>
    <n v="38730.230000000003"/>
    <n v="6196.8368000000009"/>
    <n v="44927.066800000001"/>
    <n v="200057190"/>
    <s v="Comisiones Caribbean Cit"/>
    <n v="44927.066800000001"/>
    <s v="14.02.2020"/>
    <s v="TRANSFERENCIA"/>
    <n v="200153773"/>
    <s v="BBVA"/>
    <s v="BBVAB 00188039070 TP"/>
    <n v="340210190"/>
    <s v="JURIBE"/>
  </r>
  <r>
    <n v="3409"/>
    <s v="17.01.2020"/>
    <n v="2020"/>
    <d v="2020-01-01T00:00:00"/>
    <n v="1"/>
    <n v="900005944"/>
    <s v="WE"/>
    <n v="81"/>
    <x v="5"/>
    <n v="21021040"/>
    <x v="5"/>
    <n v="252"/>
    <s v="USD"/>
    <n v="4739.54"/>
    <x v="0"/>
    <m/>
    <m/>
    <s v="N/A Registro proveedor extranjero"/>
    <n v="261534006"/>
    <n v="801038"/>
    <s v="INTERNATIONAL TOURS SPECIALISTS INC"/>
    <m/>
    <m/>
    <s v="17.01.2020"/>
    <s v="RVA 198774892"/>
    <n v="20200117"/>
    <n v="252"/>
    <n v="0"/>
    <n v="252"/>
    <n v="900006186"/>
    <s v="COMISION RVA 19877482 CHANEL THIERRY"/>
    <n v="252"/>
    <s v="25.02.2020"/>
    <s v="TRANSFERENCIA"/>
    <n v="900022506"/>
    <s v="BOFA"/>
    <s v="BofA RCD 89805242886"/>
    <n v="340921790"/>
    <s v="SOLI3409"/>
  </r>
  <r>
    <n v="3403"/>
    <s v="17.01.2020"/>
    <n v="2020"/>
    <d v="2020-01-01T00:00:00"/>
    <n v="6"/>
    <n v="300012986"/>
    <s v="SA"/>
    <n v="50"/>
    <x v="8"/>
    <n v="54020040"/>
    <x v="8"/>
    <n v="4333.5600000000004"/>
    <s v="MXN"/>
    <n v="4333.5600000000004"/>
    <x v="0"/>
    <m/>
    <m/>
    <m/>
    <m/>
    <m/>
    <m/>
    <m/>
    <m/>
    <s v="23.01.2020"/>
    <s v="FACT LEGENDARY"/>
    <n v="20200117"/>
    <n v="4333.5600000000004"/>
    <m/>
    <m/>
    <m/>
    <s v="FACT  (INM PROVAMEX)   GASTOS  DIC 19"/>
    <m/>
    <m/>
    <m/>
    <m/>
    <m/>
    <m/>
    <n v="340316690"/>
    <s v="JBAUTISTA"/>
  </r>
  <r>
    <n v="3403"/>
    <s v="17.01.2020"/>
    <n v="2020"/>
    <d v="2020-01-01T00:00:00"/>
    <n v="10"/>
    <n v="300012991"/>
    <s v="SA"/>
    <n v="50"/>
    <x v="8"/>
    <n v="54020040"/>
    <x v="8"/>
    <n v="4007.09"/>
    <s v="MXN"/>
    <n v="4007.09"/>
    <x v="0"/>
    <m/>
    <m/>
    <m/>
    <m/>
    <m/>
    <m/>
    <m/>
    <m/>
    <s v="23.01.2020"/>
    <s v="FACT VAC PLANERS"/>
    <n v="20200117"/>
    <n v="4007.09"/>
    <m/>
    <m/>
    <m/>
    <s v="FACT HOTELES CLUB TULUM  / GASTOS DIC 2019"/>
    <m/>
    <m/>
    <m/>
    <m/>
    <m/>
    <m/>
    <n v="340348290"/>
    <s v="JBAUTISTA"/>
  </r>
  <r>
    <n v="3400"/>
    <s v="13.01.2020"/>
    <n v="2020"/>
    <d v="2020-01-01T00:00:00"/>
    <n v="3"/>
    <n v="100003472"/>
    <s v="SA"/>
    <n v="40"/>
    <x v="7"/>
    <n v="21220060"/>
    <x v="7"/>
    <n v="238572.29"/>
    <s v="MXN"/>
    <n v="238572.29"/>
    <x v="0"/>
    <m/>
    <m/>
    <m/>
    <m/>
    <m/>
    <m/>
    <m/>
    <m/>
    <s v="13.01.2020"/>
    <s v="PROV HONORARIOS"/>
    <s v="AMORT 01 2020"/>
    <n v="238572.29"/>
    <m/>
    <m/>
    <m/>
    <s v="PROV. HONORARIOS POR AUDITORIA ENE 2020"/>
    <m/>
    <m/>
    <m/>
    <m/>
    <m/>
    <m/>
    <n v="340040050"/>
    <s v="AUXCONTA1"/>
  </r>
  <r>
    <n v="3400"/>
    <s v="13.01.2020"/>
    <n v="2020"/>
    <d v="2020-01-01T00:00:00"/>
    <n v="4"/>
    <n v="100003472"/>
    <s v="SA"/>
    <n v="40"/>
    <x v="7"/>
    <n v="21220060"/>
    <x v="7"/>
    <n v="6650"/>
    <s v="MXN"/>
    <n v="6650"/>
    <x v="0"/>
    <m/>
    <m/>
    <m/>
    <m/>
    <m/>
    <m/>
    <m/>
    <m/>
    <s v="13.01.2020"/>
    <s v="PROV HONORARIOS"/>
    <s v="AMORT 01 2020"/>
    <n v="6650"/>
    <m/>
    <m/>
    <m/>
    <s v="PROV HONO PROF CORRESPONSALIA BANCARIA ENE 2020"/>
    <m/>
    <m/>
    <m/>
    <m/>
    <m/>
    <m/>
    <n v="340040050"/>
    <s v="AUXCONTA1"/>
  </r>
  <r>
    <n v="3400"/>
    <s v="31.01.2020"/>
    <n v="2020"/>
    <d v="2020-01-01T00:00:00"/>
    <n v="1"/>
    <n v="100011188"/>
    <s v="CR"/>
    <n v="40"/>
    <x v="1"/>
    <n v="606338"/>
    <x v="1"/>
    <n v="34.22"/>
    <s v="MXN"/>
    <n v="34.22"/>
    <x v="0"/>
    <s v="D0"/>
    <m/>
    <m/>
    <m/>
    <m/>
    <m/>
    <m/>
    <m/>
    <s v="03.02.2020"/>
    <n v="79220"/>
    <s v="7F402B4794D547F3A9"/>
    <n v="34.22"/>
    <m/>
    <m/>
    <m/>
    <s v="7F402B4794D547F3A92C|79220|"/>
    <m/>
    <m/>
    <m/>
    <m/>
    <m/>
    <m/>
    <n v="340023450"/>
    <s v="OTUN"/>
  </r>
  <r>
    <n v="3400"/>
    <s v="31.01.2020"/>
    <n v="2020"/>
    <d v="2020-01-01T00:00:00"/>
    <n v="1"/>
    <n v="100011189"/>
    <s v="CR"/>
    <n v="40"/>
    <x v="1"/>
    <n v="606338"/>
    <x v="1"/>
    <n v="34.22"/>
    <s v="MXN"/>
    <n v="34.22"/>
    <x v="0"/>
    <s v="D0"/>
    <m/>
    <m/>
    <m/>
    <m/>
    <m/>
    <m/>
    <m/>
    <s v="03.02.2020"/>
    <n v="79220"/>
    <s v="7F402B4794D547F3A9"/>
    <n v="34.22"/>
    <m/>
    <m/>
    <m/>
    <s v="7F402B4794D547F3A92C|79220|"/>
    <m/>
    <m/>
    <m/>
    <m/>
    <m/>
    <m/>
    <n v="340023450"/>
    <s v="OTUN"/>
  </r>
  <r>
    <n v="3407"/>
    <s v="31.01.2020"/>
    <n v="2020"/>
    <d v="2020-01-01T00:00:00"/>
    <n v="3"/>
    <n v="700041054"/>
    <s v="SA"/>
    <n v="40"/>
    <x v="6"/>
    <n v="71111040"/>
    <x v="6"/>
    <n v="3.8"/>
    <s v="USD"/>
    <n v="76.06"/>
    <x v="0"/>
    <m/>
    <m/>
    <m/>
    <m/>
    <m/>
    <m/>
    <m/>
    <m/>
    <s v="01.02.2020"/>
    <s v="RECLAIF CTAS"/>
    <s v="Reclasif Cuentas"/>
    <n v="3.8"/>
    <m/>
    <m/>
    <m/>
    <s v="Distr Lavanderia Enero 2020"/>
    <m/>
    <m/>
    <m/>
    <m/>
    <m/>
    <m/>
    <n v="340732290"/>
    <s v="CGUTIERREZ"/>
  </r>
  <r>
    <n v="3400"/>
    <s v="08.01.2020"/>
    <n v="2020"/>
    <d v="2020-01-01T00:00:00"/>
    <n v="1"/>
    <n v="100001324"/>
    <s v="FE"/>
    <n v="40"/>
    <x v="9"/>
    <n v="21021040"/>
    <x v="9"/>
    <n v="800"/>
    <s v="USD"/>
    <n v="15061.6"/>
    <x v="0"/>
    <s v="D0"/>
    <m/>
    <m/>
    <m/>
    <m/>
    <m/>
    <m/>
    <m/>
    <s v="08.01.2020"/>
    <m/>
    <s v="REFG:RCDPI00019353"/>
    <n v="800"/>
    <m/>
    <m/>
    <m/>
    <s v="DESC AS: Canales De Reservas"/>
    <m/>
    <m/>
    <m/>
    <m/>
    <m/>
    <m/>
    <n v="340019450"/>
    <s v="PIRFC"/>
  </r>
  <r>
    <n v="3400"/>
    <s v="08.01.2020"/>
    <n v="2020"/>
    <d v="2020-01-01T00:00:00"/>
    <n v="1"/>
    <n v="100001325"/>
    <s v="FE"/>
    <n v="40"/>
    <x v="9"/>
    <n v="21021040"/>
    <x v="9"/>
    <n v="800"/>
    <s v="USD"/>
    <n v="15061.6"/>
    <x v="0"/>
    <s v="D0"/>
    <m/>
    <m/>
    <m/>
    <m/>
    <m/>
    <m/>
    <m/>
    <s v="08.01.2020"/>
    <m/>
    <s v="REFG:RCDPI00019354"/>
    <n v="800"/>
    <m/>
    <m/>
    <m/>
    <s v="DESC AS: Canales De Reservas"/>
    <m/>
    <m/>
    <m/>
    <m/>
    <m/>
    <m/>
    <n v="340019450"/>
    <s v="PIRFC"/>
  </r>
  <r>
    <n v="3400"/>
    <s v="08.01.2020"/>
    <n v="2020"/>
    <d v="2020-01-01T00:00:00"/>
    <n v="1"/>
    <n v="100001326"/>
    <s v="FE"/>
    <n v="40"/>
    <x v="9"/>
    <n v="21021040"/>
    <x v="9"/>
    <n v="800"/>
    <s v="USD"/>
    <n v="15061.6"/>
    <x v="0"/>
    <s v="D0"/>
    <m/>
    <m/>
    <m/>
    <m/>
    <m/>
    <m/>
    <m/>
    <s v="08.01.2020"/>
    <m/>
    <s v="REFG:RCDPI00019355"/>
    <n v="800"/>
    <m/>
    <m/>
    <m/>
    <s v="DESC AS: Canales De Reservas"/>
    <m/>
    <m/>
    <m/>
    <m/>
    <m/>
    <m/>
    <n v="340019450"/>
    <s v="PIRFC"/>
  </r>
  <r>
    <n v="3400"/>
    <s v="08.01.2020"/>
    <n v="2020"/>
    <d v="2020-01-01T00:00:00"/>
    <n v="1"/>
    <n v="100001327"/>
    <s v="FE"/>
    <n v="40"/>
    <x v="9"/>
    <n v="21021040"/>
    <x v="9"/>
    <n v="800"/>
    <s v="USD"/>
    <n v="15061.6"/>
    <x v="0"/>
    <s v="D0"/>
    <m/>
    <m/>
    <m/>
    <m/>
    <m/>
    <m/>
    <m/>
    <s v="08.01.2020"/>
    <m/>
    <s v="REFG:RCDPI00019356"/>
    <n v="800"/>
    <m/>
    <m/>
    <m/>
    <s v="DESC AS: Canales De Reservas"/>
    <m/>
    <m/>
    <m/>
    <m/>
    <m/>
    <m/>
    <n v="340019450"/>
    <s v="PIRFC"/>
  </r>
  <r>
    <n v="3400"/>
    <s v="08.01.2020"/>
    <n v="2020"/>
    <d v="2020-01-01T00:00:00"/>
    <n v="1"/>
    <n v="100001328"/>
    <s v="FE"/>
    <n v="40"/>
    <x v="9"/>
    <n v="21021040"/>
    <x v="9"/>
    <n v="800"/>
    <s v="USD"/>
    <n v="15061.6"/>
    <x v="0"/>
    <s v="D0"/>
    <m/>
    <m/>
    <m/>
    <m/>
    <m/>
    <m/>
    <m/>
    <s v="08.01.2020"/>
    <m/>
    <s v="REFG:RCDPI00019357"/>
    <n v="800"/>
    <m/>
    <m/>
    <m/>
    <s v="DESC AS: Canales De Reservas"/>
    <m/>
    <m/>
    <m/>
    <m/>
    <m/>
    <m/>
    <n v="340019450"/>
    <s v="PIRFC"/>
  </r>
  <r>
    <n v="3400"/>
    <s v="08.01.2020"/>
    <n v="2020"/>
    <d v="2020-01-01T00:00:00"/>
    <n v="1"/>
    <n v="100001329"/>
    <s v="FE"/>
    <n v="40"/>
    <x v="9"/>
    <n v="21021040"/>
    <x v="9"/>
    <n v="800"/>
    <s v="USD"/>
    <n v="15061.6"/>
    <x v="0"/>
    <s v="D0"/>
    <m/>
    <m/>
    <m/>
    <m/>
    <m/>
    <m/>
    <m/>
    <s v="08.01.2020"/>
    <m/>
    <s v="REFG:RCDPI00019358"/>
    <n v="800"/>
    <m/>
    <m/>
    <m/>
    <s v="DESC AS: Canales De Reservas"/>
    <m/>
    <m/>
    <m/>
    <m/>
    <m/>
    <m/>
    <n v="340019450"/>
    <s v="PIRFC"/>
  </r>
  <r>
    <n v="3400"/>
    <s v="21.01.2020"/>
    <n v="2020"/>
    <d v="2020-01-01T00:00:00"/>
    <n v="1"/>
    <n v="100005790"/>
    <s v="FE"/>
    <n v="40"/>
    <x v="9"/>
    <n v="21021040"/>
    <x v="9"/>
    <n v="800"/>
    <s v="USD"/>
    <n v="14991.04"/>
    <x v="0"/>
    <s v="D0"/>
    <m/>
    <m/>
    <m/>
    <m/>
    <m/>
    <m/>
    <m/>
    <s v="21.01.2020"/>
    <m/>
    <s v="REFG:RCDPI00019776"/>
    <n v="800"/>
    <m/>
    <m/>
    <m/>
    <s v="DESC AS: Canales De Reservas"/>
    <m/>
    <m/>
    <m/>
    <m/>
    <m/>
    <m/>
    <n v="340019450"/>
    <s v="PIRFC"/>
  </r>
  <r>
    <n v="3400"/>
    <s v="21.01.2020"/>
    <n v="2020"/>
    <d v="2020-01-01T00:00:00"/>
    <n v="1"/>
    <n v="100005791"/>
    <s v="FE"/>
    <n v="40"/>
    <x v="9"/>
    <n v="21021040"/>
    <x v="9"/>
    <n v="800"/>
    <s v="USD"/>
    <n v="14991.04"/>
    <x v="0"/>
    <s v="D0"/>
    <m/>
    <m/>
    <m/>
    <m/>
    <m/>
    <m/>
    <m/>
    <s v="21.01.2020"/>
    <m/>
    <s v="REFG:RCDPI00019777"/>
    <n v="800"/>
    <m/>
    <m/>
    <m/>
    <s v="DESC AS: Canales De Reservas"/>
    <m/>
    <m/>
    <m/>
    <m/>
    <m/>
    <m/>
    <n v="340019450"/>
    <s v="PIRFC"/>
  </r>
  <r>
    <n v="3400"/>
    <s v="08.01.2020"/>
    <n v="2020"/>
    <d v="2020-01-01T00:00:00"/>
    <n v="1"/>
    <n v="100010312"/>
    <s v="SA"/>
    <n v="50"/>
    <x v="9"/>
    <n v="71105100"/>
    <x v="9"/>
    <n v="800"/>
    <s v="USD"/>
    <n v="15061.6"/>
    <x v="0"/>
    <s v="D0"/>
    <m/>
    <m/>
    <m/>
    <m/>
    <m/>
    <m/>
    <m/>
    <s v="30.01.2020"/>
    <s v="RECLAS DE CUENTA"/>
    <s v="REFG:RCDPI00019353"/>
    <n v="800"/>
    <m/>
    <m/>
    <m/>
    <s v="DESC AS: Canales De Reservas"/>
    <m/>
    <m/>
    <m/>
    <m/>
    <m/>
    <m/>
    <n v="340019450"/>
    <s v="MANTONIO"/>
  </r>
  <r>
    <n v="3400"/>
    <s v="08.01.2020"/>
    <n v="2020"/>
    <d v="2020-01-01T00:00:00"/>
    <n v="1"/>
    <n v="100010313"/>
    <s v="SA"/>
    <n v="50"/>
    <x v="9"/>
    <n v="71105100"/>
    <x v="9"/>
    <n v="800"/>
    <s v="USD"/>
    <n v="15061.6"/>
    <x v="0"/>
    <s v="D0"/>
    <m/>
    <m/>
    <m/>
    <m/>
    <m/>
    <m/>
    <m/>
    <s v="30.01.2020"/>
    <s v="RECLAS DE CUENTA"/>
    <s v="REFG:RCDPI00019354"/>
    <n v="800"/>
    <m/>
    <m/>
    <m/>
    <s v="DESC AS: Canales De Reservas"/>
    <m/>
    <m/>
    <m/>
    <m/>
    <m/>
    <m/>
    <n v="340019450"/>
    <s v="MANTONIO"/>
  </r>
  <r>
    <n v="3400"/>
    <s v="08.01.2020"/>
    <n v="2020"/>
    <d v="2020-01-01T00:00:00"/>
    <n v="1"/>
    <n v="100010314"/>
    <s v="SA"/>
    <n v="50"/>
    <x v="9"/>
    <n v="71105100"/>
    <x v="9"/>
    <n v="800"/>
    <s v="USD"/>
    <n v="15061.6"/>
    <x v="0"/>
    <s v="D0"/>
    <m/>
    <m/>
    <m/>
    <m/>
    <m/>
    <m/>
    <m/>
    <s v="30.01.2020"/>
    <s v="RECLAS DE CUENTA"/>
    <s v="REFG:RCDPI00019355"/>
    <n v="800"/>
    <m/>
    <m/>
    <m/>
    <s v="DESC AS: Canales De Reservas"/>
    <m/>
    <m/>
    <m/>
    <m/>
    <m/>
    <m/>
    <n v="340019450"/>
    <s v="MANTONIO"/>
  </r>
  <r>
    <n v="3400"/>
    <s v="08.01.2020"/>
    <n v="2020"/>
    <d v="2020-01-01T00:00:00"/>
    <n v="1"/>
    <n v="100010317"/>
    <s v="SA"/>
    <n v="50"/>
    <x v="9"/>
    <n v="71105100"/>
    <x v="9"/>
    <n v="800"/>
    <s v="USD"/>
    <n v="15061.6"/>
    <x v="0"/>
    <s v="D0"/>
    <m/>
    <m/>
    <m/>
    <m/>
    <m/>
    <m/>
    <m/>
    <s v="30.01.2020"/>
    <s v="RECLAS DE CUENTA"/>
    <s v="REFG:RCDPI00019357"/>
    <n v="800"/>
    <m/>
    <m/>
    <m/>
    <s v="DESC AS: Canales De Reservas"/>
    <m/>
    <m/>
    <m/>
    <m/>
    <m/>
    <m/>
    <n v="340019450"/>
    <s v="MANTONIO"/>
  </r>
  <r>
    <n v="3400"/>
    <s v="21.01.2020"/>
    <n v="2020"/>
    <d v="2020-01-01T00:00:00"/>
    <n v="1"/>
    <n v="100010318"/>
    <s v="SA"/>
    <n v="50"/>
    <x v="9"/>
    <n v="71105100"/>
    <x v="9"/>
    <n v="800"/>
    <s v="USD"/>
    <n v="14991.04"/>
    <x v="0"/>
    <s v="D0"/>
    <m/>
    <m/>
    <m/>
    <m/>
    <m/>
    <m/>
    <m/>
    <s v="30.01.2020"/>
    <s v="RECLAS DE CUENTA"/>
    <s v="REFG:RCDPI00019776"/>
    <n v="800"/>
    <m/>
    <m/>
    <m/>
    <s v="DESC AS: Canales De Reservas"/>
    <m/>
    <m/>
    <m/>
    <m/>
    <m/>
    <m/>
    <n v="340019450"/>
    <s v="MANTONIO"/>
  </r>
  <r>
    <n v="3400"/>
    <s v="21.01.2020"/>
    <n v="2020"/>
    <d v="2020-01-01T00:00:00"/>
    <n v="1"/>
    <n v="100010319"/>
    <s v="SA"/>
    <n v="50"/>
    <x v="9"/>
    <n v="71105100"/>
    <x v="9"/>
    <n v="800"/>
    <s v="USD"/>
    <n v="14991.04"/>
    <x v="0"/>
    <s v="D0"/>
    <m/>
    <m/>
    <m/>
    <m/>
    <m/>
    <m/>
    <m/>
    <s v="30.01.2020"/>
    <s v="RECLAS DE CUENTA"/>
    <s v="REFG:RCDPI00019777"/>
    <n v="800"/>
    <m/>
    <m/>
    <m/>
    <s v="DESC AS: Canales De Reservas"/>
    <m/>
    <m/>
    <m/>
    <m/>
    <m/>
    <m/>
    <n v="340019450"/>
    <s v="MANTONIO"/>
  </r>
  <r>
    <n v="3400"/>
    <s v="08.01.2020"/>
    <n v="2020"/>
    <d v="2020-01-01T00:00:00"/>
    <n v="1"/>
    <n v="100010324"/>
    <s v="SA"/>
    <n v="50"/>
    <x v="9"/>
    <n v="71105100"/>
    <x v="9"/>
    <n v="800"/>
    <s v="USD"/>
    <n v="15061.6"/>
    <x v="0"/>
    <s v="D0"/>
    <m/>
    <m/>
    <m/>
    <m/>
    <m/>
    <m/>
    <m/>
    <s v="30.01.2020"/>
    <s v="RECLAS DE CUENTA"/>
    <s v="REFG:RCDPI00019358"/>
    <n v="800"/>
    <m/>
    <m/>
    <m/>
    <s v="DESC AS: Canales De Reservas"/>
    <m/>
    <m/>
    <m/>
    <m/>
    <m/>
    <m/>
    <n v="340019450"/>
    <s v="MANTONIO"/>
  </r>
  <r>
    <n v="3400"/>
    <s v="08.01.2020"/>
    <n v="2020"/>
    <d v="2020-01-01T00:00:00"/>
    <n v="1"/>
    <n v="100010316"/>
    <s v="SA"/>
    <n v="50"/>
    <x v="9"/>
    <n v="71105100"/>
    <x v="9"/>
    <n v="800"/>
    <s v="USD"/>
    <n v="15061.6"/>
    <x v="0"/>
    <s v="D0"/>
    <m/>
    <m/>
    <m/>
    <m/>
    <m/>
    <m/>
    <m/>
    <s v="30.01.2020"/>
    <s v="RECLAS DE CUENTA"/>
    <s v="REFG:RCDPI00019356"/>
    <n v="800"/>
    <m/>
    <m/>
    <m/>
    <s v="DESC AS: Canales De Reservas"/>
    <m/>
    <m/>
    <m/>
    <m/>
    <m/>
    <m/>
    <n v="340019450"/>
    <s v="MANTONIO"/>
  </r>
  <r>
    <n v="3400"/>
    <s v="31.01.2020"/>
    <n v="2020"/>
    <d v="2020-01-01T00:00:00"/>
    <n v="1"/>
    <n v="100010949"/>
    <s v="SA"/>
    <n v="40"/>
    <x v="8"/>
    <n v="11610030"/>
    <x v="8"/>
    <n v="25.13"/>
    <s v="USD"/>
    <n v="470.36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014250"/>
    <s v="SMARTINEZ"/>
  </r>
  <r>
    <n v="3400"/>
    <s v="31.01.2020"/>
    <n v="2020"/>
    <d v="2020-01-01T00:00:00"/>
    <n v="2"/>
    <n v="100010949"/>
    <s v="SA"/>
    <n v="40"/>
    <x v="8"/>
    <n v="11610030"/>
    <x v="8"/>
    <n v="146.6"/>
    <s v="USD"/>
    <n v="2742.4"/>
    <x v="0"/>
    <s v="D0"/>
    <m/>
    <m/>
    <m/>
    <m/>
    <m/>
    <m/>
    <m/>
    <s v="01.02.2020"/>
    <s v="DIST GOOGLE ENE"/>
    <n v="20200131"/>
    <n v="146.6"/>
    <m/>
    <m/>
    <m/>
    <s v="DISTRIBUCION GOOGLE ENERO 2020"/>
    <m/>
    <m/>
    <m/>
    <m/>
    <m/>
    <m/>
    <n v="340019450"/>
    <s v="SMARTINEZ"/>
  </r>
  <r>
    <n v="3400"/>
    <s v="31.01.2020"/>
    <n v="2020"/>
    <d v="2020-01-01T00:00:00"/>
    <n v="3"/>
    <n v="100010949"/>
    <s v="SA"/>
    <n v="40"/>
    <x v="8"/>
    <n v="11610030"/>
    <x v="8"/>
    <n v="108.9"/>
    <s v="USD"/>
    <n v="2037.16"/>
    <x v="0"/>
    <s v="D0"/>
    <m/>
    <m/>
    <m/>
    <m/>
    <m/>
    <m/>
    <m/>
    <s v="01.02.2020"/>
    <s v="DIST GOOGLE ENE"/>
    <n v="20200131"/>
    <n v="108.9"/>
    <m/>
    <m/>
    <m/>
    <s v="DISTRIBUCION GOOGLE ENERO 2020"/>
    <m/>
    <m/>
    <m/>
    <m/>
    <m/>
    <m/>
    <n v="340019550"/>
    <s v="SMARTINEZ"/>
  </r>
  <r>
    <n v="3400"/>
    <s v="31.01.2020"/>
    <n v="2020"/>
    <d v="2020-01-01T00:00:00"/>
    <n v="4"/>
    <n v="100010949"/>
    <s v="SA"/>
    <n v="40"/>
    <x v="8"/>
    <n v="11610030"/>
    <x v="8"/>
    <n v="268.06"/>
    <s v="USD"/>
    <n v="5014.5200000000004"/>
    <x v="0"/>
    <s v="D0"/>
    <m/>
    <m/>
    <m/>
    <m/>
    <m/>
    <m/>
    <m/>
    <s v="01.02.2020"/>
    <s v="DIST GOOGLE ENE"/>
    <n v="20200131"/>
    <n v="268.06"/>
    <m/>
    <m/>
    <m/>
    <s v="DISTRIBUCION GOOGLE ENERO 2020"/>
    <m/>
    <m/>
    <m/>
    <m/>
    <m/>
    <m/>
    <n v="340019850"/>
    <s v="SMARTINEZ"/>
  </r>
  <r>
    <n v="3400"/>
    <s v="31.01.2020"/>
    <n v="2020"/>
    <d v="2020-01-01T00:00:00"/>
    <n v="5"/>
    <n v="100010949"/>
    <s v="SA"/>
    <n v="40"/>
    <x v="8"/>
    <n v="11610030"/>
    <x v="8"/>
    <n v="87.96"/>
    <s v="USD"/>
    <n v="1645.44"/>
    <x v="0"/>
    <s v="D0"/>
    <m/>
    <m/>
    <m/>
    <m/>
    <m/>
    <m/>
    <m/>
    <s v="01.02.2020"/>
    <s v="DIST GOOGLE ENE"/>
    <n v="20200131"/>
    <n v="87.96"/>
    <m/>
    <m/>
    <m/>
    <s v="DISTRIBUCION GOOGLE ENERO 2020"/>
    <m/>
    <m/>
    <m/>
    <m/>
    <m/>
    <m/>
    <n v="340020050"/>
    <s v="SMARTINEZ"/>
  </r>
  <r>
    <n v="3400"/>
    <s v="31.01.2020"/>
    <n v="2020"/>
    <d v="2020-01-01T00:00:00"/>
    <n v="6"/>
    <n v="100010949"/>
    <s v="SA"/>
    <n v="40"/>
    <x v="8"/>
    <n v="1161003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021850"/>
    <s v="SMARTINEZ"/>
  </r>
  <r>
    <n v="3400"/>
    <s v="31.01.2020"/>
    <n v="2020"/>
    <d v="2020-01-01T00:00:00"/>
    <n v="7"/>
    <n v="100010949"/>
    <s v="SA"/>
    <n v="40"/>
    <x v="8"/>
    <n v="1161003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021950"/>
    <s v="SMARTINEZ"/>
  </r>
  <r>
    <n v="3400"/>
    <s v="31.01.2020"/>
    <n v="2020"/>
    <d v="2020-01-01T00:00:00"/>
    <n v="8"/>
    <n v="100010949"/>
    <s v="SA"/>
    <n v="40"/>
    <x v="8"/>
    <n v="1161003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021950"/>
    <s v="SMARTINEZ"/>
  </r>
  <r>
    <n v="3400"/>
    <s v="31.01.2020"/>
    <n v="2020"/>
    <d v="2020-01-01T00:00:00"/>
    <n v="9"/>
    <n v="100010949"/>
    <s v="SA"/>
    <n v="40"/>
    <x v="8"/>
    <n v="11610030"/>
    <x v="8"/>
    <n v="41.89"/>
    <s v="USD"/>
    <n v="783.62"/>
    <x v="0"/>
    <s v="D0"/>
    <m/>
    <m/>
    <m/>
    <m/>
    <m/>
    <m/>
    <m/>
    <s v="01.02.2020"/>
    <s v="DIST GOOGLE ENE"/>
    <n v="20200131"/>
    <n v="41.89"/>
    <m/>
    <m/>
    <m/>
    <s v="DISTRIBUCION GOOGLE ENERO 2020"/>
    <m/>
    <m/>
    <m/>
    <m/>
    <m/>
    <m/>
    <n v="340021950"/>
    <s v="SMARTINEZ"/>
  </r>
  <r>
    <n v="3400"/>
    <s v="31.01.2020"/>
    <n v="2020"/>
    <d v="2020-01-01T00:00:00"/>
    <n v="10"/>
    <n v="100010949"/>
    <s v="SA"/>
    <n v="40"/>
    <x v="8"/>
    <n v="11610030"/>
    <x v="8"/>
    <n v="54.45"/>
    <s v="USD"/>
    <n v="1018.58"/>
    <x v="0"/>
    <s v="D0"/>
    <m/>
    <m/>
    <m/>
    <m/>
    <m/>
    <m/>
    <m/>
    <s v="01.02.2020"/>
    <s v="DIST GOOGLE ENE"/>
    <n v="20200131"/>
    <n v="54.45"/>
    <m/>
    <m/>
    <m/>
    <s v="DISTRIBUCION GOOGLE ENERO 2020"/>
    <m/>
    <m/>
    <m/>
    <m/>
    <m/>
    <m/>
    <n v="340021950"/>
    <s v="SMARTINEZ"/>
  </r>
  <r>
    <n v="3400"/>
    <s v="31.01.2020"/>
    <n v="2020"/>
    <d v="2020-01-01T00:00:00"/>
    <n v="11"/>
    <n v="100010949"/>
    <s v="SA"/>
    <n v="40"/>
    <x v="8"/>
    <n v="1161003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021950"/>
    <s v="SMARTINEZ"/>
  </r>
  <r>
    <n v="3400"/>
    <s v="31.01.2020"/>
    <n v="2020"/>
    <d v="2020-01-01T00:00:00"/>
    <n v="12"/>
    <n v="100010949"/>
    <s v="SA"/>
    <n v="40"/>
    <x v="8"/>
    <n v="11610030"/>
    <x v="8"/>
    <n v="92.15"/>
    <s v="USD"/>
    <n v="1723.82"/>
    <x v="0"/>
    <s v="D0"/>
    <m/>
    <m/>
    <m/>
    <m/>
    <m/>
    <m/>
    <m/>
    <s v="01.02.2020"/>
    <s v="DIST GOOGLE ENE"/>
    <n v="20200131"/>
    <n v="92.15"/>
    <m/>
    <m/>
    <m/>
    <s v="DISTRIBUCION GOOGLE ENERO 2020"/>
    <m/>
    <m/>
    <m/>
    <m/>
    <m/>
    <m/>
    <n v="340021950"/>
    <s v="SMARTINEZ"/>
  </r>
  <r>
    <n v="3400"/>
    <s v="31.01.2020"/>
    <n v="2020"/>
    <d v="2020-01-01T00:00:00"/>
    <n v="13"/>
    <n v="100010949"/>
    <s v="SA"/>
    <n v="40"/>
    <x v="8"/>
    <n v="1161003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021950"/>
    <s v="SMARTINEZ"/>
  </r>
  <r>
    <n v="3400"/>
    <s v="31.01.2020"/>
    <n v="2020"/>
    <d v="2020-01-01T00:00:00"/>
    <n v="14"/>
    <n v="100010949"/>
    <s v="SA"/>
    <n v="40"/>
    <x v="8"/>
    <n v="11610030"/>
    <x v="8"/>
    <n v="113.09"/>
    <s v="USD"/>
    <n v="2115.54"/>
    <x v="0"/>
    <s v="D0"/>
    <m/>
    <m/>
    <m/>
    <m/>
    <m/>
    <m/>
    <m/>
    <s v="01.02.2020"/>
    <s v="DIST GOOGLE ENE"/>
    <n v="20200131"/>
    <n v="113.09"/>
    <m/>
    <m/>
    <m/>
    <s v="DISTRIBUCION GOOGLE ENERO 2020"/>
    <m/>
    <m/>
    <m/>
    <m/>
    <m/>
    <m/>
    <n v="340022150"/>
    <s v="SMARTINEZ"/>
  </r>
  <r>
    <n v="3400"/>
    <s v="31.01.2020"/>
    <n v="2020"/>
    <d v="2020-01-01T00:00:00"/>
    <n v="15"/>
    <n v="100010949"/>
    <s v="SA"/>
    <n v="40"/>
    <x v="8"/>
    <n v="11610030"/>
    <x v="8"/>
    <n v="29.32"/>
    <s v="USD"/>
    <n v="548.48"/>
    <x v="0"/>
    <s v="D0"/>
    <m/>
    <m/>
    <m/>
    <m/>
    <m/>
    <m/>
    <m/>
    <s v="01.02.2020"/>
    <s v="DIST GOOGLE ENE"/>
    <n v="20200131"/>
    <n v="29.32"/>
    <m/>
    <m/>
    <m/>
    <s v="DISTRIBUCION GOOGLE ENERO 2020"/>
    <m/>
    <m/>
    <m/>
    <m/>
    <m/>
    <m/>
    <n v="340022250"/>
    <s v="SMARTINEZ"/>
  </r>
  <r>
    <n v="3400"/>
    <s v="31.01.2020"/>
    <n v="2020"/>
    <d v="2020-01-01T00:00:00"/>
    <n v="16"/>
    <n v="100010949"/>
    <s v="SA"/>
    <n v="40"/>
    <x v="8"/>
    <n v="11610030"/>
    <x v="8"/>
    <n v="37.700000000000003"/>
    <s v="USD"/>
    <n v="705.24"/>
    <x v="0"/>
    <s v="D0"/>
    <m/>
    <m/>
    <m/>
    <m/>
    <m/>
    <m/>
    <m/>
    <s v="01.02.2020"/>
    <s v="DIST GOOGLE ENE"/>
    <n v="20200131"/>
    <n v="37.700000000000003"/>
    <m/>
    <m/>
    <m/>
    <s v="DISTRIBUCION GOOGLE ENERO 2020"/>
    <m/>
    <m/>
    <m/>
    <m/>
    <m/>
    <m/>
    <n v="340022950"/>
    <s v="SMARTINEZ"/>
  </r>
  <r>
    <n v="3400"/>
    <s v="31.01.2020"/>
    <n v="2020"/>
    <d v="2020-01-01T00:00:00"/>
    <n v="17"/>
    <n v="100010949"/>
    <s v="SA"/>
    <n v="40"/>
    <x v="8"/>
    <n v="11610030"/>
    <x v="8"/>
    <n v="67.02"/>
    <s v="USD"/>
    <n v="1253.72"/>
    <x v="0"/>
    <s v="D0"/>
    <m/>
    <m/>
    <m/>
    <m/>
    <m/>
    <m/>
    <m/>
    <s v="01.02.2020"/>
    <s v="DIST GOOGLE ENE"/>
    <n v="20200131"/>
    <n v="67.02"/>
    <m/>
    <m/>
    <m/>
    <s v="DISTRIBUCION GOOGLE ENERO 2020"/>
    <m/>
    <m/>
    <m/>
    <m/>
    <m/>
    <m/>
    <n v="340023250"/>
    <s v="SMARTINEZ"/>
  </r>
  <r>
    <n v="3400"/>
    <s v="31.01.2020"/>
    <n v="2020"/>
    <d v="2020-01-01T00:00:00"/>
    <n v="18"/>
    <n v="100010949"/>
    <s v="SA"/>
    <n v="40"/>
    <x v="8"/>
    <n v="11610030"/>
    <x v="8"/>
    <n v="54.45"/>
    <s v="USD"/>
    <n v="1018.58"/>
    <x v="0"/>
    <s v="D0"/>
    <m/>
    <m/>
    <m/>
    <m/>
    <m/>
    <m/>
    <m/>
    <s v="01.02.2020"/>
    <s v="DIST GOOGLE ENE"/>
    <n v="20200131"/>
    <n v="54.45"/>
    <m/>
    <m/>
    <m/>
    <s v="DISTRIBUCION GOOGLE ENERO 2020"/>
    <m/>
    <m/>
    <m/>
    <m/>
    <m/>
    <m/>
    <n v="340023450"/>
    <s v="SMARTINEZ"/>
  </r>
  <r>
    <n v="3400"/>
    <s v="31.01.2020"/>
    <n v="2020"/>
    <d v="2020-01-01T00:00:00"/>
    <n v="19"/>
    <n v="100010949"/>
    <s v="SA"/>
    <n v="40"/>
    <x v="8"/>
    <n v="11610030"/>
    <x v="8"/>
    <n v="33.51"/>
    <s v="USD"/>
    <n v="626.86"/>
    <x v="0"/>
    <s v="D0"/>
    <m/>
    <m/>
    <m/>
    <m/>
    <m/>
    <m/>
    <m/>
    <s v="01.02.2020"/>
    <s v="DIST GOOGLE ENE"/>
    <n v="20200131"/>
    <n v="33.51"/>
    <m/>
    <m/>
    <m/>
    <s v="DISTRIBUCION GOOGLE ENERO 2020"/>
    <m/>
    <m/>
    <m/>
    <m/>
    <m/>
    <m/>
    <n v="340023550"/>
    <s v="SMARTINEZ"/>
  </r>
  <r>
    <n v="3400"/>
    <s v="31.01.2020"/>
    <n v="2020"/>
    <d v="2020-01-01T00:00:00"/>
    <n v="20"/>
    <n v="100010949"/>
    <s v="SA"/>
    <n v="40"/>
    <x v="8"/>
    <n v="11610030"/>
    <x v="8"/>
    <n v="33.51"/>
    <s v="USD"/>
    <n v="626.86"/>
    <x v="0"/>
    <s v="D0"/>
    <m/>
    <m/>
    <m/>
    <m/>
    <m/>
    <m/>
    <m/>
    <s v="01.02.2020"/>
    <s v="DIST GOOGLE ENE"/>
    <n v="20200131"/>
    <n v="33.51"/>
    <m/>
    <m/>
    <m/>
    <s v="DISTRIBUCION GOOGLE ENERO 2020"/>
    <m/>
    <m/>
    <m/>
    <m/>
    <m/>
    <m/>
    <n v="340023650"/>
    <s v="SMARTINEZ"/>
  </r>
  <r>
    <n v="3400"/>
    <s v="31.01.2020"/>
    <n v="2020"/>
    <d v="2020-01-01T00:00:00"/>
    <n v="21"/>
    <n v="100010949"/>
    <s v="SA"/>
    <n v="40"/>
    <x v="8"/>
    <n v="11610030"/>
    <x v="8"/>
    <n v="96.34"/>
    <s v="USD"/>
    <n v="1802.2"/>
    <x v="0"/>
    <s v="D0"/>
    <m/>
    <m/>
    <m/>
    <m/>
    <m/>
    <m/>
    <m/>
    <s v="01.02.2020"/>
    <s v="DIST GOOGLE ENE"/>
    <n v="20200131"/>
    <n v="96.34"/>
    <m/>
    <m/>
    <m/>
    <s v="DISTRIBUCION GOOGLE ENERO 2020"/>
    <m/>
    <m/>
    <m/>
    <m/>
    <m/>
    <m/>
    <n v="340036150"/>
    <s v="SMARTINEZ"/>
  </r>
  <r>
    <n v="3400"/>
    <s v="31.01.2020"/>
    <n v="2020"/>
    <d v="2020-01-01T00:00:00"/>
    <n v="22"/>
    <n v="100010949"/>
    <s v="SA"/>
    <n v="40"/>
    <x v="8"/>
    <n v="11610030"/>
    <x v="8"/>
    <n v="54.45"/>
    <s v="USD"/>
    <n v="1018.58"/>
    <x v="0"/>
    <s v="D0"/>
    <m/>
    <m/>
    <m/>
    <m/>
    <m/>
    <m/>
    <m/>
    <s v="01.02.2020"/>
    <s v="DIST GOOGLE ENE"/>
    <n v="20200131"/>
    <n v="54.45"/>
    <m/>
    <m/>
    <m/>
    <s v="DISTRIBUCION GOOGLE ENERO 2020"/>
    <m/>
    <m/>
    <m/>
    <m/>
    <m/>
    <m/>
    <n v="340036350"/>
    <s v="SMARTINEZ"/>
  </r>
  <r>
    <n v="3400"/>
    <s v="31.01.2020"/>
    <n v="2020"/>
    <d v="2020-01-01T00:00:00"/>
    <n v="23"/>
    <n v="100010949"/>
    <s v="SA"/>
    <n v="40"/>
    <x v="8"/>
    <n v="11610030"/>
    <x v="8"/>
    <n v="100.52"/>
    <s v="USD"/>
    <n v="1880.4"/>
    <x v="0"/>
    <s v="D0"/>
    <m/>
    <m/>
    <m/>
    <m/>
    <m/>
    <m/>
    <m/>
    <s v="01.02.2020"/>
    <s v="DIST GOOGLE ENE"/>
    <n v="20200131"/>
    <n v="100.52"/>
    <m/>
    <m/>
    <m/>
    <s v="DISTRIBUCION GOOGLE ENERO 2020"/>
    <m/>
    <m/>
    <m/>
    <m/>
    <m/>
    <m/>
    <n v="340040050"/>
    <s v="SMARTINEZ"/>
  </r>
  <r>
    <n v="3400"/>
    <s v="31.01.2020"/>
    <n v="2020"/>
    <d v="2020-01-01T00:00:00"/>
    <n v="24"/>
    <n v="100010949"/>
    <s v="SA"/>
    <n v="40"/>
    <x v="8"/>
    <n v="1161003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040150"/>
    <s v="SMARTINEZ"/>
  </r>
  <r>
    <n v="3400"/>
    <s v="31.01.2020"/>
    <n v="2020"/>
    <d v="2020-01-01T00:00:00"/>
    <n v="25"/>
    <n v="100010949"/>
    <s v="SA"/>
    <n v="40"/>
    <x v="8"/>
    <n v="11610030"/>
    <x v="8"/>
    <n v="92.15"/>
    <s v="USD"/>
    <n v="1723.82"/>
    <x v="0"/>
    <s v="D0"/>
    <m/>
    <m/>
    <m/>
    <m/>
    <m/>
    <m/>
    <m/>
    <s v="01.02.2020"/>
    <s v="DIST GOOGLE ENE"/>
    <n v="20200131"/>
    <n v="92.15"/>
    <m/>
    <m/>
    <m/>
    <s v="DISTRIBUCION GOOGLE ENERO 2020"/>
    <m/>
    <m/>
    <m/>
    <m/>
    <m/>
    <m/>
    <n v="340040250"/>
    <s v="SMARTINEZ"/>
  </r>
  <r>
    <n v="3400"/>
    <s v="31.01.2020"/>
    <n v="2020"/>
    <d v="2020-01-01T00:00:00"/>
    <n v="26"/>
    <n v="100010949"/>
    <s v="SA"/>
    <n v="40"/>
    <x v="8"/>
    <n v="11610030"/>
    <x v="8"/>
    <n v="121.47"/>
    <s v="USD"/>
    <n v="2272.3000000000002"/>
    <x v="0"/>
    <s v="D0"/>
    <m/>
    <m/>
    <m/>
    <m/>
    <m/>
    <m/>
    <m/>
    <s v="01.02.2020"/>
    <s v="DIST GOOGLE ENE"/>
    <n v="20200131"/>
    <n v="121.47"/>
    <m/>
    <m/>
    <m/>
    <s v="DISTRIBUCION GOOGLE ENERO 2020"/>
    <m/>
    <m/>
    <m/>
    <m/>
    <m/>
    <m/>
    <n v="340040450"/>
    <s v="SMARTINEZ"/>
  </r>
  <r>
    <n v="3400"/>
    <s v="31.01.2020"/>
    <n v="2020"/>
    <d v="2020-01-01T00:00:00"/>
    <n v="27"/>
    <n v="100010949"/>
    <s v="SA"/>
    <n v="40"/>
    <x v="8"/>
    <n v="1161003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040550"/>
    <s v="SMARTINEZ"/>
  </r>
  <r>
    <n v="3400"/>
    <s v="31.01.2020"/>
    <n v="2020"/>
    <d v="2020-01-01T00:00:00"/>
    <n v="28"/>
    <n v="100010949"/>
    <s v="SA"/>
    <n v="40"/>
    <x v="8"/>
    <n v="1161003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040650"/>
    <s v="SMARTINEZ"/>
  </r>
  <r>
    <n v="3400"/>
    <s v="31.01.2020"/>
    <n v="2020"/>
    <d v="2020-01-01T00:00:00"/>
    <n v="29"/>
    <n v="100010949"/>
    <s v="SA"/>
    <n v="40"/>
    <x v="8"/>
    <n v="11610030"/>
    <x v="8"/>
    <n v="50.26"/>
    <s v="USD"/>
    <n v="940.2"/>
    <x v="0"/>
    <s v="D0"/>
    <m/>
    <m/>
    <m/>
    <m/>
    <m/>
    <m/>
    <m/>
    <s v="01.02.2020"/>
    <s v="DIST GOOGLE ENE"/>
    <n v="20200131"/>
    <n v="50.26"/>
    <m/>
    <m/>
    <m/>
    <s v="DISTRIBUCION GOOGLE ENERO 2020"/>
    <m/>
    <m/>
    <m/>
    <m/>
    <m/>
    <m/>
    <n v="340040750"/>
    <s v="SMARTINEZ"/>
  </r>
  <r>
    <n v="3400"/>
    <s v="31.01.2020"/>
    <n v="2020"/>
    <d v="2020-01-01T00:00:00"/>
    <n v="30"/>
    <n v="100010949"/>
    <s v="SA"/>
    <n v="40"/>
    <x v="8"/>
    <n v="11610030"/>
    <x v="8"/>
    <n v="46.07"/>
    <s v="USD"/>
    <n v="861.82"/>
    <x v="0"/>
    <s v="D0"/>
    <m/>
    <m/>
    <m/>
    <m/>
    <m/>
    <m/>
    <m/>
    <s v="01.02.2020"/>
    <s v="DIST GOOGLE ENE"/>
    <n v="20200131"/>
    <n v="46.07"/>
    <m/>
    <m/>
    <m/>
    <s v="DISTRIBUCION GOOGLE ENERO 2020"/>
    <m/>
    <m/>
    <m/>
    <m/>
    <m/>
    <m/>
    <n v="340040850"/>
    <s v="SMARTINEZ"/>
  </r>
  <r>
    <n v="3400"/>
    <s v="31.01.2020"/>
    <n v="2020"/>
    <d v="2020-01-01T00:00:00"/>
    <n v="31"/>
    <n v="100010949"/>
    <s v="SA"/>
    <n v="40"/>
    <x v="8"/>
    <n v="11610030"/>
    <x v="8"/>
    <n v="134.03"/>
    <s v="USD"/>
    <n v="2507.2600000000002"/>
    <x v="0"/>
    <s v="D0"/>
    <m/>
    <m/>
    <m/>
    <m/>
    <m/>
    <m/>
    <m/>
    <s v="01.02.2020"/>
    <s v="DIST GOOGLE ENE"/>
    <n v="20200131"/>
    <n v="134.03"/>
    <m/>
    <m/>
    <m/>
    <s v="DISTRIBUCION GOOGLE ENERO 2020"/>
    <m/>
    <m/>
    <m/>
    <m/>
    <m/>
    <m/>
    <n v="340040950"/>
    <s v="SMARTINEZ"/>
  </r>
  <r>
    <n v="3400"/>
    <s v="31.01.2020"/>
    <n v="2020"/>
    <d v="2020-01-01T00:00:00"/>
    <n v="32"/>
    <n v="100010949"/>
    <s v="SA"/>
    <n v="40"/>
    <x v="8"/>
    <n v="1161003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041450"/>
    <s v="SMARTINEZ"/>
  </r>
  <r>
    <n v="3400"/>
    <s v="31.01.2020"/>
    <n v="2020"/>
    <d v="2020-01-01T00:00:00"/>
    <n v="33"/>
    <n v="100010949"/>
    <s v="SA"/>
    <n v="40"/>
    <x v="8"/>
    <n v="11610030"/>
    <x v="8"/>
    <n v="96.34"/>
    <s v="USD"/>
    <n v="1802.2"/>
    <x v="0"/>
    <s v="D0"/>
    <m/>
    <m/>
    <m/>
    <m/>
    <m/>
    <m/>
    <m/>
    <s v="01.02.2020"/>
    <s v="DIST GOOGLE ENE"/>
    <n v="20200131"/>
    <n v="96.34"/>
    <m/>
    <m/>
    <m/>
    <s v="DISTRIBUCION GOOGLE ENERO 2020"/>
    <m/>
    <m/>
    <m/>
    <m/>
    <m/>
    <m/>
    <n v="340041550"/>
    <s v="SMARTINEZ"/>
  </r>
  <r>
    <n v="3400"/>
    <s v="31.01.2020"/>
    <n v="2020"/>
    <d v="2020-01-01T00:00:00"/>
    <n v="34"/>
    <n v="100010949"/>
    <s v="SA"/>
    <n v="40"/>
    <x v="8"/>
    <n v="1161003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041850"/>
    <s v="SMARTINEZ"/>
  </r>
  <r>
    <n v="3400"/>
    <s v="31.01.2020"/>
    <n v="2020"/>
    <d v="2020-01-01T00:00:00"/>
    <n v="35"/>
    <n v="100010949"/>
    <s v="SA"/>
    <n v="40"/>
    <x v="8"/>
    <n v="1161003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041950"/>
    <s v="SMARTINEZ"/>
  </r>
  <r>
    <n v="3400"/>
    <s v="31.01.2020"/>
    <n v="2020"/>
    <d v="2020-01-01T00:00:00"/>
    <n v="36"/>
    <n v="100010949"/>
    <s v="SA"/>
    <n v="40"/>
    <x v="8"/>
    <n v="11610030"/>
    <x v="8"/>
    <n v="2078.2399999999998"/>
    <s v="USD"/>
    <n v="38877.01"/>
    <x v="0"/>
    <s v="D0"/>
    <m/>
    <m/>
    <m/>
    <m/>
    <m/>
    <m/>
    <m/>
    <s v="01.02.2020"/>
    <s v="DIST GOOGLE ENE"/>
    <n v="20200131"/>
    <n v="2078.2399999999998"/>
    <m/>
    <m/>
    <m/>
    <s v="DISTRIBUCION GOOGLE ENERO 2020"/>
    <m/>
    <m/>
    <m/>
    <m/>
    <m/>
    <m/>
    <n v="340046150"/>
    <s v="SMARTINEZ"/>
  </r>
  <r>
    <n v="3400"/>
    <s v="31.01.2020"/>
    <n v="2020"/>
    <d v="2020-01-01T00:00:00"/>
    <n v="37"/>
    <n v="100010949"/>
    <s v="SA"/>
    <n v="40"/>
    <x v="8"/>
    <n v="11610030"/>
    <x v="8"/>
    <n v="33.51"/>
    <s v="USD"/>
    <n v="626.86"/>
    <x v="0"/>
    <s v="D0"/>
    <m/>
    <m/>
    <m/>
    <m/>
    <m/>
    <m/>
    <m/>
    <s v="01.02.2020"/>
    <s v="DIST GOOGLE ENE"/>
    <n v="20200131"/>
    <n v="33.51"/>
    <m/>
    <m/>
    <m/>
    <s v="DISTRIBUCION GOOGLE ENERO 2020"/>
    <m/>
    <m/>
    <m/>
    <m/>
    <m/>
    <m/>
    <n v="340049150"/>
    <s v="SMARTINEZ"/>
  </r>
  <r>
    <n v="3400"/>
    <s v="31.01.2020"/>
    <n v="2020"/>
    <d v="2020-01-01T00:00:00"/>
    <n v="38"/>
    <n v="100010949"/>
    <s v="SA"/>
    <n v="40"/>
    <x v="8"/>
    <n v="1161003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049250"/>
    <s v="SMARTINEZ"/>
  </r>
  <r>
    <n v="3400"/>
    <s v="31.01.2020"/>
    <n v="2020"/>
    <d v="2020-01-01T00:00:00"/>
    <n v="39"/>
    <n v="100010949"/>
    <s v="SA"/>
    <n v="40"/>
    <x v="8"/>
    <n v="1161003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098550"/>
    <s v="SMARTINEZ"/>
  </r>
  <r>
    <n v="3400"/>
    <s v="31.01.2020"/>
    <n v="2020"/>
    <d v="2020-01-01T00:00:00"/>
    <n v="40"/>
    <n v="100010949"/>
    <s v="SA"/>
    <n v="40"/>
    <x v="8"/>
    <n v="11610030"/>
    <x v="8"/>
    <n v="134.03"/>
    <s v="USD"/>
    <n v="2507.2600000000002"/>
    <x v="0"/>
    <s v="D0"/>
    <m/>
    <m/>
    <m/>
    <m/>
    <m/>
    <m/>
    <m/>
    <s v="01.02.2020"/>
    <s v="DIST GOOGLE ENE"/>
    <n v="20200131"/>
    <n v="134.03"/>
    <m/>
    <m/>
    <m/>
    <s v="DISTRIBUCION GOOGLE ENERO 2020"/>
    <m/>
    <m/>
    <m/>
    <m/>
    <m/>
    <m/>
    <n v="340098550"/>
    <s v="SMARTINEZ"/>
  </r>
  <r>
    <n v="3400"/>
    <s v="31.01.2020"/>
    <n v="2020"/>
    <d v="2020-01-01T00:00:00"/>
    <n v="41"/>
    <n v="100010949"/>
    <s v="SA"/>
    <n v="40"/>
    <x v="8"/>
    <n v="1161003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098550"/>
    <s v="SMARTINEZ"/>
  </r>
  <r>
    <n v="3400"/>
    <s v="31.01.2020"/>
    <n v="2020"/>
    <d v="2020-01-01T00:00:00"/>
    <n v="42"/>
    <n v="100010949"/>
    <s v="SA"/>
    <n v="40"/>
    <x v="8"/>
    <n v="11610030"/>
    <x v="8"/>
    <n v="50.26"/>
    <s v="USD"/>
    <n v="940.2"/>
    <x v="0"/>
    <s v="D0"/>
    <m/>
    <m/>
    <m/>
    <m/>
    <m/>
    <m/>
    <m/>
    <s v="01.02.2020"/>
    <s v="DIST GOOGLE ENE"/>
    <n v="20200131"/>
    <n v="50.26"/>
    <m/>
    <m/>
    <m/>
    <s v="DISTRIBUCION GOOGLE ENERO 2020"/>
    <m/>
    <m/>
    <m/>
    <m/>
    <m/>
    <m/>
    <n v="340098550"/>
    <s v="SMARTINEZ"/>
  </r>
  <r>
    <n v="3400"/>
    <s v="31.01.2020"/>
    <n v="2020"/>
    <d v="2020-01-01T00:00:00"/>
    <n v="43"/>
    <n v="100010949"/>
    <s v="SA"/>
    <n v="40"/>
    <x v="8"/>
    <n v="1161003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44"/>
    <n v="100010949"/>
    <s v="SA"/>
    <n v="40"/>
    <x v="8"/>
    <n v="11610030"/>
    <x v="8"/>
    <n v="33.51"/>
    <s v="USD"/>
    <n v="626.86"/>
    <x v="0"/>
    <s v="D0"/>
    <m/>
    <m/>
    <m/>
    <m/>
    <m/>
    <m/>
    <m/>
    <s v="01.02.2020"/>
    <s v="DIST GOOGLE ENE"/>
    <n v="20200131"/>
    <n v="33.51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45"/>
    <n v="100010949"/>
    <s v="SA"/>
    <n v="40"/>
    <x v="8"/>
    <n v="1161003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46"/>
    <n v="100010949"/>
    <s v="SA"/>
    <n v="40"/>
    <x v="8"/>
    <n v="11610030"/>
    <x v="8"/>
    <n v="113.09"/>
    <s v="USD"/>
    <n v="2115.54"/>
    <x v="0"/>
    <s v="D0"/>
    <m/>
    <m/>
    <m/>
    <m/>
    <m/>
    <m/>
    <m/>
    <s v="01.02.2020"/>
    <s v="DIST GOOGLE ENE"/>
    <n v="20200131"/>
    <n v="113.09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47"/>
    <n v="100010949"/>
    <s v="SA"/>
    <n v="40"/>
    <x v="8"/>
    <n v="1161003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48"/>
    <n v="100010949"/>
    <s v="SA"/>
    <n v="40"/>
    <x v="8"/>
    <n v="11610030"/>
    <x v="8"/>
    <n v="33.51"/>
    <s v="USD"/>
    <n v="626.86"/>
    <x v="0"/>
    <s v="D0"/>
    <m/>
    <m/>
    <m/>
    <m/>
    <m/>
    <m/>
    <m/>
    <s v="01.02.2020"/>
    <s v="DIST GOOGLE ENE"/>
    <n v="20200131"/>
    <n v="33.51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49"/>
    <n v="100010949"/>
    <s v="SA"/>
    <n v="40"/>
    <x v="8"/>
    <n v="1161003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50"/>
    <n v="100010949"/>
    <s v="SA"/>
    <n v="40"/>
    <x v="8"/>
    <n v="11610030"/>
    <x v="8"/>
    <n v="121.47"/>
    <s v="USD"/>
    <n v="2272.3000000000002"/>
    <x v="0"/>
    <s v="D0"/>
    <m/>
    <m/>
    <m/>
    <m/>
    <m/>
    <m/>
    <m/>
    <s v="01.02.2020"/>
    <s v="DIST GOOGLE ENE"/>
    <n v="20200131"/>
    <n v="121.47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51"/>
    <n v="100010949"/>
    <s v="SA"/>
    <n v="40"/>
    <x v="8"/>
    <n v="11610030"/>
    <x v="8"/>
    <n v="37.700000000000003"/>
    <s v="USD"/>
    <n v="705.24"/>
    <x v="0"/>
    <s v="D0"/>
    <m/>
    <m/>
    <m/>
    <m/>
    <m/>
    <m/>
    <m/>
    <s v="01.02.2020"/>
    <s v="DIST GOOGLE ENE"/>
    <n v="20200131"/>
    <n v="37.700000000000003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52"/>
    <n v="100010949"/>
    <s v="SA"/>
    <n v="40"/>
    <x v="8"/>
    <n v="1161003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53"/>
    <n v="100010949"/>
    <s v="SA"/>
    <n v="40"/>
    <x v="8"/>
    <n v="11610030"/>
    <x v="8"/>
    <n v="29.32"/>
    <s v="USD"/>
    <n v="548.48"/>
    <x v="0"/>
    <s v="D0"/>
    <m/>
    <m/>
    <m/>
    <m/>
    <m/>
    <m/>
    <m/>
    <s v="01.02.2020"/>
    <s v="DIST GOOGLE ENE"/>
    <n v="20200131"/>
    <n v="29.32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54"/>
    <n v="100010949"/>
    <s v="SA"/>
    <n v="40"/>
    <x v="8"/>
    <n v="1161003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55"/>
    <n v="100010949"/>
    <s v="SA"/>
    <n v="40"/>
    <x v="8"/>
    <n v="1161003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56"/>
    <n v="100010949"/>
    <s v="SA"/>
    <n v="40"/>
    <x v="8"/>
    <n v="1161003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57"/>
    <n v="100010949"/>
    <s v="SA"/>
    <n v="40"/>
    <x v="8"/>
    <n v="1161003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58"/>
    <n v="100010949"/>
    <s v="SA"/>
    <n v="40"/>
    <x v="8"/>
    <n v="11610030"/>
    <x v="8"/>
    <n v="117.28"/>
    <s v="USD"/>
    <n v="2193.92"/>
    <x v="0"/>
    <s v="D0"/>
    <m/>
    <m/>
    <m/>
    <m/>
    <m/>
    <m/>
    <m/>
    <s v="01.02.2020"/>
    <s v="DIST GOOGLE ENE"/>
    <n v="20200131"/>
    <n v="117.28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59"/>
    <n v="100010949"/>
    <s v="SA"/>
    <n v="40"/>
    <x v="8"/>
    <n v="1161003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60"/>
    <n v="100010949"/>
    <s v="SA"/>
    <n v="40"/>
    <x v="8"/>
    <n v="11610030"/>
    <x v="8"/>
    <n v="184.29"/>
    <s v="USD"/>
    <n v="3447.46"/>
    <x v="0"/>
    <s v="D0"/>
    <m/>
    <m/>
    <m/>
    <m/>
    <m/>
    <m/>
    <m/>
    <s v="01.02.2020"/>
    <s v="DIST GOOGLE ENE"/>
    <n v="20200131"/>
    <n v="184.29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61"/>
    <n v="100010949"/>
    <s v="SA"/>
    <n v="40"/>
    <x v="8"/>
    <n v="1161003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62"/>
    <n v="100010949"/>
    <s v="SA"/>
    <n v="40"/>
    <x v="8"/>
    <n v="11610030"/>
    <x v="8"/>
    <n v="46.07"/>
    <s v="USD"/>
    <n v="861.82"/>
    <x v="0"/>
    <s v="D0"/>
    <m/>
    <m/>
    <m/>
    <m/>
    <m/>
    <m/>
    <m/>
    <s v="01.02.2020"/>
    <s v="DIST GOOGLE ENE"/>
    <n v="20200131"/>
    <n v="46.07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63"/>
    <n v="100010949"/>
    <s v="SA"/>
    <n v="40"/>
    <x v="8"/>
    <n v="11610030"/>
    <x v="8"/>
    <n v="71.2"/>
    <s v="USD"/>
    <n v="1331.92"/>
    <x v="0"/>
    <s v="D0"/>
    <m/>
    <m/>
    <m/>
    <m/>
    <m/>
    <m/>
    <m/>
    <s v="01.02.2020"/>
    <s v="DIST GOOGLE ENE"/>
    <n v="20200131"/>
    <n v="71.2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64"/>
    <n v="100010949"/>
    <s v="SA"/>
    <n v="40"/>
    <x v="8"/>
    <n v="11610030"/>
    <x v="8"/>
    <n v="54.45"/>
    <s v="USD"/>
    <n v="1018.58"/>
    <x v="0"/>
    <s v="D0"/>
    <m/>
    <m/>
    <m/>
    <m/>
    <m/>
    <m/>
    <m/>
    <s v="01.02.2020"/>
    <s v="DIST GOOGLE ENE"/>
    <n v="20200131"/>
    <n v="54.45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65"/>
    <n v="100010949"/>
    <s v="SA"/>
    <n v="40"/>
    <x v="8"/>
    <n v="11610030"/>
    <x v="8"/>
    <n v="71.2"/>
    <s v="USD"/>
    <n v="1331.92"/>
    <x v="0"/>
    <s v="D0"/>
    <m/>
    <m/>
    <m/>
    <m/>
    <m/>
    <m/>
    <m/>
    <s v="01.02.2020"/>
    <s v="DIST GOOGLE ENE"/>
    <n v="20200131"/>
    <n v="71.2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66"/>
    <n v="100010949"/>
    <s v="SA"/>
    <n v="40"/>
    <x v="8"/>
    <n v="11610030"/>
    <x v="8"/>
    <n v="37.700000000000003"/>
    <s v="USD"/>
    <n v="705.24"/>
    <x v="0"/>
    <s v="D0"/>
    <m/>
    <m/>
    <m/>
    <m/>
    <m/>
    <m/>
    <m/>
    <s v="01.02.2020"/>
    <s v="DIST GOOGLE ENE"/>
    <n v="20200131"/>
    <n v="37.700000000000003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67"/>
    <n v="100010949"/>
    <s v="SA"/>
    <n v="40"/>
    <x v="8"/>
    <n v="1161003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68"/>
    <n v="100010949"/>
    <s v="SA"/>
    <n v="40"/>
    <x v="8"/>
    <n v="11610030"/>
    <x v="8"/>
    <n v="75.39"/>
    <s v="USD"/>
    <n v="1410.3"/>
    <x v="0"/>
    <s v="D0"/>
    <m/>
    <m/>
    <m/>
    <m/>
    <m/>
    <m/>
    <m/>
    <s v="01.02.2020"/>
    <s v="DIST GOOGLE ENE"/>
    <n v="20200131"/>
    <n v="75.39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69"/>
    <n v="100010949"/>
    <s v="SA"/>
    <n v="40"/>
    <x v="8"/>
    <n v="11610030"/>
    <x v="8"/>
    <n v="67.02"/>
    <s v="USD"/>
    <n v="1253.72"/>
    <x v="0"/>
    <s v="D0"/>
    <m/>
    <m/>
    <m/>
    <m/>
    <m/>
    <m/>
    <m/>
    <s v="01.02.2020"/>
    <s v="DIST GOOGLE ENE"/>
    <n v="20200131"/>
    <n v="67.02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70"/>
    <n v="100010949"/>
    <s v="SA"/>
    <n v="40"/>
    <x v="8"/>
    <n v="1161003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71"/>
    <n v="100010949"/>
    <s v="SA"/>
    <n v="40"/>
    <x v="8"/>
    <n v="1161003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72"/>
    <n v="100010949"/>
    <s v="SA"/>
    <n v="40"/>
    <x v="8"/>
    <n v="1161003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73"/>
    <n v="100010949"/>
    <s v="SA"/>
    <n v="40"/>
    <x v="8"/>
    <n v="11610030"/>
    <x v="8"/>
    <n v="62.83"/>
    <s v="USD"/>
    <n v="1175.3399999999999"/>
    <x v="0"/>
    <s v="D0"/>
    <m/>
    <m/>
    <m/>
    <m/>
    <m/>
    <m/>
    <m/>
    <s v="01.02.2020"/>
    <s v="DIST GOOGLE ENE"/>
    <n v="20200131"/>
    <n v="62.83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74"/>
    <n v="100010949"/>
    <s v="SA"/>
    <n v="40"/>
    <x v="8"/>
    <n v="11610030"/>
    <x v="8"/>
    <n v="251.31"/>
    <s v="USD"/>
    <n v="4701.18"/>
    <x v="0"/>
    <s v="D0"/>
    <m/>
    <m/>
    <m/>
    <m/>
    <m/>
    <m/>
    <m/>
    <s v="01.02.2020"/>
    <s v="DIST GOOGLE ENE"/>
    <n v="20200131"/>
    <n v="251.31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75"/>
    <n v="100010949"/>
    <s v="SA"/>
    <n v="40"/>
    <x v="8"/>
    <n v="1161003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76"/>
    <n v="100010949"/>
    <s v="SA"/>
    <n v="40"/>
    <x v="8"/>
    <n v="1161003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77"/>
    <n v="100010949"/>
    <s v="SA"/>
    <n v="40"/>
    <x v="8"/>
    <n v="1161003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78"/>
    <n v="100010949"/>
    <s v="SA"/>
    <n v="40"/>
    <x v="8"/>
    <n v="11610030"/>
    <x v="8"/>
    <n v="87.96"/>
    <s v="USD"/>
    <n v="1645.44"/>
    <x v="0"/>
    <s v="D0"/>
    <m/>
    <m/>
    <m/>
    <m/>
    <m/>
    <m/>
    <m/>
    <s v="01.02.2020"/>
    <s v="DIST GOOGLE ENE"/>
    <n v="20200131"/>
    <n v="87.96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79"/>
    <n v="100010949"/>
    <s v="SA"/>
    <n v="40"/>
    <x v="8"/>
    <n v="11610030"/>
    <x v="8"/>
    <n v="46.07"/>
    <s v="USD"/>
    <n v="861.82"/>
    <x v="0"/>
    <s v="D0"/>
    <m/>
    <m/>
    <m/>
    <m/>
    <m/>
    <m/>
    <m/>
    <s v="01.02.2020"/>
    <s v="DIST GOOGLE ENE"/>
    <n v="20200131"/>
    <n v="46.07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80"/>
    <n v="100010949"/>
    <s v="SA"/>
    <n v="40"/>
    <x v="8"/>
    <n v="11610030"/>
    <x v="8"/>
    <n v="41.89"/>
    <s v="USD"/>
    <n v="783.62"/>
    <x v="0"/>
    <s v="D0"/>
    <m/>
    <m/>
    <m/>
    <m/>
    <m/>
    <m/>
    <m/>
    <s v="01.02.2020"/>
    <s v="DIST GOOGLE ENE"/>
    <n v="20200131"/>
    <n v="41.89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81"/>
    <n v="100010949"/>
    <s v="SA"/>
    <n v="40"/>
    <x v="8"/>
    <n v="11610030"/>
    <x v="8"/>
    <n v="29.32"/>
    <s v="USD"/>
    <n v="548.48"/>
    <x v="0"/>
    <s v="D0"/>
    <m/>
    <m/>
    <m/>
    <m/>
    <m/>
    <m/>
    <m/>
    <s v="01.02.2020"/>
    <s v="DIST GOOGLE ENE"/>
    <n v="20200131"/>
    <n v="29.32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82"/>
    <n v="100010949"/>
    <s v="SA"/>
    <n v="40"/>
    <x v="8"/>
    <n v="11610030"/>
    <x v="8"/>
    <n v="171.73"/>
    <s v="USD"/>
    <n v="3212.5"/>
    <x v="0"/>
    <s v="D0"/>
    <m/>
    <m/>
    <m/>
    <m/>
    <m/>
    <m/>
    <m/>
    <s v="01.02.2020"/>
    <s v="DIST GOOGLE ENE"/>
    <n v="20200131"/>
    <n v="171.73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83"/>
    <n v="100010949"/>
    <s v="SA"/>
    <n v="40"/>
    <x v="8"/>
    <n v="1161003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84"/>
    <n v="100010949"/>
    <s v="SA"/>
    <n v="40"/>
    <x v="8"/>
    <n v="1161003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85"/>
    <n v="100010949"/>
    <s v="SA"/>
    <n v="40"/>
    <x v="8"/>
    <n v="1161003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86"/>
    <n v="100010949"/>
    <s v="SA"/>
    <n v="40"/>
    <x v="8"/>
    <n v="1161003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87"/>
    <n v="100010949"/>
    <s v="SA"/>
    <n v="40"/>
    <x v="8"/>
    <n v="1161003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099350"/>
    <s v="SMARTINEZ"/>
  </r>
  <r>
    <n v="3400"/>
    <s v="31.01.2020"/>
    <n v="2020"/>
    <d v="2020-01-01T00:00:00"/>
    <n v="88"/>
    <n v="100010949"/>
    <s v="SA"/>
    <n v="40"/>
    <x v="8"/>
    <n v="1161003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040950"/>
    <s v="SMARTINEZ"/>
  </r>
  <r>
    <n v="3400"/>
    <s v="31.01.2020"/>
    <n v="2020"/>
    <d v="2020-01-01T00:00:00"/>
    <n v="89"/>
    <n v="100010949"/>
    <s v="SA"/>
    <n v="40"/>
    <x v="8"/>
    <n v="11610030"/>
    <x v="8"/>
    <n v="62.83"/>
    <s v="USD"/>
    <n v="1175.3399999999999"/>
    <x v="0"/>
    <s v="D0"/>
    <m/>
    <m/>
    <m/>
    <m/>
    <m/>
    <m/>
    <m/>
    <s v="01.02.2020"/>
    <s v="DIST GOOGLE ENE"/>
    <n v="20200131"/>
    <n v="62.83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90"/>
    <n v="100010949"/>
    <s v="SA"/>
    <n v="40"/>
    <x v="8"/>
    <n v="11610030"/>
    <x v="8"/>
    <n v="62.83"/>
    <s v="USD"/>
    <n v="1175.3399999999999"/>
    <x v="0"/>
    <s v="D0"/>
    <m/>
    <m/>
    <m/>
    <m/>
    <m/>
    <m/>
    <m/>
    <s v="01.02.2020"/>
    <s v="DIST GOOGLE ENE"/>
    <n v="20200131"/>
    <n v="62.83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91"/>
    <n v="100010949"/>
    <s v="SA"/>
    <n v="40"/>
    <x v="8"/>
    <n v="1161003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92"/>
    <n v="100010949"/>
    <s v="SA"/>
    <n v="40"/>
    <x v="8"/>
    <n v="11610030"/>
    <x v="8"/>
    <n v="50.26"/>
    <s v="USD"/>
    <n v="940.2"/>
    <x v="0"/>
    <s v="D0"/>
    <m/>
    <m/>
    <m/>
    <m/>
    <m/>
    <m/>
    <m/>
    <s v="01.02.2020"/>
    <s v="DIST GOOGLE ENE"/>
    <n v="20200131"/>
    <n v="50.26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93"/>
    <n v="100010949"/>
    <s v="SA"/>
    <n v="40"/>
    <x v="8"/>
    <n v="1161003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94"/>
    <n v="100010949"/>
    <s v="SA"/>
    <n v="40"/>
    <x v="8"/>
    <n v="11610030"/>
    <x v="8"/>
    <n v="29.32"/>
    <s v="USD"/>
    <n v="548.48"/>
    <x v="0"/>
    <s v="D0"/>
    <m/>
    <m/>
    <m/>
    <m/>
    <m/>
    <m/>
    <m/>
    <s v="01.02.2020"/>
    <s v="DIST GOOGLE ENE"/>
    <n v="20200131"/>
    <n v="29.32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95"/>
    <n v="100010949"/>
    <s v="SA"/>
    <n v="40"/>
    <x v="8"/>
    <n v="11610030"/>
    <x v="8"/>
    <n v="62.83"/>
    <s v="USD"/>
    <n v="1175.3399999999999"/>
    <x v="0"/>
    <s v="D0"/>
    <m/>
    <m/>
    <m/>
    <m/>
    <m/>
    <m/>
    <m/>
    <s v="01.02.2020"/>
    <s v="DIST GOOGLE ENE"/>
    <n v="20200131"/>
    <n v="62.83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96"/>
    <n v="100010949"/>
    <s v="SA"/>
    <n v="40"/>
    <x v="8"/>
    <n v="1161003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97"/>
    <n v="100010949"/>
    <s v="SA"/>
    <n v="40"/>
    <x v="8"/>
    <n v="1161003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98"/>
    <n v="100010949"/>
    <s v="SA"/>
    <n v="40"/>
    <x v="8"/>
    <n v="1161003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99"/>
    <n v="100010949"/>
    <s v="SA"/>
    <n v="40"/>
    <x v="8"/>
    <n v="1161003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100"/>
    <n v="100010949"/>
    <s v="SA"/>
    <n v="40"/>
    <x v="8"/>
    <n v="1161003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101"/>
    <n v="100010949"/>
    <s v="SA"/>
    <n v="40"/>
    <x v="8"/>
    <n v="11610030"/>
    <x v="8"/>
    <n v="29.32"/>
    <s v="USD"/>
    <n v="548.48"/>
    <x v="0"/>
    <s v="D0"/>
    <m/>
    <m/>
    <m/>
    <m/>
    <m/>
    <m/>
    <m/>
    <s v="01.02.2020"/>
    <s v="DIST GOOGLE ENE"/>
    <n v="20200131"/>
    <n v="29.32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102"/>
    <n v="100010949"/>
    <s v="SA"/>
    <n v="40"/>
    <x v="8"/>
    <n v="1161003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103"/>
    <n v="100010949"/>
    <s v="SA"/>
    <n v="40"/>
    <x v="8"/>
    <n v="1161003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104"/>
    <n v="100010949"/>
    <s v="SA"/>
    <n v="40"/>
    <x v="8"/>
    <n v="1161003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105"/>
    <n v="100010949"/>
    <s v="SA"/>
    <n v="40"/>
    <x v="8"/>
    <n v="1161003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106"/>
    <n v="100010949"/>
    <s v="SA"/>
    <n v="40"/>
    <x v="8"/>
    <n v="1161003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107"/>
    <n v="100010949"/>
    <s v="SA"/>
    <n v="40"/>
    <x v="8"/>
    <n v="1161003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098950"/>
    <s v="SMARTINEZ"/>
  </r>
  <r>
    <n v="3400"/>
    <s v="31.01.2020"/>
    <n v="2020"/>
    <d v="2020-01-01T00:00:00"/>
    <n v="108"/>
    <n v="100010949"/>
    <s v="SA"/>
    <n v="40"/>
    <x v="8"/>
    <n v="11610030"/>
    <x v="8"/>
    <n v="37.700000000000003"/>
    <s v="USD"/>
    <n v="705.24"/>
    <x v="0"/>
    <s v="D0"/>
    <m/>
    <m/>
    <m/>
    <m/>
    <m/>
    <m/>
    <m/>
    <s v="01.02.2020"/>
    <s v="DIST GOOGLE ENE"/>
    <n v="20200131"/>
    <n v="37.700000000000003"/>
    <m/>
    <m/>
    <m/>
    <s v="DISTRIBUCION GOOGLE ENERO 2020"/>
    <m/>
    <m/>
    <m/>
    <m/>
    <m/>
    <m/>
    <n v="340025050"/>
    <s v="SMARTINEZ"/>
  </r>
  <r>
    <n v="3400"/>
    <s v="31.01.2020"/>
    <n v="2020"/>
    <d v="2020-01-01T00:00:00"/>
    <n v="109"/>
    <n v="100010949"/>
    <s v="SA"/>
    <n v="40"/>
    <x v="8"/>
    <n v="11610030"/>
    <x v="8"/>
    <n v="35.409999999999997"/>
    <s v="USD"/>
    <n v="662.4"/>
    <x v="0"/>
    <s v="D0"/>
    <m/>
    <m/>
    <m/>
    <m/>
    <m/>
    <m/>
    <m/>
    <s v="01.02.2020"/>
    <s v="DIST GOOGLE ENE"/>
    <n v="20200131"/>
    <n v="35.409999999999997"/>
    <m/>
    <m/>
    <m/>
    <s v="DISTRIBUCION GOOGLE ENERO 2020"/>
    <m/>
    <m/>
    <m/>
    <m/>
    <m/>
    <m/>
    <n v="340041650"/>
    <s v="SMARTINEZ"/>
  </r>
  <r>
    <n v="3402"/>
    <s v="15.01.2020"/>
    <n v="2020"/>
    <d v="2020-01-01T00:00:00"/>
    <n v="1"/>
    <n v="200041145"/>
    <s v="WE"/>
    <n v="81"/>
    <x v="7"/>
    <n v="21021040"/>
    <x v="7"/>
    <n v="49700"/>
    <s v="MXN"/>
    <n v="49700"/>
    <x v="0"/>
    <m/>
    <m/>
    <s v="118291E0-651A-4E69-A868-3DA64924DC20"/>
    <s v="OISF711126FU8"/>
    <n v="606552"/>
    <s v="ORDINOLA SOTELO FABIO"/>
    <m/>
    <m/>
    <s v="15.01.2020"/>
    <s v="FACT 184"/>
    <n v="20200115"/>
    <n v="49700"/>
    <n v="7952"/>
    <n v="57652"/>
    <n v="200041365"/>
    <s v="servicio cetreria control aves ene"/>
    <n v="57652"/>
    <m/>
    <s v="TRANSFERENCIA"/>
    <s v="07.08.2020"/>
    <s v="HSBC"/>
    <s v="HSBC 004053489092 TP"/>
    <n v="340225490"/>
    <s v="SOLI1102"/>
  </r>
  <r>
    <n v="3401"/>
    <s v="15.01.2020"/>
    <n v="2020"/>
    <d v="2020-01-01T00:00:00"/>
    <n v="1"/>
    <n v="100014881"/>
    <s v="WE"/>
    <n v="81"/>
    <x v="4"/>
    <n v="21021040"/>
    <x v="4"/>
    <n v="52892"/>
    <s v="MXN"/>
    <n v="52892"/>
    <x v="0"/>
    <m/>
    <m/>
    <s v="27DFA65C-1D63-41B7-9350-ADC68088A10C"/>
    <s v="CSS160330CP7"/>
    <n v="107211"/>
    <s v="CFE SUMINISTRADOR DE SERVICIOS"/>
    <m/>
    <m/>
    <s v="15.01.2020"/>
    <n v="4501216248"/>
    <s v="WH000533227437"/>
    <n v="52892"/>
    <m/>
    <m/>
    <n v="100036889"/>
    <s v="CONSUMO ENERGIA ENERO 2020"/>
    <m/>
    <m/>
    <s v="TRANSFERENCIA"/>
    <s v="06.02.2020"/>
    <s v="HSBC "/>
    <s v="HSBC 004053489092 TP"/>
    <n v="340118590"/>
    <s v="MANTTO_MEX"/>
  </r>
  <r>
    <n v="3400"/>
    <s v="15.01.2020"/>
    <n v="2020"/>
    <d v="2020-01-01T00:00:00"/>
    <n v="1"/>
    <n v="100004363"/>
    <s v="WE"/>
    <n v="81"/>
    <x v="4"/>
    <n v="21021040"/>
    <x v="4"/>
    <n v="18276.38"/>
    <s v="MXN"/>
    <n v="18276.38"/>
    <x v="0"/>
    <m/>
    <m/>
    <s v="8A0A6FA0-25BB-46E0-87E9-8518C7CE0A65"/>
    <s v="CSS160330CP7"/>
    <n v="107211"/>
    <s v="CFE SUMINISTRADOR DE SERVICIOS"/>
    <m/>
    <m/>
    <s v="15.01.2020"/>
    <n v="-780130403722"/>
    <n v="20200115"/>
    <n v="18276.38"/>
    <n v="2924.2208000000001"/>
    <n v="21200.6008"/>
    <n v="100004526"/>
    <s v="SERV LUZ ENERO 14 LA 16"/>
    <n v="21200.6008"/>
    <m/>
    <s v="TRANSFERENCIA"/>
    <s v="21.01.2020"/>
    <s v="HSBC "/>
    <s v="HSBC 004053489092 TP"/>
    <n v="340041450"/>
    <s v="CTRUJILLO"/>
  </r>
  <r>
    <n v="3400"/>
    <s v="15.01.2020"/>
    <n v="2020"/>
    <d v="2020-01-01T00:00:00"/>
    <n v="1"/>
    <n v="100004367"/>
    <s v="WE"/>
    <n v="81"/>
    <x v="4"/>
    <n v="21021040"/>
    <x v="4"/>
    <n v="913.81"/>
    <s v="MXN"/>
    <n v="913.81"/>
    <x v="0"/>
    <m/>
    <m/>
    <s v="8A0A6FA0-25BB-46E0-87E9-8518C7CE0A65"/>
    <s v="CSS160330CP7"/>
    <n v="107211"/>
    <s v="CFE SUMINISTRADOR DE SERVICIOS"/>
    <m/>
    <m/>
    <s v="15.01.2020"/>
    <n v="-780130403722"/>
    <n v="20200115"/>
    <n v="913.81"/>
    <n v="0"/>
    <n v="913.81"/>
    <n v="100004526"/>
    <s v="SERV LUZ ENERO ALUMBRADO"/>
    <n v="913.81"/>
    <m/>
    <s v="TRANSFERENCIA"/>
    <s v="21.01.2020"/>
    <s v="HSBC "/>
    <s v="HSBC 004053489092 TP"/>
    <n v="340041450"/>
    <s v="CTRUJILLO"/>
  </r>
  <r>
    <n v="3400"/>
    <s v="15.01.2020"/>
    <n v="2020"/>
    <d v="2020-01-01T00:00:00"/>
    <n v="1"/>
    <n v="100004368"/>
    <s v="WE"/>
    <n v="81"/>
    <x v="4"/>
    <n v="21021040"/>
    <x v="4"/>
    <n v="9811.6299999999992"/>
    <s v="MXN"/>
    <n v="9811.6299999999992"/>
    <x v="0"/>
    <m/>
    <m/>
    <s v="77531E7A-8070-4F32-B40D-8CD81FB98472"/>
    <s v="CSS160330CP7"/>
    <n v="107211"/>
    <s v="CFE SUMINISTRADOR DE SERVICIOS"/>
    <m/>
    <m/>
    <s v="15.01.2020"/>
    <n v="-780180102898"/>
    <n v="20200115"/>
    <n v="9811.6299999999992"/>
    <n v="1569.8607999999999"/>
    <n v="11381.4908"/>
    <n v="100004524"/>
    <s v="SERV LUZ ENERO 21"/>
    <n v="11381.4908"/>
    <m/>
    <s v="TRANSFERENCIA"/>
    <s v="21.01.2020"/>
    <s v="HSBC "/>
    <s v="HSBC 004053489092 TP"/>
    <n v="340041450"/>
    <s v="CTRUJILLO"/>
  </r>
  <r>
    <n v="3400"/>
    <s v="15.01.2020"/>
    <n v="2020"/>
    <d v="2020-01-01T00:00:00"/>
    <n v="1"/>
    <n v="100004369"/>
    <s v="WE"/>
    <n v="81"/>
    <x v="4"/>
    <n v="21021040"/>
    <x v="4"/>
    <n v="490.58"/>
    <s v="MXN"/>
    <n v="490.58"/>
    <x v="0"/>
    <m/>
    <m/>
    <s v="77531E7A-8070-4F32-B40D-8CD81FB98472"/>
    <s v="CSS160330CP7"/>
    <n v="107211"/>
    <s v="CFE SUMINISTRADOR DE SERVICIOS"/>
    <m/>
    <m/>
    <s v="15.01.2020"/>
    <n v="-780180102898"/>
    <n v="20200115"/>
    <n v="490.58"/>
    <n v="0"/>
    <n v="490.58"/>
    <n v="100004524"/>
    <s v="SERV LUZ ENERO ALUMBRADO"/>
    <n v="490.58"/>
    <m/>
    <s v="TRANSFERENCIA"/>
    <s v="21.01.2020"/>
    <s v="HSBC "/>
    <s v="HSBC 004053489092 TP"/>
    <n v="340041450"/>
    <s v="CTRUJILLO"/>
  </r>
  <r>
    <n v="3400"/>
    <s v="15.01.2020"/>
    <n v="2020"/>
    <d v="2020-01-01T00:00:00"/>
    <n v="1"/>
    <n v="100004370"/>
    <s v="WE"/>
    <n v="81"/>
    <x v="4"/>
    <n v="21021040"/>
    <x v="4"/>
    <n v="9507.9500000000007"/>
    <s v="MXN"/>
    <n v="9507.9500000000007"/>
    <x v="0"/>
    <m/>
    <m/>
    <s v="D04C89F4-16AE-4BB7-ACA3-F036479A2370"/>
    <s v="CSS160330CP7"/>
    <n v="107211"/>
    <s v="CFE SUMINISTRADOR DE SERVICIOS"/>
    <m/>
    <m/>
    <s v="15.01.2020"/>
    <n v="-780180102880"/>
    <n v="20200115"/>
    <n v="9507.9500000000007"/>
    <n v="1521.2720000000002"/>
    <n v="11029.222000000002"/>
    <n v="100004525"/>
    <s v="SERV LUZ ENERO 22"/>
    <n v="11029.222000000002"/>
    <m/>
    <s v="TRANSFERENCIA"/>
    <s v="21.01.2020"/>
    <s v="HSBC "/>
    <s v="HSBC 004053489092 TP"/>
    <n v="340041450"/>
    <s v="CTRUJILLO"/>
  </r>
  <r>
    <n v="3400"/>
    <s v="15.01.2020"/>
    <n v="2020"/>
    <d v="2020-01-01T00:00:00"/>
    <n v="1"/>
    <n v="100004374"/>
    <s v="WE"/>
    <n v="81"/>
    <x v="4"/>
    <n v="21021040"/>
    <x v="4"/>
    <n v="475.39"/>
    <s v="MXN"/>
    <n v="475.39"/>
    <x v="0"/>
    <m/>
    <m/>
    <s v="D04C89F4-16AE-4BB7-ACA3-F036479A2370"/>
    <s v="CSS160330CP7"/>
    <n v="107211"/>
    <s v="CFE SUMINISTRADOR DE SERVICIOS"/>
    <m/>
    <m/>
    <s v="15.01.2020"/>
    <n v="-780180102880"/>
    <n v="20200115"/>
    <n v="475.39"/>
    <n v="0"/>
    <n v="475.39"/>
    <n v="100004525"/>
    <s v="SERV LUZ ENERO ALUMBRADO"/>
    <n v="475.39"/>
    <m/>
    <s v="TRANSFERENCIA"/>
    <s v="21.01.2020"/>
    <s v="HSBC "/>
    <s v="HSBC 004053489092 TP"/>
    <n v="340041450"/>
    <s v="CTRUJILLO"/>
  </r>
  <r>
    <n v="3400"/>
    <s v="15.01.2020"/>
    <n v="2020"/>
    <d v="2020-01-01T00:00:00"/>
    <n v="1"/>
    <n v="100004390"/>
    <s v="WE"/>
    <n v="81"/>
    <x v="4"/>
    <n v="21021040"/>
    <x v="4"/>
    <n v="5698.94"/>
    <s v="MXN"/>
    <n v="5698.94"/>
    <x v="0"/>
    <m/>
    <m/>
    <s v="B062957A-21B8-4887-AF92-BA6B77097CBB"/>
    <s v="CSS160330CP7"/>
    <n v="107211"/>
    <s v="CFE SUMINISTRADOR DE SERVICIOS"/>
    <m/>
    <m/>
    <s v="15.01.2020"/>
    <n v="-780180102863"/>
    <n v="20200115"/>
    <n v="5698.94"/>
    <n v="911.83039999999994"/>
    <n v="6610.7703999999994"/>
    <n v="100004526"/>
    <s v="SERV LUZ ENERO LOC 24 Y 25"/>
    <n v="6610.7703999999994"/>
    <m/>
    <s v="TRANSFERENCIA"/>
    <s v="21.01.2020"/>
    <s v="HSBC "/>
    <s v="HSBC 004053489092 TP"/>
    <n v="340041450"/>
    <s v="CTRUJILLO"/>
  </r>
  <r>
    <n v="3400"/>
    <s v="15.01.2020"/>
    <n v="2020"/>
    <d v="2020-01-01T00:00:00"/>
    <n v="1"/>
    <n v="100004396"/>
    <s v="WE"/>
    <n v="81"/>
    <x v="4"/>
    <n v="21021040"/>
    <x v="4"/>
    <n v="284.94"/>
    <s v="MXN"/>
    <n v="284.94"/>
    <x v="0"/>
    <m/>
    <m/>
    <s v="B062957A-21B8-4887-AF92-BA6B77097CBB"/>
    <s v="CSS160330CP7"/>
    <n v="107211"/>
    <s v="CFE SUMINISTRADOR DE SERVICIOS"/>
    <m/>
    <m/>
    <s v="15.01.2020"/>
    <n v="-780180102863"/>
    <n v="20200115"/>
    <n v="284.94"/>
    <n v="0"/>
    <n v="284.94"/>
    <n v="100004526"/>
    <s v="SERV LUZ ENERO ALUMBRADO"/>
    <n v="284.94"/>
    <m/>
    <s v="TRANSFERENCIA"/>
    <s v="21.01.2020"/>
    <s v="HSBC "/>
    <s v="HSBC 004053489092 TP"/>
    <n v="340041450"/>
    <s v="CTRUJILLO"/>
  </r>
  <r>
    <n v="3400"/>
    <s v="15.01.2020"/>
    <n v="2020"/>
    <d v="2020-01-01T00:00:00"/>
    <n v="1"/>
    <n v="100004513"/>
    <s v="WE"/>
    <n v="81"/>
    <x v="4"/>
    <n v="21021040"/>
    <x v="4"/>
    <n v="9858.7999999999993"/>
    <s v="MXN"/>
    <n v="9858.7999999999993"/>
    <x v="0"/>
    <m/>
    <m/>
    <s v="44466AFF-DE27-4A43-6326-61035E2885CF"/>
    <s v="CSS160330CP7"/>
    <n v="107211"/>
    <s v="CFE SUMINISTRADOR DE SERVICIOS"/>
    <m/>
    <m/>
    <s v="15.01.2020"/>
    <n v="-780120800944"/>
    <n v="20200115"/>
    <n v="9858.7999999999993"/>
    <n v="1577.4079999999999"/>
    <n v="11436.207999999999"/>
    <n v="100004523"/>
    <s v="SERV LUZ ENERO LOC 17"/>
    <n v="11436.207999999999"/>
    <m/>
    <s v="TRANSFERENCIA"/>
    <s v="21.01.2020"/>
    <s v="HSBC "/>
    <s v="HSBC 004053489092 TP"/>
    <n v="340041450"/>
    <s v="CTRUJILLO"/>
  </r>
  <r>
    <n v="3400"/>
    <s v="15.01.2020"/>
    <n v="2020"/>
    <d v="2020-01-01T00:00:00"/>
    <n v="1"/>
    <n v="100004519"/>
    <s v="WE"/>
    <n v="81"/>
    <x v="4"/>
    <n v="21021040"/>
    <x v="4"/>
    <n v="492.94"/>
    <s v="MXN"/>
    <n v="492.94"/>
    <x v="0"/>
    <m/>
    <m/>
    <s v="44466AFF-DE27-4A43-6326-61035E2885CF"/>
    <s v="CSS160330CP7"/>
    <n v="107211"/>
    <s v="CFE SUMINISTRADOR DE SERVICIOS"/>
    <m/>
    <m/>
    <s v="15.01.2020"/>
    <n v="-780120800944"/>
    <n v="20200115"/>
    <n v="492.94"/>
    <n v="0"/>
    <n v="492.94"/>
    <n v="100004523"/>
    <s v="SERV LUZ ENERO ALUMBRADO"/>
    <n v="492.94"/>
    <m/>
    <s v="TRANSFERENCIA"/>
    <s v="21.01.2020"/>
    <s v="HSBC "/>
    <s v="HSBC 004053489092 TP"/>
    <n v="340041450"/>
    <s v="CTRUJILLO"/>
  </r>
  <r>
    <n v="3407"/>
    <s v="23.01.2020"/>
    <n v="2020"/>
    <d v="2020-01-01T00:00:00"/>
    <n v="1"/>
    <n v="700025779"/>
    <s v="WE"/>
    <n v="81"/>
    <x v="5"/>
    <n v="21021040"/>
    <x v="5"/>
    <n v="9260.5499999999993"/>
    <s v="USD"/>
    <n v="173178.77"/>
    <x v="0"/>
    <m/>
    <m/>
    <s v="N/A Registro proveedor extranjero"/>
    <n v="752738581"/>
    <n v="602358"/>
    <s v="PEGASUS BUSINESS INTELLIGENCE"/>
    <m/>
    <m/>
    <s v="23.01.2020"/>
    <n v="2282584"/>
    <n v="20200123"/>
    <n v="9260.5499999999993"/>
    <n v="0"/>
    <n v="9260.5499999999993"/>
    <n v="700025941"/>
    <s v="COMISION PEGASUS CYCLE END 01/25/20"/>
    <n v="9260.5499999999993"/>
    <s v="29.01.2020"/>
    <s v="TRANSFERENCIA"/>
    <n v="700034623"/>
    <s v="BOFA"/>
    <s v="BofA RCD 89805242886"/>
    <n v="340721790"/>
    <s v="SOLI3407"/>
  </r>
  <r>
    <n v="3407"/>
    <s v="23.01.2020"/>
    <n v="2020"/>
    <d v="2020-01-01T00:00:00"/>
    <n v="1"/>
    <n v="700025856"/>
    <s v="WE"/>
    <n v="81"/>
    <x v="5"/>
    <n v="21021040"/>
    <x v="5"/>
    <n v="11819.49"/>
    <s v="USD"/>
    <n v="221032.74"/>
    <x v="0"/>
    <m/>
    <m/>
    <s v="N/A Registro proveedor extranjero"/>
    <n v="593383972"/>
    <n v="600226"/>
    <s v="HARD ROCK CAFE INTERNATIONAL INC."/>
    <m/>
    <m/>
    <s v="23.01.2020"/>
    <n v="5001219"/>
    <n v="20200123"/>
    <m/>
    <n v="0"/>
    <m/>
    <m/>
    <s v="SERVICIO DE RESERVACIONES"/>
    <m/>
    <m/>
    <m/>
    <m/>
    <s v="BOFA"/>
    <s v="BofA RCD 89805242886"/>
    <n v="340721790"/>
    <s v="SOLI3407"/>
  </r>
  <r>
    <n v="3402"/>
    <s v="24.01.2020"/>
    <n v="2020"/>
    <d v="2020-01-01T00:00:00"/>
    <n v="1"/>
    <n v="200071729"/>
    <s v="WE"/>
    <n v="81"/>
    <x v="7"/>
    <n v="21021040"/>
    <x v="7"/>
    <n v="317800"/>
    <s v="MXN"/>
    <n v="317800"/>
    <x v="0"/>
    <m/>
    <m/>
    <m/>
    <s v="GIS170615IK5"/>
    <n v="109766"/>
    <s v="GRUPO IM DEL SURESTE S DE RL DE CV"/>
    <m/>
    <m/>
    <s v="24.01.2020"/>
    <n v="5227"/>
    <n v="20200124"/>
    <n v="317800"/>
    <n v="50848"/>
    <n v="368648"/>
    <n v="200071850"/>
    <s v="SERV. SEGURIDAD EXTERNO 08 al 19 ENE"/>
    <n v="368648"/>
    <m/>
    <s v="TRANSFERENCIA"/>
    <s v="31.01.2020"/>
    <s v="BBVA"/>
    <s v="BBVAB 00188039070 TP"/>
    <n v="340225290"/>
    <s v="SOLI1102"/>
  </r>
  <r>
    <n v="3402"/>
    <s v="24.01.2020"/>
    <n v="2020"/>
    <d v="2020-01-01T00:00:00"/>
    <n v="1"/>
    <n v="200071875"/>
    <s v="WE"/>
    <n v="81"/>
    <x v="5"/>
    <n v="21021040"/>
    <x v="5"/>
    <n v="14743.58"/>
    <s v="USD"/>
    <n v="275532.45"/>
    <x v="0"/>
    <m/>
    <m/>
    <s v="N/A Registro proveedor extranjero"/>
    <n v="593383972"/>
    <n v="600226"/>
    <s v="HARD ROCK CAFE INTERNATIONAL INC."/>
    <m/>
    <m/>
    <s v="24.01.2020"/>
    <s v="4181219CRS"/>
    <n v="20200124"/>
    <n v="14743.58"/>
    <n v="0"/>
    <n v="14743.58"/>
    <n v="200071893"/>
    <s v="Services Fee Dic 2019 HRI"/>
    <n v="13403.254545454543"/>
    <s v="05.02.2020"/>
    <s v="TRANSFERENCIA"/>
    <n v="200126182"/>
    <s v="BOFA"/>
    <s v="BofA RCD 89805242886"/>
    <n v="340210190"/>
    <s v="JURIBE"/>
  </r>
  <r>
    <n v="3401"/>
    <s v="24.01.2020"/>
    <n v="2020"/>
    <d v="2020-01-01T00:00:00"/>
    <n v="1"/>
    <n v="100024208"/>
    <s v="WE"/>
    <n v="81"/>
    <x v="4"/>
    <n v="21021040"/>
    <x v="4"/>
    <n v="44856"/>
    <s v="MXN"/>
    <n v="44856"/>
    <x v="0"/>
    <m/>
    <m/>
    <s v="27DFA65C-1D63-41B7-9350-ADC68088A10C"/>
    <s v="CSS160330CP7"/>
    <n v="107211"/>
    <s v="CFE SUMINISTRADOR DE SERVICIOS"/>
    <m/>
    <m/>
    <s v="24.01.2020"/>
    <n v="4501216248"/>
    <s v="WH000533227437"/>
    <n v="44856"/>
    <m/>
    <m/>
    <n v="100036889"/>
    <s v="CONSUMO ENERGIA ENERO 2020"/>
    <m/>
    <m/>
    <s v="TRANSFERENCIA"/>
    <s v="06.02.2020"/>
    <s v="HSBC "/>
    <s v="HSBC 004053489092 TP"/>
    <n v="340118590"/>
    <s v="MANTTO_MEX"/>
  </r>
  <r>
    <n v="3401"/>
    <s v="24.01.2020"/>
    <n v="2020"/>
    <d v="2020-01-01T00:00:00"/>
    <n v="1"/>
    <n v="100024209"/>
    <s v="WE"/>
    <n v="81"/>
    <x v="4"/>
    <n v="21021040"/>
    <x v="4"/>
    <n v="50484"/>
    <s v="MXN"/>
    <n v="50484"/>
    <x v="0"/>
    <m/>
    <m/>
    <s v="27DFA65C-1D63-41B7-9350-ADC68088A10C"/>
    <s v="CSS160330CP7"/>
    <n v="107211"/>
    <s v="CFE SUMINISTRADOR DE SERVICIOS"/>
    <m/>
    <m/>
    <s v="24.01.2020"/>
    <n v="4501216248"/>
    <s v="WH000533227437"/>
    <n v="50484"/>
    <m/>
    <m/>
    <n v="100036889"/>
    <s v="CONSUMO ENERGIA ENERO 2020"/>
    <m/>
    <m/>
    <s v="TRANSFERENCIA"/>
    <s v="06.02.2020"/>
    <s v="HSBC "/>
    <s v="HSBC 004053489092 TP"/>
    <n v="340118590"/>
    <s v="MANTTO_MEX"/>
  </r>
  <r>
    <n v="3407"/>
    <s v="24.01.2020"/>
    <n v="2020"/>
    <d v="2020-01-01T00:00:00"/>
    <n v="1"/>
    <n v="700027500"/>
    <s v="WE"/>
    <n v="81"/>
    <x v="7"/>
    <n v="21021040"/>
    <x v="7"/>
    <n v="2430"/>
    <s v="USD"/>
    <n v="45412.57"/>
    <x v="0"/>
    <m/>
    <m/>
    <s v="N/A Registro proveedor extranjero"/>
    <s v="XEXX0101010"/>
    <n v="101128"/>
    <s v="HARD ROCK LIMITED."/>
    <m/>
    <m/>
    <s v="24.01.2020"/>
    <s v="5000819NSF"/>
    <n v="20200124"/>
    <n v="2430"/>
    <n v="0"/>
    <n v="2430"/>
    <n v="700028121"/>
    <s v="Audit NSF Hard Rock"/>
    <n v="2430"/>
    <m/>
    <s v="TRANSFERENCIA"/>
    <s v="05.02.2020"/>
    <s v="BOFA"/>
    <s v="BofA RCD 89805242886"/>
    <n v="340712290"/>
    <s v="CGUTIERREZ"/>
  </r>
  <r>
    <n v="3401"/>
    <s v="21.01.2020"/>
    <n v="2020"/>
    <d v="2020-01-01T00:00:00"/>
    <n v="1"/>
    <n v="100020665"/>
    <s v="WE"/>
    <n v="81"/>
    <x v="3"/>
    <n v="21021040"/>
    <x v="3"/>
    <n v="168589.96"/>
    <s v="USD"/>
    <n v="3159173.54"/>
    <x v="0"/>
    <m/>
    <m/>
    <s v="N/A Registro proveedor extranjero"/>
    <s v="XEXX0101010"/>
    <n v="101128"/>
    <s v="HARD ROCK LIMITED."/>
    <m/>
    <m/>
    <s v="16.01.2020"/>
    <s v="4161219R"/>
    <s v="4161219R"/>
    <n v="168589.96"/>
    <n v="0"/>
    <n v="168589.96"/>
    <n v="100020671"/>
    <s v="REGALIAS LICENCIA TARIFAS HOTEL 3%"/>
    <n v="134871.96799999999"/>
    <m/>
    <s v="TRANSFERENCIA"/>
    <s v="05.02.2020"/>
    <s v="BOFA"/>
    <s v="BofA RCD 89805242886"/>
    <n v="340121790"/>
    <s v="CXP2"/>
  </r>
  <r>
    <n v="3401"/>
    <s v="21.01.2020"/>
    <n v="2020"/>
    <d v="2020-01-01T00:00:00"/>
    <n v="1"/>
    <n v="100020666"/>
    <s v="WE"/>
    <n v="81"/>
    <x v="3"/>
    <n v="21021040"/>
    <x v="3"/>
    <n v="8295.15"/>
    <s v="USD"/>
    <n v="155441.16"/>
    <x v="0"/>
    <m/>
    <m/>
    <s v="N/A Registro proveedor extranjero"/>
    <s v="XEXX0101010"/>
    <n v="101128"/>
    <s v="HARD ROCK LIMITED."/>
    <m/>
    <m/>
    <s v="16.01.2020"/>
    <s v="4161219R"/>
    <s v="4161219R"/>
    <n v="8295.15"/>
    <n v="0"/>
    <n v="8295.15"/>
    <n v="100020671"/>
    <s v="REGALIAS VENTAS POR MENOR 10%"/>
    <n v="6636.12"/>
    <m/>
    <s v="TRANSFERENCIA"/>
    <s v="05.02.2020"/>
    <s v="BOFA"/>
    <s v="BofA RCD 89805242886"/>
    <n v="340170123"/>
    <s v="CXP2"/>
  </r>
  <r>
    <n v="3401"/>
    <s v="21.01.2020"/>
    <n v="2020"/>
    <d v="2020-01-01T00:00:00"/>
    <n v="1"/>
    <n v="100020854"/>
    <s v="WE"/>
    <n v="81"/>
    <x v="4"/>
    <n v="21021040"/>
    <x v="4"/>
    <n v="50484"/>
    <s v="MXN"/>
    <n v="50484"/>
    <x v="0"/>
    <m/>
    <m/>
    <s v="27DFA65C-1D63-41B7-9350-ADC68088A10C"/>
    <s v="CSS160330CP7"/>
    <n v="107211"/>
    <s v="CFE SUMINISTRADOR DE SERVICIOS"/>
    <m/>
    <m/>
    <s v="21.01.2020"/>
    <n v="4501216248"/>
    <s v="WH000533227437"/>
    <n v="50484"/>
    <m/>
    <m/>
    <n v="100036889"/>
    <s v="CONSUMO ENERGIA ENERO 2020"/>
    <m/>
    <m/>
    <s v="TRANSFERENCIA"/>
    <s v="06.02.2020"/>
    <s v="HSBC "/>
    <s v="HSBC 004053489092 TP"/>
    <n v="340118590"/>
    <s v="MANTTO_MEX"/>
  </r>
  <r>
    <n v="3409"/>
    <s v="21.01.2020"/>
    <n v="2020"/>
    <d v="2020-01-01T00:00:00"/>
    <n v="1"/>
    <n v="900007290"/>
    <s v="WE"/>
    <n v="81"/>
    <x v="5"/>
    <n v="21021040"/>
    <x v="5"/>
    <n v="1952.64"/>
    <s v="MXN"/>
    <n v="1952.64"/>
    <x v="0"/>
    <m/>
    <m/>
    <s v="229168A1-7138-5953-8D9D-9F9B36E41721"/>
    <s v="VIN841210F32"/>
    <n v="801037"/>
    <s v="VIAJES INTERMEX SA DE CV"/>
    <m/>
    <m/>
    <s v="21.01.2020"/>
    <s v="FACT FC3 2104"/>
    <n v="20200121"/>
    <n v="1952.64"/>
    <n v="312.42240000000004"/>
    <n v="2265.0624000000003"/>
    <n v="900008158"/>
    <s v="Comision Rva 9977865 - Viajes Intermex"/>
    <n v="2265.0624000000003"/>
    <s v="29.01.2020"/>
    <s v="TRANSFERENCIA"/>
    <n v="900009857"/>
    <s v="BBVA"/>
    <s v="BBVAB 00188039070 TP"/>
    <n v="340921790"/>
    <s v="SOLI3409"/>
  </r>
  <r>
    <n v="3409"/>
    <s v="21.01.2020"/>
    <n v="2020"/>
    <d v="2020-01-01T00:00:00"/>
    <n v="1"/>
    <n v="900007291"/>
    <s v="WE"/>
    <n v="91"/>
    <x v="5"/>
    <n v="21021040"/>
    <x v="5"/>
    <n v="1952.64"/>
    <s v="MXN"/>
    <n v="1952.64"/>
    <x v="0"/>
    <m/>
    <m/>
    <s v="229168A1-7138-5953-8D9D-9F9B36E41721"/>
    <s v="VIN841210F32"/>
    <n v="801037"/>
    <s v="VIAJES INTERMEX SA DE CV"/>
    <m/>
    <m/>
    <s v="21.01.2020"/>
    <s v="FACT FC3 2104"/>
    <n v="20200121"/>
    <n v="1952.64"/>
    <m/>
    <m/>
    <m/>
    <s v="Comision Rva 9977865 - Viajes Intermex"/>
    <m/>
    <m/>
    <m/>
    <m/>
    <m/>
    <m/>
    <n v="340921790"/>
    <s v="SOLI3409"/>
  </r>
  <r>
    <n v="3409"/>
    <s v="21.01.2020"/>
    <n v="2020"/>
    <d v="2020-01-01T00:00:00"/>
    <n v="1"/>
    <n v="900007293"/>
    <s v="WE"/>
    <n v="81"/>
    <x v="5"/>
    <n v="21021040"/>
    <x v="5"/>
    <n v="1952.64"/>
    <s v="MXN"/>
    <n v="1952.64"/>
    <x v="0"/>
    <m/>
    <m/>
    <s v="229168A1-7138-5953-8D9D-9F9B36E41721"/>
    <s v="VIN841210F32"/>
    <n v="801037"/>
    <s v="VIAJES INTERMEX SA DE CV"/>
    <m/>
    <m/>
    <s v="21.01.2020"/>
    <s v="FACT FC3 2104"/>
    <n v="20200121"/>
    <n v="1952.64"/>
    <m/>
    <m/>
    <m/>
    <s v="Comision Rva 9977865 - Viajes Intermex"/>
    <m/>
    <m/>
    <m/>
    <m/>
    <m/>
    <m/>
    <n v="340921790"/>
    <s v="SOLI3409"/>
  </r>
  <r>
    <n v="3400"/>
    <s v="06.01.2020"/>
    <n v="2020"/>
    <d v="2020-01-01T00:00:00"/>
    <n v="1"/>
    <n v="100004801"/>
    <s v="FE"/>
    <n v="40"/>
    <x v="5"/>
    <n v="21021040"/>
    <x v="5"/>
    <n v="53123.199999999997"/>
    <s v="USD"/>
    <n v="1003056.33"/>
    <x v="0"/>
    <s v="D0"/>
    <m/>
    <m/>
    <m/>
    <m/>
    <m/>
    <m/>
    <m/>
    <s v="16.01.2020"/>
    <m/>
    <s v="REFG:RCDPI00019577"/>
    <n v="53123.199999999997"/>
    <m/>
    <m/>
    <m/>
    <s v="DESC AS: Agencies Commission"/>
    <m/>
    <m/>
    <m/>
    <m/>
    <m/>
    <m/>
    <n v="340099350"/>
    <s v="YCUTZ"/>
  </r>
  <r>
    <n v="3400"/>
    <s v="06.01.2020"/>
    <n v="2020"/>
    <d v="2020-01-01T00:00:00"/>
    <n v="2"/>
    <n v="100007165"/>
    <s v="FA"/>
    <n v="50"/>
    <x v="5"/>
    <n v="21021040"/>
    <x v="5"/>
    <n v="3000.5"/>
    <s v="USD"/>
    <n v="56654.54"/>
    <x v="0"/>
    <s v="D0"/>
    <m/>
    <m/>
    <m/>
    <m/>
    <m/>
    <m/>
    <m/>
    <s v="23.01.2020"/>
    <m/>
    <s v="REFG:RCDPC00000780"/>
    <n v="3000.5"/>
    <m/>
    <m/>
    <m/>
    <s v="DESC AS: Agencies Commission"/>
    <m/>
    <m/>
    <m/>
    <m/>
    <m/>
    <m/>
    <n v="340099350"/>
    <s v="CMOTA"/>
  </r>
  <r>
    <n v="3400"/>
    <s v="28.01.2020"/>
    <n v="2020"/>
    <d v="2020-01-01T00:00:00"/>
    <n v="1"/>
    <n v="100009411"/>
    <s v="FE"/>
    <n v="40"/>
    <x v="9"/>
    <n v="21021040"/>
    <x v="9"/>
    <n v="1625.06"/>
    <s v="USD"/>
    <n v="30601.99"/>
    <x v="0"/>
    <s v="D0"/>
    <m/>
    <m/>
    <m/>
    <m/>
    <m/>
    <m/>
    <m/>
    <s v="28.01.2020"/>
    <m/>
    <s v="REFG:RCDPI00020102"/>
    <n v="1625.06"/>
    <m/>
    <m/>
    <m/>
    <s v="DESC AS: Hosting Sitios Hard Rock"/>
    <m/>
    <m/>
    <m/>
    <m/>
    <m/>
    <m/>
    <n v="340099350"/>
    <s v="PIRFC"/>
  </r>
  <r>
    <n v="3400"/>
    <s v="27.01.2020"/>
    <n v="2020"/>
    <d v="2020-01-01T00:00:00"/>
    <n v="1"/>
    <n v="100009704"/>
    <s v="FE"/>
    <n v="40"/>
    <x v="9"/>
    <n v="21021040"/>
    <x v="9"/>
    <n v="1293.75"/>
    <s v="USD"/>
    <n v="24324.83"/>
    <x v="0"/>
    <s v="D0"/>
    <m/>
    <m/>
    <m/>
    <m/>
    <m/>
    <m/>
    <m/>
    <s v="29.01.2020"/>
    <m/>
    <s v="REFG:RCDPI00020201"/>
    <n v="1293.75"/>
    <m/>
    <m/>
    <m/>
    <s v="DESC AS: Hosting CRM"/>
    <m/>
    <m/>
    <m/>
    <m/>
    <m/>
    <m/>
    <n v="340099350"/>
    <s v="PIRFC"/>
  </r>
  <r>
    <n v="3400"/>
    <s v="01.01.2020"/>
    <n v="2020"/>
    <d v="2020-01-01T00:00:00"/>
    <n v="1"/>
    <n v="100010425"/>
    <s v="SA"/>
    <n v="50"/>
    <x v="5"/>
    <n v="21021040"/>
    <x v="5"/>
    <n v="551.6"/>
    <s v="USD"/>
    <n v="10715.66"/>
    <x v="0"/>
    <s v="D0"/>
    <m/>
    <m/>
    <m/>
    <m/>
    <m/>
    <m/>
    <m/>
    <s v="31.01.2020"/>
    <s v="NC 1544264026"/>
    <s v="NC 1544264026"/>
    <n v="551.6"/>
    <m/>
    <m/>
    <m/>
    <s v="DESC AS: Agencies Commission"/>
    <m/>
    <m/>
    <m/>
    <m/>
    <m/>
    <m/>
    <n v="340099350"/>
    <s v="MANTONIO"/>
  </r>
  <r>
    <n v="3400"/>
    <s v="15.01.2020"/>
    <n v="2020"/>
    <d v="2020-01-01T00:00:00"/>
    <n v="1"/>
    <n v="100004520"/>
    <s v="FE"/>
    <n v="40"/>
    <x v="7"/>
    <n v="21021040"/>
    <x v="7"/>
    <n v="4869.07"/>
    <s v="MXN"/>
    <n v="4869.07"/>
    <x v="0"/>
    <s v="U3"/>
    <m/>
    <m/>
    <m/>
    <m/>
    <m/>
    <m/>
    <m/>
    <s v="15.01.2020"/>
    <m/>
    <s v="REFG:RCDPI00019500"/>
    <n v="4869.07"/>
    <m/>
    <m/>
    <m/>
    <s v="DESC AS: Implementación de Programa Docusign"/>
    <m/>
    <m/>
    <m/>
    <m/>
    <m/>
    <m/>
    <n v="340099350"/>
    <s v="YCUTZ"/>
  </r>
  <r>
    <n v="3400"/>
    <s v="17.01.2020"/>
    <n v="2020"/>
    <d v="2020-01-01T00:00:00"/>
    <n v="1"/>
    <n v="100005100"/>
    <s v="FE"/>
    <n v="40"/>
    <x v="3"/>
    <n v="21021040"/>
    <x v="3"/>
    <n v="14518.51"/>
    <s v="USD"/>
    <n v="273059.78000000003"/>
    <x v="0"/>
    <s v="D0"/>
    <m/>
    <m/>
    <m/>
    <m/>
    <m/>
    <m/>
    <m/>
    <s v="17.01.2020"/>
    <m/>
    <s v="REFG:RCDPI00019694"/>
    <n v="14518.51"/>
    <m/>
    <m/>
    <m/>
    <s v="DESC AS: Licencias Colin Cowie"/>
    <m/>
    <m/>
    <m/>
    <m/>
    <m/>
    <m/>
    <n v="340099350"/>
    <s v="PIRFC"/>
  </r>
  <r>
    <n v="3406"/>
    <s v="01.01.2020"/>
    <n v="2020"/>
    <d v="2020-01-01T00:00:00"/>
    <n v="1"/>
    <n v="600010479"/>
    <s v="SA"/>
    <n v="40"/>
    <x v="8"/>
    <n v="11610080"/>
    <x v="8"/>
    <n v="79.599999999999994"/>
    <s v="USD"/>
    <n v="1562.47"/>
    <x v="0"/>
    <m/>
    <m/>
    <m/>
    <m/>
    <m/>
    <m/>
    <m/>
    <m/>
    <s v="14.01.2020"/>
    <n v="20200101"/>
    <s v="01.01.2020"/>
    <n v="79.599999999999994"/>
    <m/>
    <m/>
    <m/>
    <s v="Renovación de Licencia Vinipad A&amp;B ENE 20"/>
    <m/>
    <m/>
    <m/>
    <m/>
    <m/>
    <m/>
    <n v="340612390"/>
    <s v="RBENITO"/>
  </r>
  <r>
    <n v="3400"/>
    <s v="13.01.2020"/>
    <n v="2020"/>
    <d v="2020-01-01T00:00:00"/>
    <n v="1"/>
    <n v="100003448"/>
    <s v="FE"/>
    <n v="40"/>
    <x v="2"/>
    <n v="21021040"/>
    <x v="2"/>
    <n v="1625.79"/>
    <s v="USD"/>
    <n v="30638.5"/>
    <x v="0"/>
    <s v="D0"/>
    <m/>
    <m/>
    <m/>
    <m/>
    <m/>
    <m/>
    <m/>
    <s v="13.01.2020"/>
    <m/>
    <s v="REFG:RCDPI00019477"/>
    <n v="1625.79"/>
    <m/>
    <m/>
    <m/>
    <s v="DESC AS: Display 15"/>
    <m/>
    <m/>
    <m/>
    <m/>
    <m/>
    <m/>
    <n v="340020050"/>
    <s v="PIRFC"/>
  </r>
  <r>
    <n v="3400"/>
    <s v="13.01.2020"/>
    <n v="2020"/>
    <d v="2020-01-01T00:00:00"/>
    <n v="1"/>
    <n v="100003450"/>
    <s v="FE"/>
    <n v="40"/>
    <x v="2"/>
    <n v="21021040"/>
    <x v="2"/>
    <n v="2521.0500000000002"/>
    <s v="USD"/>
    <n v="47509.94"/>
    <x v="0"/>
    <s v="D0"/>
    <m/>
    <m/>
    <m/>
    <m/>
    <m/>
    <m/>
    <m/>
    <s v="13.01.2020"/>
    <m/>
    <s v="REFG:RCDPI00019480"/>
    <n v="2521.0500000000002"/>
    <m/>
    <m/>
    <m/>
    <s v="DESC AS: Display 1"/>
    <m/>
    <m/>
    <m/>
    <m/>
    <m/>
    <m/>
    <n v="340020050"/>
    <s v="PIRFC"/>
  </r>
  <r>
    <n v="3400"/>
    <s v="13.01.2020"/>
    <n v="2020"/>
    <d v="2020-01-01T00:00:00"/>
    <n v="1"/>
    <n v="100003451"/>
    <s v="FE"/>
    <n v="40"/>
    <x v="2"/>
    <n v="21021040"/>
    <x v="2"/>
    <n v="981.18"/>
    <s v="USD"/>
    <n v="18490.63"/>
    <x v="0"/>
    <s v="D0"/>
    <m/>
    <m/>
    <m/>
    <m/>
    <m/>
    <m/>
    <m/>
    <s v="13.01.2020"/>
    <m/>
    <s v="REFG:RCDPI00019481"/>
    <n v="981.18"/>
    <m/>
    <m/>
    <m/>
    <s v="DESC AS: Display 2"/>
    <m/>
    <m/>
    <m/>
    <m/>
    <m/>
    <m/>
    <n v="340020050"/>
    <s v="PIRFC"/>
  </r>
  <r>
    <n v="3400"/>
    <s v="13.01.2020"/>
    <n v="2020"/>
    <d v="2020-01-01T00:00:00"/>
    <n v="1"/>
    <n v="100003452"/>
    <s v="FE"/>
    <n v="40"/>
    <x v="2"/>
    <n v="21021040"/>
    <x v="2"/>
    <n v="1015.9"/>
    <s v="USD"/>
    <n v="19144.939999999999"/>
    <x v="0"/>
    <s v="D0"/>
    <m/>
    <m/>
    <m/>
    <m/>
    <m/>
    <m/>
    <m/>
    <s v="13.01.2020"/>
    <m/>
    <s v="REFG:RCDPI00019482"/>
    <n v="1015.9"/>
    <m/>
    <m/>
    <m/>
    <s v="DESC AS: Display 3"/>
    <m/>
    <m/>
    <m/>
    <m/>
    <m/>
    <m/>
    <n v="340020050"/>
    <s v="PIRFC"/>
  </r>
  <r>
    <n v="3400"/>
    <s v="13.01.2020"/>
    <n v="2020"/>
    <d v="2020-01-01T00:00:00"/>
    <n v="1"/>
    <n v="100003453"/>
    <s v="FE"/>
    <n v="40"/>
    <x v="2"/>
    <n v="21021040"/>
    <x v="2"/>
    <n v="4934.2700000000004"/>
    <s v="USD"/>
    <n v="92987.8"/>
    <x v="0"/>
    <s v="D0"/>
    <m/>
    <m/>
    <m/>
    <m/>
    <m/>
    <m/>
    <m/>
    <s v="13.01.2020"/>
    <m/>
    <s v="REFG:RCDPI00019483"/>
    <n v="4934.2700000000004"/>
    <m/>
    <m/>
    <m/>
    <s v="DESC AS: Display 4"/>
    <m/>
    <m/>
    <m/>
    <m/>
    <m/>
    <m/>
    <n v="340020050"/>
    <s v="PIRFC"/>
  </r>
  <r>
    <n v="3400"/>
    <s v="13.01.2020"/>
    <n v="2020"/>
    <d v="2020-01-01T00:00:00"/>
    <n v="1"/>
    <n v="100003454"/>
    <s v="FE"/>
    <n v="40"/>
    <x v="2"/>
    <n v="21021040"/>
    <x v="2"/>
    <n v="2480.89"/>
    <s v="USD"/>
    <n v="46753.120000000003"/>
    <x v="0"/>
    <s v="D0"/>
    <m/>
    <m/>
    <m/>
    <m/>
    <m/>
    <m/>
    <m/>
    <s v="13.01.2020"/>
    <m/>
    <s v="REFG:RCDPI00019484"/>
    <n v="2480.89"/>
    <m/>
    <m/>
    <m/>
    <s v="DESC AS: Display 5"/>
    <m/>
    <m/>
    <m/>
    <m/>
    <m/>
    <m/>
    <n v="340020050"/>
    <s v="PIRFC"/>
  </r>
  <r>
    <n v="3400"/>
    <s v="13.01.2020"/>
    <n v="2020"/>
    <d v="2020-01-01T00:00:00"/>
    <n v="1"/>
    <n v="100003455"/>
    <s v="FE"/>
    <n v="40"/>
    <x v="2"/>
    <n v="21021040"/>
    <x v="2"/>
    <n v="880.16"/>
    <s v="USD"/>
    <n v="16586.88"/>
    <x v="0"/>
    <s v="D0"/>
    <m/>
    <m/>
    <m/>
    <m/>
    <m/>
    <m/>
    <m/>
    <s v="13.01.2020"/>
    <m/>
    <s v="REFG:RCDPI00019485"/>
    <n v="880.16"/>
    <m/>
    <m/>
    <m/>
    <s v="DESC AS: Display 6"/>
    <m/>
    <m/>
    <m/>
    <m/>
    <m/>
    <m/>
    <n v="340020050"/>
    <s v="PIRFC"/>
  </r>
  <r>
    <n v="3400"/>
    <s v="13.01.2020"/>
    <n v="2020"/>
    <d v="2020-01-01T00:00:00"/>
    <n v="1"/>
    <n v="100003456"/>
    <s v="FE"/>
    <n v="40"/>
    <x v="2"/>
    <n v="21021040"/>
    <x v="2"/>
    <n v="925.49"/>
    <s v="USD"/>
    <n v="17441.14"/>
    <x v="0"/>
    <s v="D0"/>
    <m/>
    <m/>
    <m/>
    <m/>
    <m/>
    <m/>
    <m/>
    <s v="13.01.2020"/>
    <m/>
    <s v="REFG:RCDPI00019486"/>
    <n v="925.49"/>
    <m/>
    <m/>
    <m/>
    <s v="DESC AS: Display 7"/>
    <m/>
    <m/>
    <m/>
    <m/>
    <m/>
    <m/>
    <n v="340020050"/>
    <s v="PIRFC"/>
  </r>
  <r>
    <n v="3400"/>
    <s v="13.01.2020"/>
    <n v="2020"/>
    <d v="2020-01-01T00:00:00"/>
    <n v="1"/>
    <n v="100003457"/>
    <s v="FE"/>
    <n v="40"/>
    <x v="2"/>
    <n v="21021040"/>
    <x v="2"/>
    <n v="1355.74"/>
    <s v="USD"/>
    <n v="25549.33"/>
    <x v="0"/>
    <s v="D0"/>
    <m/>
    <m/>
    <m/>
    <m/>
    <m/>
    <m/>
    <m/>
    <s v="13.01.2020"/>
    <m/>
    <s v="REFG:RCDPI00019487"/>
    <n v="1355.74"/>
    <m/>
    <m/>
    <m/>
    <s v="DESC AS: Display 8"/>
    <m/>
    <m/>
    <m/>
    <m/>
    <m/>
    <m/>
    <n v="340020050"/>
    <s v="PIRFC"/>
  </r>
  <r>
    <n v="3400"/>
    <s v="13.01.2020"/>
    <n v="2020"/>
    <d v="2020-01-01T00:00:00"/>
    <n v="1"/>
    <n v="100003458"/>
    <s v="FE"/>
    <n v="40"/>
    <x v="2"/>
    <n v="21021040"/>
    <x v="2"/>
    <n v="6977.75"/>
    <s v="USD"/>
    <n v="131497.79"/>
    <x v="0"/>
    <s v="D0"/>
    <m/>
    <m/>
    <m/>
    <m/>
    <m/>
    <m/>
    <m/>
    <s v="13.01.2020"/>
    <m/>
    <s v="REFG:RCDPI00019488"/>
    <n v="6977.75"/>
    <m/>
    <m/>
    <m/>
    <s v="DESC AS: Display 9"/>
    <m/>
    <m/>
    <m/>
    <m/>
    <m/>
    <m/>
    <n v="340020050"/>
    <s v="PIRFC"/>
  </r>
  <r>
    <n v="3400"/>
    <s v="13.01.2020"/>
    <n v="2020"/>
    <d v="2020-01-01T00:00:00"/>
    <n v="1"/>
    <n v="100003459"/>
    <s v="FE"/>
    <n v="40"/>
    <x v="2"/>
    <n v="21021040"/>
    <x v="2"/>
    <n v="845.74"/>
    <s v="USD"/>
    <n v="15938.22"/>
    <x v="0"/>
    <s v="D0"/>
    <m/>
    <m/>
    <m/>
    <m/>
    <m/>
    <m/>
    <m/>
    <s v="13.01.2020"/>
    <m/>
    <s v="REFG:RCDPI00019489"/>
    <n v="845.74"/>
    <m/>
    <m/>
    <m/>
    <s v="DESC AS: Display 10"/>
    <m/>
    <m/>
    <m/>
    <m/>
    <m/>
    <m/>
    <n v="340020050"/>
    <s v="PIRFC"/>
  </r>
  <r>
    <n v="3400"/>
    <s v="13.01.2020"/>
    <n v="2020"/>
    <d v="2020-01-01T00:00:00"/>
    <n v="1"/>
    <n v="100003460"/>
    <s v="FE"/>
    <n v="40"/>
    <x v="2"/>
    <n v="21021040"/>
    <x v="2"/>
    <n v="1421.9"/>
    <s v="USD"/>
    <n v="26796.13"/>
    <x v="0"/>
    <s v="D0"/>
    <m/>
    <m/>
    <m/>
    <m/>
    <m/>
    <m/>
    <m/>
    <s v="13.01.2020"/>
    <m/>
    <s v="REFG:RCDPI00019490"/>
    <n v="1421.9"/>
    <m/>
    <m/>
    <m/>
    <s v="DESC AS: Display 11"/>
    <m/>
    <m/>
    <m/>
    <m/>
    <m/>
    <m/>
    <n v="340020050"/>
    <s v="PIRFC"/>
  </r>
  <r>
    <n v="3400"/>
    <s v="13.01.2020"/>
    <n v="2020"/>
    <d v="2020-01-01T00:00:00"/>
    <n v="1"/>
    <n v="100003461"/>
    <s v="FE"/>
    <n v="40"/>
    <x v="2"/>
    <n v="21021040"/>
    <x v="2"/>
    <n v="4307.57"/>
    <s v="USD"/>
    <n v="81177.45"/>
    <x v="0"/>
    <s v="D0"/>
    <m/>
    <m/>
    <m/>
    <m/>
    <m/>
    <m/>
    <m/>
    <s v="13.01.2020"/>
    <m/>
    <s v="REFG:RCDPI00019491"/>
    <n v="4307.57"/>
    <m/>
    <m/>
    <m/>
    <s v="DESC AS: Display 12"/>
    <m/>
    <m/>
    <m/>
    <m/>
    <m/>
    <m/>
    <n v="340020050"/>
    <s v="PIRFC"/>
  </r>
  <r>
    <n v="3400"/>
    <s v="13.01.2020"/>
    <n v="2020"/>
    <d v="2020-01-01T00:00:00"/>
    <n v="1"/>
    <n v="100003462"/>
    <s v="FE"/>
    <n v="40"/>
    <x v="2"/>
    <n v="21021040"/>
    <x v="2"/>
    <n v="4705.09"/>
    <s v="USD"/>
    <n v="88668.83"/>
    <x v="0"/>
    <s v="D0"/>
    <m/>
    <m/>
    <m/>
    <m/>
    <m/>
    <m/>
    <m/>
    <s v="13.01.2020"/>
    <m/>
    <s v="REFG:RCDPI00019492"/>
    <n v="4705.09"/>
    <m/>
    <m/>
    <m/>
    <s v="DESC AS: Display 13"/>
    <m/>
    <m/>
    <m/>
    <m/>
    <m/>
    <m/>
    <n v="340020050"/>
    <s v="PIRFC"/>
  </r>
  <r>
    <n v="3400"/>
    <s v="13.01.2020"/>
    <n v="2020"/>
    <d v="2020-01-01T00:00:00"/>
    <n v="1"/>
    <n v="100003463"/>
    <s v="FE"/>
    <n v="40"/>
    <x v="2"/>
    <n v="21021040"/>
    <x v="2"/>
    <n v="1730.76"/>
    <s v="USD"/>
    <n v="32616.69"/>
    <x v="0"/>
    <s v="D0"/>
    <m/>
    <m/>
    <m/>
    <m/>
    <m/>
    <m/>
    <m/>
    <s v="13.01.2020"/>
    <m/>
    <s v="REFG:RCDPI00019493"/>
    <n v="1730.76"/>
    <m/>
    <m/>
    <m/>
    <s v="DESC AS: Display 14"/>
    <m/>
    <m/>
    <m/>
    <m/>
    <m/>
    <m/>
    <n v="340020050"/>
    <s v="PIRFC"/>
  </r>
  <r>
    <n v="3400"/>
    <s v="13.01.2020"/>
    <n v="2020"/>
    <d v="2020-01-01T00:00:00"/>
    <n v="1"/>
    <n v="100003467"/>
    <s v="FE"/>
    <n v="40"/>
    <x v="2"/>
    <n v="21021040"/>
    <x v="2"/>
    <n v="33628.120000000003"/>
    <s v="USD"/>
    <n v="633732.01"/>
    <x v="0"/>
    <s v="D0"/>
    <m/>
    <m/>
    <m/>
    <m/>
    <m/>
    <m/>
    <m/>
    <s v="13.01.2020"/>
    <m/>
    <s v="REFG:RCDPI00019499"/>
    <n v="33628.120000000003"/>
    <m/>
    <m/>
    <m/>
    <s v="DESC AS: Display HR+UNICO"/>
    <m/>
    <m/>
    <m/>
    <m/>
    <m/>
    <m/>
    <n v="340020050"/>
    <s v="PIRFC"/>
  </r>
  <r>
    <n v="3400"/>
    <s v="08.01.2020"/>
    <n v="2020"/>
    <d v="2020-01-01T00:00:00"/>
    <n v="1"/>
    <n v="100001282"/>
    <s v="FE"/>
    <n v="50"/>
    <x v="2"/>
    <n v="21021040"/>
    <x v="2"/>
    <n v="421.7"/>
    <s v="USD"/>
    <n v="7939.35"/>
    <x v="0"/>
    <s v="U3"/>
    <m/>
    <m/>
    <m/>
    <m/>
    <m/>
    <m/>
    <m/>
    <s v="08.01.2020"/>
    <m/>
    <s v="REFG:RCDPI00019341"/>
    <n v="421.7"/>
    <m/>
    <m/>
    <m/>
    <s v="DESC AS: Display NC 1"/>
    <m/>
    <m/>
    <m/>
    <m/>
    <m/>
    <m/>
    <n v="340020050"/>
    <s v="PIRFC"/>
  </r>
  <r>
    <n v="3400"/>
    <s v="08.01.2020"/>
    <n v="2020"/>
    <d v="2020-01-01T00:00:00"/>
    <n v="1"/>
    <n v="100001283"/>
    <s v="FE"/>
    <n v="40"/>
    <x v="2"/>
    <n v="21021040"/>
    <x v="2"/>
    <n v="10632.82"/>
    <s v="USD"/>
    <n v="200184.1"/>
    <x v="0"/>
    <s v="U3"/>
    <m/>
    <m/>
    <m/>
    <m/>
    <m/>
    <m/>
    <m/>
    <s v="08.01.2020"/>
    <m/>
    <s v="REFG:RCDPI00019343"/>
    <n v="10632.82"/>
    <m/>
    <m/>
    <m/>
    <s v="DESC AS: Google Ads"/>
    <m/>
    <m/>
    <m/>
    <m/>
    <m/>
    <m/>
    <n v="340020050"/>
    <s v="PIRFC"/>
  </r>
  <r>
    <n v="3400"/>
    <s v="08.01.2020"/>
    <n v="2020"/>
    <d v="2020-01-01T00:00:00"/>
    <n v="1"/>
    <n v="100001284"/>
    <s v="FE"/>
    <n v="40"/>
    <x v="2"/>
    <n v="21021040"/>
    <x v="2"/>
    <n v="12696.67"/>
    <s v="USD"/>
    <n v="239040.21"/>
    <x v="0"/>
    <s v="U3"/>
    <m/>
    <m/>
    <m/>
    <m/>
    <m/>
    <m/>
    <m/>
    <s v="08.01.2020"/>
    <m/>
    <s v="REFG:RCDPI00019344"/>
    <n v="12696.67"/>
    <m/>
    <m/>
    <m/>
    <s v="DESC AS: Google Ads"/>
    <m/>
    <m/>
    <m/>
    <m/>
    <m/>
    <m/>
    <n v="340020050"/>
    <s v="PIRFC"/>
  </r>
  <r>
    <n v="3400"/>
    <s v="08.01.2020"/>
    <n v="2020"/>
    <d v="2020-01-01T00:00:00"/>
    <n v="1"/>
    <n v="100001285"/>
    <s v="FE"/>
    <n v="50"/>
    <x v="2"/>
    <n v="21021040"/>
    <x v="2"/>
    <n v="78.83"/>
    <s v="USD"/>
    <n v="1484.13"/>
    <x v="0"/>
    <s v="U3"/>
    <m/>
    <m/>
    <m/>
    <m/>
    <m/>
    <m/>
    <m/>
    <s v="08.01.2020"/>
    <m/>
    <s v="REFG:RCDPI00019345"/>
    <n v="78.83"/>
    <m/>
    <m/>
    <m/>
    <s v="DESC AS: Display NC 2"/>
    <m/>
    <m/>
    <m/>
    <m/>
    <m/>
    <m/>
    <n v="340020050"/>
    <s v="PIRFC"/>
  </r>
  <r>
    <n v="3400"/>
    <s v="08.01.2020"/>
    <n v="2020"/>
    <d v="2020-01-01T00:00:00"/>
    <n v="1"/>
    <n v="100001286"/>
    <s v="FE"/>
    <n v="50"/>
    <x v="2"/>
    <n v="21021040"/>
    <x v="2"/>
    <n v="173.23"/>
    <s v="USD"/>
    <n v="3261.4"/>
    <x v="0"/>
    <s v="U3"/>
    <m/>
    <m/>
    <m/>
    <m/>
    <m/>
    <m/>
    <m/>
    <s v="08.01.2020"/>
    <m/>
    <s v="REFG:RCDPI00019346"/>
    <n v="173.23"/>
    <m/>
    <m/>
    <m/>
    <s v="DESC AS: Display NC 3"/>
    <m/>
    <m/>
    <m/>
    <m/>
    <m/>
    <m/>
    <n v="340020050"/>
    <s v="PIRFC"/>
  </r>
  <r>
    <n v="3400"/>
    <s v="08.01.2020"/>
    <n v="2020"/>
    <d v="2020-01-01T00:00:00"/>
    <n v="1"/>
    <n v="100001288"/>
    <s v="FE"/>
    <n v="40"/>
    <x v="2"/>
    <n v="21021040"/>
    <x v="2"/>
    <n v="93833.77"/>
    <s v="USD"/>
    <n v="1766608.39"/>
    <x v="0"/>
    <s v="U3"/>
    <m/>
    <m/>
    <m/>
    <m/>
    <m/>
    <m/>
    <m/>
    <s v="08.01.2020"/>
    <m/>
    <s v="REFG:RCDPI00019340"/>
    <n v="93833.77"/>
    <m/>
    <m/>
    <m/>
    <s v="DESC AS: Google Ads"/>
    <m/>
    <m/>
    <m/>
    <m/>
    <m/>
    <m/>
    <n v="340020050"/>
    <s v="YCUTZ"/>
  </r>
  <r>
    <n v="3400"/>
    <s v="08.01.2020"/>
    <n v="2020"/>
    <d v="2020-01-01T00:00:00"/>
    <n v="1"/>
    <n v="100001393"/>
    <s v="FE"/>
    <n v="40"/>
    <x v="2"/>
    <n v="21021040"/>
    <x v="2"/>
    <n v="613.36"/>
    <s v="USD"/>
    <n v="11547.73"/>
    <x v="0"/>
    <s v="U3"/>
    <m/>
    <m/>
    <m/>
    <m/>
    <m/>
    <m/>
    <m/>
    <s v="08.01.2020"/>
    <m/>
    <s v="REFG:RCDPI00019363"/>
    <n v="613.36"/>
    <m/>
    <m/>
    <m/>
    <s v="DESC AS: MetaSearch HPA"/>
    <m/>
    <m/>
    <m/>
    <m/>
    <m/>
    <m/>
    <n v="340020050"/>
    <s v="PIRFC"/>
  </r>
  <r>
    <n v="3400"/>
    <s v="08.01.2020"/>
    <n v="2020"/>
    <d v="2020-01-01T00:00:00"/>
    <n v="1"/>
    <n v="100001395"/>
    <s v="FE"/>
    <n v="40"/>
    <x v="2"/>
    <n v="21021040"/>
    <x v="2"/>
    <n v="1365"/>
    <s v="USD"/>
    <n v="25698.86"/>
    <x v="0"/>
    <s v="U3"/>
    <m/>
    <m/>
    <m/>
    <m/>
    <m/>
    <m/>
    <m/>
    <s v="08.01.2020"/>
    <m/>
    <s v="REFG:RCDPI00019365"/>
    <n v="1365"/>
    <m/>
    <m/>
    <m/>
    <s v="DESC AS: Display TripAdvisor"/>
    <m/>
    <m/>
    <m/>
    <m/>
    <m/>
    <m/>
    <n v="340020050"/>
    <s v="PIRFC"/>
  </r>
  <r>
    <n v="3400"/>
    <s v="17.01.2020"/>
    <n v="2020"/>
    <d v="2020-01-01T00:00:00"/>
    <n v="1"/>
    <n v="100005015"/>
    <s v="FE"/>
    <n v="50"/>
    <x v="2"/>
    <n v="21021040"/>
    <x v="2"/>
    <n v="1519.9"/>
    <s v="USD"/>
    <n v="28585.82"/>
    <x v="0"/>
    <s v="U3"/>
    <m/>
    <m/>
    <m/>
    <m/>
    <m/>
    <m/>
    <m/>
    <s v="17.01.2020"/>
    <m/>
    <s v="REFG:RCDPI00019625"/>
    <n v="1519.9"/>
    <m/>
    <m/>
    <m/>
    <s v="DESC AS: MetaSearch NC"/>
    <m/>
    <m/>
    <m/>
    <m/>
    <m/>
    <m/>
    <n v="340020050"/>
    <s v="PIRFC"/>
  </r>
  <r>
    <n v="3400"/>
    <s v="17.01.2020"/>
    <n v="2020"/>
    <d v="2020-01-01T00:00:00"/>
    <n v="1"/>
    <n v="100005053"/>
    <s v="FE"/>
    <n v="40"/>
    <x v="2"/>
    <n v="21021040"/>
    <x v="2"/>
    <n v="18095"/>
    <s v="USD"/>
    <n v="340325.33"/>
    <x v="0"/>
    <s v="U3"/>
    <m/>
    <m/>
    <m/>
    <m/>
    <m/>
    <m/>
    <m/>
    <s v="17.01.2020"/>
    <m/>
    <s v="REFG:RCDPI00019631"/>
    <n v="18095"/>
    <m/>
    <m/>
    <m/>
    <s v="DESC AS: MetaSearch"/>
    <m/>
    <m/>
    <m/>
    <m/>
    <m/>
    <m/>
    <n v="340020050"/>
    <s v="PIRFC"/>
  </r>
  <r>
    <n v="3400"/>
    <s v="22.01.2020"/>
    <n v="2020"/>
    <d v="2020-01-01T00:00:00"/>
    <n v="1"/>
    <n v="100006989"/>
    <s v="FE"/>
    <n v="40"/>
    <x v="2"/>
    <n v="21021040"/>
    <x v="2"/>
    <n v="2433.9299999999998"/>
    <s v="USD"/>
    <n v="45447.56"/>
    <x v="0"/>
    <s v="D0"/>
    <m/>
    <m/>
    <m/>
    <m/>
    <m/>
    <m/>
    <m/>
    <s v="22.01.2020"/>
    <m/>
    <s v="REFG:RCDPI00019822"/>
    <n v="2433.9299999999998"/>
    <m/>
    <m/>
    <m/>
    <s v="DESC AS: Display Nobu Los Cabos"/>
    <m/>
    <m/>
    <m/>
    <m/>
    <m/>
    <m/>
    <n v="340020050"/>
    <s v="PIRFC"/>
  </r>
  <r>
    <n v="3400"/>
    <s v="23.01.2020"/>
    <n v="2020"/>
    <d v="2020-01-01T00:00:00"/>
    <n v="1"/>
    <n v="100007346"/>
    <s v="FE"/>
    <n v="40"/>
    <x v="2"/>
    <n v="21021040"/>
    <x v="2"/>
    <n v="30907.01"/>
    <s v="USD"/>
    <n v="577982.71999999997"/>
    <x v="0"/>
    <s v="D0"/>
    <m/>
    <m/>
    <m/>
    <m/>
    <m/>
    <m/>
    <m/>
    <s v="23.01.2020"/>
    <m/>
    <s v="REFG:RCDPI00019852"/>
    <n v="30907.01"/>
    <m/>
    <m/>
    <m/>
    <s v="DESC AS: Display"/>
    <m/>
    <m/>
    <m/>
    <m/>
    <m/>
    <m/>
    <n v="340020050"/>
    <s v="CMOTA"/>
  </r>
  <r>
    <n v="3400"/>
    <s v="24.01.2020"/>
    <n v="2020"/>
    <d v="2020-01-01T00:00:00"/>
    <n v="1"/>
    <n v="100008994"/>
    <s v="FE"/>
    <n v="40"/>
    <x v="2"/>
    <n v="21021040"/>
    <x v="2"/>
    <n v="11968"/>
    <s v="USD"/>
    <n v="223661.57"/>
    <x v="0"/>
    <s v="D0"/>
    <m/>
    <m/>
    <m/>
    <m/>
    <m/>
    <m/>
    <m/>
    <s v="27.01.2020"/>
    <m/>
    <s v="REFG:RCDPI00019931"/>
    <n v="11968"/>
    <m/>
    <m/>
    <m/>
    <s v="DESC AS: DV360 Consumo"/>
    <m/>
    <m/>
    <m/>
    <m/>
    <m/>
    <m/>
    <n v="340020050"/>
    <s v="YCUTZ"/>
  </r>
  <r>
    <n v="3400"/>
    <s v="28.01.2020"/>
    <n v="2020"/>
    <d v="2020-01-01T00:00:00"/>
    <n v="1"/>
    <n v="100009485"/>
    <s v="SA"/>
    <n v="40"/>
    <x v="2"/>
    <n v="11610010"/>
    <x v="2"/>
    <n v="1491.67"/>
    <s v="USD"/>
    <n v="28090.09"/>
    <x v="0"/>
    <s v="D0"/>
    <m/>
    <m/>
    <m/>
    <m/>
    <m/>
    <m/>
    <m/>
    <s v="28.01.2020"/>
    <s v="AMORT 01 2020"/>
    <s v="Amort 01 2020"/>
    <n v="1491.67"/>
    <m/>
    <m/>
    <m/>
    <s v="DESC AS: Business Advantage ENERO 2020"/>
    <m/>
    <m/>
    <m/>
    <m/>
    <m/>
    <m/>
    <n v="340020050"/>
    <s v="YCUTZ"/>
  </r>
  <r>
    <n v="3400"/>
    <s v="28.01.2020"/>
    <n v="2020"/>
    <d v="2020-01-01T00:00:00"/>
    <n v="2"/>
    <n v="100009485"/>
    <s v="SA"/>
    <n v="40"/>
    <x v="2"/>
    <n v="11610010"/>
    <x v="2"/>
    <n v="901.67"/>
    <s v="USD"/>
    <n v="16979.62"/>
    <x v="0"/>
    <s v="D0"/>
    <m/>
    <m/>
    <m/>
    <m/>
    <m/>
    <m/>
    <m/>
    <s v="28.01.2020"/>
    <s v="AMORT 01 2020"/>
    <s v="Amort 01 2020"/>
    <n v="901.67"/>
    <m/>
    <m/>
    <m/>
    <s v="DESC AS: Business Advantage ENERO 2020"/>
    <m/>
    <m/>
    <m/>
    <m/>
    <m/>
    <m/>
    <n v="340020050"/>
    <s v="YCUTZ"/>
  </r>
  <r>
    <n v="3400"/>
    <s v="29.01.2020"/>
    <n v="2020"/>
    <d v="2020-01-01T00:00:00"/>
    <n v="1"/>
    <n v="100009699"/>
    <s v="FE"/>
    <n v="40"/>
    <x v="2"/>
    <n v="21021040"/>
    <x v="2"/>
    <n v="942.85"/>
    <s v="USD"/>
    <n v="17858.240000000002"/>
    <x v="0"/>
    <s v="D0"/>
    <m/>
    <m/>
    <m/>
    <m/>
    <m/>
    <m/>
    <m/>
    <s v="29.01.2020"/>
    <m/>
    <s v="REFG:RCDPI00020193"/>
    <n v="942.85"/>
    <m/>
    <m/>
    <m/>
    <s v="DESC AS: HRHRM Heaven Sposored"/>
    <m/>
    <m/>
    <m/>
    <m/>
    <m/>
    <m/>
    <n v="340020050"/>
    <s v="PIRFC"/>
  </r>
  <r>
    <n v="3400"/>
    <s v="29.01.2020"/>
    <n v="2020"/>
    <d v="2020-01-01T00:00:00"/>
    <n v="1"/>
    <n v="100009700"/>
    <s v="FE"/>
    <n v="40"/>
    <x v="2"/>
    <n v="21021040"/>
    <x v="2"/>
    <n v="1462.89"/>
    <s v="USD"/>
    <n v="27708.16"/>
    <x v="0"/>
    <s v="D0"/>
    <m/>
    <m/>
    <m/>
    <m/>
    <m/>
    <m/>
    <m/>
    <s v="29.01.2020"/>
    <m/>
    <s v="REFG:RCDPI00020194"/>
    <n v="1462.89"/>
    <m/>
    <m/>
    <m/>
    <s v="DESC AS: HRHPC Sposored"/>
    <m/>
    <m/>
    <m/>
    <m/>
    <m/>
    <m/>
    <n v="340020050"/>
    <s v="PIRFC"/>
  </r>
  <r>
    <n v="3400"/>
    <s v="29.01.2020"/>
    <n v="2020"/>
    <d v="2020-01-01T00:00:00"/>
    <n v="1"/>
    <n v="100009787"/>
    <s v="FE"/>
    <n v="40"/>
    <x v="2"/>
    <n v="21021040"/>
    <x v="2"/>
    <n v="5202.01"/>
    <s v="USD"/>
    <n v="98529.71"/>
    <x v="0"/>
    <s v="D0"/>
    <m/>
    <m/>
    <m/>
    <m/>
    <m/>
    <m/>
    <m/>
    <s v="29.01.2020"/>
    <m/>
    <s v="REFG:RCDPI00020229"/>
    <n v="5202.01"/>
    <m/>
    <m/>
    <m/>
    <s v="DESC AS: HRHCA Sposored"/>
    <m/>
    <m/>
    <m/>
    <m/>
    <m/>
    <m/>
    <n v="340020050"/>
    <s v="PIRFC"/>
  </r>
  <r>
    <n v="3400"/>
    <s v="31.01.2020"/>
    <n v="2020"/>
    <d v="2020-01-01T00:00:00"/>
    <n v="1"/>
    <n v="100010624"/>
    <s v="FE"/>
    <n v="40"/>
    <x v="2"/>
    <n v="21021040"/>
    <x v="2"/>
    <n v="22780.23"/>
    <s v="USD"/>
    <n v="426142.93"/>
    <x v="0"/>
    <s v="D0"/>
    <m/>
    <m/>
    <m/>
    <m/>
    <m/>
    <m/>
    <m/>
    <s v="31.01.2020"/>
    <m/>
    <s v="REFG:RCDPI00020322"/>
    <n v="22780.23"/>
    <m/>
    <m/>
    <m/>
    <s v="DESC AS: Display CPM"/>
    <m/>
    <m/>
    <m/>
    <m/>
    <m/>
    <m/>
    <n v="340020050"/>
    <s v="PIRFC"/>
  </r>
  <r>
    <n v="3400"/>
    <s v="31.01.2020"/>
    <n v="2020"/>
    <d v="2020-01-01T00:00:00"/>
    <n v="1"/>
    <n v="100010629"/>
    <s v="FE"/>
    <n v="40"/>
    <x v="2"/>
    <n v="21021040"/>
    <x v="2"/>
    <n v="15431.06"/>
    <s v="USD"/>
    <n v="288664.21000000002"/>
    <x v="0"/>
    <s v="D0"/>
    <m/>
    <m/>
    <m/>
    <m/>
    <m/>
    <m/>
    <m/>
    <s v="31.01.2020"/>
    <m/>
    <s v="REFG:RCDPI00020330"/>
    <n v="15431.06"/>
    <m/>
    <m/>
    <m/>
    <s v="DESC AS: Display CPM"/>
    <m/>
    <m/>
    <m/>
    <m/>
    <m/>
    <m/>
    <n v="340020050"/>
    <s v="PIRFC"/>
  </r>
  <r>
    <n v="3401"/>
    <s v="01.01.2020"/>
    <n v="2020"/>
    <d v="2020-01-01T00:00:00"/>
    <n v="1"/>
    <n v="100033750"/>
    <s v="AB"/>
    <n v="50"/>
    <x v="3"/>
    <n v="21230140"/>
    <x v="3"/>
    <n v="169474"/>
    <s v="USD"/>
    <n v="3193771.42"/>
    <x v="0"/>
    <m/>
    <m/>
    <m/>
    <m/>
    <m/>
    <m/>
    <m/>
    <n v="100435950"/>
    <s v="02.02.2020"/>
    <s v="PROV HRIFEES DIC"/>
    <n v="20191231"/>
    <n v="169474"/>
    <m/>
    <m/>
    <m/>
    <s v="LICENSE FEE HR DIC19"/>
    <m/>
    <m/>
    <m/>
    <m/>
    <m/>
    <m/>
    <n v="340121790"/>
    <s v="AKRODRIGUEZ"/>
  </r>
  <r>
    <n v="3401"/>
    <s v="01.01.2020"/>
    <n v="2020"/>
    <d v="2020-01-01T00:00:00"/>
    <n v="3"/>
    <n v="100033750"/>
    <s v="AB"/>
    <n v="50"/>
    <x v="3"/>
    <n v="21230140"/>
    <x v="3"/>
    <n v="56491"/>
    <s v="USD"/>
    <n v="1064584.19"/>
    <x v="0"/>
    <m/>
    <m/>
    <m/>
    <m/>
    <m/>
    <m/>
    <m/>
    <n v="100435950"/>
    <s v="02.02.2020"/>
    <s v="PROV HRIFEES DIC"/>
    <n v="20191231"/>
    <n v="56491"/>
    <m/>
    <m/>
    <m/>
    <s v="MARKETING FEE HR 1% DIC19"/>
    <m/>
    <m/>
    <m/>
    <m/>
    <m/>
    <m/>
    <n v="340121790"/>
    <s v="AKRODRIGUEZ"/>
  </r>
  <r>
    <n v="3401"/>
    <s v="01.01.2020"/>
    <n v="2020"/>
    <d v="2020-01-01T00:00:00"/>
    <n v="5"/>
    <n v="100033750"/>
    <s v="AB"/>
    <n v="50"/>
    <x v="3"/>
    <n v="21230140"/>
    <x v="3"/>
    <n v="8295"/>
    <s v="USD"/>
    <n v="156320.93"/>
    <x v="0"/>
    <m/>
    <m/>
    <m/>
    <m/>
    <m/>
    <m/>
    <m/>
    <n v="100435950"/>
    <s v="02.02.2020"/>
    <s v="PROV HRIFEES DIC"/>
    <n v="20191231"/>
    <n v="8295"/>
    <m/>
    <m/>
    <m/>
    <s v="RETAIL STORES FEE HR DIC19"/>
    <m/>
    <m/>
    <m/>
    <m/>
    <m/>
    <m/>
    <n v="340170123"/>
    <s v="AKRODRIGUEZ"/>
  </r>
  <r>
    <n v="3402"/>
    <s v="31.01.2020"/>
    <n v="2020"/>
    <d v="2020-01-01T00:00:00"/>
    <n v="1"/>
    <n v="200120047"/>
    <s v="SA"/>
    <n v="50"/>
    <x v="3"/>
    <n v="21230140"/>
    <x v="3"/>
    <n v="51255"/>
    <s v="USD"/>
    <n v="965910.73"/>
    <x v="0"/>
    <m/>
    <m/>
    <m/>
    <m/>
    <m/>
    <m/>
    <m/>
    <m/>
    <s v="02.02.2020"/>
    <m/>
    <n v="20191231"/>
    <n v="51255"/>
    <m/>
    <m/>
    <m/>
    <s v="PROVISIÓN 0.5% FEE MARKETING HRI DIC 19"/>
    <m/>
    <m/>
    <m/>
    <m/>
    <m/>
    <m/>
    <n v="340221790"/>
    <s v="THUCHIN"/>
  </r>
  <r>
    <n v="3402"/>
    <s v="31.01.2020"/>
    <n v="2020"/>
    <d v="2020-01-01T00:00:00"/>
    <n v="3"/>
    <n v="200120047"/>
    <s v="SA"/>
    <n v="50"/>
    <x v="3"/>
    <n v="21230140"/>
    <x v="3"/>
    <n v="160577"/>
    <s v="USD"/>
    <n v="3026105.68"/>
    <x v="0"/>
    <m/>
    <m/>
    <m/>
    <m/>
    <m/>
    <m/>
    <m/>
    <m/>
    <s v="02.02.2020"/>
    <m/>
    <n v="20191231"/>
    <n v="160577"/>
    <m/>
    <m/>
    <m/>
    <s v="PROVISIÓN 2% FEE HOTEL HRI DIC 2019"/>
    <m/>
    <m/>
    <m/>
    <m/>
    <m/>
    <m/>
    <n v="340221790"/>
    <s v="THUCHIN"/>
  </r>
  <r>
    <n v="3402"/>
    <s v="31.01.2020"/>
    <n v="2020"/>
    <d v="2020-01-01T00:00:00"/>
    <n v="5"/>
    <n v="200120047"/>
    <s v="SA"/>
    <n v="50"/>
    <x v="3"/>
    <n v="21230140"/>
    <x v="3"/>
    <n v="12021"/>
    <s v="USD"/>
    <n v="226538.15"/>
    <x v="0"/>
    <m/>
    <m/>
    <m/>
    <m/>
    <m/>
    <m/>
    <m/>
    <m/>
    <s v="02.02.2020"/>
    <m/>
    <n v="20191231"/>
    <n v="12021"/>
    <m/>
    <m/>
    <m/>
    <s v="PROVISIÓN 10% FEE ROCK SHOP HRI DIC 2019"/>
    <m/>
    <m/>
    <m/>
    <m/>
    <m/>
    <m/>
    <n v="340268190"/>
    <s v="THUCHIN"/>
  </r>
  <r>
    <n v="3402"/>
    <s v="31.01.2020"/>
    <n v="2020"/>
    <d v="2020-01-01T00:00:00"/>
    <n v="1"/>
    <n v="200120057"/>
    <s v="SA"/>
    <n v="50"/>
    <x v="3"/>
    <n v="21230140"/>
    <x v="3"/>
    <n v="11084.6"/>
    <s v="USD"/>
    <n v="208891.5"/>
    <x v="0"/>
    <m/>
    <m/>
    <m/>
    <m/>
    <m/>
    <m/>
    <m/>
    <m/>
    <s v="02.02.2020"/>
    <s v="WOODWARD DIC"/>
    <n v="20191231"/>
    <n v="11084.6"/>
    <m/>
    <m/>
    <m/>
    <s v="HRRM ROYALTY FEES WOODWARD DIC 2019"/>
    <m/>
    <m/>
    <m/>
    <m/>
    <m/>
    <m/>
    <n v="340275190"/>
    <s v="THUCHIN"/>
  </r>
  <r>
    <n v="3402"/>
    <s v="31.01.2020"/>
    <n v="2020"/>
    <d v="2020-01-01T00:00:00"/>
    <n v="1"/>
    <n v="200126192"/>
    <s v="SA"/>
    <n v="50"/>
    <x v="0"/>
    <n v="21220030"/>
    <x v="0"/>
    <n v="20000"/>
    <s v="MXN"/>
    <n v="20000"/>
    <x v="0"/>
    <m/>
    <m/>
    <m/>
    <m/>
    <m/>
    <m/>
    <m/>
    <m/>
    <s v="05.02.2020"/>
    <m/>
    <n v="20191231"/>
    <n v="20000"/>
    <m/>
    <m/>
    <m/>
    <s v="PROV TELA MICROFIBRA 4501211947"/>
    <m/>
    <m/>
    <m/>
    <m/>
    <m/>
    <m/>
    <n v="340210490"/>
    <s v="THUCHIN"/>
  </r>
  <r>
    <n v="3402"/>
    <s v="31.01.2020"/>
    <n v="2020"/>
    <d v="2020-01-01T00:00:00"/>
    <n v="1"/>
    <n v="200126194"/>
    <s v="SA"/>
    <n v="50"/>
    <x v="0"/>
    <n v="21220030"/>
    <x v="0"/>
    <n v="33700"/>
    <s v="MXN"/>
    <n v="33700"/>
    <x v="0"/>
    <m/>
    <m/>
    <m/>
    <m/>
    <m/>
    <m/>
    <m/>
    <m/>
    <s v="05.02.2020"/>
    <m/>
    <n v="20191231"/>
    <n v="33700"/>
    <m/>
    <m/>
    <m/>
    <s v="PROV MOPA ULTRA SPEED 4501213658"/>
    <m/>
    <m/>
    <m/>
    <m/>
    <m/>
    <m/>
    <n v="340210490"/>
    <s v="THUCHIN"/>
  </r>
  <r>
    <n v="3401"/>
    <s v="28.01.2020"/>
    <n v="2020"/>
    <d v="2020-01-01T00:00:00"/>
    <n v="1"/>
    <n v="100027969"/>
    <s v="WE"/>
    <n v="81"/>
    <x v="4"/>
    <n v="21021040"/>
    <x v="4"/>
    <n v="50484"/>
    <s v="MXN"/>
    <n v="50484"/>
    <x v="0"/>
    <m/>
    <m/>
    <s v="27DFA65C-1D63-41B7-9350-ADC68088A10C"/>
    <s v="CSS160330CP7"/>
    <n v="107211"/>
    <s v="CFE SUMINISTRADOR DE SERVICIOS"/>
    <m/>
    <m/>
    <s v="28.01.2020"/>
    <n v="4501216248"/>
    <s v="WH000533227437"/>
    <n v="50484"/>
    <m/>
    <m/>
    <n v="100036889"/>
    <s v="CONSUMO ENERGIA ENERO 2020"/>
    <m/>
    <m/>
    <s v="TRANSFERENCIA"/>
    <s v="06.02.2020"/>
    <s v="HSBC "/>
    <s v="HSBC 004053489092 TP"/>
    <n v="340118590"/>
    <s v="MANTTO_MEX"/>
  </r>
  <r>
    <n v="3403"/>
    <s v="28.01.2020"/>
    <n v="2020"/>
    <d v="2020-01-01T00:00:00"/>
    <n v="1"/>
    <n v="300015540"/>
    <s v="WE"/>
    <n v="81"/>
    <x v="0"/>
    <n v="21021040"/>
    <x v="0"/>
    <n v="6100.02"/>
    <s v="MXN"/>
    <n v="6100.02"/>
    <x v="0"/>
    <m/>
    <m/>
    <s v="4CA63134-3809-48C2-847E-D054AA4F074B"/>
    <s v="CME190128AY7"/>
    <n v="109624"/>
    <s v="COOKINGCLEAN DE MEXICO SA DE CV"/>
    <m/>
    <m/>
    <s v="28.01.2020"/>
    <n v="476"/>
    <n v="4501226973"/>
    <n v="6100.02"/>
    <n v="976.00320000000011"/>
    <n v="7076.0232000000005"/>
    <n v="300016348"/>
    <s v="SERV.EQUIPO DESINCRUSTANTE ENE 2020"/>
    <n v="7076.0232000000005"/>
    <m/>
    <s v="TRANSFERENCIA"/>
    <s v="23.11.2020"/>
    <s v="HSBC "/>
    <s v="HSBC 004053489092 TP"/>
    <n v="340312890"/>
    <s v="SOLI1103"/>
  </r>
  <r>
    <n v="3402"/>
    <s v="28.01.2020"/>
    <n v="2020"/>
    <d v="2020-01-01T00:00:00"/>
    <n v="1"/>
    <n v="200091776"/>
    <s v="WE"/>
    <n v="81"/>
    <x v="7"/>
    <n v="21021040"/>
    <x v="7"/>
    <n v="30524.48"/>
    <s v="MXN"/>
    <n v="30524.48"/>
    <x v="0"/>
    <m/>
    <m/>
    <s v="4212A6A7-52DA-4CD3-B6B3-A9EB0E49A56F"/>
    <s v="MOFR810207T10"/>
    <n v="606476"/>
    <s v="MORALES FLORES RICARDO JAVIER"/>
    <m/>
    <m/>
    <s v="28.01.2020"/>
    <s v="FOLIO 105"/>
    <n v="20200128"/>
    <n v="30524.48"/>
    <n v="4883.9168"/>
    <n v="35408.396800000002"/>
    <n v="200124279"/>
    <s v="elaboracion diagnostico y plan de manejo"/>
    <n v="35408.396800000002"/>
    <m/>
    <s v="TRANSFERENCIA"/>
    <s v="17.02.2020"/>
    <m/>
    <s v="BBVAB 00188039070 TP"/>
    <n v="340225490"/>
    <s v="SOLI1102"/>
  </r>
  <r>
    <n v="3400"/>
    <s v="28.01.2020"/>
    <n v="2020"/>
    <d v="2020-01-01T00:00:00"/>
    <n v="1"/>
    <n v="100009481"/>
    <s v="SA"/>
    <n v="40"/>
    <x v="8"/>
    <n v="11610090"/>
    <x v="8"/>
    <n v="13529.19"/>
    <s v="USD"/>
    <n v="254772.24"/>
    <x v="0"/>
    <s v="D0"/>
    <m/>
    <m/>
    <m/>
    <m/>
    <m/>
    <m/>
    <m/>
    <s v="28.01.2020"/>
    <s v="AMORT 01 2020"/>
    <n v="20200128"/>
    <n v="13529.19"/>
    <m/>
    <m/>
    <m/>
    <s v="LIC SAP HYBRIS ENE 20"/>
    <m/>
    <m/>
    <m/>
    <m/>
    <m/>
    <m/>
    <n v="340046150"/>
    <s v="YCUTZ"/>
  </r>
  <r>
    <n v="3400"/>
    <s v="28.01.2020"/>
    <n v="2020"/>
    <d v="2020-01-01T00:00:00"/>
    <n v="2"/>
    <n v="100009481"/>
    <s v="SA"/>
    <n v="40"/>
    <x v="8"/>
    <n v="11610090"/>
    <x v="8"/>
    <n v="9675.9500000000007"/>
    <s v="USD"/>
    <n v="182210.72"/>
    <x v="0"/>
    <s v="D0"/>
    <m/>
    <m/>
    <m/>
    <m/>
    <m/>
    <m/>
    <m/>
    <s v="28.01.2020"/>
    <s v="AMORT 01 2020"/>
    <n v="20200128"/>
    <n v="9675.9500000000007"/>
    <m/>
    <m/>
    <m/>
    <s v="LIC SAP HYBRIS ENE 20"/>
    <m/>
    <m/>
    <m/>
    <m/>
    <m/>
    <m/>
    <n v="340046150"/>
    <s v="YCUTZ"/>
  </r>
  <r>
    <n v="3400"/>
    <s v="28.01.2020"/>
    <n v="2020"/>
    <d v="2020-01-01T00:00:00"/>
    <n v="3"/>
    <n v="100009481"/>
    <s v="SA"/>
    <n v="40"/>
    <x v="8"/>
    <n v="11610090"/>
    <x v="8"/>
    <n v="754.4"/>
    <s v="USD"/>
    <n v="14206.33"/>
    <x v="0"/>
    <s v="D0"/>
    <m/>
    <m/>
    <m/>
    <m/>
    <m/>
    <m/>
    <m/>
    <s v="28.01.2020"/>
    <s v="AMORT 01 2020"/>
    <n v="20200128"/>
    <n v="754.4"/>
    <m/>
    <m/>
    <m/>
    <s v="SUPORT COLAB, ENTERPRISE ENE20"/>
    <m/>
    <m/>
    <m/>
    <m/>
    <m/>
    <m/>
    <n v="340099350"/>
    <s v="YCUTZ"/>
  </r>
  <r>
    <n v="3400"/>
    <s v="28.01.2020"/>
    <n v="2020"/>
    <d v="2020-01-01T00:00:00"/>
    <n v="4"/>
    <n v="100009481"/>
    <s v="SA"/>
    <n v="40"/>
    <x v="8"/>
    <n v="11610090"/>
    <x v="8"/>
    <n v="10253.83"/>
    <s v="USD"/>
    <n v="193092.95"/>
    <x v="0"/>
    <s v="D0"/>
    <m/>
    <m/>
    <m/>
    <m/>
    <m/>
    <m/>
    <m/>
    <s v="28.01.2020"/>
    <s v="AMORT 01 2020"/>
    <n v="20200128"/>
    <n v="10253.83"/>
    <m/>
    <m/>
    <m/>
    <s v="LIC OFFICE 365  ENE 20"/>
    <m/>
    <m/>
    <m/>
    <m/>
    <m/>
    <m/>
    <n v="340046150"/>
    <s v="YCUTZ"/>
  </r>
  <r>
    <n v="3400"/>
    <s v="28.01.2020"/>
    <n v="2020"/>
    <d v="2020-01-01T00:00:00"/>
    <n v="5"/>
    <n v="100009481"/>
    <s v="SA"/>
    <n v="40"/>
    <x v="8"/>
    <n v="11610090"/>
    <x v="8"/>
    <n v="5565.18"/>
    <s v="USD"/>
    <n v="104799.57"/>
    <x v="0"/>
    <s v="D0"/>
    <m/>
    <m/>
    <m/>
    <m/>
    <m/>
    <m/>
    <m/>
    <s v="28.01.2020"/>
    <s v="AMORT 01 2020"/>
    <n v="20200128"/>
    <n v="5565.18"/>
    <m/>
    <m/>
    <m/>
    <s v="LIC OFFICE 365 PROPLUS CSP ENE 20"/>
    <m/>
    <m/>
    <m/>
    <m/>
    <m/>
    <m/>
    <n v="340046150"/>
    <s v="YCUTZ"/>
  </r>
  <r>
    <n v="3400"/>
    <s v="28.01.2020"/>
    <n v="2020"/>
    <d v="2020-01-01T00:00:00"/>
    <n v="6"/>
    <n v="100009481"/>
    <s v="SA"/>
    <n v="40"/>
    <x v="8"/>
    <n v="11610090"/>
    <x v="8"/>
    <n v="2483.33"/>
    <s v="USD"/>
    <n v="46764.33"/>
    <x v="0"/>
    <s v="D0"/>
    <m/>
    <m/>
    <m/>
    <m/>
    <m/>
    <m/>
    <m/>
    <s v="28.01.2020"/>
    <s v="AMORT 01 2020"/>
    <n v="20200128"/>
    <n v="2483.33"/>
    <m/>
    <m/>
    <m/>
    <s v="LIC SERV LINKEDIN ENE20"/>
    <m/>
    <m/>
    <m/>
    <m/>
    <m/>
    <m/>
    <n v="340049150"/>
    <s v="YCUTZ"/>
  </r>
  <r>
    <n v="3400"/>
    <s v="28.01.2020"/>
    <n v="2020"/>
    <d v="2020-01-01T00:00:00"/>
    <n v="8"/>
    <n v="100009481"/>
    <s v="SA"/>
    <n v="40"/>
    <x v="8"/>
    <n v="11610090"/>
    <x v="8"/>
    <n v="226.28"/>
    <s v="USD"/>
    <n v="4261.1499999999996"/>
    <x v="0"/>
    <s v="D0"/>
    <m/>
    <m/>
    <m/>
    <m/>
    <m/>
    <m/>
    <m/>
    <s v="28.01.2020"/>
    <s v="AMORT 01 2020"/>
    <n v="20200128"/>
    <n v="226.28"/>
    <m/>
    <m/>
    <m/>
    <s v="DESC AS: Licencias Barracuda"/>
    <m/>
    <m/>
    <m/>
    <m/>
    <m/>
    <m/>
    <n v="340046150"/>
    <s v="YCUTZ"/>
  </r>
  <r>
    <n v="3400"/>
    <s v="28.01.2020"/>
    <n v="2020"/>
    <d v="2020-01-01T00:00:00"/>
    <n v="9"/>
    <n v="100009481"/>
    <s v="SA"/>
    <n v="40"/>
    <x v="8"/>
    <n v="11610090"/>
    <x v="8"/>
    <n v="2451.0500000000002"/>
    <s v="USD"/>
    <n v="46156.46"/>
    <x v="0"/>
    <s v="D0"/>
    <m/>
    <m/>
    <m/>
    <m/>
    <m/>
    <m/>
    <m/>
    <s v="28.01.2020"/>
    <s v="AMORT 01 2020"/>
    <n v="20200128"/>
    <n v="2451.0500000000002"/>
    <m/>
    <m/>
    <m/>
    <s v="DESC AS: Extensión de Suscripciones año 1 SAP C4H"/>
    <m/>
    <m/>
    <m/>
    <m/>
    <m/>
    <m/>
    <n v="340046150"/>
    <s v="YCUTZ"/>
  </r>
  <r>
    <n v="3400"/>
    <s v="28.01.2020"/>
    <n v="2020"/>
    <d v="2020-01-01T00:00:00"/>
    <n v="10"/>
    <n v="100009481"/>
    <s v="SA"/>
    <n v="40"/>
    <x v="8"/>
    <n v="11610090"/>
    <x v="8"/>
    <n v="20809.88"/>
    <s v="USD"/>
    <n v="391877.09"/>
    <x v="0"/>
    <s v="D0"/>
    <m/>
    <m/>
    <m/>
    <m/>
    <m/>
    <m/>
    <m/>
    <s v="28.01.2020"/>
    <s v="AMORT 01 2020"/>
    <n v="20200128"/>
    <n v="20809.88"/>
    <m/>
    <m/>
    <m/>
    <s v="DESC AS: Año 1 Suscripción SAP Commerce y SAP Trav"/>
    <m/>
    <m/>
    <m/>
    <m/>
    <m/>
    <m/>
    <n v="340046150"/>
    <s v="YCUTZ"/>
  </r>
  <r>
    <n v="3400"/>
    <s v="28.01.2020"/>
    <n v="2020"/>
    <d v="2020-01-01T00:00:00"/>
    <n v="11"/>
    <n v="100009481"/>
    <s v="SA"/>
    <n v="40"/>
    <x v="8"/>
    <n v="11610090"/>
    <x v="8"/>
    <n v="625"/>
    <s v="USD"/>
    <n v="11769.56"/>
    <x v="0"/>
    <s v="D0"/>
    <m/>
    <m/>
    <m/>
    <m/>
    <m/>
    <m/>
    <m/>
    <s v="28.01.2020"/>
    <s v="AMORT 01 2020"/>
    <n v="20200128"/>
    <n v="625"/>
    <m/>
    <m/>
    <m/>
    <s v="DESC AS: Licencia Smartsheet"/>
    <m/>
    <m/>
    <m/>
    <m/>
    <m/>
    <m/>
    <n v="340046150"/>
    <s v="YCUTZ"/>
  </r>
  <r>
    <n v="3400"/>
    <s v="28.01.2020"/>
    <n v="2020"/>
    <d v="2020-01-01T00:00:00"/>
    <n v="14"/>
    <n v="100009481"/>
    <s v="SA"/>
    <n v="40"/>
    <x v="9"/>
    <n v="11610090"/>
    <x v="9"/>
    <n v="2896"/>
    <s v="USD"/>
    <n v="54535.44"/>
    <x v="0"/>
    <s v="D0"/>
    <m/>
    <m/>
    <m/>
    <m/>
    <m/>
    <m/>
    <m/>
    <s v="28.01.2020"/>
    <s v="AMORT 01 2020"/>
    <n v="20200128"/>
    <n v="2896"/>
    <m/>
    <m/>
    <m/>
    <s v="DESC AS: Hosting Duetto Revenue ENER 2020"/>
    <m/>
    <m/>
    <m/>
    <m/>
    <m/>
    <m/>
    <n v="340019850"/>
    <s v="YCUTZ"/>
  </r>
  <r>
    <n v="3400"/>
    <s v="28.01.2020"/>
    <n v="2020"/>
    <d v="2020-01-01T00:00:00"/>
    <n v="15"/>
    <n v="100009481"/>
    <s v="SA"/>
    <n v="40"/>
    <x v="9"/>
    <n v="11610090"/>
    <x v="9"/>
    <n v="10112"/>
    <s v="USD"/>
    <n v="190422.11"/>
    <x v="0"/>
    <s v="D0"/>
    <m/>
    <m/>
    <m/>
    <m/>
    <m/>
    <m/>
    <m/>
    <s v="28.01.2020"/>
    <s v="AMORT 01 2020"/>
    <n v="20200128"/>
    <n v="10112"/>
    <m/>
    <m/>
    <m/>
    <s v="DESC AS: Hosting Duetto Revenue ENER 2020"/>
    <m/>
    <m/>
    <m/>
    <m/>
    <m/>
    <m/>
    <n v="340019850"/>
    <s v="YCUTZ"/>
  </r>
  <r>
    <n v="3400"/>
    <s v="28.01.2020"/>
    <n v="2020"/>
    <d v="2020-01-01T00:00:00"/>
    <n v="16"/>
    <n v="100009481"/>
    <s v="SA"/>
    <n v="40"/>
    <x v="9"/>
    <n v="11610090"/>
    <x v="9"/>
    <n v="14200"/>
    <s v="USD"/>
    <n v="267404.46000000002"/>
    <x v="0"/>
    <s v="D0"/>
    <m/>
    <m/>
    <m/>
    <m/>
    <m/>
    <m/>
    <m/>
    <s v="28.01.2020"/>
    <s v="AMORT 01 2020"/>
    <n v="20200128"/>
    <n v="14200"/>
    <m/>
    <m/>
    <m/>
    <s v="DESC AS: Hosting Duetto Revenue ENER 2020"/>
    <m/>
    <m/>
    <m/>
    <m/>
    <m/>
    <m/>
    <n v="340019850"/>
    <s v="YCUTZ"/>
  </r>
  <r>
    <n v="3400"/>
    <s v="28.01.2020"/>
    <n v="2020"/>
    <d v="2020-01-01T00:00:00"/>
    <n v="18"/>
    <n v="100009481"/>
    <s v="SA"/>
    <n v="40"/>
    <x v="8"/>
    <n v="11610090"/>
    <x v="8"/>
    <n v="11004"/>
    <s v="USD"/>
    <n v="207219.63"/>
    <x v="0"/>
    <s v="D0"/>
    <m/>
    <m/>
    <m/>
    <m/>
    <m/>
    <m/>
    <m/>
    <s v="28.01.2020"/>
    <s v="AMORT 01 2020"/>
    <n v="20200128"/>
    <n v="11004"/>
    <m/>
    <m/>
    <m/>
    <s v="Lic SAP AnalytCloud Ene 2020"/>
    <m/>
    <m/>
    <m/>
    <m/>
    <m/>
    <m/>
    <n v="340041850"/>
    <s v="YCUTZ"/>
  </r>
  <r>
    <n v="3400"/>
    <s v="28.01.2020"/>
    <n v="2020"/>
    <d v="2020-01-01T00:00:00"/>
    <n v="19"/>
    <n v="100009481"/>
    <s v="SA"/>
    <n v="40"/>
    <x v="8"/>
    <n v="11610090"/>
    <x v="8"/>
    <n v="408.33"/>
    <s v="USD"/>
    <n v="7689.38"/>
    <x v="0"/>
    <s v="D0"/>
    <m/>
    <m/>
    <m/>
    <m/>
    <m/>
    <m/>
    <m/>
    <s v="28.01.2020"/>
    <s v="AMORT 01 2020"/>
    <n v="20200128"/>
    <n v="408.33"/>
    <m/>
    <m/>
    <m/>
    <s v="DESC AS: Renovación De Licencias"/>
    <m/>
    <m/>
    <m/>
    <m/>
    <m/>
    <m/>
    <n v="340046150"/>
    <s v="YCUTZ"/>
  </r>
  <r>
    <n v="3400"/>
    <s v="28.01.2020"/>
    <n v="2020"/>
    <d v="2020-01-01T00:00:00"/>
    <n v="20"/>
    <n v="100009481"/>
    <s v="SA"/>
    <n v="40"/>
    <x v="8"/>
    <n v="11610090"/>
    <x v="8"/>
    <n v="1786.4"/>
    <s v="USD"/>
    <n v="33640.230000000003"/>
    <x v="0"/>
    <s v="D0"/>
    <m/>
    <m/>
    <m/>
    <m/>
    <m/>
    <m/>
    <m/>
    <s v="28.01.2020"/>
    <s v="AMORT 01 2020"/>
    <n v="20200128"/>
    <n v="1786.4"/>
    <m/>
    <m/>
    <m/>
    <s v="DESC AS: Garantia Servidores HP"/>
    <m/>
    <m/>
    <m/>
    <m/>
    <m/>
    <m/>
    <n v="340046150"/>
    <s v="YCUTZ"/>
  </r>
  <r>
    <n v="3400"/>
    <s v="28.01.2020"/>
    <n v="2020"/>
    <d v="2020-01-01T00:00:00"/>
    <n v="21"/>
    <n v="100009481"/>
    <s v="SA"/>
    <n v="40"/>
    <x v="8"/>
    <n v="11610090"/>
    <x v="8"/>
    <n v="1786.4"/>
    <s v="USD"/>
    <n v="33640.230000000003"/>
    <x v="0"/>
    <s v="D0"/>
    <m/>
    <m/>
    <m/>
    <m/>
    <m/>
    <m/>
    <m/>
    <s v="28.01.2020"/>
    <s v="AMORT 01 2020"/>
    <n v="20200128"/>
    <n v="1786.4"/>
    <m/>
    <m/>
    <m/>
    <s v="DESC AS: Garantia Servidores HP"/>
    <m/>
    <m/>
    <m/>
    <m/>
    <m/>
    <m/>
    <n v="340046150"/>
    <s v="YCUTZ"/>
  </r>
  <r>
    <n v="3400"/>
    <s v="28.01.2020"/>
    <n v="2020"/>
    <d v="2020-01-01T00:00:00"/>
    <n v="22"/>
    <n v="100009481"/>
    <s v="SA"/>
    <n v="40"/>
    <x v="8"/>
    <n v="11610090"/>
    <x v="8"/>
    <n v="1476.56"/>
    <s v="USD"/>
    <n v="27805.54"/>
    <x v="0"/>
    <s v="D0"/>
    <m/>
    <m/>
    <m/>
    <m/>
    <m/>
    <m/>
    <m/>
    <s v="28.01.2020"/>
    <s v="AMORT 01 2020"/>
    <n v="20200128"/>
    <n v="1476.56"/>
    <m/>
    <m/>
    <m/>
    <s v="DESC AS: Garantia Servidores HP"/>
    <m/>
    <m/>
    <m/>
    <m/>
    <m/>
    <m/>
    <n v="340046150"/>
    <s v="YCUTZ"/>
  </r>
  <r>
    <n v="3400"/>
    <s v="28.01.2020"/>
    <n v="2020"/>
    <d v="2020-01-01T00:00:00"/>
    <n v="23"/>
    <n v="100009481"/>
    <s v="SA"/>
    <n v="40"/>
    <x v="8"/>
    <n v="11610090"/>
    <x v="8"/>
    <n v="1476.56"/>
    <s v="USD"/>
    <n v="27805.54"/>
    <x v="0"/>
    <s v="D0"/>
    <m/>
    <m/>
    <m/>
    <m/>
    <m/>
    <m/>
    <m/>
    <s v="28.01.2020"/>
    <s v="AMORT 01 2020"/>
    <n v="20200128"/>
    <n v="1476.56"/>
    <m/>
    <m/>
    <m/>
    <s v="DESC AS: Garantia Servidores HP"/>
    <m/>
    <m/>
    <m/>
    <m/>
    <m/>
    <m/>
    <n v="340046150"/>
    <s v="YCUTZ"/>
  </r>
  <r>
    <n v="3400"/>
    <s v="28.01.2020"/>
    <n v="2020"/>
    <d v="2020-01-01T00:00:00"/>
    <n v="1"/>
    <n v="100010073"/>
    <s v="SA"/>
    <n v="40"/>
    <x v="8"/>
    <n v="11610090"/>
    <x v="8"/>
    <n v="15943.4"/>
    <s v="MXN"/>
    <n v="15943.4"/>
    <x v="0"/>
    <s v="D0"/>
    <m/>
    <m/>
    <m/>
    <m/>
    <m/>
    <m/>
    <m/>
    <s v="30.01.2020"/>
    <s v="AMORT 01 2020"/>
    <n v="20200128"/>
    <n v="15943.4"/>
    <m/>
    <m/>
    <m/>
    <s v="LIC CREATIVE CLOUD FOR TEAMS ENE20"/>
    <m/>
    <m/>
    <m/>
    <m/>
    <m/>
    <m/>
    <n v="340019550"/>
    <s v="YCUTZ"/>
  </r>
  <r>
    <n v="3400"/>
    <s v="28.01.2020"/>
    <n v="2020"/>
    <d v="2020-01-01T00:00:00"/>
    <n v="2"/>
    <n v="100010073"/>
    <s v="SA"/>
    <n v="40"/>
    <x v="8"/>
    <n v="11610090"/>
    <x v="8"/>
    <n v="813.75"/>
    <s v="MXN"/>
    <n v="813.75"/>
    <x v="0"/>
    <s v="D0"/>
    <m/>
    <m/>
    <m/>
    <m/>
    <m/>
    <m/>
    <m/>
    <s v="30.01.2020"/>
    <s v="AMORT 01 2020"/>
    <n v="20200128"/>
    <n v="813.75"/>
    <m/>
    <m/>
    <m/>
    <s v="DESC AS: Licencia Creative Cloud"/>
    <m/>
    <m/>
    <m/>
    <m/>
    <m/>
    <m/>
    <n v="340046150"/>
    <s v="YCUTZ"/>
  </r>
  <r>
    <n v="3400"/>
    <s v="28.01.2020"/>
    <n v="2020"/>
    <d v="2020-01-01T00:00:00"/>
    <n v="4"/>
    <n v="100010073"/>
    <s v="SA"/>
    <n v="40"/>
    <x v="8"/>
    <n v="11610090"/>
    <x v="8"/>
    <n v="14630"/>
    <s v="MXN"/>
    <n v="14630"/>
    <x v="0"/>
    <s v="D0"/>
    <m/>
    <m/>
    <m/>
    <m/>
    <m/>
    <m/>
    <m/>
    <s v="30.01.2020"/>
    <s v="AMORT 01 2020"/>
    <n v="20200128"/>
    <n v="14630"/>
    <m/>
    <m/>
    <m/>
    <s v="DESC AS: Licencia Portal De Proveedores"/>
    <m/>
    <m/>
    <m/>
    <m/>
    <m/>
    <m/>
    <n v="340046550"/>
    <s v="YCUTZ"/>
  </r>
  <r>
    <n v="3400"/>
    <s v="28.01.2020"/>
    <n v="2020"/>
    <d v="2020-01-01T00:00:00"/>
    <n v="1"/>
    <n v="100010076"/>
    <s v="SA"/>
    <n v="40"/>
    <x v="8"/>
    <n v="11610030"/>
    <x v="8"/>
    <n v="19396.48"/>
    <s v="MXN"/>
    <n v="19396.48"/>
    <x v="0"/>
    <s v="D0"/>
    <m/>
    <m/>
    <m/>
    <m/>
    <m/>
    <m/>
    <n v="100010077"/>
    <s v="30.01.2020"/>
    <s v="AMORT 01 2020"/>
    <n v="20200128"/>
    <n v="19396.48"/>
    <m/>
    <m/>
    <m/>
    <s v="DESC AS: Mantenimiento de Licencias SAP ERP ENERO"/>
    <m/>
    <m/>
    <m/>
    <m/>
    <m/>
    <m/>
    <n v="340046550"/>
    <s v="YCUTZ"/>
  </r>
  <r>
    <n v="3400"/>
    <s v="28.01.2020"/>
    <n v="2020"/>
    <d v="2020-01-01T00:00:00"/>
    <n v="1"/>
    <n v="100010077"/>
    <s v="AB"/>
    <n v="50"/>
    <x v="8"/>
    <n v="11610030"/>
    <x v="8"/>
    <n v="19396.48"/>
    <s v="MXN"/>
    <n v="19396.48"/>
    <x v="0"/>
    <s v="D0"/>
    <m/>
    <m/>
    <m/>
    <m/>
    <m/>
    <m/>
    <n v="100010076"/>
    <s v="30.01.2020"/>
    <s v="AMORT 01 2020"/>
    <n v="20200128"/>
    <n v="19396.48"/>
    <m/>
    <m/>
    <m/>
    <s v="DESC AS: Mantenimiento de Licencias SAP ERP ENERO"/>
    <m/>
    <m/>
    <m/>
    <m/>
    <m/>
    <m/>
    <n v="340046550"/>
    <s v="YCUTZ"/>
  </r>
  <r>
    <n v="3400"/>
    <s v="28.01.2020"/>
    <n v="2020"/>
    <d v="2020-01-01T00:00:00"/>
    <n v="1"/>
    <n v="100010111"/>
    <s v="SA"/>
    <n v="40"/>
    <x v="8"/>
    <n v="11610030"/>
    <x v="8"/>
    <n v="19396.48"/>
    <s v="USD"/>
    <n v="365260.93"/>
    <x v="0"/>
    <s v="D0"/>
    <m/>
    <m/>
    <m/>
    <m/>
    <m/>
    <m/>
    <m/>
    <s v="30.01.2020"/>
    <s v="AMORT 01 2020"/>
    <n v="20200128"/>
    <n v="19396.48"/>
    <m/>
    <m/>
    <m/>
    <s v="DESC AS: Mantenimiento de Licencias SAP ERP ENERO"/>
    <m/>
    <m/>
    <m/>
    <m/>
    <m/>
    <m/>
    <n v="340046550"/>
    <s v="YCUTZ"/>
  </r>
  <r>
    <n v="3403"/>
    <s v="28.01.2020"/>
    <n v="2020"/>
    <d v="2020-01-01T00:00:00"/>
    <n v="2"/>
    <n v="300021502"/>
    <s v="SA"/>
    <n v="50"/>
    <x v="0"/>
    <n v="71106080"/>
    <x v="0"/>
    <n v="6100.02"/>
    <s v="MXN"/>
    <n v="6100.02"/>
    <x v="0"/>
    <m/>
    <m/>
    <m/>
    <m/>
    <m/>
    <m/>
    <m/>
    <m/>
    <s v="06.02.2020"/>
    <m/>
    <n v="20200128"/>
    <n v="6100.02"/>
    <m/>
    <m/>
    <m/>
    <s v="SERV.EQUIPO DESINCRUSTANTE ENE 2020"/>
    <m/>
    <m/>
    <m/>
    <m/>
    <m/>
    <m/>
    <n v="340312890"/>
    <s v="ERAMOS"/>
  </r>
  <r>
    <n v="3400"/>
    <s v="28.01.2020"/>
    <n v="2020"/>
    <d v="2020-01-01T00:00:00"/>
    <n v="13"/>
    <n v="100009481"/>
    <s v="SA"/>
    <n v="40"/>
    <x v="8"/>
    <n v="11610090"/>
    <x v="8"/>
    <n v="1529.16"/>
    <s v="USD"/>
    <n v="28796.07"/>
    <x v="0"/>
    <s v="D0"/>
    <m/>
    <m/>
    <m/>
    <m/>
    <m/>
    <m/>
    <m/>
    <s v="28.01.2020"/>
    <s v="AMORT 01 2020"/>
    <n v="20200128"/>
    <n v="1529.16"/>
    <m/>
    <m/>
    <m/>
    <s v="DESC AS: Suscripcion Plataforma Ezrmz"/>
    <m/>
    <m/>
    <m/>
    <m/>
    <m/>
    <m/>
    <n v="340019850"/>
    <s v="YCUTZ"/>
  </r>
  <r>
    <n v="3400"/>
    <s v="28.01.2020"/>
    <n v="2020"/>
    <d v="2020-01-01T00:00:00"/>
    <n v="12"/>
    <n v="100009481"/>
    <s v="SA"/>
    <n v="40"/>
    <x v="8"/>
    <n v="11610090"/>
    <x v="8"/>
    <n v="6449.76"/>
    <s v="USD"/>
    <n v="121457.37"/>
    <x v="0"/>
    <s v="D0"/>
    <m/>
    <m/>
    <m/>
    <m/>
    <m/>
    <m/>
    <m/>
    <s v="28.01.2020"/>
    <s v="AMORT 01 2020"/>
    <n v="20200128"/>
    <n v="6449.76"/>
    <m/>
    <m/>
    <m/>
    <s v="DESC AS: Licencias TMSforPOS"/>
    <m/>
    <m/>
    <m/>
    <m/>
    <m/>
    <m/>
    <n v="340046150"/>
    <s v="YCUTZ"/>
  </r>
  <r>
    <n v="3407"/>
    <s v="28.01.2020"/>
    <n v="2020"/>
    <d v="2020-01-01T00:00:00"/>
    <n v="1"/>
    <n v="700032933"/>
    <s v="WE"/>
    <n v="81"/>
    <x v="4"/>
    <n v="21021040"/>
    <x v="4"/>
    <n v="3557319.57"/>
    <s v="MXN"/>
    <n v="3557319.57"/>
    <x v="0"/>
    <m/>
    <m/>
    <s v="8C50D87A-B0AB-4AAF-A8F3-A79EB662C481"/>
    <s v="CSS160330CP7"/>
    <n v="107211"/>
    <s v="CFE SUMINISTRADOR DE SERVICIOS"/>
    <m/>
    <m/>
    <s v="28.01.2020"/>
    <s v="AG000029644824"/>
    <n v="20200128"/>
    <n v="3557319.57"/>
    <n v="569171.13119999995"/>
    <n v="4082382"/>
    <n v="700042411"/>
    <s v="CFE ENERO 2020"/>
    <n v="4082382"/>
    <m/>
    <s v="TRANSFERENCIA"/>
    <s v="06.02.2020"/>
    <s v="HSBC "/>
    <s v="HSBC 004053489092 TP"/>
    <n v="340718590"/>
    <s v="SOLI3407"/>
  </r>
  <r>
    <n v="3409"/>
    <s v="28.01.2020"/>
    <n v="2020"/>
    <d v="2020-01-01T00:00:00"/>
    <n v="1"/>
    <n v="900009856"/>
    <s v="WE"/>
    <n v="81"/>
    <x v="5"/>
    <n v="21021040"/>
    <x v="5"/>
    <n v="43860"/>
    <s v="MXN"/>
    <n v="43860"/>
    <x v="0"/>
    <m/>
    <m/>
    <m/>
    <m/>
    <n v="500006"/>
    <s v="PROVEEDOR UNICO COMPRAS."/>
    <m/>
    <m/>
    <s v="28.01.2020"/>
    <m/>
    <n v="20200128"/>
    <n v="43860"/>
    <m/>
    <m/>
    <m/>
    <s v="Incentivos Concierge Diciembre 2019"/>
    <m/>
    <m/>
    <m/>
    <m/>
    <m/>
    <m/>
    <n v="340921790"/>
    <s v="SOLI3409"/>
  </r>
  <r>
    <n v="3407"/>
    <s v="28.01.2020"/>
    <n v="2020"/>
    <d v="2020-01-01T00:00:00"/>
    <n v="1"/>
    <n v="700042289"/>
    <s v="WE"/>
    <n v="91"/>
    <x v="4"/>
    <n v="21021040"/>
    <x v="4"/>
    <n v="3557319.57"/>
    <s v="MXN"/>
    <n v="3557319.57"/>
    <x v="0"/>
    <m/>
    <m/>
    <s v="8C50D87A-B0AB-4AAF-A8F3-A79EB662C481"/>
    <s v="CSS160330CP7"/>
    <n v="107211"/>
    <s v="CFE SUMINISTRADOR DE SERVICIOS"/>
    <m/>
    <m/>
    <s v="03.02.2020"/>
    <n v="1012020"/>
    <s v="REGISTROS ANULADOS"/>
    <n v="3557319.57"/>
    <m/>
    <m/>
    <m/>
    <s v="CFE ENERO 2020"/>
    <m/>
    <m/>
    <s v="TRANSFERENCIA"/>
    <m/>
    <s v="HSBC "/>
    <s v="HSBC 004053489092 TP"/>
    <n v="340718590"/>
    <s v="JMIRALLES"/>
  </r>
  <r>
    <n v="3403"/>
    <s v="02.01.2020"/>
    <n v="2020"/>
    <d v="2020-01-01T00:00:00"/>
    <n v="1"/>
    <n v="300017003"/>
    <s v="WE"/>
    <n v="81"/>
    <x v="4"/>
    <n v="21021040"/>
    <x v="4"/>
    <n v="38384.019999999997"/>
    <s v="MXN"/>
    <n v="38384.019999999997"/>
    <x v="0"/>
    <m/>
    <m/>
    <s v="AC3BF6C0-9B0A-4192-9B59-D7ECB6359DA3"/>
    <s v="CSS160330CP7"/>
    <n v="107211"/>
    <s v="CFE SUMINISTRADOR DE SERVICIOS"/>
    <m/>
    <m/>
    <s v="30.01.2020"/>
    <n v="4501228713"/>
    <n v="20200102"/>
    <n v="38384.019999999997"/>
    <n v="6141.4431999999997"/>
    <n v="44525.463199999998"/>
    <n v="300021003"/>
    <s v="Electricidad HRV 01 Enero 2020"/>
    <n v="44525.463199999998"/>
    <m/>
    <s v="TRANSFERENCIA"/>
    <s v="06.02.2020"/>
    <s v="HSBC "/>
    <s v="HSBC 004053489092 TP"/>
    <n v="340318590"/>
    <s v="SOLI1103"/>
  </r>
  <r>
    <n v="3403"/>
    <s v="02.01.2020"/>
    <n v="2020"/>
    <d v="2020-01-01T00:00:00"/>
    <n v="3"/>
    <n v="300017003"/>
    <s v="WE"/>
    <n v="81"/>
    <x v="4"/>
    <n v="21021040"/>
    <x v="4"/>
    <n v="45342"/>
    <s v="MXN"/>
    <n v="45342"/>
    <x v="0"/>
    <m/>
    <m/>
    <s v="AC3BF6C0-9B0A-4192-9B59-D7ECB6359DA3"/>
    <s v="CSS160330CP7"/>
    <n v="107211"/>
    <s v="CFE SUMINISTRADOR DE SERVICIOS"/>
    <m/>
    <m/>
    <s v="30.01.2020"/>
    <n v="4501228713"/>
    <n v="20200102"/>
    <n v="45342"/>
    <n v="7254.72"/>
    <n v="52596.72"/>
    <n v="300021003"/>
    <s v="Electricidad HRV 02 Enero 2020"/>
    <n v="52596.72"/>
    <m/>
    <s v="TRANSFERENCIA"/>
    <s v="06.02.2020"/>
    <s v="HSBC "/>
    <s v="HSBC 004053489092 TP"/>
    <n v="340318590"/>
    <s v="SOLI1103"/>
  </r>
  <r>
    <n v="3403"/>
    <s v="02.01.2020"/>
    <n v="2020"/>
    <d v="2020-01-01T00:00:00"/>
    <n v="5"/>
    <n v="300017003"/>
    <s v="WE"/>
    <n v="81"/>
    <x v="4"/>
    <n v="21021040"/>
    <x v="4"/>
    <n v="44719"/>
    <s v="MXN"/>
    <n v="44719"/>
    <x v="0"/>
    <m/>
    <m/>
    <s v="AC3BF6C0-9B0A-4192-9B59-D7ECB6359DA3"/>
    <s v="CSS160330CP7"/>
    <n v="107211"/>
    <s v="CFE SUMINISTRADOR DE SERVICIOS"/>
    <m/>
    <m/>
    <s v="30.01.2020"/>
    <n v="4501228713"/>
    <n v="20200102"/>
    <n v="44719"/>
    <n v="7155.04"/>
    <n v="51874.04"/>
    <n v="300021003"/>
    <s v="Electricidad HRV 03 Enero 2020"/>
    <n v="51874.04"/>
    <m/>
    <s v="TRANSFERENCIA"/>
    <s v="06.02.2020"/>
    <s v="HSBC "/>
    <s v="HSBC 004053489092 TP"/>
    <n v="340318590"/>
    <s v="SOLI1103"/>
  </r>
  <r>
    <n v="3403"/>
    <s v="02.01.2020"/>
    <n v="2020"/>
    <d v="2020-01-01T00:00:00"/>
    <n v="7"/>
    <n v="300017003"/>
    <s v="WE"/>
    <n v="81"/>
    <x v="4"/>
    <n v="21021040"/>
    <x v="4"/>
    <n v="43732"/>
    <s v="MXN"/>
    <n v="43732"/>
    <x v="0"/>
    <m/>
    <m/>
    <s v="AC3BF6C0-9B0A-4192-9B59-D7ECB6359DA3"/>
    <s v="CSS160330CP7"/>
    <n v="107211"/>
    <s v="CFE SUMINISTRADOR DE SERVICIOS"/>
    <m/>
    <m/>
    <s v="30.01.2020"/>
    <n v="4501228713"/>
    <n v="20200102"/>
    <n v="43732"/>
    <n v="6997.12"/>
    <n v="50729.120000000003"/>
    <n v="300021003"/>
    <s v="Electricidad HRV 04 Enero 2020"/>
    <n v="50729.120000000003"/>
    <m/>
    <s v="TRANSFERENCIA"/>
    <s v="06.02.2020"/>
    <s v="HSBC "/>
    <s v="HSBC 004053489092 TP"/>
    <n v="340318590"/>
    <s v="SOLI1103"/>
  </r>
  <r>
    <n v="3403"/>
    <s v="02.01.2020"/>
    <n v="2020"/>
    <d v="2020-01-01T00:00:00"/>
    <n v="9"/>
    <n v="300017003"/>
    <s v="WE"/>
    <n v="81"/>
    <x v="4"/>
    <n v="21021040"/>
    <x v="4"/>
    <n v="37985.019999999997"/>
    <s v="MXN"/>
    <n v="37985.019999999997"/>
    <x v="0"/>
    <m/>
    <m/>
    <s v="AC3BF6C0-9B0A-4192-9B59-D7ECB6359DA3"/>
    <s v="CSS160330CP7"/>
    <n v="107211"/>
    <s v="CFE SUMINISTRADOR DE SERVICIOS"/>
    <m/>
    <m/>
    <s v="30.01.2020"/>
    <n v="4501228713"/>
    <n v="20200102"/>
    <n v="37985.019999999997"/>
    <n v="6077.6031999999996"/>
    <n v="44062.623199999995"/>
    <n v="300021003"/>
    <s v="Electricidad HRV 05 Enero 2020"/>
    <n v="44062.623199999995"/>
    <m/>
    <s v="TRANSFERENCIA"/>
    <s v="06.02.2020"/>
    <s v="HSBC "/>
    <s v="HSBC 004053489092 TP"/>
    <n v="340318590"/>
    <s v="SOLI1103"/>
  </r>
  <r>
    <n v="3403"/>
    <s v="02.01.2020"/>
    <n v="2020"/>
    <d v="2020-01-01T00:00:00"/>
    <n v="11"/>
    <n v="300017003"/>
    <s v="WE"/>
    <n v="81"/>
    <x v="4"/>
    <n v="21021040"/>
    <x v="4"/>
    <n v="45013"/>
    <s v="MXN"/>
    <n v="45013"/>
    <x v="0"/>
    <m/>
    <m/>
    <s v="AC3BF6C0-9B0A-4192-9B59-D7ECB6359DA3"/>
    <s v="CSS160330CP7"/>
    <n v="107211"/>
    <s v="CFE SUMINISTRADOR DE SERVICIOS"/>
    <m/>
    <m/>
    <s v="30.01.2020"/>
    <n v="4501228713"/>
    <n v="20200102"/>
    <n v="45013"/>
    <n v="7202.08"/>
    <n v="52215.08"/>
    <n v="300021003"/>
    <s v="Electricidad HRV 06 Enero 2020"/>
    <n v="52215.08"/>
    <m/>
    <s v="TRANSFERENCIA"/>
    <s v="06.02.2020"/>
    <s v="HSBC "/>
    <s v="HSBC 004053489092 TP"/>
    <n v="340318590"/>
    <s v="SOLI1103"/>
  </r>
  <r>
    <n v="3403"/>
    <s v="02.01.2020"/>
    <n v="2020"/>
    <d v="2020-01-01T00:00:00"/>
    <n v="13"/>
    <n v="300017003"/>
    <s v="WE"/>
    <n v="81"/>
    <x v="4"/>
    <n v="21021040"/>
    <x v="4"/>
    <n v="46504"/>
    <s v="MXN"/>
    <n v="46504"/>
    <x v="0"/>
    <m/>
    <m/>
    <s v="AC3BF6C0-9B0A-4192-9B59-D7ECB6359DA3"/>
    <s v="CSS160330CP7"/>
    <n v="107211"/>
    <s v="CFE SUMINISTRADOR DE SERVICIOS"/>
    <m/>
    <m/>
    <s v="30.01.2020"/>
    <n v="4501228713"/>
    <n v="20200102"/>
    <n v="46504"/>
    <n v="7440.64"/>
    <n v="53944.639999999999"/>
    <n v="300021003"/>
    <s v="Electricidad HRV 07 Enero 2020"/>
    <n v="53944.639999999999"/>
    <m/>
    <s v="TRANSFERENCIA"/>
    <s v="06.02.2020"/>
    <s v="HSBC "/>
    <s v="HSBC 004053489092 TP"/>
    <n v="340318590"/>
    <s v="SOLI1103"/>
  </r>
  <r>
    <n v="3403"/>
    <s v="02.01.2020"/>
    <n v="2020"/>
    <d v="2020-01-01T00:00:00"/>
    <n v="15"/>
    <n v="300017003"/>
    <s v="WE"/>
    <n v="81"/>
    <x v="4"/>
    <n v="21021040"/>
    <x v="4"/>
    <n v="47358"/>
    <s v="MXN"/>
    <n v="47358"/>
    <x v="0"/>
    <m/>
    <m/>
    <s v="AC3BF6C0-9B0A-4192-9B59-D7ECB6359DA3"/>
    <s v="CSS160330CP7"/>
    <n v="107211"/>
    <s v="CFE SUMINISTRADOR DE SERVICIOS"/>
    <m/>
    <m/>
    <s v="30.01.2020"/>
    <n v="4501228713"/>
    <n v="20200102"/>
    <n v="47358"/>
    <n v="7577.28"/>
    <n v="54935.28"/>
    <n v="300021003"/>
    <s v="Electricidad HRV 08 Enero 2020"/>
    <n v="54935.28"/>
    <m/>
    <s v="TRANSFERENCIA"/>
    <s v="06.02.2020"/>
    <s v="HSBC "/>
    <s v="HSBC 004053489092 TP"/>
    <n v="340318590"/>
    <s v="SOLI1103"/>
  </r>
  <r>
    <n v="3403"/>
    <s v="02.01.2020"/>
    <n v="2020"/>
    <d v="2020-01-01T00:00:00"/>
    <n v="17"/>
    <n v="300017003"/>
    <s v="WE"/>
    <n v="81"/>
    <x v="4"/>
    <n v="21021040"/>
    <x v="4"/>
    <n v="47372"/>
    <s v="MXN"/>
    <n v="47372"/>
    <x v="0"/>
    <m/>
    <m/>
    <s v="AC3BF6C0-9B0A-4192-9B59-D7ECB6359DA3"/>
    <s v="CSS160330CP7"/>
    <n v="107211"/>
    <s v="CFE SUMINISTRADOR DE SERVICIOS"/>
    <m/>
    <m/>
    <s v="30.01.2020"/>
    <n v="4501228713"/>
    <n v="20200102"/>
    <n v="47372"/>
    <n v="7579.52"/>
    <n v="54951.520000000004"/>
    <n v="300021003"/>
    <s v="Electricidad HRV 09 Enero 2020"/>
    <n v="54951.520000000004"/>
    <m/>
    <s v="TRANSFERENCIA"/>
    <s v="06.02.2020"/>
    <s v="HSBC "/>
    <s v="HSBC 004053489092 TP"/>
    <n v="340318590"/>
    <s v="SOLI1103"/>
  </r>
  <r>
    <n v="3403"/>
    <s v="02.01.2020"/>
    <n v="2020"/>
    <d v="2020-01-01T00:00:00"/>
    <n v="19"/>
    <n v="300017003"/>
    <s v="WE"/>
    <n v="81"/>
    <x v="4"/>
    <n v="21021040"/>
    <x v="4"/>
    <n v="47421"/>
    <s v="MXN"/>
    <n v="47421"/>
    <x v="0"/>
    <m/>
    <m/>
    <s v="AC3BF6C0-9B0A-4192-9B59-D7ECB6359DA3"/>
    <s v="CSS160330CP7"/>
    <n v="107211"/>
    <s v="CFE SUMINISTRADOR DE SERVICIOS"/>
    <m/>
    <m/>
    <s v="30.01.2020"/>
    <n v="4501228713"/>
    <n v="20200102"/>
    <n v="47421"/>
    <n v="7587.3600000000006"/>
    <n v="55008.36"/>
    <n v="300021003"/>
    <s v="Electricidad HRV 10 Enero 2020"/>
    <n v="55008.36"/>
    <m/>
    <s v="TRANSFERENCIA"/>
    <s v="06.02.2020"/>
    <s v="HSBC "/>
    <s v="HSBC 004053489092 TP"/>
    <n v="340318590"/>
    <s v="SOLI1103"/>
  </r>
  <r>
    <n v="3403"/>
    <s v="02.01.2020"/>
    <n v="2020"/>
    <d v="2020-01-01T00:00:00"/>
    <n v="21"/>
    <n v="300017003"/>
    <s v="WE"/>
    <n v="81"/>
    <x v="4"/>
    <n v="21021040"/>
    <x v="4"/>
    <n v="49864"/>
    <s v="MXN"/>
    <n v="49864"/>
    <x v="0"/>
    <m/>
    <m/>
    <s v="AC3BF6C0-9B0A-4192-9B59-D7ECB6359DA3"/>
    <s v="CSS160330CP7"/>
    <n v="107211"/>
    <s v="CFE SUMINISTRADOR DE SERVICIOS"/>
    <m/>
    <m/>
    <s v="30.01.2020"/>
    <n v="4501228713"/>
    <n v="20200102"/>
    <n v="49864"/>
    <n v="7978.24"/>
    <n v="57842.239999999998"/>
    <n v="300021003"/>
    <s v="Electricidad HRV 11 Enero 2020"/>
    <n v="57842.239999999998"/>
    <m/>
    <s v="TRANSFERENCIA"/>
    <s v="06.02.2020"/>
    <s v="HSBC "/>
    <s v="HSBC 004053489092 TP"/>
    <n v="340318590"/>
    <s v="SOLI1103"/>
  </r>
  <r>
    <n v="3403"/>
    <s v="02.01.2020"/>
    <n v="2020"/>
    <d v="2020-01-01T00:00:00"/>
    <n v="23"/>
    <n v="300017003"/>
    <s v="WE"/>
    <n v="81"/>
    <x v="4"/>
    <n v="21021040"/>
    <x v="4"/>
    <n v="35549.019999999997"/>
    <s v="MXN"/>
    <n v="35549.019999999997"/>
    <x v="0"/>
    <m/>
    <m/>
    <s v="AC3BF6C0-9B0A-4192-9B59-D7ECB6359DA3"/>
    <s v="CSS160330CP7"/>
    <n v="107211"/>
    <s v="CFE SUMINISTRADOR DE SERVICIOS"/>
    <m/>
    <m/>
    <s v="30.01.2020"/>
    <n v="4501228713"/>
    <n v="20200102"/>
    <n v="35549.019999999997"/>
    <n v="5687.8431999999993"/>
    <n v="41236.863199999993"/>
    <n v="300021003"/>
    <s v="Electricidad HRV 12 Enero 2020"/>
    <n v="41236.863199999993"/>
    <m/>
    <s v="TRANSFERENCIA"/>
    <s v="06.02.2020"/>
    <s v="HSBC "/>
    <s v="HSBC 004053489092 TP"/>
    <n v="340318590"/>
    <s v="SOLI1103"/>
  </r>
  <r>
    <n v="3403"/>
    <s v="02.01.2020"/>
    <n v="2020"/>
    <d v="2020-01-01T00:00:00"/>
    <n v="25"/>
    <n v="300017003"/>
    <s v="WE"/>
    <n v="81"/>
    <x v="4"/>
    <n v="21021040"/>
    <x v="4"/>
    <n v="48471"/>
    <s v="MXN"/>
    <n v="48471"/>
    <x v="0"/>
    <m/>
    <m/>
    <s v="AC3BF6C0-9B0A-4192-9B59-D7ECB6359DA3"/>
    <s v="CSS160330CP7"/>
    <n v="107211"/>
    <s v="CFE SUMINISTRADOR DE SERVICIOS"/>
    <m/>
    <m/>
    <s v="30.01.2020"/>
    <n v="4501228713"/>
    <n v="20200102"/>
    <n v="48471"/>
    <n v="7755.3600000000006"/>
    <n v="56226.36"/>
    <n v="300021003"/>
    <s v="Electricidad HRV 13 Enero 2020"/>
    <n v="56226.36"/>
    <m/>
    <s v="TRANSFERENCIA"/>
    <s v="06.02.2020"/>
    <s v="HSBC "/>
    <s v="HSBC 004053489092 TP"/>
    <n v="340318590"/>
    <s v="SOLI1103"/>
  </r>
  <r>
    <n v="3403"/>
    <s v="02.01.2020"/>
    <n v="2020"/>
    <d v="2020-01-01T00:00:00"/>
    <n v="27"/>
    <n v="300017003"/>
    <s v="WE"/>
    <n v="81"/>
    <x v="4"/>
    <n v="21021040"/>
    <x v="4"/>
    <n v="47799"/>
    <s v="MXN"/>
    <n v="47799"/>
    <x v="0"/>
    <m/>
    <m/>
    <s v="AC3BF6C0-9B0A-4192-9B59-D7ECB6359DA3"/>
    <s v="CSS160330CP7"/>
    <n v="107211"/>
    <s v="CFE SUMINISTRADOR DE SERVICIOS"/>
    <m/>
    <m/>
    <s v="30.01.2020"/>
    <n v="4501228713"/>
    <n v="20200102"/>
    <n v="47799"/>
    <n v="7647.84"/>
    <n v="55446.84"/>
    <n v="300021003"/>
    <s v="Electricidad HRV 14 Enero 2020"/>
    <n v="55446.84"/>
    <m/>
    <s v="TRANSFERENCIA"/>
    <s v="06.02.2020"/>
    <s v="HSBC "/>
    <s v="HSBC 004053489092 TP"/>
    <n v="340318590"/>
    <s v="SOLI1103"/>
  </r>
  <r>
    <n v="3403"/>
    <s v="02.01.2020"/>
    <n v="2020"/>
    <d v="2020-01-01T00:00:00"/>
    <n v="29"/>
    <n v="300017003"/>
    <s v="WE"/>
    <n v="81"/>
    <x v="4"/>
    <n v="21021040"/>
    <x v="4"/>
    <n v="49528"/>
    <s v="MXN"/>
    <n v="49528"/>
    <x v="0"/>
    <m/>
    <m/>
    <s v="AC3BF6C0-9B0A-4192-9B59-D7ECB6359DA3"/>
    <s v="CSS160330CP7"/>
    <n v="107211"/>
    <s v="CFE SUMINISTRADOR DE SERVICIOS"/>
    <m/>
    <m/>
    <s v="30.01.2020"/>
    <n v="4501228713"/>
    <n v="20200102"/>
    <n v="49528"/>
    <n v="7924.4800000000005"/>
    <n v="57452.480000000003"/>
    <n v="300021003"/>
    <s v="Electricidad HRV 15 Enero 2020"/>
    <n v="57452.480000000003"/>
    <m/>
    <s v="TRANSFERENCIA"/>
    <s v="06.02.2020"/>
    <s v="HSBC "/>
    <s v="HSBC 004053489092 TP"/>
    <n v="340318590"/>
    <s v="SOLI1103"/>
  </r>
  <r>
    <n v="3403"/>
    <s v="02.01.2020"/>
    <n v="2020"/>
    <d v="2020-01-01T00:00:00"/>
    <n v="31"/>
    <n v="300017003"/>
    <s v="WE"/>
    <n v="81"/>
    <x v="4"/>
    <n v="21021040"/>
    <x v="4"/>
    <n v="48478"/>
    <s v="MXN"/>
    <n v="48478"/>
    <x v="0"/>
    <m/>
    <m/>
    <s v="AC3BF6C0-9B0A-4192-9B59-D7ECB6359DA3"/>
    <s v="CSS160330CP7"/>
    <n v="107211"/>
    <s v="CFE SUMINISTRADOR DE SERVICIOS"/>
    <m/>
    <m/>
    <s v="30.01.2020"/>
    <n v="4501228713"/>
    <n v="20200102"/>
    <n v="48478"/>
    <n v="7756.4800000000005"/>
    <n v="56234.48"/>
    <n v="300021003"/>
    <s v="Electricidad HRV 16 Enero 2020"/>
    <n v="56234.48"/>
    <m/>
    <s v="TRANSFERENCIA"/>
    <s v="06.02.2020"/>
    <s v="HSBC "/>
    <s v="HSBC 004053489092 TP"/>
    <n v="340318590"/>
    <s v="SOLI1103"/>
  </r>
  <r>
    <n v="3403"/>
    <s v="02.01.2020"/>
    <n v="2020"/>
    <d v="2020-01-01T00:00:00"/>
    <n v="33"/>
    <n v="300017003"/>
    <s v="WE"/>
    <n v="81"/>
    <x v="4"/>
    <n v="21021040"/>
    <x v="4"/>
    <n v="50529"/>
    <s v="MXN"/>
    <n v="50529"/>
    <x v="0"/>
    <m/>
    <m/>
    <s v="AC3BF6C0-9B0A-4192-9B59-D7ECB6359DA3"/>
    <s v="CSS160330CP7"/>
    <n v="107211"/>
    <s v="CFE SUMINISTRADOR DE SERVICIOS"/>
    <m/>
    <m/>
    <s v="30.01.2020"/>
    <n v="4501228713"/>
    <n v="20200102"/>
    <n v="50529"/>
    <n v="8084.64"/>
    <n v="58613.64"/>
    <n v="300021003"/>
    <s v="Electricidad HRV 17 Enero 2020"/>
    <n v="58613.64"/>
    <m/>
    <s v="TRANSFERENCIA"/>
    <s v="06.02.2020"/>
    <s v="HSBC "/>
    <s v="HSBC 004053489092 TP"/>
    <n v="340318590"/>
    <s v="SOLI1103"/>
  </r>
  <r>
    <n v="3403"/>
    <s v="02.01.2020"/>
    <n v="2020"/>
    <d v="2020-01-01T00:00:00"/>
    <n v="35"/>
    <n v="300017003"/>
    <s v="WE"/>
    <n v="81"/>
    <x v="4"/>
    <n v="21021040"/>
    <x v="4"/>
    <n v="48639"/>
    <s v="MXN"/>
    <n v="48639"/>
    <x v="0"/>
    <m/>
    <m/>
    <s v="AC3BF6C0-9B0A-4192-9B59-D7ECB6359DA3"/>
    <s v="CSS160330CP7"/>
    <n v="107211"/>
    <s v="CFE SUMINISTRADOR DE SERVICIOS"/>
    <m/>
    <m/>
    <s v="30.01.2020"/>
    <n v="4501228713"/>
    <n v="20200102"/>
    <n v="48639"/>
    <n v="7782.24"/>
    <n v="56421.24"/>
    <n v="300021003"/>
    <s v="Electricidad HRV 18 Enero 2020"/>
    <n v="56421.24"/>
    <m/>
    <s v="TRANSFERENCIA"/>
    <s v="06.02.2020"/>
    <s v="HSBC "/>
    <s v="HSBC 004053489092 TP"/>
    <n v="340318590"/>
    <s v="SOLI1103"/>
  </r>
  <r>
    <n v="3403"/>
    <s v="02.01.2020"/>
    <n v="2020"/>
    <d v="2020-01-01T00:00:00"/>
    <n v="37"/>
    <n v="300017003"/>
    <s v="WE"/>
    <n v="81"/>
    <x v="4"/>
    <n v="21021040"/>
    <x v="4"/>
    <n v="41415.18"/>
    <s v="MXN"/>
    <n v="41415.18"/>
    <x v="0"/>
    <m/>
    <m/>
    <s v="AC3BF6C0-9B0A-4192-9B59-D7ECB6359DA3"/>
    <s v="CSS160330CP7"/>
    <n v="107211"/>
    <s v="CFE SUMINISTRADOR DE SERVICIOS"/>
    <m/>
    <m/>
    <s v="30.01.2020"/>
    <n v="4501228713"/>
    <n v="20200102"/>
    <n v="41415.18"/>
    <n v="6626.4288000000006"/>
    <n v="48041.608800000002"/>
    <n v="300021003"/>
    <s v="Electricidad HRV 19 Enero 2020"/>
    <n v="48041.608800000002"/>
    <m/>
    <s v="TRANSFERENCIA"/>
    <s v="06.02.2020"/>
    <s v="HSBC "/>
    <s v="HSBC 004053489092 TP"/>
    <n v="340318590"/>
    <s v="SOLI1103"/>
  </r>
  <r>
    <n v="3403"/>
    <s v="02.01.2020"/>
    <n v="2020"/>
    <d v="2020-01-01T00:00:00"/>
    <n v="39"/>
    <n v="300017003"/>
    <s v="WE"/>
    <n v="81"/>
    <x v="4"/>
    <n v="21021040"/>
    <x v="4"/>
    <n v="51467"/>
    <s v="MXN"/>
    <n v="51467"/>
    <x v="0"/>
    <m/>
    <m/>
    <s v="AC3BF6C0-9B0A-4192-9B59-D7ECB6359DA3"/>
    <s v="CSS160330CP7"/>
    <n v="107211"/>
    <s v="CFE SUMINISTRADOR DE SERVICIOS"/>
    <m/>
    <m/>
    <s v="30.01.2020"/>
    <n v="4501228713"/>
    <n v="20200102"/>
    <n v="51467"/>
    <n v="8234.7199999999993"/>
    <n v="59701.72"/>
    <n v="300021003"/>
    <s v="Electricidad HRV 20 Enero 2020"/>
    <n v="59701.72"/>
    <m/>
    <s v="TRANSFERENCIA"/>
    <s v="06.02.2020"/>
    <s v="HSBC "/>
    <s v="HSBC 004053489092 TP"/>
    <n v="340318590"/>
    <s v="SOLI1103"/>
  </r>
  <r>
    <n v="3403"/>
    <s v="02.01.2020"/>
    <n v="2020"/>
    <d v="2020-01-01T00:00:00"/>
    <n v="41"/>
    <n v="300017003"/>
    <s v="WE"/>
    <n v="81"/>
    <x v="4"/>
    <n v="21021040"/>
    <x v="4"/>
    <n v="50536"/>
    <s v="MXN"/>
    <n v="50536"/>
    <x v="0"/>
    <m/>
    <m/>
    <s v="AC3BF6C0-9B0A-4192-9B59-D7ECB6359DA3"/>
    <s v="CSS160330CP7"/>
    <n v="107211"/>
    <s v="CFE SUMINISTRADOR DE SERVICIOS"/>
    <m/>
    <m/>
    <s v="30.01.2020"/>
    <n v="4501228713"/>
    <n v="20200102"/>
    <n v="50536"/>
    <n v="8085.76"/>
    <n v="58621.760000000002"/>
    <n v="300021003"/>
    <s v="Electricidad HRV 21 Enero 2020"/>
    <n v="58621.760000000002"/>
    <m/>
    <s v="TRANSFERENCIA"/>
    <s v="06.02.2020"/>
    <s v="HSBC "/>
    <s v="HSBC 004053489092 TP"/>
    <n v="340318590"/>
    <s v="SOLI1103"/>
  </r>
  <r>
    <n v="3403"/>
    <s v="02.01.2020"/>
    <n v="2020"/>
    <d v="2020-01-01T00:00:00"/>
    <n v="43"/>
    <n v="300017003"/>
    <s v="WE"/>
    <n v="81"/>
    <x v="4"/>
    <n v="21021040"/>
    <x v="4"/>
    <n v="52013"/>
    <s v="MXN"/>
    <n v="52013"/>
    <x v="0"/>
    <m/>
    <m/>
    <s v="AC3BF6C0-9B0A-4192-9B59-D7ECB6359DA3"/>
    <s v="CSS160330CP7"/>
    <n v="107211"/>
    <s v="CFE SUMINISTRADOR DE SERVICIOS"/>
    <m/>
    <m/>
    <s v="30.01.2020"/>
    <n v="4501228713"/>
    <n v="20200102"/>
    <n v="52013"/>
    <n v="8322.08"/>
    <n v="60335.08"/>
    <n v="300021003"/>
    <s v="Electricidad HRV 22 Enero 2020"/>
    <n v="60335.08"/>
    <m/>
    <s v="TRANSFERENCIA"/>
    <s v="06.02.2020"/>
    <s v="HSBC "/>
    <s v="HSBC 004053489092 TP"/>
    <n v="340318590"/>
    <s v="SOLI1103"/>
  </r>
  <r>
    <n v="3403"/>
    <s v="02.01.2020"/>
    <n v="2020"/>
    <d v="2020-01-01T00:00:00"/>
    <n v="45"/>
    <n v="300017003"/>
    <s v="WE"/>
    <n v="81"/>
    <x v="4"/>
    <n v="21021040"/>
    <x v="4"/>
    <n v="50907"/>
    <s v="MXN"/>
    <n v="50907"/>
    <x v="0"/>
    <m/>
    <m/>
    <s v="AC3BF6C0-9B0A-4192-9B59-D7ECB6359DA3"/>
    <s v="CSS160330CP7"/>
    <n v="107211"/>
    <s v="CFE SUMINISTRADOR DE SERVICIOS"/>
    <m/>
    <m/>
    <s v="30.01.2020"/>
    <n v="4501228713"/>
    <n v="20200102"/>
    <n v="50907"/>
    <n v="8145.12"/>
    <n v="59052.12"/>
    <n v="300021003"/>
    <s v="Electricidad HRV 23 Enero 2020"/>
    <n v="59052.12"/>
    <m/>
    <s v="TRANSFERENCIA"/>
    <s v="06.02.2020"/>
    <s v="HSBC "/>
    <s v="HSBC 004053489092 TP"/>
    <n v="340318590"/>
    <s v="SOLI1103"/>
  </r>
  <r>
    <n v="3403"/>
    <s v="02.01.2020"/>
    <n v="2020"/>
    <d v="2020-01-01T00:00:00"/>
    <n v="47"/>
    <n v="300017003"/>
    <s v="WE"/>
    <n v="81"/>
    <x v="4"/>
    <n v="21021040"/>
    <x v="4"/>
    <n v="49682"/>
    <s v="MXN"/>
    <n v="49682"/>
    <x v="0"/>
    <m/>
    <m/>
    <s v="AC3BF6C0-9B0A-4192-9B59-D7ECB6359DA3"/>
    <s v="CSS160330CP7"/>
    <n v="107211"/>
    <s v="CFE SUMINISTRADOR DE SERVICIOS"/>
    <m/>
    <m/>
    <s v="30.01.2020"/>
    <n v="4501228713"/>
    <n v="20200102"/>
    <n v="49682"/>
    <n v="7949.12"/>
    <n v="57631.12"/>
    <n v="300021003"/>
    <s v="Electricidad HRV 24 Enero 2020"/>
    <n v="57631.12"/>
    <m/>
    <s v="TRANSFERENCIA"/>
    <s v="06.02.2020"/>
    <s v="HSBC "/>
    <s v="HSBC 004053489092 TP"/>
    <n v="340318590"/>
    <s v="SOLI1103"/>
  </r>
  <r>
    <n v="3403"/>
    <s v="02.01.2020"/>
    <n v="2020"/>
    <d v="2020-01-01T00:00:00"/>
    <n v="49"/>
    <n v="300017003"/>
    <s v="WE"/>
    <n v="81"/>
    <x v="4"/>
    <n v="21021040"/>
    <x v="4"/>
    <n v="48859"/>
    <s v="MXN"/>
    <n v="48859"/>
    <x v="0"/>
    <m/>
    <m/>
    <s v="AC3BF6C0-9B0A-4192-9B59-D7ECB6359DA3"/>
    <s v="CSS160330CP7"/>
    <n v="107211"/>
    <s v="CFE SUMINISTRADOR DE SERVICIOS"/>
    <m/>
    <m/>
    <s v="30.01.2020"/>
    <n v="4501228713"/>
    <n v="20200102"/>
    <n v="48859"/>
    <n v="7817.4400000000005"/>
    <n v="56676.44"/>
    <n v="300021003"/>
    <s v="Electricidad HRV 25 Enero 2020"/>
    <n v="56676.44"/>
    <m/>
    <s v="TRANSFERENCIA"/>
    <s v="06.02.2020"/>
    <s v="HSBC "/>
    <s v="HSBC 004053489092 TP"/>
    <n v="340318590"/>
    <s v="SOLI1103"/>
  </r>
  <r>
    <n v="3403"/>
    <s v="02.01.2020"/>
    <n v="2020"/>
    <d v="2020-01-01T00:00:00"/>
    <n v="51"/>
    <n v="300017003"/>
    <s v="WE"/>
    <n v="81"/>
    <x v="4"/>
    <n v="21021040"/>
    <x v="4"/>
    <n v="47477"/>
    <s v="MXN"/>
    <n v="47477"/>
    <x v="0"/>
    <m/>
    <m/>
    <s v="AC3BF6C0-9B0A-4192-9B59-D7ECB6359DA3"/>
    <s v="CSS160330CP7"/>
    <n v="107211"/>
    <s v="CFE SUMINISTRADOR DE SERVICIOS"/>
    <m/>
    <m/>
    <s v="30.01.2020"/>
    <n v="4501228713"/>
    <n v="20200102"/>
    <n v="47477"/>
    <n v="7596.32"/>
    <n v="55073.32"/>
    <n v="300021003"/>
    <s v="Electricidad HRV 26 Enero 2020"/>
    <n v="55073.32"/>
    <m/>
    <s v="TRANSFERENCIA"/>
    <s v="06.02.2020"/>
    <s v="HSBC "/>
    <s v="HSBC 004053489092 TP"/>
    <n v="340318590"/>
    <s v="SOLI1103"/>
  </r>
  <r>
    <n v="3403"/>
    <s v="02.01.2020"/>
    <n v="2020"/>
    <d v="2020-01-01T00:00:00"/>
    <n v="53"/>
    <n v="300017003"/>
    <s v="WE"/>
    <n v="81"/>
    <x v="4"/>
    <n v="21021040"/>
    <x v="4"/>
    <n v="44789"/>
    <s v="MXN"/>
    <n v="44789"/>
    <x v="0"/>
    <m/>
    <m/>
    <s v="AC3BF6C0-9B0A-4192-9B59-D7ECB6359DA3"/>
    <s v="CSS160330CP7"/>
    <n v="107211"/>
    <s v="CFE SUMINISTRADOR DE SERVICIOS"/>
    <m/>
    <m/>
    <s v="30.01.2020"/>
    <n v="4501228713"/>
    <n v="20200102"/>
    <n v="44789"/>
    <n v="7166.24"/>
    <n v="51955.24"/>
    <n v="300021003"/>
    <s v="Electricidad HRV 27 Enero 2020"/>
    <n v="51955.24"/>
    <m/>
    <s v="TRANSFERENCIA"/>
    <s v="06.02.2020"/>
    <s v="HSBC "/>
    <s v="HSBC 004053489092 TP"/>
    <n v="340318590"/>
    <s v="SOLI1103"/>
  </r>
  <r>
    <n v="3403"/>
    <s v="02.01.2020"/>
    <n v="2020"/>
    <d v="2020-01-01T00:00:00"/>
    <n v="55"/>
    <n v="300017003"/>
    <s v="WE"/>
    <n v="81"/>
    <x v="4"/>
    <n v="21021040"/>
    <x v="4"/>
    <n v="50207"/>
    <s v="MXN"/>
    <n v="50207"/>
    <x v="0"/>
    <m/>
    <m/>
    <s v="AC3BF6C0-9B0A-4192-9B59-D7ECB6359DA3"/>
    <s v="CSS160330CP7"/>
    <n v="107211"/>
    <s v="CFE SUMINISTRADOR DE SERVICIOS"/>
    <m/>
    <m/>
    <s v="30.01.2020"/>
    <n v="4501228713"/>
    <n v="20200102"/>
    <n v="50207"/>
    <n v="8033.12"/>
    <n v="58240.12"/>
    <n v="300021003"/>
    <s v="Electricidad HRV 28 Enero 2020"/>
    <n v="58240.12"/>
    <m/>
    <s v="TRANSFERENCIA"/>
    <s v="06.02.2020"/>
    <s v="HSBC "/>
    <s v="HSBC 004053489092 TP"/>
    <n v="340318590"/>
    <s v="SOLI1103"/>
  </r>
  <r>
    <n v="3403"/>
    <s v="02.01.2020"/>
    <n v="2020"/>
    <d v="2020-01-01T00:00:00"/>
    <n v="57"/>
    <n v="300017003"/>
    <s v="WE"/>
    <n v="81"/>
    <x v="4"/>
    <n v="21021040"/>
    <x v="4"/>
    <n v="47148"/>
    <s v="MXN"/>
    <n v="47148"/>
    <x v="0"/>
    <m/>
    <m/>
    <s v="AC3BF6C0-9B0A-4192-9B59-D7ECB6359DA3"/>
    <s v="CSS160330CP7"/>
    <n v="107211"/>
    <s v="CFE SUMINISTRADOR DE SERVICIOS"/>
    <m/>
    <m/>
    <s v="30.01.2020"/>
    <n v="4501228713"/>
    <n v="20200102"/>
    <n v="47148"/>
    <n v="7543.68"/>
    <n v="54691.68"/>
    <n v="300021003"/>
    <s v="Electricidad HRV 29 Enero 2020"/>
    <n v="54691.68"/>
    <m/>
    <s v="TRANSFERENCIA"/>
    <s v="06.02.2020"/>
    <s v="HSBC "/>
    <s v="HSBC 004053489092 TP"/>
    <n v="340318590"/>
    <s v="SOLI1103"/>
  </r>
  <r>
    <n v="3409"/>
    <s v="15.01.2020"/>
    <n v="2020"/>
    <d v="2020-01-01T00:00:00"/>
    <n v="1"/>
    <n v="900008065"/>
    <s v="FE"/>
    <n v="40"/>
    <x v="7"/>
    <n v="21021040"/>
    <x v="7"/>
    <n v="4869.07"/>
    <s v="MXN"/>
    <n v="4869.07"/>
    <x v="0"/>
    <s v="U3"/>
    <m/>
    <m/>
    <m/>
    <m/>
    <m/>
    <m/>
    <m/>
    <s v="23.01.2020"/>
    <m/>
    <s v="REFG:RCDPI00019891"/>
    <n v="4869.07"/>
    <m/>
    <m/>
    <m/>
    <s v="DESC AS: Implementación de Programa Docusign"/>
    <m/>
    <m/>
    <m/>
    <m/>
    <m/>
    <m/>
    <n v="340921790"/>
    <s v="PIRFC"/>
  </r>
  <r>
    <n v="3400"/>
    <s v="21.01.2020"/>
    <n v="2020"/>
    <d v="2020-01-01T00:00:00"/>
    <n v="1"/>
    <n v="100005586"/>
    <s v="FE"/>
    <n v="40"/>
    <x v="7"/>
    <n v="21021040"/>
    <x v="7"/>
    <n v="1547.5"/>
    <s v="USD"/>
    <n v="28998.29"/>
    <x v="0"/>
    <s v="U3"/>
    <m/>
    <m/>
    <m/>
    <m/>
    <m/>
    <m/>
    <m/>
    <s v="21.01.2020"/>
    <m/>
    <s v="REFG:RCDPI00019752"/>
    <n v="1547.5"/>
    <m/>
    <m/>
    <m/>
    <s v="DESC AS: Honorarios Por Gastos Legales"/>
    <m/>
    <m/>
    <m/>
    <m/>
    <m/>
    <m/>
    <n v="340041650"/>
    <s v="PIRFC"/>
  </r>
  <r>
    <n v="3406"/>
    <s v="30.01.2020"/>
    <n v="2020"/>
    <d v="2020-01-01T00:00:00"/>
    <n v="1"/>
    <n v="600029622"/>
    <s v="FE"/>
    <n v="40"/>
    <x v="9"/>
    <n v="21021040"/>
    <x v="9"/>
    <n v="1293.75"/>
    <s v="USD"/>
    <n v="24325.35"/>
    <x v="0"/>
    <s v="D1"/>
    <m/>
    <m/>
    <m/>
    <m/>
    <m/>
    <m/>
    <m/>
    <s v="30.01.2020"/>
    <m/>
    <s v="REFG:RCDPI00020276"/>
    <n v="1293.75"/>
    <m/>
    <m/>
    <m/>
    <s v="DESC AS: Hosting CRM"/>
    <m/>
    <m/>
    <m/>
    <m/>
    <m/>
    <m/>
    <n v="340621790"/>
    <s v="PIRFC"/>
  </r>
  <r>
    <n v="3406"/>
    <s v="14.01.2020"/>
    <n v="2020"/>
    <d v="2020-01-01T00:00:00"/>
    <n v="1"/>
    <n v="600022407"/>
    <s v="FE"/>
    <n v="40"/>
    <x v="7"/>
    <n v="21021040"/>
    <x v="7"/>
    <n v="4869.07"/>
    <s v="MXN"/>
    <n v="4869.07"/>
    <x v="0"/>
    <s v="U3"/>
    <m/>
    <m/>
    <m/>
    <m/>
    <m/>
    <m/>
    <m/>
    <s v="23.01.2020"/>
    <m/>
    <s v="REFG:RCDPI00019892"/>
    <n v="4869.07"/>
    <m/>
    <m/>
    <m/>
    <s v="DESC AS: Implementación de Programa Docusign"/>
    <m/>
    <m/>
    <m/>
    <m/>
    <m/>
    <m/>
    <n v="340621790"/>
    <s v="PIRFC"/>
  </r>
  <r>
    <n v="3400"/>
    <s v="27.01.2020"/>
    <n v="2020"/>
    <d v="2020-01-01T00:00:00"/>
    <n v="1"/>
    <n v="100009702"/>
    <s v="FE"/>
    <n v="40"/>
    <x v="9"/>
    <n v="21021040"/>
    <x v="9"/>
    <n v="1293.75"/>
    <s v="USD"/>
    <n v="24324.83"/>
    <x v="0"/>
    <s v="D0"/>
    <m/>
    <m/>
    <m/>
    <m/>
    <m/>
    <m/>
    <m/>
    <s v="29.01.2020"/>
    <m/>
    <s v="REFG:RCDPI00020196"/>
    <n v="1293.75"/>
    <m/>
    <m/>
    <m/>
    <s v="DESC AS: Hosting CRM"/>
    <m/>
    <m/>
    <m/>
    <m/>
    <m/>
    <m/>
    <n v="340022150"/>
    <s v="PIRFC"/>
  </r>
  <r>
    <n v="3400"/>
    <s v="31.01.2020"/>
    <n v="2020"/>
    <d v="2020-01-01T00:00:00"/>
    <n v="1"/>
    <n v="100010626"/>
    <s v="FE"/>
    <n v="40"/>
    <x v="7"/>
    <n v="21021040"/>
    <x v="7"/>
    <n v="20000"/>
    <s v="MXN"/>
    <n v="20000"/>
    <x v="0"/>
    <s v="U3"/>
    <m/>
    <m/>
    <m/>
    <m/>
    <m/>
    <m/>
    <m/>
    <s v="31.01.2020"/>
    <m/>
    <s v="REFG:RCDPI00020327"/>
    <n v="20000"/>
    <m/>
    <m/>
    <m/>
    <s v="DESC AS: Relaciones Publicas-Marketing"/>
    <m/>
    <m/>
    <m/>
    <m/>
    <m/>
    <m/>
    <n v="340022150"/>
    <s v="PIRFC"/>
  </r>
  <r>
    <n v="3406"/>
    <s v="13.01.2020"/>
    <n v="2020"/>
    <d v="2020-01-01T00:00:00"/>
    <n v="1"/>
    <n v="600009769"/>
    <s v="FE"/>
    <n v="40"/>
    <x v="7"/>
    <n v="21021040"/>
    <x v="7"/>
    <n v="1500"/>
    <s v="MXN"/>
    <n v="1500"/>
    <x v="0"/>
    <s v="U3"/>
    <m/>
    <m/>
    <m/>
    <m/>
    <m/>
    <m/>
    <m/>
    <s v="13.01.2020"/>
    <m/>
    <s v="REFG:RCDPI00019540"/>
    <n v="1500"/>
    <m/>
    <m/>
    <m/>
    <s v="DESC AS: Operador De Iluminación"/>
    <m/>
    <m/>
    <m/>
    <m/>
    <m/>
    <m/>
    <n v="340619290"/>
    <s v="PIRFC"/>
  </r>
  <r>
    <n v="3406"/>
    <s v="13.01.2020"/>
    <n v="2020"/>
    <d v="2020-01-01T00:00:00"/>
    <n v="1"/>
    <n v="600009770"/>
    <s v="FE"/>
    <n v="40"/>
    <x v="7"/>
    <n v="21021040"/>
    <x v="7"/>
    <n v="1500"/>
    <s v="MXN"/>
    <n v="1500"/>
    <x v="0"/>
    <s v="U3"/>
    <m/>
    <m/>
    <m/>
    <m/>
    <m/>
    <m/>
    <m/>
    <s v="13.01.2020"/>
    <m/>
    <s v="REFG:RCDPI00019541"/>
    <n v="1500"/>
    <m/>
    <m/>
    <m/>
    <s v="DESC AS: Operador De Iluminación"/>
    <m/>
    <m/>
    <m/>
    <m/>
    <m/>
    <m/>
    <n v="340619290"/>
    <s v="PIRFC"/>
  </r>
  <r>
    <n v="3406"/>
    <s v="13.01.2020"/>
    <n v="2020"/>
    <d v="2020-01-01T00:00:00"/>
    <n v="1"/>
    <n v="600009771"/>
    <s v="FE"/>
    <n v="40"/>
    <x v="7"/>
    <n v="21021040"/>
    <x v="7"/>
    <n v="1500"/>
    <s v="MXN"/>
    <n v="1500"/>
    <x v="0"/>
    <s v="U3"/>
    <m/>
    <m/>
    <m/>
    <m/>
    <m/>
    <m/>
    <m/>
    <s v="13.01.2020"/>
    <m/>
    <s v="REFG:RCDPI00019542"/>
    <n v="1500"/>
    <m/>
    <m/>
    <m/>
    <s v="DESC AS: Operador De Iluminación"/>
    <m/>
    <m/>
    <m/>
    <m/>
    <m/>
    <m/>
    <n v="340619290"/>
    <s v="PIRFC"/>
  </r>
  <r>
    <n v="3406"/>
    <s v="17.01.2020"/>
    <n v="2020"/>
    <d v="2020-01-01T00:00:00"/>
    <n v="1"/>
    <n v="600015244"/>
    <s v="FE"/>
    <n v="40"/>
    <x v="7"/>
    <n v="21021040"/>
    <x v="7"/>
    <n v="1500"/>
    <s v="MXN"/>
    <n v="1500"/>
    <x v="0"/>
    <s v="U3"/>
    <m/>
    <m/>
    <m/>
    <m/>
    <m/>
    <m/>
    <m/>
    <s v="17.01.2020"/>
    <m/>
    <s v="REFG:RCDPI00019659"/>
    <n v="1500"/>
    <m/>
    <m/>
    <m/>
    <s v="DESC AS: Operador De Iluminación"/>
    <m/>
    <m/>
    <m/>
    <m/>
    <m/>
    <m/>
    <n v="340619290"/>
    <s v="PIRFC"/>
  </r>
  <r>
    <n v="3406"/>
    <s v="17.01.2020"/>
    <n v="2020"/>
    <d v="2020-01-01T00:00:00"/>
    <n v="1"/>
    <n v="600015245"/>
    <s v="FE"/>
    <n v="40"/>
    <x v="7"/>
    <n v="21021040"/>
    <x v="7"/>
    <n v="1500"/>
    <s v="MXN"/>
    <n v="1500"/>
    <x v="0"/>
    <s v="U3"/>
    <m/>
    <m/>
    <m/>
    <m/>
    <m/>
    <m/>
    <m/>
    <s v="17.01.2020"/>
    <m/>
    <s v="REFG:RCDPI00019660"/>
    <n v="1500"/>
    <m/>
    <m/>
    <m/>
    <s v="DESC AS: Operador De Iluminación"/>
    <m/>
    <m/>
    <m/>
    <m/>
    <m/>
    <m/>
    <n v="340619290"/>
    <s v="PIRFC"/>
  </r>
  <r>
    <n v="3406"/>
    <s v="24.01.2020"/>
    <n v="2020"/>
    <d v="2020-01-01T00:00:00"/>
    <n v="1"/>
    <n v="600023781"/>
    <s v="FE"/>
    <n v="40"/>
    <x v="7"/>
    <n v="21021040"/>
    <x v="7"/>
    <n v="1500"/>
    <s v="MXN"/>
    <n v="1500"/>
    <x v="0"/>
    <s v="U3"/>
    <m/>
    <m/>
    <m/>
    <m/>
    <m/>
    <m/>
    <m/>
    <s v="24.01.2020"/>
    <m/>
    <s v="REFG:RCDPI00019954"/>
    <n v="1500"/>
    <m/>
    <m/>
    <m/>
    <s v="DESC AS: Operador De Iluminación"/>
    <m/>
    <m/>
    <m/>
    <m/>
    <m/>
    <m/>
    <n v="340619290"/>
    <s v="PIRFC"/>
  </r>
  <r>
    <n v="3406"/>
    <s v="24.01.2020"/>
    <n v="2020"/>
    <d v="2020-01-01T00:00:00"/>
    <n v="1"/>
    <n v="600023782"/>
    <s v="FE"/>
    <n v="40"/>
    <x v="7"/>
    <n v="21021040"/>
    <x v="7"/>
    <n v="1500"/>
    <s v="MXN"/>
    <n v="1500"/>
    <x v="0"/>
    <s v="U3"/>
    <m/>
    <m/>
    <m/>
    <m/>
    <m/>
    <m/>
    <m/>
    <s v="24.01.2020"/>
    <m/>
    <s v="REFG:RCDPI00019955"/>
    <n v="1500"/>
    <m/>
    <m/>
    <m/>
    <s v="DESC AS: Operador De Iluminación"/>
    <m/>
    <m/>
    <m/>
    <m/>
    <m/>
    <m/>
    <n v="340619290"/>
    <s v="PIRFC"/>
  </r>
  <r>
    <n v="3406"/>
    <s v="29.01.2020"/>
    <n v="2020"/>
    <d v="2020-01-01T00:00:00"/>
    <n v="1"/>
    <n v="600029513"/>
    <s v="FE"/>
    <n v="40"/>
    <x v="7"/>
    <n v="21021040"/>
    <x v="7"/>
    <n v="1500"/>
    <s v="MXN"/>
    <n v="1500"/>
    <x v="0"/>
    <s v="U3"/>
    <m/>
    <m/>
    <m/>
    <m/>
    <m/>
    <m/>
    <m/>
    <s v="30.01.2020"/>
    <m/>
    <s v="REFG:RCDPI00020244"/>
    <n v="1500"/>
    <m/>
    <m/>
    <m/>
    <s v="DESC AS: Operador De Iluminación"/>
    <m/>
    <m/>
    <m/>
    <m/>
    <m/>
    <m/>
    <n v="340619290"/>
    <s v="PIRFC"/>
  </r>
  <r>
    <n v="3406"/>
    <s v="31.01.2020"/>
    <n v="2020"/>
    <d v="2020-01-01T00:00:00"/>
    <n v="1"/>
    <n v="600032782"/>
    <s v="FE"/>
    <n v="40"/>
    <x v="7"/>
    <n v="21021040"/>
    <x v="7"/>
    <n v="1500"/>
    <s v="MXN"/>
    <n v="1500"/>
    <x v="0"/>
    <s v="U3"/>
    <m/>
    <m/>
    <m/>
    <m/>
    <m/>
    <m/>
    <m/>
    <s v="03.02.2020"/>
    <m/>
    <s v="REFG:RCDPI00020449"/>
    <n v="1500"/>
    <m/>
    <m/>
    <m/>
    <s v="DESC AS: Operador De Iluminación"/>
    <m/>
    <m/>
    <m/>
    <m/>
    <m/>
    <m/>
    <n v="340619290"/>
    <s v="PIRFC"/>
  </r>
  <r>
    <n v="3400"/>
    <s v="16.01.2020"/>
    <n v="2020"/>
    <d v="2020-01-01T00:00:00"/>
    <n v="1"/>
    <n v="100005082"/>
    <s v="SA"/>
    <n v="40"/>
    <x v="2"/>
    <n v="21021040"/>
    <x v="2"/>
    <n v="7566"/>
    <s v="MXN"/>
    <n v="7566"/>
    <x v="0"/>
    <s v="U3"/>
    <m/>
    <m/>
    <m/>
    <m/>
    <m/>
    <m/>
    <m/>
    <s v="17.01.2020"/>
    <s v="FAC 24662"/>
    <s v="FAC 24662"/>
    <n v="7566"/>
    <m/>
    <m/>
    <m/>
    <s v="PUBLICIDAD NOVEDADES DE QUINTANA ROO"/>
    <m/>
    <m/>
    <m/>
    <m/>
    <m/>
    <m/>
    <n v="340025050"/>
    <s v="MANTONIO"/>
  </r>
  <r>
    <n v="3407"/>
    <s v="23.01.2020"/>
    <n v="2020"/>
    <d v="2020-01-01T00:00:00"/>
    <n v="1"/>
    <n v="700025954"/>
    <s v="FE"/>
    <n v="40"/>
    <x v="7"/>
    <n v="21021040"/>
    <x v="7"/>
    <n v="4869.07"/>
    <s v="MXN"/>
    <n v="4869.07"/>
    <x v="0"/>
    <s v="U3"/>
    <m/>
    <m/>
    <m/>
    <m/>
    <m/>
    <m/>
    <m/>
    <s v="23.01.2020"/>
    <m/>
    <s v="REFG:RCDPI00019893"/>
    <n v="4869.07"/>
    <m/>
    <m/>
    <m/>
    <s v="DESC AS: Implementación de Programa Docusign"/>
    <m/>
    <m/>
    <m/>
    <m/>
    <m/>
    <m/>
    <n v="340721790"/>
    <s v="PIRFC"/>
  </r>
  <r>
    <n v="3407"/>
    <s v="22.01.2020"/>
    <n v="2020"/>
    <d v="2020-01-01T00:00:00"/>
    <n v="1"/>
    <n v="700027404"/>
    <s v="FE"/>
    <n v="40"/>
    <x v="9"/>
    <n v="21021040"/>
    <x v="9"/>
    <n v="1293.75"/>
    <s v="USD"/>
    <n v="24157.55"/>
    <x v="0"/>
    <s v="D0"/>
    <m/>
    <m/>
    <m/>
    <m/>
    <m/>
    <m/>
    <m/>
    <s v="24.01.2020"/>
    <m/>
    <s v="REFG:RCDPI00019930"/>
    <n v="1293.75"/>
    <m/>
    <m/>
    <m/>
    <s v="DESC AS: Hosting CRM"/>
    <m/>
    <m/>
    <m/>
    <m/>
    <m/>
    <m/>
    <n v="340721790"/>
    <s v="PIRFC"/>
  </r>
  <r>
    <n v="3407"/>
    <s v="31.01.2020"/>
    <n v="2020"/>
    <d v="2020-01-01T00:00:00"/>
    <n v="1"/>
    <n v="700041827"/>
    <s v="SA"/>
    <n v="40"/>
    <x v="3"/>
    <n v="21230140"/>
    <x v="3"/>
    <n v="153190"/>
    <s v="USD"/>
    <n v="2865679.37"/>
    <x v="0"/>
    <m/>
    <m/>
    <m/>
    <m/>
    <m/>
    <m/>
    <m/>
    <n v="700042358"/>
    <s v="02.02.2020"/>
    <s v="PROV FEES ENE 20"/>
    <s v="Prov Fees Ene 2020"/>
    <n v="153190"/>
    <m/>
    <m/>
    <m/>
    <s v="Prov License Fee 2% Ene 2020"/>
    <m/>
    <m/>
    <m/>
    <m/>
    <m/>
    <m/>
    <n v="340721790"/>
    <s v="CGUTIERREZ"/>
  </r>
  <r>
    <n v="3407"/>
    <s v="31.01.2020"/>
    <n v="2020"/>
    <d v="2020-01-01T00:00:00"/>
    <n v="3"/>
    <n v="700041827"/>
    <s v="SA"/>
    <n v="40"/>
    <x v="3"/>
    <n v="21230140"/>
    <x v="3"/>
    <n v="38298"/>
    <s v="USD"/>
    <n v="716429.2"/>
    <x v="0"/>
    <m/>
    <m/>
    <m/>
    <m/>
    <m/>
    <m/>
    <m/>
    <n v="700042358"/>
    <s v="02.02.2020"/>
    <s v="PROV FEES ENE 20"/>
    <s v="Prov Fees Ene 2020"/>
    <n v="38298"/>
    <m/>
    <m/>
    <m/>
    <s v="Prov MKG fee 5% Ene 2020"/>
    <m/>
    <m/>
    <m/>
    <m/>
    <m/>
    <m/>
    <n v="340721790"/>
    <s v="CGUTIERREZ"/>
  </r>
  <r>
    <n v="3407"/>
    <s v="31.01.2020"/>
    <n v="2020"/>
    <d v="2020-01-01T00:00:00"/>
    <n v="5"/>
    <n v="700041827"/>
    <s v="SA"/>
    <n v="40"/>
    <x v="3"/>
    <n v="21230140"/>
    <x v="3"/>
    <n v="12639"/>
    <s v="USD"/>
    <n v="236433.98"/>
    <x v="0"/>
    <m/>
    <m/>
    <m/>
    <m/>
    <m/>
    <m/>
    <m/>
    <n v="700042358"/>
    <s v="02.02.2020"/>
    <s v="PROV FEES ENE 20"/>
    <s v="Prov Fees Ene 2020"/>
    <n v="12639"/>
    <m/>
    <m/>
    <m/>
    <s v="Prov Stores fee 10% Ene 2020"/>
    <m/>
    <m/>
    <m/>
    <m/>
    <m/>
    <m/>
    <n v="340721790"/>
    <s v="CGUTIERREZ"/>
  </r>
  <r>
    <n v="3407"/>
    <s v="31.01.2020"/>
    <n v="2020"/>
    <d v="2020-01-01T00:00:00"/>
    <n v="1"/>
    <n v="700042358"/>
    <s v="AB"/>
    <n v="50"/>
    <x v="3"/>
    <n v="21230140"/>
    <x v="3"/>
    <n v="153190"/>
    <s v="USD"/>
    <n v="2865679.37"/>
    <x v="0"/>
    <m/>
    <m/>
    <m/>
    <m/>
    <m/>
    <m/>
    <m/>
    <n v="700041827"/>
    <s v="03.02.2020"/>
    <s v="PROV FEES ENE 20"/>
    <s v="Prov Fees Ene 2020"/>
    <n v="153190"/>
    <m/>
    <m/>
    <m/>
    <s v="Prov License Fee 2% Ene 2020"/>
    <m/>
    <m/>
    <m/>
    <m/>
    <m/>
    <m/>
    <n v="340721790"/>
    <s v="CGUTIERREZ"/>
  </r>
  <r>
    <n v="3407"/>
    <s v="31.01.2020"/>
    <n v="2020"/>
    <d v="2020-01-01T00:00:00"/>
    <n v="3"/>
    <n v="700042358"/>
    <s v="AB"/>
    <n v="50"/>
    <x v="3"/>
    <n v="21230140"/>
    <x v="3"/>
    <n v="38298"/>
    <s v="USD"/>
    <n v="716429.2"/>
    <x v="0"/>
    <m/>
    <m/>
    <m/>
    <m/>
    <m/>
    <m/>
    <m/>
    <n v="700041827"/>
    <s v="03.02.2020"/>
    <s v="PROV FEES ENE 20"/>
    <s v="Prov Fees Ene 2020"/>
    <n v="38298"/>
    <m/>
    <m/>
    <m/>
    <s v="Prov MKG fee 5% Ene 2020"/>
    <m/>
    <m/>
    <m/>
    <m/>
    <m/>
    <m/>
    <n v="340721790"/>
    <s v="CGUTIERREZ"/>
  </r>
  <r>
    <n v="3407"/>
    <s v="31.01.2020"/>
    <n v="2020"/>
    <d v="2020-01-01T00:00:00"/>
    <n v="5"/>
    <n v="700042358"/>
    <s v="AB"/>
    <n v="50"/>
    <x v="3"/>
    <n v="21230140"/>
    <x v="3"/>
    <n v="12639"/>
    <s v="USD"/>
    <n v="236433.98"/>
    <x v="0"/>
    <m/>
    <m/>
    <m/>
    <m/>
    <m/>
    <m/>
    <m/>
    <n v="700041827"/>
    <s v="03.02.2020"/>
    <s v="PROV FEES ENE 20"/>
    <s v="Prov Fees Ene 2020"/>
    <n v="12639"/>
    <m/>
    <m/>
    <m/>
    <s v="Prov Stores fee 10% Ene 2020"/>
    <m/>
    <m/>
    <m/>
    <m/>
    <m/>
    <m/>
    <n v="340721790"/>
    <s v="CGUTIERREZ"/>
  </r>
  <r>
    <n v="3409"/>
    <s v="31.01.2020"/>
    <n v="2020"/>
    <d v="2020-01-01T00:00:00"/>
    <n v="1"/>
    <n v="900012074"/>
    <s v="WE"/>
    <n v="81"/>
    <x v="2"/>
    <n v="21021040"/>
    <x v="2"/>
    <n v="11263.92"/>
    <s v="MXN"/>
    <n v="11263.92"/>
    <x v="0"/>
    <m/>
    <m/>
    <s v="1D14D50A-F84B-47F4-8163-7461C7C813C2"/>
    <s v="SII890619AD1"/>
    <n v="108911"/>
    <s v="SPECTRADYNE INTERNATIONAL INC"/>
    <m/>
    <m/>
    <s v="03.02.2020"/>
    <s v="A12291"/>
    <n v="4501222440"/>
    <n v="11263.92"/>
    <n v="1802.2272"/>
    <n v="13066.147199999999"/>
    <n v="900012504"/>
    <s v="publicidad enero 2020"/>
    <n v="13066.147199999999"/>
    <m/>
    <n v="900013573"/>
    <s v="10.02.2020"/>
    <s v="HSBC "/>
    <s v="HSBC 004053489092 TP"/>
    <n v="340921790"/>
    <s v="JQUITERIO"/>
  </r>
  <r>
    <n v="3409"/>
    <s v="16.01.2020"/>
    <n v="2020"/>
    <d v="2020-01-01T00:00:00"/>
    <n v="1"/>
    <n v="900005466"/>
    <s v="WE"/>
    <n v="81"/>
    <x v="2"/>
    <n v="21021040"/>
    <x v="2"/>
    <n v="4000"/>
    <s v="MXN"/>
    <n v="4000"/>
    <x v="0"/>
    <m/>
    <m/>
    <s v="FD389128-8ECC-494C-A614-7E66BF89AD6A"/>
    <s v="AAAA651027HJ5"/>
    <n v="108892"/>
    <s v="ALANIZ AGUILAR ARMANDO"/>
    <m/>
    <m/>
    <s v="16.01.2020"/>
    <n v="26"/>
    <n v="4501217009"/>
    <n v="4000"/>
    <n v="640"/>
    <n v="4640"/>
    <n v="900005477"/>
    <s v="SERV IMPRESION TARJETAS CONTACTO HUESPED"/>
    <n v="4640"/>
    <m/>
    <s v="TRANSFERENCIA"/>
    <s v="09.03.2020"/>
    <s v="HSBC "/>
    <s v="HSBC 004053489092 TP"/>
    <n v="340921790"/>
    <s v="SOLI3409"/>
  </r>
  <r>
    <n v="3409"/>
    <s v="22.01.2020"/>
    <n v="2020"/>
    <d v="2020-01-01T00:00:00"/>
    <n v="1"/>
    <n v="900007648"/>
    <s v="WE"/>
    <n v="81"/>
    <x v="2"/>
    <n v="21021040"/>
    <x v="2"/>
    <n v="24437.5"/>
    <s v="MXN"/>
    <n v="24437.5"/>
    <x v="0"/>
    <m/>
    <m/>
    <s v="A0C3E6C7-7D66-42BD-8844-81B9B20ABA85"/>
    <s v="PCU100511DQA"/>
    <n v="801012"/>
    <s v="PLEAMAR CULTURAL S DE RL DE CV"/>
    <m/>
    <s v="PCU100511DQA"/>
    <s v="22.01.2020"/>
    <n v="3105"/>
    <m/>
    <n v="24437.5"/>
    <n v="3910"/>
    <n v="28347.5"/>
    <n v="900008080"/>
    <s v="REVISTA TENDENCIA ENERO"/>
    <n v="28347.5"/>
    <s v="10.02.2020"/>
    <s v="TRANSFERENCIA"/>
    <n v="900013610"/>
    <s v="BBVA"/>
    <s v="BBVAB 00188039070 TP"/>
    <n v="340921790"/>
    <s v="SOLI3409"/>
  </r>
  <r>
    <n v="3407"/>
    <s v="23.01.2020"/>
    <n v="2020"/>
    <d v="2020-01-01T00:00:00"/>
    <n v="1"/>
    <n v="700025857"/>
    <s v="WE"/>
    <n v="81"/>
    <x v="2"/>
    <n v="21021040"/>
    <x v="2"/>
    <n v="35988.22"/>
    <s v="MXN"/>
    <n v="35988.22"/>
    <x v="0"/>
    <m/>
    <m/>
    <s v="C0BF83A2-75DF-4F3A-B81E-BAFF64E1BA15"/>
    <s v="SII890619AD1"/>
    <n v="108911"/>
    <s v="SPECTRADYNE INTERNATIONAL INC"/>
    <m/>
    <m/>
    <s v="23.01.2020"/>
    <s v="A12292"/>
    <n v="4501225955"/>
    <n v="35988.22"/>
    <n v="5758.1152000000002"/>
    <n v="41746.335200000001"/>
    <n v="700025953"/>
    <s v="SPECTRADYNE INTERNATIONAL ENERO"/>
    <n v="41746.335200000001"/>
    <m/>
    <n v="700074889"/>
    <s v="25.02.2020"/>
    <s v="HSBC "/>
    <s v="HSBC 004053489092 TP"/>
    <n v="340746390"/>
    <s v="SOLI3407"/>
  </r>
  <r>
    <n v="3409"/>
    <s v="31.01.2020"/>
    <n v="2020"/>
    <d v="2020-01-01T00:00:00"/>
    <n v="2"/>
    <n v="900012085"/>
    <s v="SA"/>
    <n v="40"/>
    <x v="2"/>
    <n v="11610090"/>
    <x v="2"/>
    <n v="720.84"/>
    <s v="USD"/>
    <n v="14017.29"/>
    <x v="0"/>
    <m/>
    <m/>
    <m/>
    <m/>
    <m/>
    <m/>
    <m/>
    <m/>
    <s v="03.02.2020"/>
    <s v="AMORT ENE 20"/>
    <m/>
    <n v="720.84"/>
    <m/>
    <m/>
    <m/>
    <s v="PUBLICIDAD LIBRO VISIT LOS CABOS 2020"/>
    <m/>
    <m/>
    <m/>
    <m/>
    <m/>
    <m/>
    <n v="340921790"/>
    <s v="JQUITERIO"/>
  </r>
  <r>
    <n v="3409"/>
    <s v="31.01.2020"/>
    <n v="2020"/>
    <d v="2020-01-01T00:00:00"/>
    <n v="1"/>
    <n v="900012105"/>
    <s v="SA"/>
    <n v="40"/>
    <x v="2"/>
    <n v="21220060"/>
    <x v="2"/>
    <n v="75071"/>
    <s v="USD"/>
    <n v="1404330.68"/>
    <x v="0"/>
    <m/>
    <m/>
    <m/>
    <m/>
    <m/>
    <m/>
    <m/>
    <n v="900030035"/>
    <s v="03.02.2020"/>
    <s v="PROV PHOTOSHOOT"/>
    <m/>
    <n v="75071"/>
    <m/>
    <m/>
    <m/>
    <s v="Photoshoot April"/>
    <m/>
    <m/>
    <m/>
    <m/>
    <m/>
    <m/>
    <n v="340921790"/>
    <s v="JQUITERIO"/>
  </r>
  <r>
    <n v="3401"/>
    <s v="22.01.2020"/>
    <n v="2020"/>
    <d v="2020-01-01T00:00:00"/>
    <n v="1"/>
    <n v="100020878"/>
    <s v="WE"/>
    <n v="81"/>
    <x v="4"/>
    <n v="21021040"/>
    <x v="4"/>
    <n v="50484"/>
    <s v="MXN"/>
    <n v="50484"/>
    <x v="0"/>
    <m/>
    <m/>
    <s v="27DFA65C-1D63-41B7-9350-ADC68088A10C"/>
    <s v="CSS160330CP7"/>
    <n v="107211"/>
    <s v="CFE SUMINISTRADOR DE SERVICIOS"/>
    <m/>
    <m/>
    <s v="22.01.2020"/>
    <n v="4501216248"/>
    <s v="WH000533227437"/>
    <n v="50484"/>
    <m/>
    <m/>
    <n v="100036889"/>
    <s v="CONSUMO ENERGIA ENERO 2020"/>
    <m/>
    <m/>
    <s v="TRANSFERENCIA"/>
    <s v="06.02.2020"/>
    <s v="HSBC "/>
    <s v="HSBC 004053489092 TP"/>
    <n v="340118590"/>
    <s v="MANTTO_MEX"/>
  </r>
  <r>
    <n v="3407"/>
    <s v="22.01.2020"/>
    <n v="2020"/>
    <d v="2020-01-01T00:00:00"/>
    <n v="1"/>
    <n v="700024313"/>
    <s v="WE"/>
    <n v="81"/>
    <x v="3"/>
    <n v="21021040"/>
    <x v="3"/>
    <n v="4392.03"/>
    <s v="USD"/>
    <n v="82010.179999999993"/>
    <x v="0"/>
    <m/>
    <m/>
    <s v="N/A Registro proveedor extranjero"/>
    <n v="593383972"/>
    <n v="600226"/>
    <s v="HARD ROCK CAFE INTERNATIONAL INC."/>
    <m/>
    <m/>
    <s v="22.01.2020"/>
    <s v="5000120M"/>
    <n v="20200122"/>
    <n v="4392.03"/>
    <n v="0"/>
    <n v="4392.03"/>
    <n v="700025998"/>
    <s v="Fee Memorabilia Ene 2020"/>
    <n v="3513.6239999999998"/>
    <s v="02.06.2020"/>
    <s v="TRANSFERENCIA"/>
    <n v="700367854"/>
    <s v="BOFA"/>
    <s v="BofA RCD 89805242886"/>
    <n v="340721790"/>
    <s v="CGUTIERREZ"/>
  </r>
  <r>
    <n v="3406"/>
    <s v="22.01.2020"/>
    <n v="2020"/>
    <d v="2020-01-01T00:00:00"/>
    <n v="1"/>
    <n v="600021195"/>
    <s v="WE"/>
    <n v="81"/>
    <x v="7"/>
    <n v="21021040"/>
    <x v="7"/>
    <n v="40000"/>
    <s v="MXN"/>
    <n v="40000"/>
    <x v="0"/>
    <m/>
    <m/>
    <s v="2609603E-AC7F-4924-A0F0-6686F735ECE6"/>
    <s v="PERX770225UA2"/>
    <n v="108547"/>
    <s v="PEREZ STONE RODRIGUEZ XAVIER AARON"/>
    <m/>
    <m/>
    <s v="22.01.2020"/>
    <n v="172"/>
    <n v="4501224385"/>
    <n v="40000"/>
    <n v="6400"/>
    <n v="46400"/>
    <n v="600025816"/>
    <s v="Pago de asesoria Xavier Pérez Enero"/>
    <n v="46400"/>
    <m/>
    <s v="TRANSFERENCIA"/>
    <s v="31.01.2020"/>
    <s v="HSBC "/>
    <s v="HSBC 004053489092 TP"/>
    <n v="340612490"/>
    <s v="SOLIUNICO"/>
  </r>
  <r>
    <n v="3402"/>
    <s v="25.01.2020"/>
    <n v="2020"/>
    <d v="2020-01-01T00:00:00"/>
    <n v="1"/>
    <n v="200076710"/>
    <s v="WE"/>
    <n v="81"/>
    <x v="3"/>
    <n v="21021040"/>
    <x v="3"/>
    <n v="160576.13"/>
    <s v="USD"/>
    <n v="3019120.28"/>
    <x v="0"/>
    <m/>
    <m/>
    <s v="N/A Registro proveedor extranjero"/>
    <s v="XEXX0101010"/>
    <n v="101128"/>
    <s v="HARD ROCK LIMITED."/>
    <m/>
    <m/>
    <s v="25.01.2020"/>
    <s v="4181219R"/>
    <n v="20200125"/>
    <n v="160576.13"/>
    <n v="0"/>
    <n v="160576.13"/>
    <n v="200076714"/>
    <s v="HARD ROCK LIMITE LICENSE FESS DIC19"/>
    <n v="145978.29999999999"/>
    <m/>
    <s v="TRANSFERENCIA"/>
    <s v="05.02.2020"/>
    <s v="BOFA"/>
    <s v="BofA RCD 89805242886"/>
    <n v="340221790"/>
    <s v="MCONTRERAS"/>
  </r>
  <r>
    <n v="3402"/>
    <s v="25.01.2020"/>
    <n v="2020"/>
    <d v="2020-01-01T00:00:00"/>
    <n v="1"/>
    <n v="200076711"/>
    <s v="WE"/>
    <n v="81"/>
    <x v="3"/>
    <n v="21021040"/>
    <x v="3"/>
    <n v="12021.37"/>
    <s v="USD"/>
    <n v="226023.39"/>
    <x v="0"/>
    <m/>
    <m/>
    <s v="N/A Registro proveedor extranjero"/>
    <s v="XEXX0101010"/>
    <n v="101128"/>
    <s v="HARD ROCK LIMITED."/>
    <m/>
    <m/>
    <s v="25.01.2020"/>
    <s v="4181219R"/>
    <n v="20200125"/>
    <n v="12021.37"/>
    <n v="0"/>
    <n v="12021.37"/>
    <n v="200076714"/>
    <s v="RETAIL FEES  DIC19"/>
    <n v="10928.518181818181"/>
    <m/>
    <s v="TRANSFERENCIA"/>
    <s v="05.02.2020"/>
    <s v="BOFA"/>
    <s v="BofA RCD 89805242886"/>
    <n v="340268190"/>
    <s v="MCONTRERAS"/>
  </r>
  <r>
    <n v="3402"/>
    <s v="25.01.2020"/>
    <n v="2020"/>
    <d v="2020-01-01T00:00:00"/>
    <n v="1"/>
    <n v="200076712"/>
    <s v="WE"/>
    <n v="81"/>
    <x v="3"/>
    <n v="21021040"/>
    <x v="3"/>
    <n v="51255.14"/>
    <s v="USD"/>
    <n v="963688.89"/>
    <x v="0"/>
    <m/>
    <m/>
    <s v="N/A Registro proveedor extranjero"/>
    <s v="XEXX0101010"/>
    <n v="101128"/>
    <s v="HARD ROCK LIMITED."/>
    <m/>
    <m/>
    <s v="25.01.2020"/>
    <s v="4181219R"/>
    <n v="20200125"/>
    <n v="51255.14"/>
    <n v="0"/>
    <n v="51255.14"/>
    <n v="200076714"/>
    <s v="MARKETING FEES  DIC19"/>
    <n v="46595.58181818181"/>
    <m/>
    <s v="TRANSFERENCIA"/>
    <s v="05.02.2020"/>
    <s v="BOFA"/>
    <s v="BofA RCD 89805242886"/>
    <n v="340221790"/>
    <s v="MCONTRERAS"/>
  </r>
  <r>
    <n v="3401"/>
    <s v="25.01.2020"/>
    <n v="2020"/>
    <d v="2020-01-01T00:00:00"/>
    <n v="1"/>
    <n v="100024953"/>
    <s v="WE"/>
    <n v="81"/>
    <x v="4"/>
    <n v="21021040"/>
    <x v="4"/>
    <n v="40950"/>
    <s v="MXN"/>
    <n v="40950"/>
    <x v="0"/>
    <m/>
    <m/>
    <s v="27DFA65C-1D63-41B7-9350-ADC68088A10C"/>
    <s v="CSS160330CP7"/>
    <n v="107211"/>
    <s v="CFE SUMINISTRADOR DE SERVICIOS"/>
    <m/>
    <m/>
    <s v="25.01.2020"/>
    <n v="4501216248"/>
    <s v="WH000533227437"/>
    <n v="40950"/>
    <m/>
    <m/>
    <n v="100036889"/>
    <s v="CONSUMO ENERGIA ENERO 2020"/>
    <m/>
    <m/>
    <s v="TRANSFERENCIA"/>
    <s v="06.02.2020"/>
    <s v="HSBC "/>
    <s v="HSBC 004053489092 TP"/>
    <n v="340118590"/>
    <s v="MANTTO_MEX"/>
  </r>
  <r>
    <n v="3402"/>
    <s v="25.01.2020"/>
    <n v="2020"/>
    <d v="2020-01-01T00:00:00"/>
    <n v="1"/>
    <n v="200076810"/>
    <s v="WE"/>
    <n v="81"/>
    <x v="5"/>
    <n v="21021040"/>
    <x v="5"/>
    <n v="3866.72"/>
    <s v="USD"/>
    <n v="72701.3"/>
    <x v="0"/>
    <m/>
    <m/>
    <s v="N/A Registro proveedor extranjero"/>
    <n v="752738581"/>
    <n v="602358"/>
    <s v="PEGASUS BUSINESS INTELLIGENCE"/>
    <m/>
    <m/>
    <s v="25.01.2020"/>
    <n v="2282588"/>
    <n v="20200125"/>
    <n v="3866.72"/>
    <n v="0"/>
    <n v="3866.72"/>
    <n v="200086220"/>
    <s v="COMISIONES PEGASUS CYCLE END 01/25/2020"/>
    <n v="3866.72"/>
    <s v="29.01.2020"/>
    <s v="TRANSFERENCIA"/>
    <m/>
    <s v="BOFA"/>
    <s v="BofA RCD 89805242886"/>
    <n v="340221990"/>
    <s v="AINGRESOSCG"/>
  </r>
  <r>
    <n v="3402"/>
    <s v="25.01.2020"/>
    <n v="2020"/>
    <d v="2020-01-01T00:00:00"/>
    <n v="1"/>
    <n v="200076812"/>
    <s v="WE"/>
    <n v="81"/>
    <x v="5"/>
    <n v="21021040"/>
    <x v="5"/>
    <n v="16267.53"/>
    <s v="USD"/>
    <n v="305858.84999999998"/>
    <x v="0"/>
    <m/>
    <m/>
    <s v="N/A Registro proveedor extranjero"/>
    <n v="752738581"/>
    <n v="602358"/>
    <s v="PEGASUS BUSINESS INTELLIGENCE"/>
    <m/>
    <m/>
    <s v="25.01.2020"/>
    <n v="2273646"/>
    <n v="20200125"/>
    <n v="16267.53"/>
    <n v="0"/>
    <n v="16267.53"/>
    <n v="200086225"/>
    <s v="COMISIONES PEGASUS CYCLE END 01/18/2020"/>
    <n v="16267.53"/>
    <s v="29.01.2020"/>
    <s v="TRANSFERENCIA"/>
    <m/>
    <s v="BOFA"/>
    <s v="BofA RCD 89805242886"/>
    <n v="340221990"/>
    <s v="AINGRESOSCG"/>
  </r>
  <r>
    <n v="3401"/>
    <s v="25.01.2020"/>
    <n v="2020"/>
    <d v="2020-01-01T00:00:00"/>
    <n v="1"/>
    <n v="100025051"/>
    <s v="WE"/>
    <n v="81"/>
    <x v="9"/>
    <n v="21021040"/>
    <x v="9"/>
    <n v="1421.09"/>
    <s v="USD"/>
    <n v="26719.05"/>
    <x v="0"/>
    <m/>
    <m/>
    <s v="N/A Registro proveedor extranjero"/>
    <n v="593416526"/>
    <n v="602304"/>
    <s v="VIZERGY."/>
    <m/>
    <m/>
    <s v="25.01.2020"/>
    <s v="SIN044089"/>
    <n v="20200125"/>
    <n v="1421.09"/>
    <n v="0"/>
    <n v="1421.09"/>
    <n v="100026717"/>
    <s v="PAGO MENSUALIDAD HOSTING ENERO"/>
    <n v="1421.09"/>
    <s v="25.02.2020"/>
    <s v="TRANSFERENCIA"/>
    <n v="100063849"/>
    <s v="BOFA"/>
    <s v="BofA RCD 89805242886"/>
    <n v="340121790"/>
    <s v="SOLI1101"/>
  </r>
  <r>
    <n v="3402"/>
    <s v="25.01.2020"/>
    <n v="2020"/>
    <d v="2020-01-01T00:00:00"/>
    <n v="1"/>
    <n v="200076900"/>
    <s v="WE"/>
    <n v="81"/>
    <x v="4"/>
    <n v="21021040"/>
    <x v="4"/>
    <n v="1715.03"/>
    <s v="MXN"/>
    <n v="1715.03"/>
    <x v="0"/>
    <m/>
    <m/>
    <s v="3BC7123B-A28D-4298-B452-687E6C8B15BB"/>
    <s v="CSS160330CP7"/>
    <n v="107211"/>
    <s v="CFE SUMINISTRADOR DE SERVICIOS"/>
    <m/>
    <m/>
    <s v="25.01.2020"/>
    <n v="4501226797"/>
    <n v="20200125"/>
    <n v="1715.03"/>
    <n v="274.40480000000002"/>
    <n v="1989.4348"/>
    <n v="200127172"/>
    <s v="Consumo CFE Casa Club 01.01.2020"/>
    <n v="1989.4348"/>
    <m/>
    <s v="TRANSFERENCIA"/>
    <s v="10.02.2020"/>
    <s v="HSBC "/>
    <s v="HSBC 004053489092 TP"/>
    <n v="340255290"/>
    <s v="SOLI1102"/>
  </r>
  <r>
    <n v="3402"/>
    <s v="25.01.2020"/>
    <n v="2020"/>
    <d v="2020-01-01T00:00:00"/>
    <n v="3"/>
    <n v="200076900"/>
    <s v="WE"/>
    <n v="81"/>
    <x v="4"/>
    <n v="21021040"/>
    <x v="4"/>
    <n v="1365.06"/>
    <s v="MXN"/>
    <n v="1365.06"/>
    <x v="0"/>
    <m/>
    <m/>
    <s v="3BC7123B-A28D-4298-B452-687E6C8B15BB"/>
    <s v="CSS160330CP7"/>
    <n v="107211"/>
    <s v="CFE SUMINISTRADOR DE SERVICIOS"/>
    <m/>
    <m/>
    <s v="25.01.2020"/>
    <n v="4501226797"/>
    <n v="20200125"/>
    <n v="1365.06"/>
    <n v="218.40959999999998"/>
    <n v="1583.4695999999999"/>
    <n v="200127172"/>
    <s v="Consumo CFE Casa Club 02.01.2020"/>
    <n v="1583.4695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5"/>
    <n v="200076900"/>
    <s v="WE"/>
    <n v="81"/>
    <x v="4"/>
    <n v="21021040"/>
    <x v="4"/>
    <n v="1715.03"/>
    <s v="MXN"/>
    <n v="1715.03"/>
    <x v="0"/>
    <m/>
    <m/>
    <s v="3BC7123B-A28D-4298-B452-687E6C8B15BB"/>
    <s v="CSS160330CP7"/>
    <n v="107211"/>
    <s v="CFE SUMINISTRADOR DE SERVICIOS"/>
    <m/>
    <m/>
    <s v="25.01.2020"/>
    <n v="4501226797"/>
    <n v="20200125"/>
    <n v="1715.03"/>
    <n v="274.40480000000002"/>
    <n v="1989.4348"/>
    <n v="200127172"/>
    <s v="Consumo CFE Casa Club 03.01.2020"/>
    <n v="1989.4348"/>
    <m/>
    <s v="TRANSFERENCIA"/>
    <s v="10.02.2020"/>
    <s v="HSBC "/>
    <s v="HSBC 004053489092 TP"/>
    <n v="340255290"/>
    <s v="SOLI1102"/>
  </r>
  <r>
    <n v="3402"/>
    <s v="25.01.2020"/>
    <n v="2020"/>
    <d v="2020-01-01T00:00:00"/>
    <n v="7"/>
    <n v="200076900"/>
    <s v="WE"/>
    <n v="81"/>
    <x v="4"/>
    <n v="21021040"/>
    <x v="4"/>
    <n v="2310.02"/>
    <s v="MXN"/>
    <n v="2310.02"/>
    <x v="0"/>
    <m/>
    <m/>
    <s v="3BC7123B-A28D-4298-B452-687E6C8B15BB"/>
    <s v="CSS160330CP7"/>
    <n v="107211"/>
    <s v="CFE SUMINISTRADOR DE SERVICIOS"/>
    <m/>
    <m/>
    <s v="25.01.2020"/>
    <n v="4501226797"/>
    <n v="20200125"/>
    <n v="2310.02"/>
    <n v="369.60320000000002"/>
    <n v="2679.6232"/>
    <n v="200127172"/>
    <s v="Consumo CFE Casa Club 04.01.2020"/>
    <n v="2679.6232"/>
    <m/>
    <s v="TRANSFERENCIA"/>
    <s v="10.02.2020"/>
    <s v="HSBC "/>
    <s v="HSBC 004053489092 TP"/>
    <n v="340255290"/>
    <s v="SOLI1102"/>
  </r>
  <r>
    <n v="3402"/>
    <s v="25.01.2020"/>
    <n v="2020"/>
    <d v="2020-01-01T00:00:00"/>
    <n v="9"/>
    <n v="200076900"/>
    <s v="WE"/>
    <n v="81"/>
    <x v="4"/>
    <n v="21021040"/>
    <x v="4"/>
    <n v="350.05"/>
    <s v="MXN"/>
    <n v="350.05"/>
    <x v="0"/>
    <m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05.01.2020"/>
    <n v="406.05799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11"/>
    <n v="200076900"/>
    <s v="WE"/>
    <n v="81"/>
    <x v="4"/>
    <n v="21021040"/>
    <x v="4"/>
    <n v="2730.06"/>
    <s v="MXN"/>
    <n v="2730.06"/>
    <x v="0"/>
    <m/>
    <m/>
    <s v="3BC7123B-A28D-4298-B452-687E6C8B15BB"/>
    <s v="CSS160330CP7"/>
    <n v="107211"/>
    <s v="CFE SUMINISTRADOR DE SERVICIOS"/>
    <m/>
    <m/>
    <s v="25.01.2020"/>
    <n v="4501226797"/>
    <n v="20200125"/>
    <n v="2730.06"/>
    <n v="436.80959999999999"/>
    <n v="3166.8696"/>
    <n v="200127172"/>
    <s v="Consumo CFE Casa Club 06.01.2020"/>
    <n v="3166.8696"/>
    <m/>
    <s v="TRANSFERENCIA"/>
    <s v="10.02.2020"/>
    <s v="HSBC "/>
    <s v="HSBC 004053489092 TP"/>
    <n v="340255290"/>
    <s v="SOLI1102"/>
  </r>
  <r>
    <n v="3402"/>
    <s v="25.01.2020"/>
    <n v="2020"/>
    <d v="2020-01-01T00:00:00"/>
    <n v="13"/>
    <n v="200076900"/>
    <s v="WE"/>
    <n v="81"/>
    <x v="4"/>
    <n v="21021040"/>
    <x v="4"/>
    <n v="175.05"/>
    <s v="MXN"/>
    <n v="175.05"/>
    <x v="0"/>
    <m/>
    <m/>
    <s v="3BC7123B-A28D-4298-B452-687E6C8B15BB"/>
    <s v="CSS160330CP7"/>
    <n v="107211"/>
    <s v="CFE SUMINISTRADOR DE SERVICIOS"/>
    <m/>
    <m/>
    <s v="25.01.2020"/>
    <n v="4501226797"/>
    <n v="20200125"/>
    <n v="175.05"/>
    <n v="28.008000000000003"/>
    <n v="203.05800000000002"/>
    <n v="200127172"/>
    <s v="Consumo CFE Casa Club 07.01.2020"/>
    <n v="203.05800000000002"/>
    <m/>
    <s v="TRANSFERENCIA"/>
    <s v="10.02.2020"/>
    <s v="HSBC "/>
    <s v="HSBC 004053489092 TP"/>
    <n v="340255290"/>
    <s v="SOLI1102"/>
  </r>
  <r>
    <n v="3402"/>
    <s v="25.01.2020"/>
    <n v="2020"/>
    <d v="2020-01-01T00:00:00"/>
    <n v="15"/>
    <n v="200076900"/>
    <s v="WE"/>
    <n v="81"/>
    <x v="4"/>
    <n v="21021040"/>
    <x v="4"/>
    <n v="350.05"/>
    <s v="MXN"/>
    <n v="350.05"/>
    <x v="0"/>
    <m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08.01.2020"/>
    <n v="406.05799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17"/>
    <n v="200076900"/>
    <s v="WE"/>
    <n v="81"/>
    <x v="4"/>
    <n v="21021040"/>
    <x v="4"/>
    <n v="3500"/>
    <s v="MXN"/>
    <n v="3500"/>
    <x v="0"/>
    <m/>
    <m/>
    <s v="3BC7123B-A28D-4298-B452-687E6C8B15BB"/>
    <s v="CSS160330CP7"/>
    <n v="107211"/>
    <s v="CFE SUMINISTRADOR DE SERVICIOS"/>
    <m/>
    <m/>
    <s v="25.01.2020"/>
    <n v="4501226797"/>
    <n v="20200125"/>
    <n v="3500"/>
    <n v="560"/>
    <n v="4060"/>
    <n v="200127172"/>
    <s v="Consumo CFE Casa Club 09.01.2020"/>
    <n v="4060"/>
    <m/>
    <s v="TRANSFERENCIA"/>
    <s v="10.02.2020"/>
    <s v="HSBC "/>
    <s v="HSBC 004053489092 TP"/>
    <n v="340255290"/>
    <s v="SOLI1102"/>
  </r>
  <r>
    <n v="3402"/>
    <s v="25.01.2020"/>
    <n v="2020"/>
    <d v="2020-01-01T00:00:00"/>
    <n v="19"/>
    <n v="200076900"/>
    <s v="WE"/>
    <n v="81"/>
    <x v="4"/>
    <n v="21021040"/>
    <x v="4"/>
    <n v="350.05"/>
    <s v="MXN"/>
    <n v="350.05"/>
    <x v="0"/>
    <m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10.01.2020"/>
    <n v="406.05799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21"/>
    <n v="200076900"/>
    <s v="WE"/>
    <n v="81"/>
    <x v="4"/>
    <n v="21021040"/>
    <x v="4"/>
    <n v="350.05"/>
    <s v="MXN"/>
    <n v="350.05"/>
    <x v="0"/>
    <m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11.01.2020"/>
    <n v="406.05799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23"/>
    <n v="200076900"/>
    <s v="WE"/>
    <n v="81"/>
    <x v="4"/>
    <n v="21021040"/>
    <x v="4"/>
    <n v="1540.03"/>
    <s v="MXN"/>
    <n v="1540.03"/>
    <x v="0"/>
    <m/>
    <m/>
    <s v="3BC7123B-A28D-4298-B452-687E6C8B15BB"/>
    <s v="CSS160330CP7"/>
    <n v="107211"/>
    <s v="CFE SUMINISTRADOR DE SERVICIOS"/>
    <m/>
    <m/>
    <s v="25.01.2020"/>
    <n v="4501226797"/>
    <n v="20200125"/>
    <n v="1540.03"/>
    <n v="246.40479999999999"/>
    <n v="1786.4348"/>
    <n v="200127172"/>
    <s v="Consumo CFE Casa Club 12.01.2020"/>
    <n v="1786.4348"/>
    <m/>
    <s v="TRANSFERENCIA"/>
    <s v="10.02.2020"/>
    <s v="HSBC "/>
    <s v="HSBC 004053489092 TP"/>
    <n v="340255290"/>
    <s v="SOLI1102"/>
  </r>
  <r>
    <n v="3402"/>
    <s v="25.01.2020"/>
    <n v="2020"/>
    <d v="2020-01-01T00:00:00"/>
    <n v="25"/>
    <n v="200076900"/>
    <s v="WE"/>
    <n v="81"/>
    <x v="4"/>
    <n v="21021040"/>
    <x v="4"/>
    <n v="2905.03"/>
    <s v="MXN"/>
    <n v="2905.03"/>
    <x v="0"/>
    <m/>
    <m/>
    <s v="3BC7123B-A28D-4298-B452-687E6C8B15BB"/>
    <s v="CSS160330CP7"/>
    <n v="107211"/>
    <s v="CFE SUMINISTRADOR DE SERVICIOS"/>
    <m/>
    <m/>
    <s v="25.01.2020"/>
    <n v="4501226797"/>
    <n v="20200125"/>
    <n v="2905.03"/>
    <n v="464.80480000000006"/>
    <n v="3369.8348000000001"/>
    <n v="200127172"/>
    <s v="Consumo CFE Casa Club 13.01.2020"/>
    <n v="3369.8348000000001"/>
    <m/>
    <s v="TRANSFERENCIA"/>
    <s v="10.02.2020"/>
    <s v="HSBC "/>
    <s v="HSBC 004053489092 TP"/>
    <n v="340255290"/>
    <s v="SOLI1102"/>
  </r>
  <r>
    <n v="3402"/>
    <s v="25.01.2020"/>
    <n v="2020"/>
    <d v="2020-01-01T00:00:00"/>
    <n v="27"/>
    <n v="200076900"/>
    <s v="WE"/>
    <n v="81"/>
    <x v="4"/>
    <n v="21021040"/>
    <x v="4"/>
    <n v="2310.02"/>
    <s v="MXN"/>
    <n v="2310.02"/>
    <x v="0"/>
    <m/>
    <m/>
    <s v="3BC7123B-A28D-4298-B452-687E6C8B15BB"/>
    <s v="CSS160330CP7"/>
    <n v="107211"/>
    <s v="CFE SUMINISTRADOR DE SERVICIOS"/>
    <m/>
    <m/>
    <s v="25.01.2020"/>
    <n v="4501226797"/>
    <n v="20200125"/>
    <n v="2310.02"/>
    <n v="369.60320000000002"/>
    <n v="2679.6232"/>
    <n v="200127172"/>
    <s v="Consumo CFE Casa Club 14.01.2020"/>
    <n v="2679.6232"/>
    <m/>
    <s v="TRANSFERENCIA"/>
    <s v="10.02.2020"/>
    <s v="HSBC "/>
    <s v="HSBC 004053489092 TP"/>
    <n v="340255290"/>
    <s v="SOLI1102"/>
  </r>
  <r>
    <n v="3402"/>
    <s v="25.01.2020"/>
    <n v="2020"/>
    <d v="2020-01-01T00:00:00"/>
    <n v="29"/>
    <n v="200076900"/>
    <s v="WE"/>
    <n v="81"/>
    <x v="4"/>
    <n v="21021040"/>
    <x v="4"/>
    <n v="1715.03"/>
    <s v="MXN"/>
    <n v="1715.03"/>
    <x v="0"/>
    <m/>
    <m/>
    <s v="3BC7123B-A28D-4298-B452-687E6C8B15BB"/>
    <s v="CSS160330CP7"/>
    <n v="107211"/>
    <s v="CFE SUMINISTRADOR DE SERVICIOS"/>
    <m/>
    <m/>
    <s v="25.01.2020"/>
    <n v="4501226797"/>
    <n v="20200125"/>
    <n v="1715.03"/>
    <n v="274.40480000000002"/>
    <n v="1989.4348"/>
    <n v="200127172"/>
    <s v="Consumo CFE Casa Club 15.01.2020"/>
    <n v="1989.4348"/>
    <m/>
    <s v="TRANSFERENCIA"/>
    <s v="10.02.2020"/>
    <s v="HSBC "/>
    <s v="HSBC 004053489092 TP"/>
    <n v="340255290"/>
    <s v="SOLI1102"/>
  </r>
  <r>
    <n v="3402"/>
    <s v="25.01.2020"/>
    <n v="2020"/>
    <d v="2020-01-01T00:00:00"/>
    <n v="31"/>
    <n v="200076900"/>
    <s v="WE"/>
    <n v="81"/>
    <x v="4"/>
    <n v="21021040"/>
    <x v="4"/>
    <n v="350.05"/>
    <s v="MXN"/>
    <n v="350.05"/>
    <x v="0"/>
    <m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16.01.2020"/>
    <n v="406.05799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33"/>
    <n v="200076900"/>
    <s v="WE"/>
    <n v="81"/>
    <x v="4"/>
    <n v="21021040"/>
    <x v="4"/>
    <n v="2135.02"/>
    <s v="MXN"/>
    <n v="2135.02"/>
    <x v="0"/>
    <m/>
    <m/>
    <s v="3BC7123B-A28D-4298-B452-687E6C8B15BB"/>
    <s v="CSS160330CP7"/>
    <n v="107211"/>
    <s v="CFE SUMINISTRADOR DE SERVICIOS"/>
    <m/>
    <m/>
    <s v="25.01.2020"/>
    <n v="4501226797"/>
    <n v="20200125"/>
    <n v="2135.02"/>
    <n v="341.60320000000002"/>
    <n v="2476.6232"/>
    <n v="200127172"/>
    <s v="Consumo CFE Casa Club 17.01.2020"/>
    <n v="2476.6232"/>
    <m/>
    <s v="TRANSFERENCIA"/>
    <s v="10.02.2020"/>
    <s v="HSBC "/>
    <s v="HSBC 004053489092 TP"/>
    <n v="340255290"/>
    <s v="SOLI1102"/>
  </r>
  <r>
    <n v="3402"/>
    <s v="25.01.2020"/>
    <n v="2020"/>
    <d v="2020-01-01T00:00:00"/>
    <n v="35"/>
    <n v="200076900"/>
    <s v="WE"/>
    <n v="81"/>
    <x v="4"/>
    <n v="21021040"/>
    <x v="4"/>
    <n v="1715.03"/>
    <s v="MXN"/>
    <n v="1715.03"/>
    <x v="0"/>
    <m/>
    <m/>
    <s v="3BC7123B-A28D-4298-B452-687E6C8B15BB"/>
    <s v="CSS160330CP7"/>
    <n v="107211"/>
    <s v="CFE SUMINISTRADOR DE SERVICIOS"/>
    <m/>
    <m/>
    <s v="25.01.2020"/>
    <n v="4501226797"/>
    <n v="20200125"/>
    <n v="1715.03"/>
    <n v="274.40480000000002"/>
    <n v="1989.4348"/>
    <n v="200127172"/>
    <s v="Consumo CFE Casa Club 18.01.2020"/>
    <n v="1989.4348"/>
    <m/>
    <s v="TRANSFERENCIA"/>
    <s v="10.02.2020"/>
    <s v="HSBC "/>
    <s v="HSBC 004053489092 TP"/>
    <n v="340255290"/>
    <s v="SOLI1102"/>
  </r>
  <r>
    <n v="3402"/>
    <s v="25.01.2020"/>
    <n v="2020"/>
    <d v="2020-01-01T00:00:00"/>
    <n v="37"/>
    <n v="200076900"/>
    <s v="WE"/>
    <n v="81"/>
    <x v="4"/>
    <n v="21021040"/>
    <x v="4"/>
    <n v="350.05"/>
    <s v="MXN"/>
    <n v="350.05"/>
    <x v="0"/>
    <m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19.01.2020"/>
    <n v="406.05799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39"/>
    <n v="200076900"/>
    <s v="WE"/>
    <n v="81"/>
    <x v="4"/>
    <n v="21021040"/>
    <x v="4"/>
    <n v="2730.06"/>
    <s v="MXN"/>
    <n v="2730.06"/>
    <x v="0"/>
    <m/>
    <m/>
    <s v="3BC7123B-A28D-4298-B452-687E6C8B15BB"/>
    <s v="CSS160330CP7"/>
    <n v="107211"/>
    <s v="CFE SUMINISTRADOR DE SERVICIOS"/>
    <m/>
    <m/>
    <s v="25.01.2020"/>
    <n v="4501226797"/>
    <n v="20200125"/>
    <n v="2730.06"/>
    <n v="436.80959999999999"/>
    <n v="3166.8696"/>
    <n v="200127172"/>
    <s v="Consumo CFE Casa Club 20.01.2020"/>
    <n v="3166.8696"/>
    <m/>
    <s v="TRANSFERENCIA"/>
    <s v="10.02.2020"/>
    <s v="HSBC "/>
    <s v="HSBC 004053489092 TP"/>
    <n v="340255290"/>
    <s v="SOLI1102"/>
  </r>
  <r>
    <n v="3402"/>
    <s v="25.01.2020"/>
    <n v="2020"/>
    <d v="2020-01-01T00:00:00"/>
    <n v="41"/>
    <n v="200076900"/>
    <s v="WE"/>
    <n v="81"/>
    <x v="4"/>
    <n v="21021040"/>
    <x v="4"/>
    <n v="2310.02"/>
    <s v="MXN"/>
    <n v="2310.02"/>
    <x v="0"/>
    <m/>
    <m/>
    <s v="3BC7123B-A28D-4298-B452-687E6C8B15BB"/>
    <s v="CSS160330CP7"/>
    <n v="107211"/>
    <s v="CFE SUMINISTRADOR DE SERVICIOS"/>
    <m/>
    <m/>
    <s v="25.01.2020"/>
    <n v="4501226797"/>
    <n v="20200125"/>
    <n v="2310.02"/>
    <n v="369.60320000000002"/>
    <n v="2679.6232"/>
    <n v="200127172"/>
    <s v="Consumo CFE Casa Club 21.01.2020"/>
    <n v="2679.6232"/>
    <m/>
    <s v="TRANSFERENCIA"/>
    <s v="10.02.2020"/>
    <s v="HSBC "/>
    <s v="HSBC 004053489092 TP"/>
    <n v="340255290"/>
    <s v="SOLI1102"/>
  </r>
  <r>
    <n v="3402"/>
    <s v="25.01.2020"/>
    <n v="2020"/>
    <d v="2020-01-01T00:00:00"/>
    <n v="43"/>
    <n v="200076900"/>
    <s v="WE"/>
    <n v="81"/>
    <x v="4"/>
    <n v="21021040"/>
    <x v="4"/>
    <n v="175.05"/>
    <s v="MXN"/>
    <n v="175.05"/>
    <x v="0"/>
    <m/>
    <m/>
    <s v="3BC7123B-A28D-4298-B452-687E6C8B15BB"/>
    <s v="CSS160330CP7"/>
    <n v="107211"/>
    <s v="CFE SUMINISTRADOR DE SERVICIOS"/>
    <m/>
    <m/>
    <s v="25.01.2020"/>
    <n v="4501226797"/>
    <n v="20200125"/>
    <n v="175.05"/>
    <n v="28.008000000000003"/>
    <n v="203.05800000000002"/>
    <n v="200127172"/>
    <s v="Consumo CFE Casa Club 22.01.2020"/>
    <n v="203.05800000000002"/>
    <m/>
    <s v="TRANSFERENCIA"/>
    <s v="10.02.2020"/>
    <s v="HSBC "/>
    <s v="HSBC 004053489092 TP"/>
    <n v="340255290"/>
    <s v="SOLI1102"/>
  </r>
  <r>
    <n v="3402"/>
    <s v="25.01.2020"/>
    <n v="2020"/>
    <d v="2020-01-01T00:00:00"/>
    <n v="45"/>
    <n v="200076900"/>
    <s v="WE"/>
    <n v="81"/>
    <x v="4"/>
    <n v="21021040"/>
    <x v="4"/>
    <n v="350.05"/>
    <s v="MXN"/>
    <n v="350.05"/>
    <x v="0"/>
    <m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23.01.2020"/>
    <n v="406.05799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47"/>
    <n v="200076900"/>
    <s v="WE"/>
    <n v="81"/>
    <x v="4"/>
    <n v="21021040"/>
    <x v="4"/>
    <n v="1540.03"/>
    <s v="MXN"/>
    <n v="1540.03"/>
    <x v="0"/>
    <m/>
    <m/>
    <s v="3BC7123B-A28D-4298-B452-687E6C8B15BB"/>
    <s v="CSS160330CP7"/>
    <n v="107211"/>
    <s v="CFE SUMINISTRADOR DE SERVICIOS"/>
    <m/>
    <m/>
    <s v="25.01.2020"/>
    <n v="4501226797"/>
    <n v="20200125"/>
    <n v="1540.03"/>
    <n v="246.40479999999999"/>
    <n v="1786.4348"/>
    <n v="200127172"/>
    <s v="Consumo CFE Casa Club 24.01.2020"/>
    <n v="1786.4348"/>
    <m/>
    <s v="TRANSFERENCIA"/>
    <s v="10.02.2020"/>
    <s v="HSBC "/>
    <s v="HSBC 004053489092 TP"/>
    <n v="340255290"/>
    <s v="SOLI1102"/>
  </r>
  <r>
    <n v="3402"/>
    <s v="25.01.2020"/>
    <n v="2020"/>
    <d v="2020-01-01T00:00:00"/>
    <n v="49"/>
    <n v="200076900"/>
    <s v="WE"/>
    <n v="81"/>
    <x v="4"/>
    <n v="21021040"/>
    <x v="4"/>
    <n v="2310.02"/>
    <s v="MXN"/>
    <n v="2310.02"/>
    <x v="0"/>
    <m/>
    <m/>
    <s v="3BC7123B-A28D-4298-B452-687E6C8B15BB"/>
    <s v="CSS160330CP7"/>
    <n v="107211"/>
    <s v="CFE SUMINISTRADOR DE SERVICIOS"/>
    <m/>
    <m/>
    <s v="25.01.2020"/>
    <n v="4501226797"/>
    <n v="20200125"/>
    <n v="2310.02"/>
    <n v="369.60320000000002"/>
    <n v="2679.6232"/>
    <n v="200127172"/>
    <s v="Consumo CFE Casa Club 25.01.2020"/>
    <n v="2679.6232"/>
    <m/>
    <s v="TRANSFERENCIA"/>
    <s v="10.02.2020"/>
    <s v="HSBC "/>
    <s v="HSBC 004053489092 TP"/>
    <n v="340255290"/>
    <s v="SOLI1102"/>
  </r>
  <r>
    <n v="3402"/>
    <s v="25.01.2020"/>
    <n v="2020"/>
    <d v="2020-01-01T00:00:00"/>
    <n v="1"/>
    <n v="200076904"/>
    <s v="WE"/>
    <n v="81"/>
    <x v="4"/>
    <n v="21021040"/>
    <x v="4"/>
    <n v="800.05"/>
    <s v="MXN"/>
    <n v="800.05"/>
    <x v="0"/>
    <m/>
    <m/>
    <s v="3BC7123B-A28D-4298-B452-687E6C8B15BB"/>
    <s v="CSS160330CP7"/>
    <n v="107211"/>
    <s v="CFE SUMINISTRADOR DE SERVICIOS"/>
    <m/>
    <m/>
    <s v="25.01.2020"/>
    <n v="4501226797"/>
    <n v="20200125"/>
    <n v="800.05"/>
    <n v="128.00799999999998"/>
    <n v="928.05799999999999"/>
    <n v="200127172"/>
    <s v="Consumo CFE Lago Riego 01.01.2020"/>
    <n v="928.05799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3"/>
    <n v="200076904"/>
    <s v="WE"/>
    <n v="81"/>
    <x v="4"/>
    <n v="21021040"/>
    <x v="4"/>
    <n v="312.06"/>
    <s v="MXN"/>
    <n v="312.06"/>
    <x v="0"/>
    <m/>
    <m/>
    <s v="3BC7123B-A28D-4298-B452-687E6C8B15BB"/>
    <s v="CSS160330CP7"/>
    <n v="107211"/>
    <s v="CFE SUMINISTRADOR DE SERVICIOS"/>
    <m/>
    <m/>
    <s v="25.01.2020"/>
    <n v="4501226797"/>
    <n v="20200125"/>
    <n v="312.06"/>
    <n v="49.929600000000001"/>
    <n v="361.9896"/>
    <n v="200127172"/>
    <s v="Consumo CFE Lago Riego 02.01.2020"/>
    <n v="361.9896"/>
    <m/>
    <s v="TRANSFERENCIA"/>
    <s v="10.02.2020"/>
    <s v="HSBC "/>
    <s v="HSBC 004053489092 TP"/>
    <n v="340255290"/>
    <s v="SOLI1102"/>
  </r>
  <r>
    <n v="3402"/>
    <s v="25.01.2020"/>
    <n v="2020"/>
    <d v="2020-01-01T00:00:00"/>
    <n v="5"/>
    <n v="200076904"/>
    <s v="WE"/>
    <n v="81"/>
    <x v="4"/>
    <n v="21021040"/>
    <x v="4"/>
    <n v="2896.02"/>
    <s v="MXN"/>
    <n v="2896.02"/>
    <x v="0"/>
    <m/>
    <m/>
    <s v="3BC7123B-A28D-4298-B452-687E6C8B15BB"/>
    <s v="CSS160330CP7"/>
    <n v="107211"/>
    <s v="CFE SUMINISTRADOR DE SERVICIOS"/>
    <m/>
    <m/>
    <s v="25.01.2020"/>
    <n v="4501226797"/>
    <n v="20200125"/>
    <n v="2896.02"/>
    <n v="463.36320000000001"/>
    <n v="3359.3832000000002"/>
    <n v="200127172"/>
    <s v="Consumo CFE Lago Riego 03.01.2020"/>
    <n v="3359.3832000000002"/>
    <m/>
    <s v="TRANSFERENCIA"/>
    <s v="10.02.2020"/>
    <s v="HSBC "/>
    <s v="HSBC 004053489092 TP"/>
    <n v="340255290"/>
    <s v="SOLI1102"/>
  </r>
  <r>
    <n v="3402"/>
    <s v="25.01.2020"/>
    <n v="2020"/>
    <d v="2020-01-01T00:00:00"/>
    <n v="7"/>
    <n v="200076904"/>
    <s v="WE"/>
    <n v="81"/>
    <x v="4"/>
    <n v="21021040"/>
    <x v="4"/>
    <n v="1648.02"/>
    <s v="MXN"/>
    <n v="1648.02"/>
    <x v="0"/>
    <m/>
    <m/>
    <s v="3BC7123B-A28D-4298-B452-687E6C8B15BB"/>
    <s v="CSS160330CP7"/>
    <n v="107211"/>
    <s v="CFE SUMINISTRADOR DE SERVICIOS"/>
    <m/>
    <m/>
    <s v="25.01.2020"/>
    <n v="4501226797"/>
    <n v="20200125"/>
    <n v="1648.02"/>
    <n v="263.6832"/>
    <n v="1911.7031999999999"/>
    <n v="200127172"/>
    <s v="Consumo CFE Lago Riego 04.01.2020"/>
    <n v="1911.7031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9"/>
    <n v="200076904"/>
    <s v="WE"/>
    <n v="81"/>
    <x v="4"/>
    <n v="21021040"/>
    <x v="4"/>
    <n v="712.03"/>
    <s v="MXN"/>
    <n v="712.03"/>
    <x v="0"/>
    <m/>
    <m/>
    <s v="3BC7123B-A28D-4298-B452-687E6C8B15BB"/>
    <s v="CSS160330CP7"/>
    <n v="107211"/>
    <s v="CFE SUMINISTRADOR DE SERVICIOS"/>
    <m/>
    <m/>
    <s v="25.01.2020"/>
    <n v="4501226797"/>
    <n v="20200125"/>
    <n v="712.03"/>
    <n v="113.9248"/>
    <n v="825.95479999999998"/>
    <n v="200127172"/>
    <s v="Consumo CFE Lago Riego 05.01.2020"/>
    <n v="825.95479999999998"/>
    <m/>
    <s v="TRANSFERENCIA"/>
    <s v="10.02.2020"/>
    <s v="HSBC "/>
    <s v="HSBC 004053489092 TP"/>
    <n v="340255290"/>
    <s v="SOLI1102"/>
  </r>
  <r>
    <n v="3402"/>
    <s v="25.01.2020"/>
    <n v="2020"/>
    <d v="2020-01-01T00:00:00"/>
    <n v="11"/>
    <n v="200076904"/>
    <s v="WE"/>
    <n v="81"/>
    <x v="4"/>
    <n v="21021040"/>
    <x v="4"/>
    <n v="1024.03"/>
    <s v="MXN"/>
    <n v="1024.03"/>
    <x v="0"/>
    <m/>
    <m/>
    <s v="3BC7123B-A28D-4298-B452-687E6C8B15BB"/>
    <s v="CSS160330CP7"/>
    <n v="107211"/>
    <s v="CFE SUMINISTRADOR DE SERVICIOS"/>
    <m/>
    <m/>
    <s v="25.01.2020"/>
    <n v="4501226797"/>
    <n v="20200125"/>
    <n v="1024.03"/>
    <n v="163.84479999999999"/>
    <n v="1187.8748000000001"/>
    <n v="200127172"/>
    <s v="Consumo CFE Lago Riego 06.01.2020"/>
    <n v="1187.8748000000001"/>
    <m/>
    <s v="TRANSFERENCIA"/>
    <s v="10.02.2020"/>
    <s v="HSBC "/>
    <s v="HSBC 004053489092 TP"/>
    <n v="340255290"/>
    <s v="SOLI1102"/>
  </r>
  <r>
    <n v="3402"/>
    <s v="25.01.2020"/>
    <n v="2020"/>
    <d v="2020-01-01T00:00:00"/>
    <n v="13"/>
    <n v="200076904"/>
    <s v="WE"/>
    <n v="81"/>
    <x v="4"/>
    <n v="21021040"/>
    <x v="4"/>
    <n v="1600.05"/>
    <s v="MXN"/>
    <n v="1600.05"/>
    <x v="0"/>
    <m/>
    <m/>
    <s v="3BC7123B-A28D-4298-B452-687E6C8B15BB"/>
    <s v="CSS160330CP7"/>
    <n v="107211"/>
    <s v="CFE SUMINISTRADOR DE SERVICIOS"/>
    <m/>
    <m/>
    <s v="25.01.2020"/>
    <n v="4501226797"/>
    <n v="20200125"/>
    <n v="1600.05"/>
    <n v="256.00799999999998"/>
    <n v="1856.058"/>
    <n v="200127172"/>
    <s v="Consumo CFE Lago Riego 07.01.2020"/>
    <n v="1856.058"/>
    <m/>
    <s v="TRANSFERENCIA"/>
    <s v="10.02.2020"/>
    <s v="HSBC "/>
    <s v="HSBC 004053489092 TP"/>
    <n v="340255290"/>
    <s v="SOLI1102"/>
  </r>
  <r>
    <n v="3402"/>
    <s v="25.01.2020"/>
    <n v="2020"/>
    <d v="2020-01-01T00:00:00"/>
    <n v="15"/>
    <n v="200076904"/>
    <s v="WE"/>
    <n v="81"/>
    <x v="4"/>
    <n v="21021040"/>
    <x v="4"/>
    <n v="1248.02"/>
    <s v="MXN"/>
    <n v="1248.02"/>
    <x v="0"/>
    <m/>
    <m/>
    <s v="3BC7123B-A28D-4298-B452-687E6C8B15BB"/>
    <s v="CSS160330CP7"/>
    <n v="107211"/>
    <s v="CFE SUMINISTRADOR DE SERVICIOS"/>
    <m/>
    <m/>
    <s v="25.01.2020"/>
    <n v="4501226797"/>
    <n v="20200125"/>
    <n v="1248.02"/>
    <n v="199.6832"/>
    <n v="1447.7031999999999"/>
    <n v="200127172"/>
    <s v="Consumo CFE Lago Riego 08.01.2020"/>
    <n v="1447.7031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17"/>
    <n v="200076904"/>
    <s v="WE"/>
    <n v="81"/>
    <x v="4"/>
    <n v="21021040"/>
    <x v="4"/>
    <n v="2360"/>
    <s v="MXN"/>
    <n v="2360"/>
    <x v="0"/>
    <m/>
    <m/>
    <s v="3BC7123B-A28D-4298-B452-687E6C8B15BB"/>
    <s v="CSS160330CP7"/>
    <n v="107211"/>
    <s v="CFE SUMINISTRADOR DE SERVICIOS"/>
    <m/>
    <m/>
    <s v="25.01.2020"/>
    <n v="4501226797"/>
    <n v="20200125"/>
    <n v="2360"/>
    <n v="377.6"/>
    <n v="2737.6"/>
    <n v="200127172"/>
    <s v="Consumo CFE Lago Riego 09.01.2020"/>
    <n v="2737.6"/>
    <m/>
    <s v="TRANSFERENCIA"/>
    <s v="10.02.2020"/>
    <s v="HSBC "/>
    <s v="HSBC 004053489092 TP"/>
    <n v="340255290"/>
    <s v="SOLI1102"/>
  </r>
  <r>
    <n v="3402"/>
    <s v="25.01.2020"/>
    <n v="2020"/>
    <d v="2020-01-01T00:00:00"/>
    <n v="19"/>
    <n v="200076904"/>
    <s v="WE"/>
    <n v="81"/>
    <x v="4"/>
    <n v="21021040"/>
    <x v="4"/>
    <n v="1648.02"/>
    <s v="MXN"/>
    <n v="1648.02"/>
    <x v="0"/>
    <m/>
    <m/>
    <s v="3BC7123B-A28D-4298-B452-687E6C8B15BB"/>
    <s v="CSS160330CP7"/>
    <n v="107211"/>
    <s v="CFE SUMINISTRADOR DE SERVICIOS"/>
    <m/>
    <m/>
    <s v="25.01.2020"/>
    <n v="4501226797"/>
    <n v="20200125"/>
    <n v="1648.02"/>
    <n v="263.6832"/>
    <n v="1911.7031999999999"/>
    <n v="200127172"/>
    <s v="Consumo CFE Lago Riego 10.01.2020"/>
    <n v="1911.7031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21"/>
    <n v="200076904"/>
    <s v="WE"/>
    <n v="81"/>
    <x v="4"/>
    <n v="21021040"/>
    <x v="4"/>
    <n v="1200.05"/>
    <s v="MXN"/>
    <n v="1200.05"/>
    <x v="0"/>
    <m/>
    <m/>
    <s v="3BC7123B-A28D-4298-B452-687E6C8B15BB"/>
    <s v="CSS160330CP7"/>
    <n v="107211"/>
    <s v="CFE SUMINISTRADOR DE SERVICIOS"/>
    <m/>
    <m/>
    <s v="25.01.2020"/>
    <n v="4501226797"/>
    <n v="20200125"/>
    <n v="1200.05"/>
    <n v="192.00800000000001"/>
    <n v="1392.058"/>
    <n v="200127172"/>
    <s v="Consumo CFE Lago Riego 11.01.2020"/>
    <n v="1392.058"/>
    <m/>
    <s v="TRANSFERENCIA"/>
    <s v="10.02.2020"/>
    <s v="HSBC "/>
    <s v="HSBC 004053489092 TP"/>
    <n v="340255290"/>
    <s v="SOLI1102"/>
  </r>
  <r>
    <n v="3402"/>
    <s v="25.01.2020"/>
    <n v="2020"/>
    <d v="2020-01-01T00:00:00"/>
    <n v="23"/>
    <n v="200076904"/>
    <s v="WE"/>
    <n v="81"/>
    <x v="4"/>
    <n v="21021040"/>
    <x v="4"/>
    <n v="1112.03"/>
    <s v="MXN"/>
    <n v="1112.03"/>
    <x v="0"/>
    <m/>
    <m/>
    <s v="3BC7123B-A28D-4298-B452-687E6C8B15BB"/>
    <s v="CSS160330CP7"/>
    <n v="107211"/>
    <s v="CFE SUMINISTRADOR DE SERVICIOS"/>
    <m/>
    <m/>
    <s v="25.01.2020"/>
    <n v="4501226797"/>
    <n v="20200125"/>
    <n v="1112.03"/>
    <n v="177.9248"/>
    <n v="1289.9548"/>
    <n v="200127172"/>
    <s v="Consumo CFE Lago Riego 12.01.2020"/>
    <n v="1289.9548"/>
    <m/>
    <s v="TRANSFERENCIA"/>
    <s v="10.02.2020"/>
    <s v="HSBC "/>
    <s v="HSBC 004053489092 TP"/>
    <n v="340255290"/>
    <s v="SOLI1102"/>
  </r>
  <r>
    <n v="3402"/>
    <s v="25.01.2020"/>
    <n v="2020"/>
    <d v="2020-01-01T00:00:00"/>
    <n v="25"/>
    <n v="200076904"/>
    <s v="WE"/>
    <n v="81"/>
    <x v="4"/>
    <n v="21021040"/>
    <x v="4"/>
    <n v="1024.03"/>
    <s v="MXN"/>
    <n v="1024.03"/>
    <x v="0"/>
    <m/>
    <m/>
    <s v="3BC7123B-A28D-4298-B452-687E6C8B15BB"/>
    <s v="CSS160330CP7"/>
    <n v="107211"/>
    <s v="CFE SUMINISTRADOR DE SERVICIOS"/>
    <m/>
    <m/>
    <s v="25.01.2020"/>
    <n v="4501226797"/>
    <n v="20200125"/>
    <n v="1024.03"/>
    <n v="163.84479999999999"/>
    <n v="1187.8748000000001"/>
    <n v="200127172"/>
    <s v="Consumo CFE Lago Riego 13.01.2020"/>
    <n v="1187.8748000000001"/>
    <m/>
    <s v="TRANSFERENCIA"/>
    <s v="10.02.2020"/>
    <s v="HSBC "/>
    <s v="HSBC 004053489092 TP"/>
    <n v="340255290"/>
    <s v="SOLI1102"/>
  </r>
  <r>
    <n v="3402"/>
    <s v="25.01.2020"/>
    <n v="2020"/>
    <d v="2020-01-01T00:00:00"/>
    <n v="27"/>
    <n v="200076904"/>
    <s v="WE"/>
    <n v="81"/>
    <x v="4"/>
    <n v="21021040"/>
    <x v="4"/>
    <n v="2360"/>
    <s v="MXN"/>
    <n v="2360"/>
    <x v="0"/>
    <m/>
    <m/>
    <s v="3BC7123B-A28D-4298-B452-687E6C8B15BB"/>
    <s v="CSS160330CP7"/>
    <n v="107211"/>
    <s v="CFE SUMINISTRADOR DE SERVICIOS"/>
    <m/>
    <m/>
    <s v="25.01.2020"/>
    <n v="4501226797"/>
    <n v="20200125"/>
    <n v="2360"/>
    <n v="377.6"/>
    <n v="2737.6"/>
    <n v="200127172"/>
    <s v="Consumo CFE Lago Riego 14.01.2020"/>
    <n v="2737.6"/>
    <m/>
    <s v="TRANSFERENCIA"/>
    <s v="10.02.2020"/>
    <s v="HSBC "/>
    <s v="HSBC 004053489092 TP"/>
    <n v="340255290"/>
    <s v="SOLI1102"/>
  </r>
  <r>
    <n v="3402"/>
    <s v="25.01.2020"/>
    <n v="2020"/>
    <d v="2020-01-01T00:00:00"/>
    <n v="29"/>
    <n v="200076904"/>
    <s v="WE"/>
    <n v="81"/>
    <x v="4"/>
    <n v="21021040"/>
    <x v="4"/>
    <n v="2896.02"/>
    <s v="MXN"/>
    <n v="2896.02"/>
    <x v="0"/>
    <m/>
    <m/>
    <s v="3BC7123B-A28D-4298-B452-687E6C8B15BB"/>
    <s v="CSS160330CP7"/>
    <n v="107211"/>
    <s v="CFE SUMINISTRADOR DE SERVICIOS"/>
    <m/>
    <m/>
    <s v="25.01.2020"/>
    <n v="4501226797"/>
    <n v="20200125"/>
    <n v="2896.02"/>
    <n v="463.36320000000001"/>
    <n v="3359.3832000000002"/>
    <n v="200127172"/>
    <s v="Consumo CFE Lago Riego 15.01.2020"/>
    <n v="3359.3832000000002"/>
    <m/>
    <s v="TRANSFERENCIA"/>
    <s v="10.02.2020"/>
    <s v="HSBC "/>
    <s v="HSBC 004053489092 TP"/>
    <n v="340255290"/>
    <s v="SOLI1102"/>
  </r>
  <r>
    <n v="3402"/>
    <s v="25.01.2020"/>
    <n v="2020"/>
    <d v="2020-01-01T00:00:00"/>
    <n v="31"/>
    <n v="200076904"/>
    <s v="WE"/>
    <n v="81"/>
    <x v="4"/>
    <n v="21021040"/>
    <x v="4"/>
    <n v="1648.02"/>
    <s v="MXN"/>
    <n v="1648.02"/>
    <x v="0"/>
    <m/>
    <m/>
    <s v="3BC7123B-A28D-4298-B452-687E6C8B15BB"/>
    <s v="CSS160330CP7"/>
    <n v="107211"/>
    <s v="CFE SUMINISTRADOR DE SERVICIOS"/>
    <m/>
    <m/>
    <s v="25.01.2020"/>
    <n v="4501226797"/>
    <n v="20200125"/>
    <n v="1648.02"/>
    <n v="263.6832"/>
    <n v="1911.7031999999999"/>
    <n v="200127172"/>
    <s v="Consumo CFE Lago Riego 16.01.2020"/>
    <n v="1911.7031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33"/>
    <n v="200076904"/>
    <s v="WE"/>
    <n v="81"/>
    <x v="4"/>
    <n v="21021040"/>
    <x v="4"/>
    <n v="2760"/>
    <s v="MXN"/>
    <n v="2760"/>
    <x v="0"/>
    <m/>
    <m/>
    <s v="3BC7123B-A28D-4298-B452-687E6C8B15BB"/>
    <s v="CSS160330CP7"/>
    <n v="107211"/>
    <s v="CFE SUMINISTRADOR DE SERVICIOS"/>
    <m/>
    <m/>
    <s v="25.01.2020"/>
    <n v="4501226797"/>
    <n v="20200125"/>
    <n v="2760"/>
    <n v="441.6"/>
    <n v="3201.6"/>
    <n v="200127172"/>
    <s v="Consumo CFE Lago Riego 17.01.2020"/>
    <n v="3201.6"/>
    <m/>
    <s v="TRANSFERENCIA"/>
    <s v="10.02.2020"/>
    <s v="HSBC "/>
    <s v="HSBC 004053489092 TP"/>
    <n v="340255290"/>
    <s v="SOLI1102"/>
  </r>
  <r>
    <n v="3402"/>
    <s v="25.01.2020"/>
    <n v="2020"/>
    <d v="2020-01-01T00:00:00"/>
    <n v="35"/>
    <n v="200076904"/>
    <s v="WE"/>
    <n v="81"/>
    <x v="4"/>
    <n v="21021040"/>
    <x v="4"/>
    <n v="2048.02"/>
    <s v="MXN"/>
    <n v="2048.02"/>
    <x v="0"/>
    <m/>
    <m/>
    <s v="3BC7123B-A28D-4298-B452-687E6C8B15BB"/>
    <s v="CSS160330CP7"/>
    <n v="107211"/>
    <s v="CFE SUMINISTRADOR DE SERVICIOS"/>
    <m/>
    <m/>
    <s v="25.01.2020"/>
    <n v="4501226797"/>
    <n v="20200125"/>
    <n v="2048.02"/>
    <n v="327.6832"/>
    <n v="2375.7031999999999"/>
    <n v="200127172"/>
    <s v="Consumo CFE Lago Riego 18.01.2020"/>
    <n v="2375.7031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37"/>
    <n v="200076904"/>
    <s v="WE"/>
    <n v="81"/>
    <x v="4"/>
    <n v="21021040"/>
    <x v="4"/>
    <n v="712.03"/>
    <s v="MXN"/>
    <n v="712.03"/>
    <x v="0"/>
    <m/>
    <m/>
    <s v="3BC7123B-A28D-4298-B452-687E6C8B15BB"/>
    <s v="CSS160330CP7"/>
    <n v="107211"/>
    <s v="CFE SUMINISTRADOR DE SERVICIOS"/>
    <m/>
    <m/>
    <s v="25.01.2020"/>
    <n v="4501226797"/>
    <n v="20200125"/>
    <n v="712.03"/>
    <n v="113.9248"/>
    <n v="825.95479999999998"/>
    <n v="200127172"/>
    <s v="Consumo CFE Lago Riego 19.01.2020"/>
    <n v="825.95479999999998"/>
    <m/>
    <s v="TRANSFERENCIA"/>
    <s v="10.02.2020"/>
    <s v="HSBC "/>
    <s v="HSBC 004053489092 TP"/>
    <n v="340255290"/>
    <s v="SOLI1102"/>
  </r>
  <r>
    <n v="3402"/>
    <s v="25.01.2020"/>
    <n v="2020"/>
    <d v="2020-01-01T00:00:00"/>
    <n v="39"/>
    <n v="200076904"/>
    <s v="WE"/>
    <n v="81"/>
    <x v="4"/>
    <n v="21021040"/>
    <x v="4"/>
    <n v="1024.03"/>
    <s v="MXN"/>
    <n v="1024.03"/>
    <x v="0"/>
    <m/>
    <m/>
    <s v="3BC7123B-A28D-4298-B452-687E6C8B15BB"/>
    <s v="CSS160330CP7"/>
    <n v="107211"/>
    <s v="CFE SUMINISTRADOR DE SERVICIOS"/>
    <m/>
    <m/>
    <s v="25.01.2020"/>
    <n v="4501226797"/>
    <n v="20200125"/>
    <n v="1024.03"/>
    <n v="163.84479999999999"/>
    <n v="1187.8748000000001"/>
    <n v="200127172"/>
    <s v="Consumo CFE Lago Riego 20.01.2020"/>
    <n v="1187.8748000000001"/>
    <m/>
    <s v="TRANSFERENCIA"/>
    <s v="10.02.2020"/>
    <s v="HSBC "/>
    <s v="HSBC 004053489092 TP"/>
    <n v="340255290"/>
    <s v="SOLI1102"/>
  </r>
  <r>
    <n v="3402"/>
    <s v="25.01.2020"/>
    <n v="2020"/>
    <d v="2020-01-01T00:00:00"/>
    <n v="41"/>
    <n v="200076904"/>
    <s v="WE"/>
    <n v="81"/>
    <x v="4"/>
    <n v="21021040"/>
    <x v="4"/>
    <n v="2048.02"/>
    <s v="MXN"/>
    <n v="2048.02"/>
    <x v="0"/>
    <m/>
    <m/>
    <s v="3BC7123B-A28D-4298-B452-687E6C8B15BB"/>
    <s v="CSS160330CP7"/>
    <n v="107211"/>
    <s v="CFE SUMINISTRADOR DE SERVICIOS"/>
    <m/>
    <m/>
    <s v="25.01.2020"/>
    <n v="4501226797"/>
    <n v="20200125"/>
    <n v="2048.02"/>
    <n v="327.6832"/>
    <n v="2375.7031999999999"/>
    <n v="200127172"/>
    <s v="Consumo CFE Lago Riego 21.01.2020"/>
    <n v="2375.7031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43"/>
    <n v="200076904"/>
    <s v="WE"/>
    <n v="81"/>
    <x v="4"/>
    <n v="21021040"/>
    <x v="4"/>
    <n v="1960"/>
    <s v="MXN"/>
    <n v="1960"/>
    <x v="0"/>
    <m/>
    <m/>
    <s v="3BC7123B-A28D-4298-B452-687E6C8B15BB"/>
    <s v="CSS160330CP7"/>
    <n v="107211"/>
    <s v="CFE SUMINISTRADOR DE SERVICIOS"/>
    <m/>
    <m/>
    <s v="25.01.2020"/>
    <n v="4501226797"/>
    <n v="20200125"/>
    <n v="1960"/>
    <n v="313.60000000000002"/>
    <n v="2273.6"/>
    <n v="200127172"/>
    <s v="Consumo CFE Lago Riego 22.01.2020"/>
    <n v="2273.6"/>
    <m/>
    <s v="TRANSFERENCIA"/>
    <s v="10.02.2020"/>
    <s v="HSBC "/>
    <s v="HSBC 004053489092 TP"/>
    <n v="340255290"/>
    <s v="SOLI1102"/>
  </r>
  <r>
    <n v="3402"/>
    <s v="25.01.2020"/>
    <n v="2020"/>
    <d v="2020-01-01T00:00:00"/>
    <n v="45"/>
    <n v="200076904"/>
    <s v="WE"/>
    <n v="81"/>
    <x v="4"/>
    <n v="21021040"/>
    <x v="4"/>
    <n v="3248.02"/>
    <s v="MXN"/>
    <n v="3248.02"/>
    <x v="0"/>
    <m/>
    <m/>
    <s v="3BC7123B-A28D-4298-B452-687E6C8B15BB"/>
    <s v="CSS160330CP7"/>
    <n v="107211"/>
    <s v="CFE SUMINISTRADOR DE SERVICIOS"/>
    <m/>
    <m/>
    <s v="25.01.2020"/>
    <n v="4501226797"/>
    <n v="20200125"/>
    <n v="3248.02"/>
    <n v="519.68320000000006"/>
    <n v="3767.7031999999999"/>
    <n v="200127172"/>
    <s v="Consumo CFE Lago Riego 23.01.2020"/>
    <n v="3767.7031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47"/>
    <n v="200076904"/>
    <s v="WE"/>
    <n v="81"/>
    <x v="4"/>
    <n v="21021040"/>
    <x v="4"/>
    <n v="2048.02"/>
    <s v="MXN"/>
    <n v="2048.02"/>
    <x v="0"/>
    <m/>
    <m/>
    <s v="3BC7123B-A28D-4298-B452-687E6C8B15BB"/>
    <s v="CSS160330CP7"/>
    <n v="107211"/>
    <s v="CFE SUMINISTRADOR DE SERVICIOS"/>
    <m/>
    <m/>
    <s v="25.01.2020"/>
    <n v="4501226797"/>
    <n v="20200125"/>
    <n v="2048.02"/>
    <n v="327.6832"/>
    <n v="2375.7031999999999"/>
    <n v="200127172"/>
    <s v="Consumo CFE Lago Riego 24.01.2020"/>
    <n v="2375.7031999999999"/>
    <m/>
    <s v="TRANSFERENCIA"/>
    <s v="10.02.2020"/>
    <s v="HSBC "/>
    <s v="HSBC 004053489092 TP"/>
    <n v="340255290"/>
    <s v="SOLI1102"/>
  </r>
  <r>
    <n v="3402"/>
    <s v="25.01.2020"/>
    <n v="2020"/>
    <d v="2020-01-01T00:00:00"/>
    <n v="49"/>
    <n v="200076904"/>
    <s v="WE"/>
    <n v="81"/>
    <x v="4"/>
    <n v="21021040"/>
    <x v="4"/>
    <n v="2760"/>
    <s v="MXN"/>
    <n v="2760"/>
    <x v="0"/>
    <m/>
    <m/>
    <s v="3BC7123B-A28D-4298-B452-687E6C8B15BB"/>
    <s v="CSS160330CP7"/>
    <n v="107211"/>
    <s v="CFE SUMINISTRADOR DE SERVICIOS"/>
    <m/>
    <m/>
    <s v="25.01.2020"/>
    <n v="4501226797"/>
    <n v="20200125"/>
    <n v="2760"/>
    <n v="441.6"/>
    <n v="3201.6"/>
    <n v="200127172"/>
    <s v="Consumo CFE Lago Riego 25.01.2020"/>
    <n v="3201.6"/>
    <m/>
    <s v="TRANSFERENCIA"/>
    <s v="10.02.2020"/>
    <s v="HSBC "/>
    <s v="HSBC 004053489092 TP"/>
    <n v="340255290"/>
    <s v="SOLI1102"/>
  </r>
  <r>
    <n v="3402"/>
    <s v="25.01.2020"/>
    <n v="2020"/>
    <d v="2020-01-01T00:00:00"/>
    <n v="1"/>
    <n v="200076905"/>
    <s v="WE"/>
    <n v="81"/>
    <x v="4"/>
    <n v="21021040"/>
    <x v="4"/>
    <n v="304"/>
    <s v="MXN"/>
    <n v="304"/>
    <x v="0"/>
    <m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01.01.2020"/>
    <n v="352.64"/>
    <m/>
    <s v="TRANSFERENCIA"/>
    <s v="10.02.2020"/>
    <s v="HSBC "/>
    <s v="HSBC 004053489092 TP"/>
    <n v="340255290"/>
    <s v="SOLI1102"/>
  </r>
  <r>
    <n v="3402"/>
    <s v="25.01.2020"/>
    <n v="2020"/>
    <d v="2020-01-01T00:00:00"/>
    <n v="3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02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5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03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7"/>
    <n v="200076905"/>
    <s v="WE"/>
    <n v="81"/>
    <x v="4"/>
    <n v="21021040"/>
    <x v="4"/>
    <n v="304"/>
    <s v="MXN"/>
    <n v="304"/>
    <x v="0"/>
    <m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04.01.2020"/>
    <n v="352.64"/>
    <m/>
    <s v="TRANSFERENCIA"/>
    <s v="10.02.2020"/>
    <s v="HSBC "/>
    <s v="HSBC 004053489092 TP"/>
    <n v="340255290"/>
    <s v="SOLI1102"/>
  </r>
  <r>
    <n v="3402"/>
    <s v="25.01.2020"/>
    <n v="2020"/>
    <d v="2020-01-01T00:00:00"/>
    <n v="9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05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11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06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13"/>
    <n v="200076905"/>
    <s v="WE"/>
    <n v="81"/>
    <x v="4"/>
    <n v="21021040"/>
    <x v="4"/>
    <n v="304"/>
    <s v="MXN"/>
    <n v="304"/>
    <x v="0"/>
    <m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07.01.2020"/>
    <n v="352.64"/>
    <m/>
    <s v="TRANSFERENCIA"/>
    <s v="10.02.2020"/>
    <s v="HSBC "/>
    <s v="HSBC 004053489092 TP"/>
    <n v="340255290"/>
    <s v="SOLI1102"/>
  </r>
  <r>
    <n v="3402"/>
    <s v="25.01.2020"/>
    <n v="2020"/>
    <d v="2020-01-01T00:00:00"/>
    <n v="15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08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17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09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19"/>
    <n v="200076905"/>
    <s v="WE"/>
    <n v="81"/>
    <x v="4"/>
    <n v="21021040"/>
    <x v="4"/>
    <n v="304"/>
    <s v="MXN"/>
    <n v="304"/>
    <x v="0"/>
    <m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10.01.2020"/>
    <n v="352.64"/>
    <m/>
    <s v="TRANSFERENCIA"/>
    <s v="10.02.2020"/>
    <s v="HSBC "/>
    <s v="HSBC 004053489092 TP"/>
    <n v="340255290"/>
    <s v="SOLI1102"/>
  </r>
  <r>
    <n v="3402"/>
    <s v="25.01.2020"/>
    <n v="2020"/>
    <d v="2020-01-01T00:00:00"/>
    <n v="21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11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23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12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25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13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27"/>
    <n v="200076905"/>
    <s v="WE"/>
    <n v="81"/>
    <x v="4"/>
    <n v="21021040"/>
    <x v="4"/>
    <n v="304"/>
    <s v="MXN"/>
    <n v="304"/>
    <x v="0"/>
    <m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14.01.2020"/>
    <n v="352.64"/>
    <m/>
    <s v="TRANSFERENCIA"/>
    <s v="10.02.2020"/>
    <s v="HSBC "/>
    <s v="HSBC 004053489092 TP"/>
    <n v="340255290"/>
    <s v="SOLI1102"/>
  </r>
  <r>
    <n v="3402"/>
    <s v="25.01.2020"/>
    <n v="2020"/>
    <d v="2020-01-01T00:00:00"/>
    <n v="29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15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31"/>
    <n v="200076905"/>
    <s v="WE"/>
    <n v="81"/>
    <x v="4"/>
    <n v="21021040"/>
    <x v="4"/>
    <n v="304"/>
    <s v="MXN"/>
    <n v="304"/>
    <x v="0"/>
    <m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16.01.2020"/>
    <n v="352.64"/>
    <m/>
    <s v="TRANSFERENCIA"/>
    <s v="10.02.2020"/>
    <s v="HSBC "/>
    <s v="HSBC 004053489092 TP"/>
    <n v="340255290"/>
    <s v="SOLI1102"/>
  </r>
  <r>
    <n v="3402"/>
    <s v="25.01.2020"/>
    <n v="2020"/>
    <d v="2020-01-01T00:00:00"/>
    <n v="33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17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35"/>
    <n v="200076905"/>
    <s v="WE"/>
    <n v="81"/>
    <x v="4"/>
    <n v="21021040"/>
    <x v="4"/>
    <n v="304"/>
    <s v="MXN"/>
    <n v="304"/>
    <x v="0"/>
    <m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18.01.2020"/>
    <n v="352.64"/>
    <m/>
    <s v="TRANSFERENCIA"/>
    <s v="10.02.2020"/>
    <s v="HSBC "/>
    <s v="HSBC 004053489092 TP"/>
    <n v="340255290"/>
    <s v="SOLI1102"/>
  </r>
  <r>
    <n v="3402"/>
    <s v="25.01.2020"/>
    <n v="2020"/>
    <d v="2020-01-01T00:00:00"/>
    <n v="37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19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39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20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41"/>
    <n v="200076905"/>
    <s v="WE"/>
    <n v="81"/>
    <x v="4"/>
    <n v="21021040"/>
    <x v="4"/>
    <n v="304"/>
    <s v="MXN"/>
    <n v="304"/>
    <x v="0"/>
    <m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21.01.2020"/>
    <n v="352.64"/>
    <m/>
    <s v="TRANSFERENCIA"/>
    <s v="10.02.2020"/>
    <s v="HSBC "/>
    <s v="HSBC 004053489092 TP"/>
    <n v="340255290"/>
    <s v="SOLI1102"/>
  </r>
  <r>
    <n v="3402"/>
    <s v="25.01.2020"/>
    <n v="2020"/>
    <d v="2020-01-01T00:00:00"/>
    <n v="43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22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45"/>
    <n v="200076905"/>
    <s v="WE"/>
    <n v="81"/>
    <x v="4"/>
    <n v="21021040"/>
    <x v="4"/>
    <n v="304"/>
    <s v="MXN"/>
    <n v="304"/>
    <x v="0"/>
    <m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23.01.2020"/>
    <n v="352.64"/>
    <m/>
    <s v="TRANSFERENCIA"/>
    <s v="10.02.2020"/>
    <s v="HSBC "/>
    <s v="HSBC 004053489092 TP"/>
    <n v="340255290"/>
    <s v="SOLI1102"/>
  </r>
  <r>
    <n v="3402"/>
    <s v="25.01.2020"/>
    <n v="2020"/>
    <d v="2020-01-01T00:00:00"/>
    <n v="47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24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49"/>
    <n v="200076905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25.01.2020"/>
    <n v="4.6400000000000004E-2"/>
    <m/>
    <s v="TRANSFERENCIA"/>
    <s v="10.02.2020"/>
    <s v="HSBC "/>
    <s v="HSBC 004053489092 TP"/>
    <n v="340255290"/>
    <s v="SOLI1102"/>
  </r>
  <r>
    <n v="3402"/>
    <s v="25.01.2020"/>
    <n v="2020"/>
    <d v="2020-01-01T00:00:00"/>
    <n v="1"/>
    <n v="200076906"/>
    <s v="WE"/>
    <n v="81"/>
    <x v="4"/>
    <n v="21021040"/>
    <x v="4"/>
    <n v="121.6"/>
    <s v="MXN"/>
    <n v="121.6"/>
    <x v="0"/>
    <m/>
    <m/>
    <s v="9020593F-B07D-45F6-B3AA-D39CF7A80117"/>
    <s v="CSS160330CP7"/>
    <n v="107211"/>
    <s v="CFE SUMINISTRADOR DE SERVICIOS"/>
    <m/>
    <m/>
    <s v="25.01.2020"/>
    <n v="4501226813"/>
    <n v="20200125"/>
    <n v="121.6"/>
    <n v="19.456"/>
    <n v="141.05599999999998"/>
    <n v="200211626"/>
    <s v="Consumo CFE Hoyo 2  01.01.2020"/>
    <n v="141.05599999999998"/>
    <m/>
    <s v="TRANSFERENCIA"/>
    <s v="10.03.2020"/>
    <s v="HSBC "/>
    <s v="HSBC 004053489092 TP"/>
    <n v="340255290"/>
    <s v="SOLI1102"/>
  </r>
  <r>
    <n v="3402"/>
    <s v="25.01.2020"/>
    <n v="2020"/>
    <d v="2020-01-01T00:00:00"/>
    <n v="3"/>
    <n v="200076906"/>
    <s v="WE"/>
    <n v="81"/>
    <x v="4"/>
    <n v="21021040"/>
    <x v="4"/>
    <n v="125.4"/>
    <s v="MXN"/>
    <n v="125.4"/>
    <x v="0"/>
    <m/>
    <m/>
    <s v="9020593F-B07D-45F6-B3AA-D39CF7A80117"/>
    <s v="CSS160330CP7"/>
    <n v="107211"/>
    <s v="CFE SUMINISTRADOR DE SERVICIOS"/>
    <m/>
    <m/>
    <s v="25.01.2020"/>
    <n v="4501226813"/>
    <n v="20200125"/>
    <n v="125.4"/>
    <n v="20.064"/>
    <n v="145.464"/>
    <n v="200211626"/>
    <s v="Consumo CFE Hoyo 2  02.01.2020"/>
    <n v="145.464"/>
    <m/>
    <s v="TRANSFERENCIA"/>
    <s v="10.03.2020"/>
    <s v="HSBC "/>
    <s v="HSBC 004053489092 TP"/>
    <n v="340255290"/>
    <s v="SOLI1102"/>
  </r>
  <r>
    <n v="3402"/>
    <s v="25.01.2020"/>
    <n v="2020"/>
    <d v="2020-01-01T00:00:00"/>
    <n v="5"/>
    <n v="200076906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03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7"/>
    <n v="200076906"/>
    <s v="WE"/>
    <n v="81"/>
    <x v="4"/>
    <n v="21021040"/>
    <x v="4"/>
    <n v="110.2"/>
    <s v="MXN"/>
    <n v="110.2"/>
    <x v="0"/>
    <m/>
    <m/>
    <s v="9020593F-B07D-45F6-B3AA-D39CF7A80117"/>
    <s v="CSS160330CP7"/>
    <n v="107211"/>
    <s v="CFE SUMINISTRADOR DE SERVICIOS"/>
    <m/>
    <m/>
    <s v="25.01.2020"/>
    <n v="4501226813"/>
    <n v="20200125"/>
    <n v="110.2"/>
    <n v="17.632000000000001"/>
    <n v="127.83200000000001"/>
    <n v="200211626"/>
    <s v="Consumo CFE Hoyo 2  04.01.2020"/>
    <n v="127.83200000000001"/>
    <m/>
    <s v="TRANSFERENCIA"/>
    <s v="10.03.2020"/>
    <s v="HSBC "/>
    <s v="HSBC 004053489092 TP"/>
    <n v="340255290"/>
    <s v="SOLI1102"/>
  </r>
  <r>
    <n v="3402"/>
    <s v="25.01.2020"/>
    <n v="2020"/>
    <d v="2020-01-01T00:00:00"/>
    <n v="9"/>
    <n v="200076906"/>
    <s v="WE"/>
    <n v="81"/>
    <x v="4"/>
    <n v="21021040"/>
    <x v="4"/>
    <n v="110.2"/>
    <s v="MXN"/>
    <n v="110.2"/>
    <x v="0"/>
    <m/>
    <m/>
    <s v="9020593F-B07D-45F6-B3AA-D39CF7A80117"/>
    <s v="CSS160330CP7"/>
    <n v="107211"/>
    <s v="CFE SUMINISTRADOR DE SERVICIOS"/>
    <m/>
    <m/>
    <s v="25.01.2020"/>
    <n v="4501226813"/>
    <n v="20200125"/>
    <n v="110.2"/>
    <n v="17.632000000000001"/>
    <n v="127.83200000000001"/>
    <n v="200211626"/>
    <s v="Consumo CFE Hoyo 2  05.01.2020"/>
    <n v="127.83200000000001"/>
    <m/>
    <s v="TRANSFERENCIA"/>
    <s v="10.03.2020"/>
    <s v="HSBC "/>
    <s v="HSBC 004053489092 TP"/>
    <n v="340255290"/>
    <s v="SOLI1102"/>
  </r>
  <r>
    <n v="3402"/>
    <s v="25.01.2020"/>
    <n v="2020"/>
    <d v="2020-01-01T00:00:00"/>
    <n v="11"/>
    <n v="200076906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06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13"/>
    <n v="200076906"/>
    <s v="WE"/>
    <n v="81"/>
    <x v="4"/>
    <n v="21021040"/>
    <x v="4"/>
    <n v="125.4"/>
    <s v="MXN"/>
    <n v="125.4"/>
    <x v="0"/>
    <m/>
    <m/>
    <s v="9020593F-B07D-45F6-B3AA-D39CF7A80117"/>
    <s v="CSS160330CP7"/>
    <n v="107211"/>
    <s v="CFE SUMINISTRADOR DE SERVICIOS"/>
    <m/>
    <m/>
    <s v="25.01.2020"/>
    <n v="4501226813"/>
    <n v="20200125"/>
    <n v="125.4"/>
    <n v="20.064"/>
    <n v="145.464"/>
    <n v="200211626"/>
    <s v="Consumo CFE Hoyo 2  07.01.2020"/>
    <n v="145.464"/>
    <m/>
    <s v="TRANSFERENCIA"/>
    <s v="10.03.2020"/>
    <s v="HSBC "/>
    <s v="HSBC 004053489092 TP"/>
    <n v="340255290"/>
    <s v="SOLI1102"/>
  </r>
  <r>
    <n v="3402"/>
    <s v="25.01.2020"/>
    <n v="2020"/>
    <d v="2020-01-01T00:00:00"/>
    <n v="15"/>
    <n v="200076906"/>
    <s v="WE"/>
    <n v="81"/>
    <x v="4"/>
    <n v="21021040"/>
    <x v="4"/>
    <n v="106.4"/>
    <s v="MXN"/>
    <n v="106.4"/>
    <x v="0"/>
    <m/>
    <m/>
    <s v="9020593F-B07D-45F6-B3AA-D39CF7A80117"/>
    <s v="CSS160330CP7"/>
    <n v="107211"/>
    <s v="CFE SUMINISTRADOR DE SERVICIOS"/>
    <m/>
    <m/>
    <s v="25.01.2020"/>
    <n v="4501226813"/>
    <n v="20200125"/>
    <n v="106.4"/>
    <n v="17.024000000000001"/>
    <n v="123.42400000000001"/>
    <n v="200211626"/>
    <s v="Consumo CFE Hoyo 2  08.01.2020"/>
    <n v="123.42400000000001"/>
    <m/>
    <s v="TRANSFERENCIA"/>
    <s v="10.03.2020"/>
    <s v="HSBC "/>
    <s v="HSBC 004053489092 TP"/>
    <n v="340255290"/>
    <s v="SOLI1102"/>
  </r>
  <r>
    <n v="3402"/>
    <s v="25.01.2020"/>
    <n v="2020"/>
    <d v="2020-01-01T00:00:00"/>
    <n v="17"/>
    <n v="200076906"/>
    <s v="WE"/>
    <n v="81"/>
    <x v="4"/>
    <n v="21021040"/>
    <x v="4"/>
    <n v="110.2"/>
    <s v="MXN"/>
    <n v="110.2"/>
    <x v="0"/>
    <m/>
    <m/>
    <s v="9020593F-B07D-45F6-B3AA-D39CF7A80117"/>
    <s v="CSS160330CP7"/>
    <n v="107211"/>
    <s v="CFE SUMINISTRADOR DE SERVICIOS"/>
    <m/>
    <m/>
    <s v="25.01.2020"/>
    <n v="4501226813"/>
    <n v="20200125"/>
    <n v="110.2"/>
    <n v="17.632000000000001"/>
    <n v="127.83200000000001"/>
    <n v="200211626"/>
    <s v="Consumo CFE Hoyo 2  09.01.2020"/>
    <n v="127.83200000000001"/>
    <m/>
    <s v="TRANSFERENCIA"/>
    <s v="10.03.2020"/>
    <s v="HSBC "/>
    <s v="HSBC 004053489092 TP"/>
    <n v="340255290"/>
    <s v="SOLI1102"/>
  </r>
  <r>
    <n v="3402"/>
    <s v="25.01.2020"/>
    <n v="2020"/>
    <d v="2020-01-01T00:00:00"/>
    <n v="19"/>
    <n v="200076906"/>
    <s v="WE"/>
    <n v="81"/>
    <x v="4"/>
    <n v="21021040"/>
    <x v="4"/>
    <n v="121.6"/>
    <s v="MXN"/>
    <n v="121.6"/>
    <x v="0"/>
    <m/>
    <m/>
    <s v="9020593F-B07D-45F6-B3AA-D39CF7A80117"/>
    <s v="CSS160330CP7"/>
    <n v="107211"/>
    <s v="CFE SUMINISTRADOR DE SERVICIOS"/>
    <m/>
    <m/>
    <s v="25.01.2020"/>
    <n v="4501226813"/>
    <n v="20200125"/>
    <n v="121.6"/>
    <n v="19.456"/>
    <n v="141.05599999999998"/>
    <n v="200211626"/>
    <s v="Consumo CFE Hoyo 2  10.01.2020"/>
    <n v="141.05599999999998"/>
    <m/>
    <s v="TRANSFERENCIA"/>
    <s v="10.03.2020"/>
    <s v="HSBC "/>
    <s v="HSBC 004053489092 TP"/>
    <n v="340255290"/>
    <s v="SOLI1102"/>
  </r>
  <r>
    <n v="3402"/>
    <s v="25.01.2020"/>
    <n v="2020"/>
    <d v="2020-01-01T00:00:00"/>
    <n v="21"/>
    <n v="200076906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1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1"/>
    <n v="200076925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2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3"/>
    <n v="200076925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2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5"/>
    <n v="200076925"/>
    <s v="WE"/>
    <n v="81"/>
    <x v="4"/>
    <n v="21021040"/>
    <x v="4"/>
    <n v="114"/>
    <s v="MXN"/>
    <n v="114"/>
    <x v="0"/>
    <m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3.01.2020"/>
    <n v="132.24"/>
    <m/>
    <s v="TRANSFERENCIA"/>
    <s v="10.03.2020"/>
    <s v="HSBC "/>
    <s v="HSBC 004053489092 TP"/>
    <n v="340255290"/>
    <s v="SOLI1102"/>
  </r>
  <r>
    <n v="3402"/>
    <s v="25.01.2020"/>
    <n v="2020"/>
    <d v="2020-01-01T00:00:00"/>
    <n v="7"/>
    <n v="200076925"/>
    <s v="WE"/>
    <n v="81"/>
    <x v="4"/>
    <n v="21021040"/>
    <x v="4"/>
    <n v="114"/>
    <s v="MXN"/>
    <n v="114"/>
    <x v="0"/>
    <m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4.01.2020"/>
    <n v="132.24"/>
    <m/>
    <s v="TRANSFERENCIA"/>
    <s v="10.03.2020"/>
    <s v="HSBC "/>
    <s v="HSBC 004053489092 TP"/>
    <n v="340255290"/>
    <s v="SOLI1102"/>
  </r>
  <r>
    <n v="3402"/>
    <s v="25.01.2020"/>
    <n v="2020"/>
    <d v="2020-01-01T00:00:00"/>
    <n v="9"/>
    <n v="200076925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5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1"/>
    <n v="200076926"/>
    <s v="WE"/>
    <n v="9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2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1"/>
    <n v="200076927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3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1"/>
    <n v="200076928"/>
    <s v="WE"/>
    <n v="91"/>
    <x v="4"/>
    <n v="21021040"/>
    <x v="4"/>
    <n v="114"/>
    <s v="MXN"/>
    <n v="114"/>
    <x v="0"/>
    <m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3.01.2020"/>
    <n v="132.24"/>
    <m/>
    <s v="TRANSFERENCIA"/>
    <s v="10.03.2020"/>
    <s v="HSBC "/>
    <s v="HSBC 004053489092 TP"/>
    <n v="340255290"/>
    <s v="SOLI1102"/>
  </r>
  <r>
    <n v="3402"/>
    <s v="25.01.2020"/>
    <n v="2020"/>
    <d v="2020-01-01T00:00:00"/>
    <n v="1"/>
    <n v="200076929"/>
    <s v="WE"/>
    <n v="81"/>
    <x v="4"/>
    <n v="21021040"/>
    <x v="4"/>
    <n v="114"/>
    <s v="MXN"/>
    <n v="114"/>
    <x v="0"/>
    <m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4.01.2020"/>
    <n v="132.24"/>
    <m/>
    <s v="TRANSFERENCIA"/>
    <s v="10.03.2020"/>
    <s v="HSBC "/>
    <s v="HSBC 004053489092 TP"/>
    <n v="340255290"/>
    <s v="SOLI1102"/>
  </r>
  <r>
    <n v="3402"/>
    <s v="25.01.2020"/>
    <n v="2020"/>
    <d v="2020-01-01T00:00:00"/>
    <n v="1"/>
    <n v="200076930"/>
    <s v="WE"/>
    <n v="91"/>
    <x v="4"/>
    <n v="21021040"/>
    <x v="4"/>
    <n v="114"/>
    <s v="MXN"/>
    <n v="114"/>
    <x v="0"/>
    <m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4.01.2020"/>
    <n v="132.24"/>
    <m/>
    <s v="TRANSFERENCIA"/>
    <s v="10.03.2020"/>
    <s v="HSBC "/>
    <s v="HSBC 004053489092 TP"/>
    <n v="340255290"/>
    <s v="SOLI1102"/>
  </r>
  <r>
    <n v="3402"/>
    <s v="25.01.2020"/>
    <n v="2020"/>
    <d v="2020-01-01T00:00:00"/>
    <n v="1"/>
    <n v="200076931"/>
    <s v="WE"/>
    <n v="81"/>
    <x v="4"/>
    <n v="21021040"/>
    <x v="4"/>
    <n v="114"/>
    <s v="MXN"/>
    <n v="114"/>
    <x v="0"/>
    <m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5.01.2020"/>
    <n v="132.24"/>
    <m/>
    <s v="TRANSFERENCIA"/>
    <s v="10.03.2020"/>
    <s v="HSBC "/>
    <s v="HSBC 004053489092 TP"/>
    <n v="340255290"/>
    <s v="SOLI1102"/>
  </r>
  <r>
    <n v="3402"/>
    <s v="25.01.2020"/>
    <n v="2020"/>
    <d v="2020-01-01T00:00:00"/>
    <n v="1"/>
    <n v="200076932"/>
    <s v="WE"/>
    <n v="9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5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1"/>
    <n v="200076933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6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1"/>
    <n v="200076934"/>
    <s v="WE"/>
    <n v="81"/>
    <x v="4"/>
    <n v="21021040"/>
    <x v="4"/>
    <n v="110.2"/>
    <s v="MXN"/>
    <n v="110.2"/>
    <x v="0"/>
    <m/>
    <m/>
    <s v="9020593F-B07D-45F6-B3AA-D39CF7A80117"/>
    <s v="CSS160330CP7"/>
    <n v="107211"/>
    <s v="CFE SUMINISTRADOR DE SERVICIOS"/>
    <m/>
    <m/>
    <s v="25.01.2020"/>
    <n v="4501226813"/>
    <n v="20200125"/>
    <n v="110.2"/>
    <n v="17.632000000000001"/>
    <n v="127.83200000000001"/>
    <n v="200211626"/>
    <s v="Consumo CFE Hoyo 2  17.01.2020"/>
    <n v="127.83200000000001"/>
    <m/>
    <s v="TRANSFERENCIA"/>
    <s v="10.03.2020"/>
    <s v="HSBC "/>
    <s v="HSBC 004053489092 TP"/>
    <n v="340255290"/>
    <s v="SOLI1102"/>
  </r>
  <r>
    <n v="3402"/>
    <s v="25.01.2020"/>
    <n v="2020"/>
    <d v="2020-01-01T00:00:00"/>
    <n v="3"/>
    <n v="200076934"/>
    <s v="WE"/>
    <n v="81"/>
    <x v="4"/>
    <n v="21021040"/>
    <x v="4"/>
    <n v="121.6"/>
    <s v="MXN"/>
    <n v="121.6"/>
    <x v="0"/>
    <m/>
    <m/>
    <s v="9020593F-B07D-45F6-B3AA-D39CF7A80117"/>
    <s v="CSS160330CP7"/>
    <n v="107211"/>
    <s v="CFE SUMINISTRADOR DE SERVICIOS"/>
    <m/>
    <m/>
    <s v="25.01.2020"/>
    <n v="4501226813"/>
    <n v="20200125"/>
    <n v="121.6"/>
    <n v="19.456"/>
    <n v="141.05599999999998"/>
    <n v="200211626"/>
    <s v="Consumo CFE Hoyo 2  18.01.2020"/>
    <n v="141.05599999999998"/>
    <m/>
    <s v="TRANSFERENCIA"/>
    <s v="10.03.2020"/>
    <s v="HSBC "/>
    <s v="HSBC 004053489092 TP"/>
    <n v="340255290"/>
    <s v="SOLI1102"/>
  </r>
  <r>
    <n v="3402"/>
    <s v="25.01.2020"/>
    <n v="2020"/>
    <d v="2020-01-01T00:00:00"/>
    <n v="5"/>
    <n v="200076934"/>
    <s v="WE"/>
    <n v="81"/>
    <x v="4"/>
    <n v="21021040"/>
    <x v="4"/>
    <n v="114"/>
    <s v="MXN"/>
    <n v="114"/>
    <x v="0"/>
    <m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9.01.2020"/>
    <n v="132.24"/>
    <m/>
    <s v="TRANSFERENCIA"/>
    <s v="10.03.2020"/>
    <s v="HSBC "/>
    <s v="HSBC 004053489092 TP"/>
    <n v="340255290"/>
    <s v="SOLI1102"/>
  </r>
  <r>
    <n v="3402"/>
    <s v="25.01.2020"/>
    <n v="2020"/>
    <d v="2020-01-01T00:00:00"/>
    <n v="7"/>
    <n v="200076934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20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9"/>
    <n v="200076934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21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11"/>
    <n v="200076934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22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1"/>
    <n v="200076936"/>
    <s v="WE"/>
    <n v="81"/>
    <x v="4"/>
    <n v="21021040"/>
    <x v="4"/>
    <n v="114"/>
    <s v="MXN"/>
    <n v="114"/>
    <x v="0"/>
    <m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23.01.2020"/>
    <n v="132.24"/>
    <m/>
    <s v="TRANSFERENCIA"/>
    <s v="10.03.2020"/>
    <s v="HSBC "/>
    <s v="HSBC 004053489092 TP"/>
    <n v="340255290"/>
    <s v="SOLI1102"/>
  </r>
  <r>
    <n v="3402"/>
    <s v="25.01.2020"/>
    <n v="2020"/>
    <d v="2020-01-01T00:00:00"/>
    <n v="3"/>
    <n v="200076936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24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5"/>
    <n v="200076936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25.01.2020"/>
    <n v="136.648"/>
    <m/>
    <s v="TRANSFERENCIA"/>
    <s v="10.03.2020"/>
    <s v="HSBC "/>
    <s v="HSBC 004053489092 TP"/>
    <n v="340255290"/>
    <s v="SOLI1102"/>
  </r>
  <r>
    <n v="3402"/>
    <s v="25.01.2020"/>
    <n v="2020"/>
    <d v="2020-01-01T00:00:00"/>
    <n v="1"/>
    <n v="200076937"/>
    <s v="WE"/>
    <n v="81"/>
    <x v="4"/>
    <n v="21021040"/>
    <x v="4"/>
    <n v="9"/>
    <s v="MXN"/>
    <n v="9"/>
    <x v="0"/>
    <m/>
    <m/>
    <s v="9020593F-B07D-45F6-B3AA-D39CF7A80117"/>
    <s v="CSS160330CP7"/>
    <n v="107211"/>
    <s v="CFE SUMINISTRADOR DE SERVICIOS"/>
    <m/>
    <m/>
    <s v="25.01.2020"/>
    <n v="4501226813"/>
    <n v="20200125"/>
    <n v="9"/>
    <n v="1.44"/>
    <n v="10.44"/>
    <n v="200211626"/>
    <s v="Consumo CFE Hoyo 5  01.01.2020"/>
    <n v="10.44"/>
    <m/>
    <s v="TRANSFERENCIA"/>
    <s v="10.03.2020"/>
    <s v="HSBC "/>
    <s v="HSBC 004053489092 TP"/>
    <n v="340255290"/>
    <s v="SOLI1102"/>
  </r>
  <r>
    <n v="3402"/>
    <s v="25.01.2020"/>
    <n v="2020"/>
    <d v="2020-01-01T00:00:00"/>
    <n v="3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02.01.2020"/>
    <n v="5.8000000000000003E-2"/>
    <m/>
    <s v="TRANSFERENCIA"/>
    <s v="10.03.2020"/>
    <s v="HSBC "/>
    <s v="HSBC 004053489092 TP"/>
    <n v="340255290"/>
    <s v="SOLI1102"/>
  </r>
  <r>
    <n v="3402"/>
    <s v="25.01.2020"/>
    <n v="2020"/>
    <d v="2020-01-01T00:00:00"/>
    <n v="5"/>
    <n v="200076937"/>
    <s v="WE"/>
    <n v="81"/>
    <x v="4"/>
    <n v="21021040"/>
    <x v="4"/>
    <n v="31.5"/>
    <s v="MXN"/>
    <n v="31.5"/>
    <x v="0"/>
    <m/>
    <m/>
    <s v="9020593F-B07D-45F6-B3AA-D39CF7A80117"/>
    <s v="CSS160330CP7"/>
    <n v="107211"/>
    <s v="CFE SUMINISTRADOR DE SERVICIOS"/>
    <m/>
    <m/>
    <s v="25.01.2020"/>
    <n v="4501226813"/>
    <n v="20200125"/>
    <n v="31.5"/>
    <n v="5.04"/>
    <n v="36.54"/>
    <n v="200211626"/>
    <s v="Consumo CFE Hoyo 5  03.01.2020"/>
    <n v="36.54"/>
    <m/>
    <s v="TRANSFERENCIA"/>
    <s v="10.03.2020"/>
    <s v="HSBC "/>
    <s v="HSBC 004053489092 TP"/>
    <n v="340255290"/>
    <s v="SOLI1102"/>
  </r>
  <r>
    <n v="3402"/>
    <s v="25.01.2020"/>
    <n v="2020"/>
    <d v="2020-01-01T00:00:00"/>
    <n v="7"/>
    <n v="200076937"/>
    <s v="WE"/>
    <n v="81"/>
    <x v="4"/>
    <n v="21021040"/>
    <x v="4"/>
    <n v="31.5"/>
    <s v="MXN"/>
    <n v="31.5"/>
    <x v="0"/>
    <m/>
    <m/>
    <s v="9020593F-B07D-45F6-B3AA-D39CF7A80117"/>
    <s v="CSS160330CP7"/>
    <n v="107211"/>
    <s v="CFE SUMINISTRADOR DE SERVICIOS"/>
    <m/>
    <m/>
    <s v="25.01.2020"/>
    <n v="4501226813"/>
    <n v="20200125"/>
    <n v="31.5"/>
    <n v="5.04"/>
    <n v="36.54"/>
    <n v="200211626"/>
    <s v="Consumo CFE Hoyo 5  04.01.2020"/>
    <n v="36.54"/>
    <m/>
    <s v="TRANSFERENCIA"/>
    <s v="10.03.2020"/>
    <s v="HSBC "/>
    <s v="HSBC 004053489092 TP"/>
    <n v="340255290"/>
    <s v="SOLI1102"/>
  </r>
  <r>
    <n v="3402"/>
    <s v="25.01.2020"/>
    <n v="2020"/>
    <d v="2020-01-01T00:00:00"/>
    <n v="9"/>
    <n v="200076937"/>
    <s v="WE"/>
    <n v="81"/>
    <x v="4"/>
    <n v="21021040"/>
    <x v="4"/>
    <n v="13.5"/>
    <s v="MXN"/>
    <n v="13.5"/>
    <x v="0"/>
    <m/>
    <m/>
    <s v="9020593F-B07D-45F6-B3AA-D39CF7A80117"/>
    <s v="CSS160330CP7"/>
    <n v="107211"/>
    <s v="CFE SUMINISTRADOR DE SERVICIOS"/>
    <m/>
    <m/>
    <s v="25.01.2020"/>
    <n v="4501226813"/>
    <n v="20200125"/>
    <n v="13.5"/>
    <n v="2.16"/>
    <n v="15.66"/>
    <n v="200211626"/>
    <s v="Consumo CFE Hoyo 5  05.01.2020"/>
    <n v="15.66"/>
    <m/>
    <s v="TRANSFERENCIA"/>
    <s v="10.03.2020"/>
    <s v="HSBC "/>
    <s v="HSBC 004053489092 TP"/>
    <n v="340255290"/>
    <s v="SOLI1102"/>
  </r>
  <r>
    <n v="3402"/>
    <s v="25.01.2020"/>
    <n v="2020"/>
    <d v="2020-01-01T00:00:00"/>
    <n v="11"/>
    <n v="200076937"/>
    <s v="WE"/>
    <n v="81"/>
    <x v="4"/>
    <n v="21021040"/>
    <x v="4"/>
    <n v="9"/>
    <s v="MXN"/>
    <n v="9"/>
    <x v="0"/>
    <m/>
    <m/>
    <s v="9020593F-B07D-45F6-B3AA-D39CF7A80117"/>
    <s v="CSS160330CP7"/>
    <n v="107211"/>
    <s v="CFE SUMINISTRADOR DE SERVICIOS"/>
    <m/>
    <m/>
    <s v="25.01.2020"/>
    <n v="4501226813"/>
    <n v="20200125"/>
    <n v="9"/>
    <n v="1.44"/>
    <n v="10.44"/>
    <n v="200211626"/>
    <s v="Consumo CFE Hoyo 5  06.01.2020"/>
    <n v="10.44"/>
    <m/>
    <s v="TRANSFERENCIA"/>
    <s v="10.03.2020"/>
    <s v="HSBC "/>
    <s v="HSBC 004053489092 TP"/>
    <n v="340255290"/>
    <s v="SOLI1102"/>
  </r>
  <r>
    <n v="3402"/>
    <s v="25.01.2020"/>
    <n v="2020"/>
    <d v="2020-01-01T00:00:00"/>
    <n v="13"/>
    <n v="200076937"/>
    <s v="WE"/>
    <n v="81"/>
    <x v="4"/>
    <n v="21021040"/>
    <x v="4"/>
    <n v="4.5"/>
    <s v="MXN"/>
    <n v="4.5"/>
    <x v="0"/>
    <m/>
    <m/>
    <s v="9020593F-B07D-45F6-B3AA-D39CF7A80117"/>
    <s v="CSS160330CP7"/>
    <n v="107211"/>
    <s v="CFE SUMINISTRADOR DE SERVICIOS"/>
    <m/>
    <m/>
    <s v="25.01.2020"/>
    <n v="4501226813"/>
    <n v="20200125"/>
    <n v="4.5"/>
    <n v="0.72"/>
    <n v="5.22"/>
    <n v="200211626"/>
    <s v="Consumo CFE Hoyo 5  07.01.2020"/>
    <n v="5.22"/>
    <m/>
    <s v="TRANSFERENCIA"/>
    <s v="10.03.2020"/>
    <s v="HSBC "/>
    <s v="HSBC 004053489092 TP"/>
    <n v="340255290"/>
    <s v="SOLI1102"/>
  </r>
  <r>
    <n v="3402"/>
    <s v="25.01.2020"/>
    <n v="2020"/>
    <d v="2020-01-01T00:00:00"/>
    <n v="15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08.01.2020"/>
    <n v="5.8000000000000003E-2"/>
    <m/>
    <s v="TRANSFERENCIA"/>
    <s v="10.03.2020"/>
    <s v="HSBC "/>
    <s v="HSBC 004053489092 TP"/>
    <n v="340255290"/>
    <s v="SOLI1102"/>
  </r>
  <r>
    <n v="3402"/>
    <s v="25.01.2020"/>
    <n v="2020"/>
    <d v="2020-01-01T00:00:00"/>
    <n v="17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09.01.2020"/>
    <n v="5.8000000000000003E-2"/>
    <m/>
    <s v="TRANSFERENCIA"/>
    <s v="10.03.2020"/>
    <s v="HSBC "/>
    <s v="HSBC 004053489092 TP"/>
    <n v="340255290"/>
    <s v="SOLI1102"/>
  </r>
  <r>
    <n v="3402"/>
    <s v="25.01.2020"/>
    <n v="2020"/>
    <d v="2020-01-01T00:00:00"/>
    <n v="19"/>
    <n v="200076937"/>
    <s v="WE"/>
    <n v="81"/>
    <x v="4"/>
    <n v="21021040"/>
    <x v="4"/>
    <n v="4.5"/>
    <s v="MXN"/>
    <n v="4.5"/>
    <x v="0"/>
    <m/>
    <m/>
    <s v="9020593F-B07D-45F6-B3AA-D39CF7A80117"/>
    <s v="CSS160330CP7"/>
    <n v="107211"/>
    <s v="CFE SUMINISTRADOR DE SERVICIOS"/>
    <m/>
    <m/>
    <s v="25.01.2020"/>
    <n v="4501226813"/>
    <n v="20200125"/>
    <n v="4.5"/>
    <n v="0.72"/>
    <n v="5.22"/>
    <n v="200211626"/>
    <s v="Consumo CFE Hoyo 5  10.01.2020"/>
    <n v="5.22"/>
    <m/>
    <s v="TRANSFERENCIA"/>
    <s v="10.03.2020"/>
    <s v="HSBC "/>
    <s v="HSBC 004053489092 TP"/>
    <n v="340255290"/>
    <s v="SOLI1102"/>
  </r>
  <r>
    <n v="3402"/>
    <s v="25.01.2020"/>
    <n v="2020"/>
    <d v="2020-01-01T00:00:00"/>
    <n v="21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1.01.2020"/>
    <n v="5.8000000000000003E-2"/>
    <m/>
    <s v="TRANSFERENCIA"/>
    <s v="10.03.2020"/>
    <s v="HSBC "/>
    <s v="HSBC 004053489092 TP"/>
    <n v="340255290"/>
    <s v="SOLI1102"/>
  </r>
  <r>
    <n v="3402"/>
    <s v="25.01.2020"/>
    <n v="2020"/>
    <d v="2020-01-01T00:00:00"/>
    <n v="23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2.01.2020"/>
    <n v="5.8000000000000003E-2"/>
    <m/>
    <s v="TRANSFERENCIA"/>
    <s v="10.03.2020"/>
    <s v="HSBC "/>
    <s v="HSBC 004053489092 TP"/>
    <n v="340255290"/>
    <s v="SOLI1102"/>
  </r>
  <r>
    <n v="3402"/>
    <s v="25.01.2020"/>
    <n v="2020"/>
    <d v="2020-01-01T00:00:00"/>
    <n v="25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3.01.2020"/>
    <n v="5.8000000000000003E-2"/>
    <m/>
    <s v="TRANSFERENCIA"/>
    <s v="10.03.2020"/>
    <s v="HSBC "/>
    <s v="HSBC 004053489092 TP"/>
    <n v="340255290"/>
    <s v="SOLI1102"/>
  </r>
  <r>
    <n v="3402"/>
    <s v="25.01.2020"/>
    <n v="2020"/>
    <d v="2020-01-01T00:00:00"/>
    <n v="27"/>
    <n v="200076937"/>
    <s v="WE"/>
    <n v="81"/>
    <x v="4"/>
    <n v="21021040"/>
    <x v="4"/>
    <n v="4.5"/>
    <s v="MXN"/>
    <n v="4.5"/>
    <x v="0"/>
    <m/>
    <m/>
    <s v="9020593F-B07D-45F6-B3AA-D39CF7A80117"/>
    <s v="CSS160330CP7"/>
    <n v="107211"/>
    <s v="CFE SUMINISTRADOR DE SERVICIOS"/>
    <m/>
    <m/>
    <s v="25.01.2020"/>
    <n v="4501226813"/>
    <n v="20200125"/>
    <n v="4.5"/>
    <n v="0.72"/>
    <n v="5.22"/>
    <n v="200211626"/>
    <s v="Consumo CFE Hoyo 5  14.01.2020"/>
    <n v="5.22"/>
    <m/>
    <s v="TRANSFERENCIA"/>
    <s v="10.03.2020"/>
    <s v="HSBC "/>
    <s v="HSBC 004053489092 TP"/>
    <n v="340255290"/>
    <s v="SOLI1102"/>
  </r>
  <r>
    <n v="3402"/>
    <s v="25.01.2020"/>
    <n v="2020"/>
    <d v="2020-01-01T00:00:00"/>
    <n v="29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5.01.2020"/>
    <n v="5.8000000000000003E-2"/>
    <m/>
    <s v="TRANSFERENCIA"/>
    <s v="10.03.2020"/>
    <s v="HSBC "/>
    <s v="HSBC 004053489092 TP"/>
    <n v="340255290"/>
    <s v="SOLI1102"/>
  </r>
  <r>
    <n v="3402"/>
    <s v="25.01.2020"/>
    <n v="2020"/>
    <d v="2020-01-01T00:00:00"/>
    <n v="31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6.01.2020"/>
    <n v="5.8000000000000003E-2"/>
    <m/>
    <s v="TRANSFERENCIA"/>
    <s v="10.03.2020"/>
    <s v="HSBC "/>
    <s v="HSBC 004053489092 TP"/>
    <n v="340255290"/>
    <s v="SOLI1102"/>
  </r>
  <r>
    <n v="3402"/>
    <s v="25.01.2020"/>
    <n v="2020"/>
    <d v="2020-01-01T00:00:00"/>
    <n v="33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7.01.2020"/>
    <n v="5.8000000000000003E-2"/>
    <m/>
    <s v="TRANSFERENCIA"/>
    <s v="10.03.2020"/>
    <s v="HSBC "/>
    <s v="HSBC 004053489092 TP"/>
    <n v="340255290"/>
    <s v="SOLI1102"/>
  </r>
  <r>
    <n v="3402"/>
    <s v="25.01.2020"/>
    <n v="2020"/>
    <d v="2020-01-01T00:00:00"/>
    <n v="35"/>
    <n v="200076937"/>
    <s v="WE"/>
    <n v="81"/>
    <x v="4"/>
    <n v="21021040"/>
    <x v="4"/>
    <n v="4.5"/>
    <s v="MXN"/>
    <n v="4.5"/>
    <x v="0"/>
    <m/>
    <m/>
    <s v="9020593F-B07D-45F6-B3AA-D39CF7A80117"/>
    <s v="CSS160330CP7"/>
    <n v="107211"/>
    <s v="CFE SUMINISTRADOR DE SERVICIOS"/>
    <m/>
    <m/>
    <s v="25.01.2020"/>
    <n v="4501226813"/>
    <n v="20200125"/>
    <n v="4.5"/>
    <n v="0.72"/>
    <n v="5.22"/>
    <n v="200211626"/>
    <s v="Consumo CFE Hoyo 5  18.01.2020"/>
    <n v="5.22"/>
    <m/>
    <s v="TRANSFERENCIA"/>
    <s v="10.03.2020"/>
    <s v="HSBC "/>
    <s v="HSBC 004053489092 TP"/>
    <n v="340255290"/>
    <s v="SOLI1102"/>
  </r>
  <r>
    <n v="3402"/>
    <s v="25.01.2020"/>
    <n v="2020"/>
    <d v="2020-01-01T00:00:00"/>
    <n v="37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9.01.2020"/>
    <n v="5.8000000000000003E-2"/>
    <m/>
    <s v="TRANSFERENCIA"/>
    <s v="10.03.2020"/>
    <s v="HSBC "/>
    <s v="HSBC 004053489092 TP"/>
    <n v="340255290"/>
    <s v="SOLI1102"/>
  </r>
  <r>
    <n v="3402"/>
    <s v="25.01.2020"/>
    <n v="2020"/>
    <d v="2020-01-01T00:00:00"/>
    <n v="39"/>
    <n v="200076937"/>
    <s v="WE"/>
    <n v="81"/>
    <x v="4"/>
    <n v="21021040"/>
    <x v="4"/>
    <n v="4.5"/>
    <s v="MXN"/>
    <n v="4.5"/>
    <x v="0"/>
    <m/>
    <m/>
    <s v="9020593F-B07D-45F6-B3AA-D39CF7A80117"/>
    <s v="CSS160330CP7"/>
    <n v="107211"/>
    <s v="CFE SUMINISTRADOR DE SERVICIOS"/>
    <m/>
    <m/>
    <s v="25.01.2020"/>
    <n v="4501226813"/>
    <n v="20200125"/>
    <n v="4.5"/>
    <n v="0.72"/>
    <n v="5.22"/>
    <n v="200211626"/>
    <s v="Consumo CFE Hoyo 5  20.01.2020"/>
    <n v="5.22"/>
    <m/>
    <s v="TRANSFERENCIA"/>
    <s v="10.03.2020"/>
    <s v="HSBC "/>
    <s v="HSBC 004053489092 TP"/>
    <n v="340255290"/>
    <s v="SOLI1102"/>
  </r>
  <r>
    <n v="3402"/>
    <s v="25.01.2020"/>
    <n v="2020"/>
    <d v="2020-01-01T00:00:00"/>
    <n v="41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21.01.2020"/>
    <n v="5.8000000000000003E-2"/>
    <m/>
    <s v="TRANSFERENCIA"/>
    <s v="10.03.2020"/>
    <s v="HSBC "/>
    <s v="HSBC 004053489092 TP"/>
    <n v="340255290"/>
    <s v="SOLI1102"/>
  </r>
  <r>
    <n v="3402"/>
    <s v="25.01.2020"/>
    <n v="2020"/>
    <d v="2020-01-01T00:00:00"/>
    <n v="43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22.01.2020"/>
    <n v="5.8000000000000003E-2"/>
    <m/>
    <s v="TRANSFERENCIA"/>
    <s v="10.03.2020"/>
    <s v="HSBC "/>
    <s v="HSBC 004053489092 TP"/>
    <n v="340255290"/>
    <s v="SOLI1102"/>
  </r>
  <r>
    <n v="3402"/>
    <s v="25.01.2020"/>
    <n v="2020"/>
    <d v="2020-01-01T00:00:00"/>
    <n v="45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23.01.2020"/>
    <n v="5.8000000000000003E-2"/>
    <m/>
    <s v="TRANSFERENCIA"/>
    <s v="10.03.2020"/>
    <s v="HSBC "/>
    <s v="HSBC 004053489092 TP"/>
    <n v="340255290"/>
    <s v="SOLI1102"/>
  </r>
  <r>
    <n v="3402"/>
    <s v="25.01.2020"/>
    <n v="2020"/>
    <d v="2020-01-01T00:00:00"/>
    <n v="47"/>
    <n v="200076937"/>
    <s v="WE"/>
    <n v="81"/>
    <x v="4"/>
    <n v="21021040"/>
    <x v="4"/>
    <n v="4.5"/>
    <s v="MXN"/>
    <n v="4.5"/>
    <x v="0"/>
    <m/>
    <m/>
    <s v="9020593F-B07D-45F6-B3AA-D39CF7A80117"/>
    <s v="CSS160330CP7"/>
    <n v="107211"/>
    <s v="CFE SUMINISTRADOR DE SERVICIOS"/>
    <m/>
    <m/>
    <s v="25.01.2020"/>
    <n v="4501226813"/>
    <n v="20200125"/>
    <n v="4.5"/>
    <n v="0.72"/>
    <n v="5.22"/>
    <n v="200211626"/>
    <s v="Consumo CFE Hoyo 5  24.01.2020"/>
    <n v="5.22"/>
    <m/>
    <s v="TRANSFERENCIA"/>
    <s v="10.03.2020"/>
    <s v="HSBC "/>
    <s v="HSBC 004053489092 TP"/>
    <n v="340255290"/>
    <s v="SOLI1102"/>
  </r>
  <r>
    <n v="3402"/>
    <s v="25.01.2020"/>
    <n v="2020"/>
    <d v="2020-01-01T00:00:00"/>
    <n v="49"/>
    <n v="200076937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25.01.2020"/>
    <n v="5.8000000000000003E-2"/>
    <m/>
    <s v="TRANSFERENCIA"/>
    <s v="10.03.2020"/>
    <s v="HSBC "/>
    <s v="HSBC 004053489092 TP"/>
    <n v="340255290"/>
    <s v="SOLI1102"/>
  </r>
  <r>
    <n v="3403"/>
    <s v="23.01.2020"/>
    <n v="2020"/>
    <d v="2020-01-01T00:00:00"/>
    <n v="1"/>
    <n v="300013587"/>
    <s v="FE"/>
    <n v="40"/>
    <x v="9"/>
    <n v="21021040"/>
    <x v="9"/>
    <n v="1293.75"/>
    <s v="USD"/>
    <n v="24194.03"/>
    <x v="0"/>
    <s v="D0"/>
    <m/>
    <m/>
    <m/>
    <m/>
    <m/>
    <m/>
    <m/>
    <s v="24.01.2020"/>
    <m/>
    <s v="REFG:RCDPI00019929"/>
    <n v="1293.75"/>
    <m/>
    <m/>
    <m/>
    <s v="DESC AS: Hosting CRM"/>
    <m/>
    <m/>
    <m/>
    <m/>
    <m/>
    <m/>
    <n v="340321790"/>
    <s v="PIRFC"/>
  </r>
  <r>
    <n v="3403"/>
    <s v="01.01.2020"/>
    <n v="2020"/>
    <d v="2020-01-01T00:00:00"/>
    <n v="1"/>
    <n v="300016946"/>
    <s v="FE"/>
    <n v="40"/>
    <x v="7"/>
    <n v="21021040"/>
    <x v="7"/>
    <n v="4869.07"/>
    <s v="MXN"/>
    <n v="4869.07"/>
    <x v="0"/>
    <s v="U3"/>
    <m/>
    <m/>
    <m/>
    <m/>
    <m/>
    <m/>
    <m/>
    <s v="30.01.2020"/>
    <m/>
    <s v="REFG:RCDPI00019505"/>
    <n v="4869.07"/>
    <m/>
    <m/>
    <m/>
    <s v="DESC AS: Implementación de Programa Docusign"/>
    <m/>
    <m/>
    <m/>
    <m/>
    <m/>
    <m/>
    <n v="340321790"/>
    <s v="ERAMOS"/>
  </r>
  <r>
    <n v="3407"/>
    <s v="31.01.2020"/>
    <n v="2020"/>
    <d v="2020-01-01T00:00:00"/>
    <n v="1"/>
    <n v="700041054"/>
    <s v="SA"/>
    <n v="40"/>
    <x v="6"/>
    <n v="71111040"/>
    <x v="6"/>
    <n v="79.02"/>
    <s v="USD"/>
    <n v="1582.7"/>
    <x v="0"/>
    <m/>
    <m/>
    <m/>
    <m/>
    <m/>
    <m/>
    <m/>
    <m/>
    <s v="01.02.2020"/>
    <s v="RECLAIF CTAS"/>
    <s v="Reclasif Cuentas"/>
    <n v="79.02"/>
    <m/>
    <m/>
    <m/>
    <s v="Distr Lavanderia Enero 2020"/>
    <m/>
    <m/>
    <m/>
    <m/>
    <m/>
    <m/>
    <n v="340719290"/>
    <s v="CGUTIERREZ"/>
  </r>
  <r>
    <n v="3400"/>
    <s v="27.01.2020"/>
    <n v="2020"/>
    <d v="2020-01-01T00:00:00"/>
    <n v="1"/>
    <n v="100008857"/>
    <s v="FE"/>
    <n v="40"/>
    <x v="7"/>
    <n v="21021040"/>
    <x v="7"/>
    <n v="7500"/>
    <s v="MXN"/>
    <n v="7500"/>
    <x v="0"/>
    <s v="U3"/>
    <m/>
    <m/>
    <m/>
    <m/>
    <m/>
    <m/>
    <m/>
    <s v="27.01.2020"/>
    <m/>
    <s v="REFG:RCDPI00020003"/>
    <n v="7500"/>
    <m/>
    <m/>
    <m/>
    <s v="DESC AS: Administración De Fideicomisos"/>
    <m/>
    <m/>
    <m/>
    <m/>
    <m/>
    <m/>
    <n v="340051150"/>
    <s v="PIRFC"/>
  </r>
  <r>
    <n v="3407"/>
    <s v="14.01.2020"/>
    <n v="2020"/>
    <d v="2020-01-01T00:00:00"/>
    <n v="13"/>
    <n v="700033146"/>
    <s v="SA"/>
    <n v="50"/>
    <x v="8"/>
    <n v="11610080"/>
    <x v="8"/>
    <n v="12540"/>
    <s v="USD"/>
    <n v="235415.93"/>
    <x v="0"/>
    <m/>
    <m/>
    <m/>
    <m/>
    <m/>
    <m/>
    <m/>
    <m/>
    <s v="28.01.2020"/>
    <s v="AMORT LIC ATEA"/>
    <s v="Amort Grpo Atea"/>
    <n v="12540"/>
    <m/>
    <m/>
    <m/>
    <s v="Amort Grpo Atea Palo Alto 2020"/>
    <m/>
    <m/>
    <m/>
    <m/>
    <m/>
    <m/>
    <n v="340746390"/>
    <s v="CGUTIERREZ"/>
  </r>
  <r>
    <n v="3407"/>
    <s v="14.01.2020"/>
    <n v="2020"/>
    <d v="2020-01-01T00:00:00"/>
    <n v="14"/>
    <n v="700033146"/>
    <s v="SA"/>
    <n v="40"/>
    <x v="8"/>
    <n v="71105120"/>
    <x v="8"/>
    <n v="1045"/>
    <s v="USD"/>
    <n v="19617.93"/>
    <x v="0"/>
    <m/>
    <m/>
    <m/>
    <m/>
    <m/>
    <m/>
    <m/>
    <m/>
    <s v="28.01.2020"/>
    <s v="AMORT LIC ATEA"/>
    <s v="Amort Grpo Atea"/>
    <n v="1045"/>
    <m/>
    <m/>
    <m/>
    <s v="Amort Grpo Atea Ene 2020"/>
    <m/>
    <m/>
    <m/>
    <m/>
    <m/>
    <m/>
    <n v="340746390"/>
    <s v="CGUTIERREZ"/>
  </r>
  <r>
    <n v="3409"/>
    <s v="20.01.2020"/>
    <n v="2020"/>
    <d v="2020-01-01T00:00:00"/>
    <n v="3"/>
    <n v="900008124"/>
    <s v="AB"/>
    <n v="50"/>
    <x v="3"/>
    <n v="21230140"/>
    <x v="3"/>
    <n v="38735.589999999997"/>
    <s v="USD"/>
    <n v="729979.94"/>
    <x v="0"/>
    <m/>
    <m/>
    <m/>
    <m/>
    <m/>
    <m/>
    <m/>
    <n v="100100275"/>
    <s v="23.01.2020"/>
    <s v="PROV FEE DIC2019"/>
    <s v="2019 A"/>
    <n v="38735.589999999997"/>
    <m/>
    <m/>
    <m/>
    <s v="PROV FEE NOBU RESTAURANTE 8.5% DICIEMBRE 2019"/>
    <m/>
    <m/>
    <m/>
    <m/>
    <m/>
    <m/>
    <n v="340981990"/>
    <s v="JQUITERIO"/>
  </r>
  <r>
    <n v="3409"/>
    <s v="20.01.2020"/>
    <n v="2020"/>
    <d v="2020-01-01T00:00:00"/>
    <n v="3"/>
    <n v="900006650"/>
    <s v="WE"/>
    <n v="81"/>
    <x v="3"/>
    <n v="21021040"/>
    <x v="3"/>
    <n v="38735.589999999997"/>
    <s v="USD"/>
    <n v="727957.94"/>
    <x v="0"/>
    <m/>
    <m/>
    <s v="N/A Registro proveedor extranjero"/>
    <n v="270972527"/>
    <n v="200497"/>
    <s v="NOBU HOSPITALITY LLC"/>
    <m/>
    <m/>
    <s v="20.01.2020"/>
    <s v="INVOICE 1219"/>
    <s v="2019 A"/>
    <n v="38735.589999999997"/>
    <n v="0"/>
    <n v="38735.589999999997"/>
    <n v="900006711"/>
    <s v="FEE DICIEMBRE NOBU"/>
    <n v="38735.589999999997"/>
    <s v="05.11.2020"/>
    <s v="TRANSFERENCIA"/>
    <n v="900203553"/>
    <s v="BOFA"/>
    <s v="BofA RCD 89805242886"/>
    <n v="340981990"/>
    <s v="SOLI3409"/>
  </r>
  <r>
    <n v="3403"/>
    <s v="31.01.2020"/>
    <n v="2020"/>
    <d v="2020-01-01T00:00:00"/>
    <n v="3"/>
    <n v="300018475"/>
    <s v="RE"/>
    <n v="91"/>
    <x v="5"/>
    <n v="21021040"/>
    <x v="5"/>
    <n v="0"/>
    <s v="USD"/>
    <n v="60.35"/>
    <x v="0"/>
    <s v="D0"/>
    <m/>
    <m/>
    <m/>
    <m/>
    <m/>
    <m/>
    <m/>
    <s v="01.02.2020"/>
    <n v="2292349"/>
    <n v="20200131"/>
    <n v="0"/>
    <m/>
    <m/>
    <m/>
    <m/>
    <m/>
    <m/>
    <m/>
    <m/>
    <m/>
    <m/>
    <n v="340321990"/>
    <s v="MGARCIA"/>
  </r>
  <r>
    <n v="3403"/>
    <s v="31.01.2020"/>
    <n v="2020"/>
    <d v="2020-01-01T00:00:00"/>
    <n v="3"/>
    <n v="300018477"/>
    <s v="RE"/>
    <n v="91"/>
    <x v="3"/>
    <n v="21021040"/>
    <x v="3"/>
    <n v="0"/>
    <s v="USD"/>
    <n v="578.47"/>
    <x v="0"/>
    <s v="D0"/>
    <m/>
    <m/>
    <m/>
    <m/>
    <m/>
    <m/>
    <m/>
    <s v="01.02.2020"/>
    <s v="4171219CRS"/>
    <n v="20200131"/>
    <n v="0"/>
    <m/>
    <m/>
    <m/>
    <m/>
    <m/>
    <m/>
    <m/>
    <m/>
    <m/>
    <m/>
    <n v="340321790"/>
    <s v="MGARCIA"/>
  </r>
  <r>
    <n v="3403"/>
    <s v="31.01.2020"/>
    <n v="2020"/>
    <d v="2020-01-01T00:00:00"/>
    <n v="3"/>
    <n v="300018510"/>
    <s v="RE"/>
    <n v="91"/>
    <x v="9"/>
    <n v="21021040"/>
    <x v="9"/>
    <n v="0"/>
    <s v="USD"/>
    <n v="118.36"/>
    <x v="0"/>
    <s v="D0"/>
    <m/>
    <m/>
    <m/>
    <m/>
    <m/>
    <m/>
    <m/>
    <s v="01.02.2020"/>
    <s v="SIN044082"/>
    <n v="20200131"/>
    <n v="0"/>
    <m/>
    <m/>
    <m/>
    <m/>
    <m/>
    <m/>
    <m/>
    <m/>
    <m/>
    <m/>
    <n v="340321790"/>
    <s v="MGARCIA"/>
  </r>
  <r>
    <n v="3403"/>
    <s v="31.01.2020"/>
    <n v="2020"/>
    <d v="2020-01-01T00:00:00"/>
    <n v="3"/>
    <n v="300020317"/>
    <s v="RE"/>
    <n v="81"/>
    <x v="5"/>
    <n v="600623"/>
    <x v="5"/>
    <n v="0"/>
    <s v="USD"/>
    <n v="68.69"/>
    <x v="0"/>
    <s v="U3"/>
    <m/>
    <s v="E8B9374F-B6E6-41FB-AF83-74A1B8D1FCF8"/>
    <m/>
    <m/>
    <m/>
    <m/>
    <m/>
    <s v="04.02.2020"/>
    <s v="RCI-52960"/>
    <n v="20200131"/>
    <n v="0"/>
    <m/>
    <m/>
    <m/>
    <m/>
    <m/>
    <m/>
    <m/>
    <m/>
    <m/>
    <m/>
    <n v="340310190"/>
    <s v="MGARCIA"/>
  </r>
  <r>
    <n v="3401"/>
    <s v="15.01.2020"/>
    <n v="2020"/>
    <d v="2020-01-01T00:00:00"/>
    <n v="3"/>
    <n v="100019672"/>
    <s v="RE"/>
    <n v="91"/>
    <x v="3"/>
    <n v="21021040"/>
    <x v="3"/>
    <n v="0"/>
    <s v="USD"/>
    <n v="385.44"/>
    <x v="0"/>
    <s v="D0"/>
    <m/>
    <m/>
    <m/>
    <m/>
    <m/>
    <m/>
    <m/>
    <s v="20.01.2020"/>
    <s v="4160120M"/>
    <n v="20200115"/>
    <n v="0"/>
    <m/>
    <m/>
    <m/>
    <m/>
    <m/>
    <m/>
    <m/>
    <m/>
    <m/>
    <m/>
    <n v="340121790"/>
    <s v="CXP2"/>
  </r>
  <r>
    <n v="3407"/>
    <s v="02.01.2020"/>
    <n v="2020"/>
    <d v="2020-01-01T00:00:00"/>
    <n v="1"/>
    <n v="700034710"/>
    <s v="SA"/>
    <n v="40"/>
    <x v="8"/>
    <n v="71105120"/>
    <x v="8"/>
    <n v="380"/>
    <s v="USD"/>
    <n v="7175.05"/>
    <x v="0"/>
    <m/>
    <m/>
    <m/>
    <m/>
    <m/>
    <m/>
    <m/>
    <m/>
    <s v="29.01.2020"/>
    <s v="RECLASIF DE CTAS"/>
    <s v="Reclasif Ctas"/>
    <n v="380"/>
    <m/>
    <m/>
    <m/>
    <s v="mensualidad spabooker posh enero"/>
    <m/>
    <m/>
    <m/>
    <m/>
    <m/>
    <m/>
    <n v="340715190"/>
    <s v="CGUTIERREZ"/>
  </r>
  <r>
    <n v="3407"/>
    <s v="02.01.2020"/>
    <n v="2020"/>
    <d v="2020-01-01T00:00:00"/>
    <n v="2"/>
    <n v="700034710"/>
    <s v="SA"/>
    <n v="50"/>
    <x v="8"/>
    <n v="71105120"/>
    <x v="8"/>
    <n v="380"/>
    <s v="USD"/>
    <n v="7175.05"/>
    <x v="0"/>
    <m/>
    <m/>
    <m/>
    <m/>
    <m/>
    <m/>
    <m/>
    <m/>
    <s v="29.01.2020"/>
    <s v="RECLASIF DE CTAS"/>
    <s v="Reclasif Ctas"/>
    <n v="380"/>
    <m/>
    <m/>
    <m/>
    <s v="mensualidad spabooker posh enero"/>
    <m/>
    <m/>
    <m/>
    <m/>
    <m/>
    <m/>
    <n v="340753290"/>
    <s v="CGUTIERREZ"/>
  </r>
  <r>
    <n v="3401"/>
    <s v="20.01.2020"/>
    <n v="2020"/>
    <d v="2020-01-01T00:00:00"/>
    <n v="1"/>
    <n v="100019743"/>
    <s v="WE"/>
    <n v="81"/>
    <x v="5"/>
    <n v="21021040"/>
    <x v="5"/>
    <n v="624616.09"/>
    <s v="MXN"/>
    <n v="624616.09"/>
    <x v="0"/>
    <m/>
    <m/>
    <s v="N/A Registro proveedor extranjero"/>
    <s v="NL805734958B01"/>
    <n v="600271"/>
    <s v="BOOKING COM BV"/>
    <m/>
    <m/>
    <s v="20.01.2020"/>
    <n v="1548693071"/>
    <n v="20200120"/>
    <n v="624616.09"/>
    <n v="0"/>
    <n v="624616.09"/>
    <n v="100021561"/>
    <s v="Comisión por reservas de booking 12/19"/>
    <n v="624616.09"/>
    <s v="27.01.2020"/>
    <s v="TRANSFERENCIA"/>
    <n v="100023220"/>
    <s v="BBVA"/>
    <s v="BBVAB 00188039070 TP"/>
    <n v="340121790"/>
    <s v="SOLI1101"/>
  </r>
  <r>
    <n v="3401"/>
    <s v="20.01.2020"/>
    <n v="2020"/>
    <d v="2020-01-01T00:00:00"/>
    <n v="1"/>
    <n v="100019746"/>
    <s v="WE"/>
    <n v="81"/>
    <x v="5"/>
    <n v="21021040"/>
    <x v="5"/>
    <n v="13470.26"/>
    <s v="MXN"/>
    <n v="13470.26"/>
    <x v="0"/>
    <m/>
    <m/>
    <s v="1C202592-1C6A-4582-8415-38C00D3EE135"/>
    <m/>
    <n v="800407"/>
    <s v="RIVERA SALAZAR REBECA"/>
    <m/>
    <m/>
    <s v="20.01.2020"/>
    <s v="A336"/>
    <n v="20200120"/>
    <n v="13470.26"/>
    <n v="2155.2416000000003"/>
    <n v="15625.5016"/>
    <n v="100021585"/>
    <s v="COMISION POR RESERVAS RIVERA VIAJES 2019"/>
    <n v="15625.5016"/>
    <s v="25.02.2020"/>
    <s v="TRANSFERENCIA"/>
    <n v="100058969"/>
    <m/>
    <s v="BBVA"/>
    <n v="340121790"/>
    <s v="SOLI1101"/>
  </r>
  <r>
    <n v="3403"/>
    <s v="20.01.2020"/>
    <n v="2020"/>
    <d v="2020-01-01T00:00:00"/>
    <n v="1"/>
    <n v="300010941"/>
    <s v="WE"/>
    <n v="81"/>
    <x v="9"/>
    <n v="21021040"/>
    <x v="9"/>
    <n v="1371.47"/>
    <s v="USD"/>
    <n v="25774.04"/>
    <x v="0"/>
    <m/>
    <m/>
    <s v="N/A Registro proveedor extranjero"/>
    <n v="593416526"/>
    <n v="602304"/>
    <s v="VIZERGY."/>
    <m/>
    <m/>
    <s v="20.01.2020"/>
    <s v="SIN044082"/>
    <n v="20200120"/>
    <n v="1371.47"/>
    <n v="0"/>
    <n v="1371.47"/>
    <n v="300018510"/>
    <s v="MENSUALIDAD HOSTING SITIO WEB ENE 2020"/>
    <n v="1371.47"/>
    <s v="26.02.2020"/>
    <s v="TRANSFERENCIA"/>
    <n v="300041199"/>
    <s v="BOFA"/>
    <s v="BofA RCD 89805242886"/>
    <n v="340321790"/>
    <s v="SOLI1103"/>
  </r>
  <r>
    <n v="3401"/>
    <s v="20.01.2020"/>
    <n v="2020"/>
    <d v="2020-01-01T00:00:00"/>
    <n v="1"/>
    <n v="100019477"/>
    <s v="WE"/>
    <n v="81"/>
    <x v="4"/>
    <n v="21021040"/>
    <x v="4"/>
    <n v="50848"/>
    <s v="MXN"/>
    <n v="50848"/>
    <x v="0"/>
    <m/>
    <m/>
    <s v="27DFA65C-1D63-41B7-9350-ADC68088A10C"/>
    <s v="CSS160330CP7"/>
    <n v="107211"/>
    <s v="CFE SUMINISTRADOR DE SERVICIOS"/>
    <m/>
    <m/>
    <s v="20.01.2020"/>
    <n v="4501216248"/>
    <s v="WH000533227437"/>
    <n v="50848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20.01.2020"/>
    <n v="2020"/>
    <d v="2020-01-01T00:00:00"/>
    <n v="1"/>
    <n v="100019478"/>
    <s v="WE"/>
    <n v="81"/>
    <x v="4"/>
    <n v="21021040"/>
    <x v="4"/>
    <n v="42672"/>
    <s v="MXN"/>
    <n v="42672"/>
    <x v="0"/>
    <m/>
    <m/>
    <s v="27DFA65C-1D63-41B7-9350-ADC68088A10C"/>
    <s v="CSS160330CP7"/>
    <n v="107211"/>
    <s v="CFE SUMINISTRADOR DE SERVICIOS"/>
    <m/>
    <m/>
    <s v="20.01.2020"/>
    <n v="4501216248"/>
    <s v="WH000533227437"/>
    <n v="42672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20.01.2020"/>
    <n v="2020"/>
    <d v="2020-01-01T00:00:00"/>
    <n v="1"/>
    <n v="100019480"/>
    <s v="WE"/>
    <n v="81"/>
    <x v="4"/>
    <n v="21021040"/>
    <x v="4"/>
    <n v="54936"/>
    <s v="MXN"/>
    <n v="54936"/>
    <x v="0"/>
    <m/>
    <m/>
    <s v="27DFA65C-1D63-41B7-9350-ADC68088A10C"/>
    <s v="CSS160330CP7"/>
    <n v="107211"/>
    <s v="CFE SUMINISTRADOR DE SERVICIOS"/>
    <m/>
    <m/>
    <s v="20.01.2020"/>
    <n v="4501216248"/>
    <s v="WH000533227437"/>
    <n v="54936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6"/>
    <s v="20.01.2020"/>
    <n v="2020"/>
    <d v="2020-01-01T00:00:00"/>
    <n v="1"/>
    <n v="600018996"/>
    <s v="WE"/>
    <n v="81"/>
    <x v="5"/>
    <n v="21021040"/>
    <x v="5"/>
    <n v="18186"/>
    <s v="USD"/>
    <n v="341769.5"/>
    <x v="0"/>
    <m/>
    <m/>
    <s v="N/A Registro proveedor extranjero"/>
    <n v="183439718"/>
    <n v="800875"/>
    <s v="LHW Services GmbH"/>
    <m/>
    <m/>
    <s v="20.01.2020"/>
    <s v="TH051069"/>
    <n v="4501222975"/>
    <n v="18186"/>
    <n v="0"/>
    <n v="18186"/>
    <n v="600025891"/>
    <s v="3% Revenue Diciembre 2019"/>
    <n v="18186"/>
    <s v="11.02.2020"/>
    <s v="TRANSFERENCIA"/>
    <n v="600040070"/>
    <s v="BOFA"/>
    <s v="BofA RCD 89805242886"/>
    <n v="340621790"/>
    <s v="SOLIUNICO"/>
  </r>
  <r>
    <n v="3403"/>
    <s v="20.01.2020"/>
    <n v="2020"/>
    <d v="2020-01-01T00:00:00"/>
    <n v="1"/>
    <n v="300011122"/>
    <s v="WE"/>
    <n v="81"/>
    <x v="3"/>
    <n v="21021040"/>
    <x v="3"/>
    <n v="4529.8900000000003"/>
    <s v="USD"/>
    <n v="85130.22"/>
    <x v="0"/>
    <m/>
    <m/>
    <s v="N/A Registro proveedor extranjero"/>
    <n v="593383972"/>
    <n v="600226"/>
    <s v="HARD ROCK CAFE INTERNATIONAL INC."/>
    <m/>
    <m/>
    <s v="20.01.2020"/>
    <n v="4501224049"/>
    <s v="4170120M"/>
    <n v="4529.8900000000003"/>
    <n v="0"/>
    <n v="4529.8900000000003"/>
    <n v="300012072"/>
    <s v="FEES HARD ROCK- MEMORABILIA ENE 2020"/>
    <n v="3623.9120000000003"/>
    <s v="02.06.2020"/>
    <s v="TRANSFERENCIA"/>
    <n v="300238841"/>
    <s v="BOFA"/>
    <s v="BofA RCD 89805242886"/>
    <n v="340321790"/>
    <s v="ERAMOS"/>
  </r>
  <r>
    <n v="3406"/>
    <s v="20.01.2020"/>
    <n v="2020"/>
    <d v="2020-01-01T00:00:00"/>
    <n v="1"/>
    <n v="600019090"/>
    <s v="WE"/>
    <n v="81"/>
    <x v="8"/>
    <n v="21021040"/>
    <x v="8"/>
    <n v="380"/>
    <s v="USD"/>
    <n v="7141.34"/>
    <x v="0"/>
    <m/>
    <m/>
    <s v="N/A Registro proveedor extranjero"/>
    <n v="453325398"/>
    <n v="101653"/>
    <s v="BOOKER SOFTWARE INC"/>
    <m/>
    <m/>
    <s v="20.01.2020"/>
    <s v="120106-008E"/>
    <n v="20200120"/>
    <n v="380"/>
    <n v="0"/>
    <n v="380"/>
    <n v="600025900"/>
    <s v="PAGO SABE BOOKER ENERO 2020"/>
    <n v="380"/>
    <s v="11.02.2020"/>
    <s v="TRANSFERENCIA"/>
    <n v="600040066"/>
    <s v="BOFA"/>
    <s v="BofA RCD 89805242886"/>
    <n v="340615190"/>
    <s v="SOLIUNICO"/>
  </r>
  <r>
    <n v="3403"/>
    <s v="20.01.2020"/>
    <n v="2020"/>
    <d v="2020-01-01T00:00:00"/>
    <n v="1"/>
    <n v="300011135"/>
    <s v="WE"/>
    <n v="81"/>
    <x v="3"/>
    <n v="21021040"/>
    <x v="3"/>
    <n v="6703.01"/>
    <s v="USD"/>
    <n v="125969.67"/>
    <x v="0"/>
    <m/>
    <m/>
    <s v="N/A Registro proveedor extranjero"/>
    <n v="593383972"/>
    <n v="600226"/>
    <s v="HARD ROCK CAFE INTERNATIONAL INC."/>
    <m/>
    <m/>
    <s v="20.01.2020"/>
    <n v="4501222799"/>
    <s v="4171219CRS"/>
    <n v="6703.01"/>
    <n v="0"/>
    <n v="6703.01"/>
    <n v="300018477"/>
    <s v="FEES - Reservation Fee Services"/>
    <n v="5362.4080000000004"/>
    <s v="02.06.2020"/>
    <s v="TRANSFERENCIA"/>
    <n v="300238841"/>
    <s v="BOFA"/>
    <s v="BofA RCD 89805242886"/>
    <n v="340321790"/>
    <s v="ERAMOS"/>
  </r>
  <r>
    <n v="3403"/>
    <s v="20.01.2020"/>
    <n v="2020"/>
    <d v="2020-01-01T00:00:00"/>
    <n v="1"/>
    <n v="300011153"/>
    <s v="WE"/>
    <n v="81"/>
    <x v="8"/>
    <n v="21021040"/>
    <x v="8"/>
    <n v="20629.82"/>
    <s v="MXN"/>
    <n v="20629.82"/>
    <x v="0"/>
    <m/>
    <m/>
    <s v="78777681-43A2-4A7B-93F0-D36EE16806DC"/>
    <s v="EDD190321786"/>
    <n v="109480"/>
    <s v="ESTRATEGIAS DIGITALES PARA EL"/>
    <m/>
    <m/>
    <s v="20.01.2020"/>
    <s v="A103"/>
    <n v="4501216760"/>
    <n v="20629.82"/>
    <n v="3300.7712000000001"/>
    <n v="23930.591199999999"/>
    <n v="300011714"/>
    <s v="Licencia Adobe Cloud"/>
    <n v="23930.591199999999"/>
    <s v="10.02.2020"/>
    <s v="TRANSFERENCIA"/>
    <n v="300022039"/>
    <s v="BBVA"/>
    <s v="BBVAB 00188039070 TP"/>
    <n v="340325790"/>
    <s v="SOLI1103"/>
  </r>
  <r>
    <n v="3402"/>
    <s v="16.01.2020"/>
    <n v="2020"/>
    <d v="2020-01-01T00:00:00"/>
    <n v="1"/>
    <n v="200042522"/>
    <s v="WE"/>
    <n v="81"/>
    <x v="7"/>
    <n v="21021040"/>
    <x v="7"/>
    <n v="4875"/>
    <s v="MXN"/>
    <n v="4875"/>
    <x v="0"/>
    <m/>
    <m/>
    <s v="26D48181-4C07-4148-B3BB-B2C5ABE8D829"/>
    <m/>
    <n v="101476"/>
    <s v="ESTRADA RODRIGUEZ RAFAEL"/>
    <m/>
    <m/>
    <s v="16.01.2020"/>
    <s v="D127"/>
    <n v="20200116"/>
    <n v="4875"/>
    <n v="780"/>
    <n v="5655"/>
    <n v="200047512"/>
    <s v="PAGO TEMAZCAL 23 DIC-7 ENERO"/>
    <n v="5655"/>
    <s v="31.01.2020"/>
    <s v="TRANSFERENCIA"/>
    <n v="200102219"/>
    <s v="BBVA"/>
    <s v="BBVAB 00188039070 TP"/>
    <n v="340253290"/>
    <s v="SOLI1102"/>
  </r>
  <r>
    <n v="3407"/>
    <s v="16.01.2020"/>
    <n v="2020"/>
    <d v="2020-01-01T00:00:00"/>
    <n v="1"/>
    <n v="700016216"/>
    <s v="WE"/>
    <n v="81"/>
    <x v="9"/>
    <n v="21021040"/>
    <x v="9"/>
    <n v="881.15"/>
    <s v="USD"/>
    <n v="16576.189999999999"/>
    <x v="0"/>
    <m/>
    <m/>
    <s v="N/A Registro proveedor extranjero"/>
    <n v="593416526"/>
    <n v="602304"/>
    <s v="VIZERGY."/>
    <m/>
    <m/>
    <s v="16.01.2020"/>
    <s v="SIN043630"/>
    <n v="20200116"/>
    <n v="881.15"/>
    <n v="0"/>
    <n v="881.15"/>
    <n v="700016468"/>
    <s v="MENSUALIDADES HOSTING ENERO"/>
    <n v="881.15"/>
    <s v="25.02.2020"/>
    <s v="TRANSFERENCIA"/>
    <n v="700076457"/>
    <s v="BOFA"/>
    <s v="BofA RCD 89805242886"/>
    <n v="340721790"/>
    <s v="SOLI3407"/>
  </r>
  <r>
    <n v="3400"/>
    <s v="16.01.2020"/>
    <n v="2020"/>
    <d v="2020-01-01T00:00:00"/>
    <n v="1"/>
    <n v="100004815"/>
    <s v="WE"/>
    <n v="81"/>
    <x v="8"/>
    <n v="21021040"/>
    <x v="8"/>
    <n v="760"/>
    <s v="USD"/>
    <n v="14297.12"/>
    <x v="0"/>
    <m/>
    <m/>
    <s v="N/A Registro proveedor extranjero"/>
    <n v="453325398"/>
    <n v="101653"/>
    <s v="BOOKER SOFTWARE INC"/>
    <m/>
    <m/>
    <s v="16.01.2020"/>
    <s v="120106 004E"/>
    <n v="20200116"/>
    <n v="760"/>
    <n v="0"/>
    <n v="760"/>
    <n v="100014789"/>
    <s v="Factura Booker Spa Enero 2020"/>
    <n v="760"/>
    <s v="06.05.2020"/>
    <s v="TRANSFERENCIA"/>
    <n v="100168494"/>
    <s v="BOFA"/>
    <s v="BofA RCD 89805242886"/>
    <n v="340099350"/>
    <s v="SOLI1100"/>
  </r>
  <r>
    <n v="3400"/>
    <s v="16.01.2020"/>
    <n v="2020"/>
    <d v="2020-01-01T00:00:00"/>
    <n v="1"/>
    <n v="100004816"/>
    <s v="WE"/>
    <n v="81"/>
    <x v="8"/>
    <n v="21021040"/>
    <x v="8"/>
    <n v="400"/>
    <s v="USD"/>
    <n v="7524.8"/>
    <x v="0"/>
    <m/>
    <m/>
    <s v="N/A Registro proveedor extranjero"/>
    <n v="453325398"/>
    <n v="101653"/>
    <s v="BOOKER SOFTWARE INC"/>
    <m/>
    <m/>
    <s v="16.01.2020"/>
    <s v="120106 005E"/>
    <n v="20200116"/>
    <n v="400"/>
    <n v="0"/>
    <n v="400"/>
    <n v="100014790"/>
    <s v="Factura Booker SABE Enero 2020"/>
    <n v="400"/>
    <s v="25.02.2020"/>
    <s v="TRANSFERENCIA"/>
    <n v="100019945"/>
    <s v="BOFA"/>
    <s v="BofA RCD 89805242886"/>
    <n v="340099350"/>
    <s v="SOLI1100"/>
  </r>
  <r>
    <n v="3401"/>
    <s v="16.01.2020"/>
    <n v="2020"/>
    <d v="2020-01-01T00:00:00"/>
    <n v="1"/>
    <n v="100015703"/>
    <s v="WE"/>
    <n v="81"/>
    <x v="4"/>
    <n v="21021040"/>
    <x v="4"/>
    <n v="50484"/>
    <s v="MXN"/>
    <n v="50484"/>
    <x v="0"/>
    <m/>
    <m/>
    <s v="27DFA65C-1D63-41B7-9350-ADC68088A10C"/>
    <s v="CSS160330CP7"/>
    <n v="107211"/>
    <s v="CFE SUMINISTRADOR DE SERVICIOS"/>
    <m/>
    <m/>
    <s v="16.01.2020"/>
    <n v="4501216248"/>
    <s v="WH000533227437"/>
    <n v="50484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3"/>
    <s v="16.01.2020"/>
    <n v="2020"/>
    <d v="2020-01-01T00:00:00"/>
    <n v="1"/>
    <n v="300008809"/>
    <s v="WE"/>
    <n v="81"/>
    <x v="8"/>
    <n v="21021040"/>
    <x v="8"/>
    <n v="237.5"/>
    <s v="USD"/>
    <n v="4467.8500000000004"/>
    <x v="0"/>
    <m/>
    <m/>
    <s v="N/A Registro proveedor extranjero"/>
    <n v="453325398"/>
    <n v="101653"/>
    <s v="BOOKER SOFTWARE INC"/>
    <m/>
    <m/>
    <s v="16.01.2020"/>
    <s v="120106-009E"/>
    <n v="20200116"/>
    <n v="237.5"/>
    <n v="0"/>
    <n v="237.5"/>
    <n v="300008820"/>
    <s v="PAGO BOOKER SABE ENE 2020"/>
    <n v="237.5"/>
    <s v="06.05.2020"/>
    <s v="TRANSFERENCIA"/>
    <n v="300231884"/>
    <s v="BOFA"/>
    <s v="BofA RCD 89805242886"/>
    <n v="340315190"/>
    <s v="SOLI1103"/>
  </r>
  <r>
    <n v="3403"/>
    <s v="07.01.2020"/>
    <n v="2020"/>
    <d v="2020-01-01T00:00:00"/>
    <n v="3"/>
    <n v="300003511"/>
    <s v="KR"/>
    <n v="40"/>
    <x v="1"/>
    <n v="604244"/>
    <x v="1"/>
    <n v="3"/>
    <s v="MXN"/>
    <n v="3"/>
    <x v="0"/>
    <s v="D0"/>
    <m/>
    <m/>
    <m/>
    <m/>
    <m/>
    <m/>
    <m/>
    <s v="07.01.2020"/>
    <s v="BEB ALC DIC"/>
    <n v="20200107"/>
    <n v="3"/>
    <m/>
    <m/>
    <m/>
    <s v="IMPTO VENTA BEBIDAS ALCOHOLICAS DIC 19"/>
    <m/>
    <m/>
    <m/>
    <m/>
    <m/>
    <m/>
    <n v="340340390"/>
    <s v="MGARCIA"/>
  </r>
  <r>
    <n v="3401"/>
    <s v="07.01.2020"/>
    <n v="2020"/>
    <d v="2020-01-01T00:00:00"/>
    <n v="1"/>
    <n v="100005690"/>
    <s v="WE"/>
    <n v="81"/>
    <x v="8"/>
    <n v="21021040"/>
    <x v="8"/>
    <n v="380"/>
    <s v="USD"/>
    <n v="7169.57"/>
    <x v="0"/>
    <m/>
    <m/>
    <s v="N/A Registro proveedor extranjero"/>
    <n v="453325398"/>
    <n v="101653"/>
    <s v="BOOKER SOFTWARE INC"/>
    <m/>
    <m/>
    <s v="07.01.2020"/>
    <s v="120106-003E"/>
    <s v="120106-003E"/>
    <n v="380"/>
    <n v="0"/>
    <n v="380"/>
    <n v="100006710"/>
    <s v="Booker Spa Enero"/>
    <n v="380"/>
    <s v="11.02.2020"/>
    <s v="TRANSFERENCIA"/>
    <n v="100049136"/>
    <s v="BOFA"/>
    <s v="BofA RCD 89805242886"/>
    <n v="340153290"/>
    <s v="SOLI1101"/>
  </r>
  <r>
    <n v="3401"/>
    <s v="07.01.2020"/>
    <n v="2020"/>
    <d v="2020-01-01T00:00:00"/>
    <n v="1"/>
    <n v="100005696"/>
    <s v="WE"/>
    <n v="81"/>
    <x v="8"/>
    <n v="21021040"/>
    <x v="8"/>
    <n v="380"/>
    <s v="USD"/>
    <n v="7169.57"/>
    <x v="0"/>
    <m/>
    <m/>
    <s v="N/A Registro proveedor extranjero"/>
    <n v="453325398"/>
    <n v="101653"/>
    <s v="BOOKER SOFTWARE INC"/>
    <m/>
    <m/>
    <s v="07.01.2020"/>
    <s v="120106-003E"/>
    <s v="120106-003E"/>
    <n v="380"/>
    <n v="0"/>
    <n v="380"/>
    <n v="100006710"/>
    <s v="Booker Sabe Enero"/>
    <n v="380"/>
    <s v="11.02.2020"/>
    <s v="TRANSFERENCIA"/>
    <n v="100049136"/>
    <s v="BOFA"/>
    <s v="BofA RCD 89805242886"/>
    <n v="340115190"/>
    <s v="SOLI1101"/>
  </r>
  <r>
    <n v="3409"/>
    <s v="07.01.2020"/>
    <n v="2020"/>
    <d v="2020-01-01T00:00:00"/>
    <n v="1"/>
    <n v="900002227"/>
    <s v="WE"/>
    <n v="81"/>
    <x v="8"/>
    <n v="21021040"/>
    <x v="8"/>
    <n v="18560"/>
    <s v="MXN"/>
    <n v="18560"/>
    <x v="0"/>
    <m/>
    <m/>
    <s v="5F35ABD6-4979-4799-9455-F7BD488C7DD3"/>
    <s v="TSU900615F63"/>
    <n v="100730"/>
    <s v="TELEMATICA DEL SURESTE SA DE CV"/>
    <m/>
    <m/>
    <s v="07.01.2020"/>
    <n v="2966"/>
    <n v="20200107"/>
    <n v="18560"/>
    <n v="2969.6"/>
    <n v="21529.599999999999"/>
    <n v="900002230"/>
    <s v="SERV. DE TARIFICADOR NOBU 2019"/>
    <n v="21529.599999999999"/>
    <s v="10.02.2020"/>
    <s v="TRANSFERENCIA"/>
    <s v="BBVA"/>
    <m/>
    <s v="BBVAB 00188039070 TP"/>
    <n v="340914190"/>
    <s v="SOLI3409"/>
  </r>
  <r>
    <n v="3400"/>
    <s v="07.01.2020"/>
    <n v="2020"/>
    <d v="2020-01-01T00:00:00"/>
    <n v="1"/>
    <n v="100003618"/>
    <s v="SA"/>
    <n v="40"/>
    <x v="7"/>
    <n v="21021040"/>
    <x v="7"/>
    <n v="250000"/>
    <s v="MXN"/>
    <n v="250000"/>
    <x v="0"/>
    <s v="U3"/>
    <m/>
    <m/>
    <m/>
    <m/>
    <m/>
    <m/>
    <m/>
    <s v="14.01.2020"/>
    <s v="A 790"/>
    <n v="20200107"/>
    <n v="250000"/>
    <m/>
    <m/>
    <m/>
    <s v="SERV ASESORAMIENTO EN RECURSOS HUMANOS ENE 2020"/>
    <m/>
    <m/>
    <m/>
    <m/>
    <m/>
    <m/>
    <n v="340049150"/>
    <s v="CMOTA"/>
  </r>
  <r>
    <n v="3407"/>
    <s v="07.01.2020"/>
    <n v="2020"/>
    <d v="2020-01-01T00:00:00"/>
    <n v="1"/>
    <n v="700006688"/>
    <s v="WE"/>
    <n v="81"/>
    <x v="8"/>
    <n v="21021040"/>
    <x v="8"/>
    <n v="18560.099999999999"/>
    <s v="MXN"/>
    <n v="18560.099999999999"/>
    <x v="0"/>
    <m/>
    <m/>
    <s v="B562D4C7-2655-4767-9B8F-E5A011BEBE75"/>
    <s v="TSU900615F63"/>
    <n v="100730"/>
    <s v="TELEMATICA DEL SURESTE SA DE CV"/>
    <m/>
    <m/>
    <s v="07.01.2020"/>
    <n v="2965"/>
    <n v="20200107"/>
    <n v="18560.099999999999"/>
    <n v="2969.616"/>
    <n v="21529.716"/>
    <n v="700006703"/>
    <s v="SERV. DE TARIFICADOR HR 2020 Anual"/>
    <n v="21529.716"/>
    <s v="10.02.2020"/>
    <s v="TRANSFERENCIA"/>
    <s v="BBVA"/>
    <m/>
    <s v="BBVAB 00188039070 TP"/>
    <n v="340714190"/>
    <s v="SOLI3407"/>
  </r>
  <r>
    <n v="3401"/>
    <s v="01.01.2020"/>
    <n v="2020"/>
    <d v="2020-01-01T00:00:00"/>
    <n v="1"/>
    <n v="100006641"/>
    <s v="SA"/>
    <n v="40"/>
    <x v="8"/>
    <n v="11612010"/>
    <x v="8"/>
    <n v="620"/>
    <s v="USD"/>
    <n v="11701.07"/>
    <x v="0"/>
    <s v="D0"/>
    <m/>
    <m/>
    <m/>
    <m/>
    <m/>
    <m/>
    <m/>
    <s v="08.01.2020"/>
    <s v="DIFERIDOS ENE 20"/>
    <n v="20200101"/>
    <n v="620"/>
    <m/>
    <m/>
    <m/>
    <s v="SERVICIO MUSICA AMBIENTAL-ENE 20"/>
    <m/>
    <m/>
    <m/>
    <m/>
    <m/>
    <m/>
    <n v="340119290"/>
    <s v="AKRODRIGUEZ"/>
  </r>
  <r>
    <n v="3401"/>
    <s v="01.01.2020"/>
    <n v="2020"/>
    <d v="2020-01-01T00:00:00"/>
    <n v="3"/>
    <n v="100006641"/>
    <s v="SA"/>
    <n v="40"/>
    <x v="8"/>
    <n v="11612010"/>
    <x v="8"/>
    <n v="1450"/>
    <s v="USD"/>
    <n v="27365.42"/>
    <x v="0"/>
    <s v="D0"/>
    <m/>
    <m/>
    <m/>
    <m/>
    <m/>
    <m/>
    <m/>
    <s v="08.01.2020"/>
    <s v="DIFERIDOS ENE 20"/>
    <n v="20200101"/>
    <n v="1450"/>
    <m/>
    <m/>
    <m/>
    <s v="SERV. MTTO PURE-ENE 20"/>
    <m/>
    <m/>
    <m/>
    <m/>
    <m/>
    <m/>
    <n v="340121790"/>
    <s v="AKRODRIGUEZ"/>
  </r>
  <r>
    <n v="3401"/>
    <s v="01.01.2020"/>
    <n v="2020"/>
    <d v="2020-01-01T00:00:00"/>
    <n v="5"/>
    <n v="100006641"/>
    <s v="SA"/>
    <n v="40"/>
    <x v="8"/>
    <n v="11612010"/>
    <x v="8"/>
    <n v="69.430000000000007"/>
    <s v="USD"/>
    <n v="1310.33"/>
    <x v="0"/>
    <s v="D0"/>
    <m/>
    <m/>
    <m/>
    <m/>
    <m/>
    <m/>
    <m/>
    <s v="08.01.2020"/>
    <s v="DIFERIDOS ENE 20"/>
    <n v="20200101"/>
    <n v="69.430000000000007"/>
    <m/>
    <m/>
    <m/>
    <s v="MANTTO DE LICENCIAS SOFTWARE ORACLE OPERA-ENE 20"/>
    <m/>
    <m/>
    <m/>
    <m/>
    <m/>
    <m/>
    <n v="340146390"/>
    <s v="AKRODRIGUEZ"/>
  </r>
  <r>
    <n v="3401"/>
    <s v="01.01.2020"/>
    <n v="2020"/>
    <d v="2020-01-01T00:00:00"/>
    <n v="7"/>
    <n v="100006641"/>
    <s v="SA"/>
    <n v="40"/>
    <x v="8"/>
    <n v="11612010"/>
    <x v="8"/>
    <n v="88.22"/>
    <s v="USD"/>
    <n v="1664.95"/>
    <x v="0"/>
    <s v="D0"/>
    <m/>
    <m/>
    <m/>
    <m/>
    <m/>
    <m/>
    <m/>
    <s v="08.01.2020"/>
    <s v="DIFERIDOS ENE 20"/>
    <n v="20200101"/>
    <n v="88.22"/>
    <m/>
    <m/>
    <m/>
    <s v="LICENCIA FOUR WINDS-ENE 20"/>
    <m/>
    <m/>
    <m/>
    <m/>
    <m/>
    <m/>
    <n v="340125190"/>
    <s v="AKRODRIGUEZ"/>
  </r>
  <r>
    <n v="3401"/>
    <s v="01.01.2020"/>
    <n v="2020"/>
    <d v="2020-01-01T00:00:00"/>
    <n v="11"/>
    <n v="100006641"/>
    <s v="SA"/>
    <n v="40"/>
    <x v="8"/>
    <n v="11612010"/>
    <x v="8"/>
    <n v="360"/>
    <s v="USD"/>
    <n v="6794.17"/>
    <x v="0"/>
    <s v="D0"/>
    <m/>
    <m/>
    <m/>
    <m/>
    <m/>
    <m/>
    <m/>
    <s v="08.01.2020"/>
    <s v="DIFERIDOS ENE 20"/>
    <n v="20200101"/>
    <n v="360"/>
    <m/>
    <m/>
    <m/>
    <s v="LICENCIA FIREWALL ENE 20"/>
    <m/>
    <m/>
    <m/>
    <m/>
    <m/>
    <m/>
    <n v="340146390"/>
    <s v="AKRODRIGUEZ"/>
  </r>
  <r>
    <n v="3401"/>
    <s v="01.01.2020"/>
    <n v="2020"/>
    <d v="2020-01-01T00:00:00"/>
    <n v="15"/>
    <n v="100006641"/>
    <s v="SA"/>
    <n v="40"/>
    <x v="7"/>
    <n v="11612010"/>
    <x v="7"/>
    <n v="8402.66"/>
    <s v="USD"/>
    <n v="158580.88"/>
    <x v="0"/>
    <s v="D0"/>
    <m/>
    <m/>
    <m/>
    <m/>
    <m/>
    <m/>
    <m/>
    <s v="08.01.2020"/>
    <s v="DIFERIDOS ENE 20"/>
    <n v="20200101"/>
    <n v="8402.66"/>
    <m/>
    <m/>
    <m/>
    <s v="SERV.CONSUL.PROG.DE SEGUROS ENE 20"/>
    <m/>
    <m/>
    <m/>
    <m/>
    <m/>
    <m/>
    <n v="340151190"/>
    <s v="AKRODRIGUEZ"/>
  </r>
  <r>
    <n v="3402"/>
    <s v="01.01.2020"/>
    <n v="2020"/>
    <d v="2020-01-01T00:00:00"/>
    <n v="1"/>
    <n v="200057448"/>
    <s v="SA"/>
    <n v="40"/>
    <x v="8"/>
    <n v="11610090"/>
    <x v="8"/>
    <n v="606.45000000000005"/>
    <s v="USD"/>
    <n v="11803.34"/>
    <x v="0"/>
    <m/>
    <m/>
    <m/>
    <m/>
    <m/>
    <m/>
    <m/>
    <m/>
    <s v="20.01.2020"/>
    <m/>
    <n v="20200101"/>
    <n v="606.45000000000005"/>
    <m/>
    <m/>
    <m/>
    <s v="RCDTQ00008196 DESC AS: Licencias Oracle"/>
    <m/>
    <m/>
    <m/>
    <m/>
    <m/>
    <m/>
    <n v="340246390"/>
    <s v="AUXCONTARVM"/>
  </r>
  <r>
    <n v="3402"/>
    <s v="01.01.2020"/>
    <n v="2020"/>
    <d v="2020-01-01T00:00:00"/>
    <n v="1"/>
    <n v="200057451"/>
    <s v="SA"/>
    <n v="40"/>
    <x v="8"/>
    <n v="11610090"/>
    <x v="8"/>
    <n v="1567.67"/>
    <s v="USD"/>
    <n v="30290.05"/>
    <x v="0"/>
    <m/>
    <m/>
    <m/>
    <m/>
    <m/>
    <m/>
    <m/>
    <m/>
    <s v="20.01.2020"/>
    <m/>
    <n v="20200101"/>
    <n v="1567.67"/>
    <m/>
    <m/>
    <m/>
    <s v="RCDTQ00009837 DESC AS: Licencias Oracle"/>
    <m/>
    <m/>
    <m/>
    <m/>
    <m/>
    <m/>
    <n v="340246390"/>
    <s v="AUXCONTARVM"/>
  </r>
  <r>
    <n v="3402"/>
    <s v="01.01.2020"/>
    <n v="2020"/>
    <d v="2020-01-01T00:00:00"/>
    <n v="1"/>
    <n v="200057481"/>
    <s v="SA"/>
    <n v="40"/>
    <x v="8"/>
    <n v="11610090"/>
    <x v="8"/>
    <n v="564.49"/>
    <s v="USD"/>
    <n v="10784.58"/>
    <x v="0"/>
    <m/>
    <m/>
    <m/>
    <m/>
    <m/>
    <m/>
    <m/>
    <m/>
    <s v="20.01.2020"/>
    <m/>
    <n v="20200101"/>
    <n v="564.49"/>
    <m/>
    <m/>
    <m/>
    <s v="RCDTQ00010361DESC AS: Licencias Oracle"/>
    <m/>
    <m/>
    <m/>
    <m/>
    <m/>
    <m/>
    <n v="340246390"/>
    <s v="AUXCONTARVM"/>
  </r>
  <r>
    <n v="3407"/>
    <s v="01.01.2020"/>
    <n v="2020"/>
    <d v="2020-01-01T00:00:00"/>
    <n v="3"/>
    <n v="700034789"/>
    <s v="SA"/>
    <n v="40"/>
    <x v="8"/>
    <n v="11610080"/>
    <x v="8"/>
    <n v="538.33000000000004"/>
    <s v="USD"/>
    <n v="10159.74"/>
    <x v="0"/>
    <m/>
    <m/>
    <m/>
    <m/>
    <m/>
    <m/>
    <m/>
    <n v="700039177"/>
    <s v="29.01.2020"/>
    <s v="AMORT LICENCIAS"/>
    <n v="20200101"/>
    <n v="538.33000000000004"/>
    <m/>
    <m/>
    <m/>
    <m/>
    <m/>
    <m/>
    <m/>
    <m/>
    <m/>
    <m/>
    <n v="340743690"/>
    <s v="CGUTIERREZ"/>
  </r>
  <r>
    <n v="3407"/>
    <s v="01.01.2020"/>
    <n v="2020"/>
    <d v="2020-01-01T00:00:00"/>
    <n v="3"/>
    <n v="700039177"/>
    <s v="AB"/>
    <n v="50"/>
    <x v="8"/>
    <n v="11610080"/>
    <x v="8"/>
    <n v="538.33000000000004"/>
    <s v="USD"/>
    <n v="10159.74"/>
    <x v="0"/>
    <m/>
    <m/>
    <m/>
    <m/>
    <m/>
    <m/>
    <m/>
    <n v="700034789"/>
    <s v="31.01.2020"/>
    <s v="AMORT LICENCIAS"/>
    <n v="20200101"/>
    <n v="538.33000000000004"/>
    <m/>
    <m/>
    <m/>
    <m/>
    <m/>
    <m/>
    <m/>
    <m/>
    <m/>
    <m/>
    <n v="340743690"/>
    <s v="CGUTIERREZ"/>
  </r>
  <r>
    <n v="3400"/>
    <s v="01.01.2020"/>
    <n v="2020"/>
    <d v="2020-01-01T00:00:00"/>
    <n v="4"/>
    <n v="100010716"/>
    <s v="SA"/>
    <n v="40"/>
    <x v="1"/>
    <n v="11310040"/>
    <x v="1"/>
    <n v="42.68"/>
    <s v="MXN"/>
    <n v="42.68"/>
    <x v="0"/>
    <s v="D3"/>
    <m/>
    <m/>
    <m/>
    <m/>
    <m/>
    <m/>
    <n v="100011275"/>
    <s v="31.01.2020"/>
    <s v="EJEC/OPER"/>
    <n v="20200101"/>
    <n v="42.68"/>
    <m/>
    <m/>
    <m/>
    <s v="COMISIONES SI VALE GASOLINA"/>
    <m/>
    <m/>
    <m/>
    <m/>
    <m/>
    <m/>
    <n v="340040450"/>
    <s v="CMOTA"/>
  </r>
  <r>
    <n v="3409"/>
    <s v="01.01.2020"/>
    <n v="2020"/>
    <d v="2020-01-01T00:00:00"/>
    <n v="1"/>
    <n v="900011624"/>
    <s v="WE"/>
    <n v="81"/>
    <x v="5"/>
    <n v="21021040"/>
    <x v="5"/>
    <n v="2197.4899999999998"/>
    <s v="USD"/>
    <n v="41472.57"/>
    <x v="0"/>
    <m/>
    <m/>
    <s v="N/A Registro proveedor extranjero"/>
    <n v="752738581"/>
    <n v="602358"/>
    <s v="PEGASUS BUSINESS INTELLIGENCE"/>
    <m/>
    <m/>
    <s v="01.02.2020"/>
    <n v="2282587"/>
    <n v="20200101"/>
    <n v="2197.4899999999998"/>
    <n v="0"/>
    <n v="2197.4899999999998"/>
    <n v="900012547"/>
    <s v="Pegasus Invoice 2282587"/>
    <n v="2197.4899999999998"/>
    <s v="10.02.2020"/>
    <s v="TRANSFERENCIA"/>
    <n v="900014325"/>
    <s v="BOFA"/>
    <s v="BofA RCD 89805242886"/>
    <n v="340921790"/>
    <s v="SOLI3409"/>
  </r>
  <r>
    <n v="3400"/>
    <s v="01.01.2020"/>
    <n v="2020"/>
    <d v="2020-01-01T00:00:00"/>
    <n v="4"/>
    <n v="100011276"/>
    <s v="SA"/>
    <n v="40"/>
    <x v="1"/>
    <n v="11310040"/>
    <x v="1"/>
    <n v="42.68"/>
    <s v="MXN"/>
    <n v="42.68"/>
    <x v="0"/>
    <s v="D3"/>
    <m/>
    <m/>
    <m/>
    <m/>
    <m/>
    <m/>
    <m/>
    <s v="03.02.2020"/>
    <s v="EJEC/OPER"/>
    <n v="20200101"/>
    <n v="42.68"/>
    <m/>
    <m/>
    <m/>
    <s v="COMISIONES SI VALE GASOLINA"/>
    <m/>
    <m/>
    <m/>
    <m/>
    <m/>
    <m/>
    <n v="340040450"/>
    <s v="CMOTA"/>
  </r>
  <r>
    <n v="3407"/>
    <s v="31.01.2020"/>
    <n v="2020"/>
    <d v="2020-01-01T00:00:00"/>
    <n v="3"/>
    <n v="700039223"/>
    <s v="SA"/>
    <n v="40"/>
    <x v="8"/>
    <n v="11610080"/>
    <x v="8"/>
    <n v="538.33000000000004"/>
    <s v="USD"/>
    <n v="10159.74"/>
    <x v="0"/>
    <m/>
    <m/>
    <m/>
    <m/>
    <m/>
    <m/>
    <m/>
    <n v="700039244"/>
    <s v="31.01.2020"/>
    <s v="AMORT PGOS ANT"/>
    <s v="Amort Pgos Anticip"/>
    <n v="538.33000000000004"/>
    <m/>
    <m/>
    <m/>
    <s v="Amort Licencia ZENDESCK Enero 2020"/>
    <m/>
    <m/>
    <m/>
    <m/>
    <m/>
    <m/>
    <n v="340743690"/>
    <s v="CGUTIERREZ"/>
  </r>
  <r>
    <n v="3407"/>
    <s v="31.01.2020"/>
    <n v="2020"/>
    <d v="2020-01-01T00:00:00"/>
    <n v="3"/>
    <n v="700039244"/>
    <s v="AB"/>
    <n v="50"/>
    <x v="8"/>
    <n v="11610080"/>
    <x v="8"/>
    <n v="538.33000000000004"/>
    <s v="USD"/>
    <n v="10159.74"/>
    <x v="0"/>
    <m/>
    <m/>
    <m/>
    <m/>
    <m/>
    <m/>
    <m/>
    <n v="700039223"/>
    <s v="31.01.2020"/>
    <s v="AMORT PGOS ANT"/>
    <s v="Amort Pgos Anticip"/>
    <n v="538.33000000000004"/>
    <m/>
    <m/>
    <m/>
    <s v="Amort Licencia ZENDESCK Enero 2020"/>
    <m/>
    <m/>
    <m/>
    <m/>
    <m/>
    <m/>
    <n v="340743690"/>
    <s v="CGUTIERREZ"/>
  </r>
  <r>
    <n v="3407"/>
    <s v="31.01.2020"/>
    <n v="2020"/>
    <d v="2020-01-01T00:00:00"/>
    <n v="3"/>
    <n v="700039251"/>
    <s v="SA"/>
    <n v="40"/>
    <x v="8"/>
    <n v="11610080"/>
    <x v="8"/>
    <n v="538.33000000000004"/>
    <s v="USD"/>
    <n v="10566.93"/>
    <x v="0"/>
    <m/>
    <m/>
    <m/>
    <m/>
    <m/>
    <m/>
    <m/>
    <m/>
    <s v="31.01.2020"/>
    <s v="AMORT PGOS ANT"/>
    <s v="Amort Pgos Anticip"/>
    <n v="538.33000000000004"/>
    <m/>
    <m/>
    <m/>
    <s v="Amort Licencia ZENDESCK Enero 2020"/>
    <m/>
    <m/>
    <m/>
    <m/>
    <m/>
    <m/>
    <n v="340743690"/>
    <s v="CGUTIERREZ"/>
  </r>
  <r>
    <n v="3400"/>
    <s v="27.01.2020"/>
    <n v="2020"/>
    <d v="2020-01-01T00:00:00"/>
    <n v="1"/>
    <n v="100011600"/>
    <s v="FE"/>
    <n v="40"/>
    <x v="9"/>
    <n v="21021040"/>
    <x v="9"/>
    <n v="1293.75"/>
    <s v="USD"/>
    <n v="24324.83"/>
    <x v="0"/>
    <s v="D0"/>
    <m/>
    <m/>
    <m/>
    <m/>
    <m/>
    <m/>
    <m/>
    <s v="04.02.2020"/>
    <m/>
    <s v="REFG:RCDPI00020198"/>
    <n v="1293.75"/>
    <m/>
    <m/>
    <m/>
    <s v="DESC AS: Hosting CRM"/>
    <m/>
    <m/>
    <m/>
    <m/>
    <m/>
    <m/>
    <n v="340023250"/>
    <s v="YCUTZ"/>
  </r>
  <r>
    <n v="3406"/>
    <s v="01.01.2020"/>
    <n v="2020"/>
    <d v="2020-01-01T00:00:00"/>
    <n v="1"/>
    <n v="600010478"/>
    <s v="SA"/>
    <n v="40"/>
    <x v="8"/>
    <n v="11610090"/>
    <x v="8"/>
    <n v="69.44"/>
    <s v="USD"/>
    <n v="1368.46"/>
    <x v="0"/>
    <m/>
    <m/>
    <m/>
    <m/>
    <m/>
    <m/>
    <m/>
    <m/>
    <s v="14.01.2020"/>
    <n v="20200101"/>
    <s v="01.01.2020"/>
    <n v="69.44"/>
    <m/>
    <m/>
    <m/>
    <s v="ORACLELE LICENCE  ENE 20"/>
    <m/>
    <m/>
    <m/>
    <m/>
    <m/>
    <m/>
    <n v="340646390"/>
    <s v="RBENITO"/>
  </r>
  <r>
    <n v="3406"/>
    <s v="01.01.2020"/>
    <n v="2020"/>
    <d v="2020-01-01T00:00:00"/>
    <n v="1"/>
    <n v="600010485"/>
    <s v="SA"/>
    <n v="40"/>
    <x v="8"/>
    <n v="11610090"/>
    <x v="8"/>
    <n v="352.86"/>
    <s v="USD"/>
    <n v="6848.52"/>
    <x v="0"/>
    <m/>
    <m/>
    <m/>
    <m/>
    <m/>
    <m/>
    <m/>
    <m/>
    <s v="14.01.2020"/>
    <n v="20200101"/>
    <s v="01.01.2020"/>
    <n v="352.86"/>
    <m/>
    <m/>
    <m/>
    <s v="Licencia Mcafee Único 2019 ENE 20"/>
    <m/>
    <m/>
    <m/>
    <m/>
    <m/>
    <m/>
    <n v="340646390"/>
    <s v="RBENITO"/>
  </r>
  <r>
    <n v="3406"/>
    <s v="01.01.2020"/>
    <n v="2020"/>
    <d v="2020-01-01T00:00:00"/>
    <n v="1"/>
    <n v="600010487"/>
    <s v="SA"/>
    <n v="40"/>
    <x v="8"/>
    <n v="11610090"/>
    <x v="8"/>
    <n v="65.349999999999994"/>
    <s v="USD"/>
    <n v="1255.9000000000001"/>
    <x v="0"/>
    <m/>
    <m/>
    <m/>
    <m/>
    <m/>
    <m/>
    <m/>
    <m/>
    <s v="14.01.2020"/>
    <n v="20200101"/>
    <s v="01.01.2020"/>
    <n v="65.349999999999994"/>
    <m/>
    <m/>
    <m/>
    <s v="ORACLELE LICENCE  ENE 20"/>
    <m/>
    <m/>
    <m/>
    <m/>
    <m/>
    <m/>
    <n v="340646390"/>
    <s v="RBENITO"/>
  </r>
  <r>
    <n v="3400"/>
    <s v="15.01.2020"/>
    <n v="2020"/>
    <d v="2020-01-01T00:00:00"/>
    <n v="1"/>
    <n v="100004521"/>
    <s v="FE"/>
    <n v="40"/>
    <x v="7"/>
    <n v="21021040"/>
    <x v="7"/>
    <n v="4869.07"/>
    <s v="MXN"/>
    <n v="4869.07"/>
    <x v="0"/>
    <s v="U3"/>
    <m/>
    <m/>
    <m/>
    <m/>
    <m/>
    <m/>
    <m/>
    <s v="15.01.2020"/>
    <m/>
    <s v="REFG:RCDPI00019503"/>
    <n v="4869.07"/>
    <m/>
    <m/>
    <m/>
    <s v="DESC AS: Implementación de Programa Docusign"/>
    <m/>
    <m/>
    <m/>
    <m/>
    <m/>
    <m/>
    <n v="340019850"/>
    <s v="YCUTZ"/>
  </r>
  <r>
    <n v="3400"/>
    <s v="15.01.2020"/>
    <n v="2020"/>
    <d v="2020-01-01T00:00:00"/>
    <n v="1"/>
    <n v="100005096"/>
    <s v="FE"/>
    <n v="40"/>
    <x v="7"/>
    <n v="21021040"/>
    <x v="7"/>
    <n v="4869.07"/>
    <s v="MXN"/>
    <n v="4869.07"/>
    <x v="0"/>
    <s v="U3"/>
    <m/>
    <m/>
    <m/>
    <m/>
    <m/>
    <m/>
    <m/>
    <s v="17.01.2020"/>
    <m/>
    <s v="REFG:RCDPI00019501"/>
    <n v="4869.07"/>
    <m/>
    <m/>
    <m/>
    <s v="DESC AS: Implementación de Programa Docusign"/>
    <m/>
    <m/>
    <m/>
    <m/>
    <m/>
    <m/>
    <n v="340019850"/>
    <s v="YCUTZ"/>
  </r>
  <r>
    <n v="3400"/>
    <s v="15.01.2020"/>
    <n v="2020"/>
    <d v="2020-01-01T00:00:00"/>
    <n v="1"/>
    <n v="100005097"/>
    <s v="FE"/>
    <n v="40"/>
    <x v="7"/>
    <n v="21021040"/>
    <x v="7"/>
    <n v="4869.07"/>
    <s v="MXN"/>
    <n v="4869.07"/>
    <x v="0"/>
    <s v="U3"/>
    <m/>
    <m/>
    <m/>
    <m/>
    <m/>
    <m/>
    <m/>
    <s v="17.01.2020"/>
    <m/>
    <s v="REFG:RCDPI00019502"/>
    <n v="4869.07"/>
    <m/>
    <m/>
    <m/>
    <s v="DESC AS: Implementación de Programa Docusign"/>
    <m/>
    <m/>
    <m/>
    <m/>
    <m/>
    <m/>
    <n v="340019850"/>
    <s v="YCUTZ"/>
  </r>
  <r>
    <n v="3400"/>
    <s v="15.01.2020"/>
    <n v="2020"/>
    <d v="2020-01-01T00:00:00"/>
    <n v="1"/>
    <n v="100005098"/>
    <s v="FE"/>
    <n v="40"/>
    <x v="7"/>
    <n v="21021040"/>
    <x v="7"/>
    <n v="4869.07"/>
    <s v="MXN"/>
    <n v="4869.07"/>
    <x v="0"/>
    <s v="U3"/>
    <m/>
    <m/>
    <m/>
    <m/>
    <m/>
    <m/>
    <m/>
    <s v="17.01.2020"/>
    <m/>
    <s v="REFG:RCDPI00019504"/>
    <n v="4869.07"/>
    <m/>
    <m/>
    <m/>
    <s v="DESC AS: Implementación de Programa Docusign"/>
    <m/>
    <m/>
    <m/>
    <m/>
    <m/>
    <m/>
    <n v="340019850"/>
    <s v="YCUTZ"/>
  </r>
  <r>
    <n v="3400"/>
    <s v="23.01.2020"/>
    <n v="2020"/>
    <d v="2020-01-01T00:00:00"/>
    <n v="1"/>
    <n v="100007347"/>
    <s v="FE"/>
    <n v="40"/>
    <x v="7"/>
    <n v="21021040"/>
    <x v="7"/>
    <n v="477.1"/>
    <s v="USD"/>
    <n v="8922.1"/>
    <x v="0"/>
    <s v="D0"/>
    <m/>
    <m/>
    <m/>
    <m/>
    <m/>
    <m/>
    <m/>
    <s v="23.01.2020"/>
    <m/>
    <s v="REFG:RCDPI00019888"/>
    <n v="477.1"/>
    <m/>
    <m/>
    <m/>
    <s v="DESC AS: Professional Fees"/>
    <m/>
    <m/>
    <m/>
    <m/>
    <m/>
    <m/>
    <n v="340019850"/>
    <s v="CMOTA"/>
  </r>
  <r>
    <n v="3400"/>
    <s v="25.01.2020"/>
    <n v="2020"/>
    <d v="2020-01-01T00:00:00"/>
    <n v="1"/>
    <n v="100008993"/>
    <s v="FE"/>
    <n v="40"/>
    <x v="9"/>
    <n v="21021040"/>
    <x v="9"/>
    <n v="7704.4"/>
    <s v="MXN"/>
    <n v="7704.4"/>
    <x v="0"/>
    <m/>
    <m/>
    <m/>
    <m/>
    <m/>
    <m/>
    <m/>
    <m/>
    <s v="27.01.2020"/>
    <m/>
    <s v="REFG:RCDPI00019925"/>
    <n v="7704.4"/>
    <m/>
    <m/>
    <m/>
    <s v="DESC AS: Hosting Amplified Rewards USA"/>
    <m/>
    <m/>
    <m/>
    <m/>
    <m/>
    <m/>
    <n v="340019850"/>
    <s v="YCUTZ"/>
  </r>
  <r>
    <n v="3400"/>
    <s v="27.01.2020"/>
    <n v="2020"/>
    <d v="2020-01-01T00:00:00"/>
    <n v="1"/>
    <n v="100009701"/>
    <s v="FE"/>
    <n v="40"/>
    <x v="9"/>
    <n v="21021040"/>
    <x v="9"/>
    <n v="1293.75"/>
    <s v="USD"/>
    <n v="24324.83"/>
    <x v="0"/>
    <s v="D0"/>
    <m/>
    <m/>
    <m/>
    <m/>
    <m/>
    <m/>
    <m/>
    <s v="29.01.2020"/>
    <m/>
    <s v="REFG:RCDPI00020195"/>
    <n v="1293.75"/>
    <m/>
    <m/>
    <m/>
    <s v="DESC AS: Hosting CRM"/>
    <m/>
    <m/>
    <m/>
    <m/>
    <m/>
    <m/>
    <n v="340019850"/>
    <s v="PIRFC"/>
  </r>
  <r>
    <n v="3400"/>
    <s v="27.01.2020"/>
    <n v="2020"/>
    <d v="2020-01-01T00:00:00"/>
    <n v="1"/>
    <n v="100010690"/>
    <s v="FE"/>
    <n v="40"/>
    <x v="9"/>
    <n v="21021040"/>
    <x v="9"/>
    <n v="1293.75"/>
    <s v="USD"/>
    <n v="24324.83"/>
    <x v="0"/>
    <s v="D0"/>
    <m/>
    <m/>
    <m/>
    <m/>
    <m/>
    <m/>
    <m/>
    <s v="31.01.2020"/>
    <m/>
    <s v="REFG:RCDPI00020202"/>
    <n v="1293.75"/>
    <m/>
    <m/>
    <m/>
    <s v="DESC AS: Hosting CRM"/>
    <m/>
    <m/>
    <m/>
    <m/>
    <m/>
    <m/>
    <n v="340019850"/>
    <s v="YCUTZ"/>
  </r>
  <r>
    <n v="3400"/>
    <s v="27.01.2020"/>
    <n v="2020"/>
    <d v="2020-01-01T00:00:00"/>
    <n v="1"/>
    <n v="100010692"/>
    <s v="FE"/>
    <n v="40"/>
    <x v="9"/>
    <n v="21021040"/>
    <x v="9"/>
    <n v="2587.5"/>
    <s v="USD"/>
    <n v="48649.66"/>
    <x v="0"/>
    <s v="D0"/>
    <m/>
    <m/>
    <m/>
    <m/>
    <m/>
    <m/>
    <m/>
    <s v="31.01.2020"/>
    <m/>
    <s v="REFG:RCDPI00020203"/>
    <n v="2587.5"/>
    <m/>
    <m/>
    <m/>
    <s v="DESC AS: Hosting CRM"/>
    <m/>
    <m/>
    <m/>
    <m/>
    <m/>
    <m/>
    <n v="340019850"/>
    <s v="YCUTZ"/>
  </r>
  <r>
    <n v="3400"/>
    <s v="13.01.2020"/>
    <n v="2020"/>
    <d v="2020-01-01T00:00:00"/>
    <n v="1"/>
    <n v="100003501"/>
    <s v="FE"/>
    <n v="40"/>
    <x v="9"/>
    <n v="21021040"/>
    <x v="9"/>
    <n v="42380.800000000003"/>
    <s v="MXN"/>
    <n v="42380.800000000003"/>
    <x v="0"/>
    <s v="U3"/>
    <m/>
    <m/>
    <m/>
    <m/>
    <m/>
    <m/>
    <m/>
    <s v="13.01.2020"/>
    <m/>
    <s v="REFG:RCDPI00019506"/>
    <n v="42380.800000000003"/>
    <m/>
    <m/>
    <m/>
    <s v="DESC AS: Licencia mensual (2 de 24)"/>
    <m/>
    <m/>
    <m/>
    <m/>
    <m/>
    <m/>
    <n v="340019850"/>
    <s v="PIRFC"/>
  </r>
  <r>
    <n v="3400"/>
    <s v="24.01.2020"/>
    <n v="2020"/>
    <d v="2020-01-01T00:00:00"/>
    <n v="1"/>
    <n v="100008564"/>
    <s v="FE"/>
    <n v="40"/>
    <x v="7"/>
    <n v="21021040"/>
    <x v="7"/>
    <n v="1276438"/>
    <s v="MXN"/>
    <n v="1276438"/>
    <x v="0"/>
    <s v="U3"/>
    <m/>
    <m/>
    <m/>
    <m/>
    <m/>
    <m/>
    <m/>
    <s v="24.01.2020"/>
    <m/>
    <s v="REFG:RCDPI00019939"/>
    <n v="1276438"/>
    <m/>
    <m/>
    <m/>
    <s v="DESC AS: Asesorías Fiscales"/>
    <m/>
    <m/>
    <m/>
    <m/>
    <m/>
    <m/>
    <n v="340040850"/>
    <s v="PIRFC"/>
  </r>
  <r>
    <n v="3400"/>
    <s v="24.01.2020"/>
    <n v="2020"/>
    <d v="2020-01-01T00:00:00"/>
    <n v="1"/>
    <n v="100008565"/>
    <s v="FE"/>
    <n v="40"/>
    <x v="7"/>
    <n v="21021040"/>
    <x v="7"/>
    <n v="175000"/>
    <s v="MXN"/>
    <n v="175000"/>
    <x v="0"/>
    <s v="U3"/>
    <m/>
    <m/>
    <m/>
    <m/>
    <m/>
    <m/>
    <m/>
    <s v="24.01.2020"/>
    <m/>
    <s v="REFG:RCDPI00019940"/>
    <n v="175000"/>
    <m/>
    <m/>
    <m/>
    <s v="DESC AS: Asesorías Fiscales"/>
    <m/>
    <m/>
    <m/>
    <m/>
    <m/>
    <m/>
    <n v="340040850"/>
    <s v="PIRFC"/>
  </r>
  <r>
    <n v="3400"/>
    <s v="24.01.2020"/>
    <n v="2020"/>
    <d v="2020-01-01T00:00:00"/>
    <n v="1"/>
    <n v="100008566"/>
    <s v="FE"/>
    <n v="40"/>
    <x v="7"/>
    <n v="21021040"/>
    <x v="7"/>
    <n v="8148.55"/>
    <s v="MXN"/>
    <n v="8148.55"/>
    <x v="0"/>
    <s v="U3"/>
    <m/>
    <m/>
    <m/>
    <m/>
    <m/>
    <m/>
    <m/>
    <s v="24.01.2020"/>
    <m/>
    <s v="REFG:RCDPI00019941"/>
    <n v="8148.55"/>
    <m/>
    <m/>
    <m/>
    <s v="DESC AS: Asesorías Fiscales"/>
    <m/>
    <m/>
    <m/>
    <m/>
    <m/>
    <m/>
    <n v="340040850"/>
    <s v="PIRFC"/>
  </r>
  <r>
    <n v="3400"/>
    <s v="24.01.2020"/>
    <n v="2020"/>
    <d v="2020-01-01T00:00:00"/>
    <n v="1"/>
    <n v="100008567"/>
    <s v="FE"/>
    <n v="40"/>
    <x v="7"/>
    <n v="21021040"/>
    <x v="7"/>
    <n v="636131.5"/>
    <s v="MXN"/>
    <n v="636131.5"/>
    <x v="0"/>
    <s v="U3"/>
    <m/>
    <m/>
    <m/>
    <m/>
    <m/>
    <m/>
    <m/>
    <s v="24.01.2020"/>
    <m/>
    <s v="REFG:RCDPI00019942"/>
    <n v="636131.5"/>
    <m/>
    <m/>
    <m/>
    <s v="DESC AS: Asesorías Fiscales"/>
    <m/>
    <m/>
    <m/>
    <m/>
    <m/>
    <m/>
    <n v="340040850"/>
    <s v="PIRFC"/>
  </r>
  <r>
    <n v="3400"/>
    <s v="15.01.2020"/>
    <n v="2020"/>
    <d v="2020-01-01T00:00:00"/>
    <n v="1"/>
    <n v="100010890"/>
    <s v="SA"/>
    <n v="40"/>
    <x v="7"/>
    <n v="21021040"/>
    <x v="7"/>
    <n v="7583.4"/>
    <s v="MXN"/>
    <n v="7583.4"/>
    <x v="0"/>
    <s v="D0"/>
    <m/>
    <m/>
    <m/>
    <m/>
    <m/>
    <m/>
    <m/>
    <s v="01.02.2020"/>
    <s v="F-11836"/>
    <s v="PEND POR FG"/>
    <n v="7583.4"/>
    <m/>
    <m/>
    <m/>
    <s v="ASUNTO HUELGA-GASTOS EFECTUADOS NOV Y DIC"/>
    <m/>
    <m/>
    <m/>
    <m/>
    <m/>
    <m/>
    <n v="340049150"/>
    <s v="CMOTA"/>
  </r>
  <r>
    <n v="3400"/>
    <s v="15.01.2020"/>
    <n v="2020"/>
    <d v="2020-01-01T00:00:00"/>
    <n v="1"/>
    <n v="100010892"/>
    <s v="SA"/>
    <n v="40"/>
    <x v="7"/>
    <n v="21021040"/>
    <x v="7"/>
    <n v="125000"/>
    <s v="MXN"/>
    <n v="125000"/>
    <x v="0"/>
    <s v="U3"/>
    <m/>
    <m/>
    <m/>
    <m/>
    <m/>
    <m/>
    <m/>
    <s v="01.02.2020"/>
    <s v="F-11834"/>
    <s v="PEND POR FG"/>
    <n v="125000"/>
    <m/>
    <m/>
    <m/>
    <s v="HONORARIOS HUELGA SERVICIOS PRESTADOS EN CABOS"/>
    <m/>
    <m/>
    <m/>
    <m/>
    <m/>
    <m/>
    <n v="340049150"/>
    <s v="CMOTA"/>
  </r>
  <r>
    <n v="3409"/>
    <s v="31.01.2020"/>
    <n v="2020"/>
    <d v="2020-01-01T00:00:00"/>
    <n v="1"/>
    <n v="900012080"/>
    <s v="SA"/>
    <n v="40"/>
    <x v="8"/>
    <n v="11610090"/>
    <x v="8"/>
    <n v="559.16999999999996"/>
    <s v="USD"/>
    <n v="10680.87"/>
    <x v="0"/>
    <m/>
    <m/>
    <m/>
    <m/>
    <m/>
    <m/>
    <m/>
    <m/>
    <s v="03.02.2020"/>
    <s v="LICENCIAS PMS OR"/>
    <s v="LICENCIAS PMS ORAC"/>
    <n v="559.16999999999996"/>
    <m/>
    <m/>
    <m/>
    <s v="LICENCIAS PMS ORACLE ENERO 2020"/>
    <m/>
    <m/>
    <m/>
    <m/>
    <m/>
    <m/>
    <n v="340946390"/>
    <s v="JQUITERIO"/>
  </r>
  <r>
    <n v="3401"/>
    <s v="21.01.2020"/>
    <n v="2020"/>
    <d v="2020-01-01T00:00:00"/>
    <n v="1"/>
    <n v="100020667"/>
    <s v="WE"/>
    <n v="81"/>
    <x v="3"/>
    <n v="21021040"/>
    <x v="3"/>
    <n v="56196.65"/>
    <s v="USD"/>
    <n v="1053057.79"/>
    <x v="0"/>
    <m/>
    <m/>
    <s v="N/A Registro proveedor extranjero"/>
    <s v="XEXX0101010"/>
    <n v="101128"/>
    <s v="HARD ROCK LIMITED."/>
    <m/>
    <m/>
    <s v="16.01.2020"/>
    <s v="4161219R"/>
    <s v="4161219R"/>
    <n v="56196.65"/>
    <n v="0"/>
    <n v="56196.65"/>
    <n v="100020671"/>
    <s v="REGALIAS MARKETING 1%"/>
    <n v="44957.32"/>
    <s v="05.02.2020"/>
    <s v="TRANSFERENCIA"/>
    <n v="100036040"/>
    <s v="BOFA"/>
    <s v="BofA RCD 89805242886"/>
    <n v="340121790"/>
    <s v="CXP2"/>
  </r>
  <r>
    <n v="3400"/>
    <s v="01.01.2020"/>
    <n v="2020"/>
    <d v="2020-01-01T00:00:00"/>
    <n v="4"/>
    <n v="100011275"/>
    <s v="AB"/>
    <n v="50"/>
    <x v="1"/>
    <n v="11310040"/>
    <x v="1"/>
    <n v="42.68"/>
    <s v="MXN"/>
    <n v="42.68"/>
    <x v="0"/>
    <s v="D3"/>
    <m/>
    <m/>
    <m/>
    <m/>
    <m/>
    <m/>
    <n v="100010716"/>
    <s v="03.02.2020"/>
    <s v="EJEC/OPER"/>
    <n v="20200101"/>
    <n v="42.68"/>
    <m/>
    <m/>
    <m/>
    <s v="COMISIONES SI VALE GASOLINA"/>
    <m/>
    <m/>
    <m/>
    <m/>
    <s v="BOFA"/>
    <m/>
    <n v="340040450"/>
    <s v="CMOTA"/>
  </r>
  <r>
    <n v="3407"/>
    <s v="13.01.2020"/>
    <n v="2020"/>
    <d v="2020-01-01T00:00:00"/>
    <n v="1"/>
    <n v="700013609"/>
    <s v="WE"/>
    <n v="81"/>
    <x v="7"/>
    <n v="21021040"/>
    <x v="7"/>
    <n v="26223.79"/>
    <s v="MXN"/>
    <n v="26223.79"/>
    <x v="0"/>
    <m/>
    <m/>
    <s v="24E4F123-800C-4E2D-99F4-6FF25AC947FE"/>
    <s v="GOCF680717UJ8"/>
    <n v="606740"/>
    <s v="GONZALEZ RUBIO CERECER FERNANDO"/>
    <m/>
    <m/>
    <s v="13.01.2020"/>
    <n v="1756"/>
    <n v="20200113"/>
    <n v="26223.79"/>
    <n v="4195.8064000000004"/>
    <n v="30419.596400000002"/>
    <n v="700013823"/>
    <s v="Honorarios Notario Fe de Hechos"/>
    <n v="30419.596400000002"/>
    <s v="14.01.2020"/>
    <s v="TRANSFERENCIA"/>
    <n v="700013830"/>
    <s v="BBVA"/>
    <s v="BBVAB 00188039070 TP"/>
    <n v="340727190"/>
    <s v="CGUTIERREZ"/>
  </r>
  <r>
    <n v="3401"/>
    <s v="31.01.2020"/>
    <n v="2020"/>
    <d v="2020-01-01T00:00:00"/>
    <n v="1"/>
    <n v="100033013"/>
    <s v="WE"/>
    <n v="81"/>
    <x v="5"/>
    <n v="21021040"/>
    <x v="5"/>
    <n v="1380"/>
    <s v="USD"/>
    <n v="25815.25"/>
    <x v="0"/>
    <m/>
    <m/>
    <s v="36213BE5-FBD1-493D-A25C-44B853DC9D6E"/>
    <s v="RCI930401GV1"/>
    <n v="600623"/>
    <s v="RESORT CONDOMINIUMS INTERNATIONAL"/>
    <m/>
    <m/>
    <s v="01.02.2020"/>
    <s v="RCI-52959"/>
    <n v="20200131"/>
    <n v="1380"/>
    <n v="220.8"/>
    <n v="1600.8"/>
    <n v="700013824"/>
    <s v="COMISIONES RCI DICIEMBRE 2020"/>
    <n v="1600.8"/>
    <s v="14.01.2020"/>
    <s v="TRANSFERENCIA"/>
    <n v="100354698"/>
    <s v="BOFA"/>
    <s v="BofA RCD 89805242886"/>
    <n v="340121790"/>
    <s v="SOLI1101"/>
  </r>
  <r>
    <n v="3401"/>
    <s v="09.01.2020"/>
    <n v="2020"/>
    <d v="2020-01-01T00:00:00"/>
    <n v="1"/>
    <n v="100008050"/>
    <s v="WE"/>
    <n v="81"/>
    <x v="3"/>
    <n v="21021040"/>
    <x v="3"/>
    <n v="4057.23"/>
    <s v="USD"/>
    <n v="76621.600000000006"/>
    <x v="0"/>
    <m/>
    <m/>
    <s v="N/A Registro proveedor extranjero"/>
    <n v="593383972"/>
    <n v="600226"/>
    <s v="HARD ROCK CAFE INTERNATIONAL INC."/>
    <m/>
    <m/>
    <s v="09.01.2020"/>
    <s v="4161219M"/>
    <n v="20200109"/>
    <n v="4057.23"/>
    <n v="0"/>
    <n v="4057.23"/>
    <n v="100422400"/>
    <s v="RENTA MEMORABILIA"/>
    <n v="9433.9545454545441"/>
    <s v="05.02.2020"/>
    <m/>
    <m/>
    <s v="BOFA"/>
    <s v="BofA RCD 89805242886"/>
    <n v="340121790"/>
    <s v="CXP2"/>
  </r>
  <r>
    <n v="3401"/>
    <s v="09.01.2020"/>
    <n v="2020"/>
    <d v="2020-01-01T00:00:00"/>
    <n v="1"/>
    <n v="100008054"/>
    <s v="WE"/>
    <n v="81"/>
    <x v="4"/>
    <n v="21021040"/>
    <x v="4"/>
    <n v="54936"/>
    <s v="MXN"/>
    <n v="54936"/>
    <x v="0"/>
    <m/>
    <m/>
    <s v="27DFA65C-1D63-41B7-9350-ADC68088A10C"/>
    <s v="CSS160330CP7"/>
    <n v="107211"/>
    <s v="CFE SUMINISTRADOR DE SERVICIOS"/>
    <m/>
    <m/>
    <s v="09.01.2020"/>
    <n v="4501216248"/>
    <s v="WH000533227437"/>
    <n v="54936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1"/>
    <s v="09.01.2020"/>
    <n v="2020"/>
    <d v="2020-01-01T00:00:00"/>
    <n v="1"/>
    <n v="100008055"/>
    <s v="WE"/>
    <n v="81"/>
    <x v="4"/>
    <n v="21021040"/>
    <x v="4"/>
    <n v="55524"/>
    <s v="MXN"/>
    <n v="55524"/>
    <x v="0"/>
    <m/>
    <m/>
    <s v="27DFA65C-1D63-41B7-9350-ADC68088A10C"/>
    <s v="CSS160330CP7"/>
    <n v="107211"/>
    <s v="CFE SUMINISTRADOR DE SERVICIOS"/>
    <m/>
    <m/>
    <s v="09.01.2020"/>
    <n v="4501216248"/>
    <s v="WH000533227437"/>
    <n v="55524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1"/>
    <s v="09.01.2020"/>
    <n v="2020"/>
    <d v="2020-01-01T00:00:00"/>
    <n v="1"/>
    <n v="100008057"/>
    <s v="WE"/>
    <n v="81"/>
    <x v="4"/>
    <n v="21021040"/>
    <x v="4"/>
    <n v="61516"/>
    <s v="MXN"/>
    <n v="61516"/>
    <x v="0"/>
    <m/>
    <m/>
    <s v="27DFA65C-1D63-41B7-9350-ADC68088A10C"/>
    <s v="CSS160330CP7"/>
    <n v="107211"/>
    <s v="CFE SUMINISTRADOR DE SERVICIOS"/>
    <m/>
    <m/>
    <s v="09.01.2020"/>
    <n v="4501216248"/>
    <s v="WH000533227437"/>
    <n v="61516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1"/>
    <s v="09.01.2020"/>
    <n v="2020"/>
    <d v="2020-01-01T00:00:00"/>
    <n v="1"/>
    <n v="100008058"/>
    <s v="WE"/>
    <n v="81"/>
    <x v="4"/>
    <n v="21021040"/>
    <x v="4"/>
    <n v="42672"/>
    <s v="MXN"/>
    <n v="42672"/>
    <x v="0"/>
    <m/>
    <m/>
    <s v="27DFA65C-1D63-41B7-9350-ADC68088A10C"/>
    <s v="CSS160330CP7"/>
    <n v="107211"/>
    <s v="CFE SUMINISTRADOR DE SERVICIOS"/>
    <m/>
    <m/>
    <s v="09.01.2020"/>
    <n v="4501216248"/>
    <s v="WH000533227437"/>
    <n v="42672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1"/>
    <s v="09.01.2020"/>
    <n v="2020"/>
    <d v="2020-01-01T00:00:00"/>
    <n v="1"/>
    <n v="100008059"/>
    <s v="WE"/>
    <n v="81"/>
    <x v="4"/>
    <n v="21021040"/>
    <x v="4"/>
    <n v="49308.02"/>
    <s v="MXN"/>
    <n v="49308.02"/>
    <x v="0"/>
    <m/>
    <m/>
    <s v="27DFA65C-1D63-41B7-9350-ADC68088A10C"/>
    <s v="CSS160330CP7"/>
    <n v="107211"/>
    <s v="CFE SUMINISTRADOR DE SERVICIOS"/>
    <m/>
    <m/>
    <s v="09.01.2020"/>
    <n v="4501216248"/>
    <s v="WH000533227437"/>
    <n v="49308.02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1"/>
    <s v="09.01.2020"/>
    <n v="2020"/>
    <d v="2020-01-01T00:00:00"/>
    <n v="1"/>
    <n v="100008061"/>
    <s v="WE"/>
    <n v="81"/>
    <x v="4"/>
    <n v="21021040"/>
    <x v="4"/>
    <n v="47488"/>
    <s v="MXN"/>
    <n v="47488"/>
    <x v="0"/>
    <m/>
    <m/>
    <s v="27DFA65C-1D63-41B7-9350-ADC68088A10C"/>
    <s v="CSS160330CP7"/>
    <n v="107211"/>
    <s v="CFE SUMINISTRADOR DE SERVICIOS"/>
    <m/>
    <m/>
    <s v="09.01.2020"/>
    <n v="4501216248"/>
    <s v="WH000533227437"/>
    <n v="47488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1"/>
    <s v="09.01.2020"/>
    <n v="2020"/>
    <d v="2020-01-01T00:00:00"/>
    <n v="1"/>
    <n v="100008062"/>
    <s v="WE"/>
    <n v="81"/>
    <x v="4"/>
    <n v="21021040"/>
    <x v="4"/>
    <n v="50484"/>
    <s v="MXN"/>
    <n v="50484"/>
    <x v="0"/>
    <m/>
    <m/>
    <s v="27DFA65C-1D63-41B7-9350-ADC68088A10C"/>
    <s v="CSS160330CP7"/>
    <n v="107211"/>
    <s v="CFE SUMINISTRADOR DE SERVICIOS"/>
    <m/>
    <m/>
    <s v="09.01.2020"/>
    <n v="4501216248"/>
    <s v="WH000533227437"/>
    <n v="50484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9"/>
    <s v="09.01.2020"/>
    <n v="2020"/>
    <d v="2020-01-01T00:00:00"/>
    <n v="1"/>
    <n v="900003117"/>
    <s v="WE"/>
    <n v="81"/>
    <x v="8"/>
    <n v="21021040"/>
    <x v="8"/>
    <n v="380"/>
    <s v="USD"/>
    <n v="7176.38"/>
    <x v="0"/>
    <m/>
    <m/>
    <s v="N/A Registro proveedor extranjero"/>
    <n v="453325398"/>
    <n v="101653"/>
    <s v="BOOKER SOFTWARE INC"/>
    <m/>
    <m/>
    <s v="09.01.2020"/>
    <s v="120106-001E"/>
    <n v="20200109"/>
    <n v="380"/>
    <n v="0"/>
    <n v="380"/>
    <n v="900004280"/>
    <s v="SPA BOOKER ENE 2020 SABE"/>
    <n v="380"/>
    <s v="25.02.2020"/>
    <s v="TRANSFERENCIA"/>
    <n v="900022470"/>
    <s v="BOFA"/>
    <s v="BofA RCD 89805242886"/>
    <n v="340915190"/>
    <s v="SOLI3409"/>
  </r>
  <r>
    <n v="3401"/>
    <s v="09.01.2020"/>
    <n v="2020"/>
    <d v="2020-01-01T00:00:00"/>
    <n v="1"/>
    <n v="100008063"/>
    <s v="WE"/>
    <n v="81"/>
    <x v="4"/>
    <n v="21021040"/>
    <x v="4"/>
    <n v="50484"/>
    <s v="MXN"/>
    <n v="50484"/>
    <x v="0"/>
    <m/>
    <m/>
    <s v="27DFA65C-1D63-41B7-9350-ADC68088A10C"/>
    <s v="CSS160330CP7"/>
    <n v="107211"/>
    <s v="CFE SUMINISTRADOR DE SERVICIOS"/>
    <m/>
    <m/>
    <s v="09.01.2020"/>
    <n v="4501216248"/>
    <s v="WH000533227437"/>
    <n v="50484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9"/>
    <s v="09.01.2020"/>
    <n v="2020"/>
    <d v="2020-01-01T00:00:00"/>
    <n v="1"/>
    <n v="900003116"/>
    <s v="WE"/>
    <n v="81"/>
    <x v="8"/>
    <n v="21021040"/>
    <x v="8"/>
    <n v="380"/>
    <s v="USD"/>
    <n v="7176.38"/>
    <x v="0"/>
    <m/>
    <m/>
    <s v="N/A Registro proveedor extranjero"/>
    <n v="453325398"/>
    <n v="101653"/>
    <s v="BOOKER SOFTWARE INC"/>
    <m/>
    <m/>
    <s v="09.01.2020"/>
    <s v="120106-001E"/>
    <n v="20200109"/>
    <n v="380"/>
    <n v="0"/>
    <n v="380"/>
    <n v="900004280"/>
    <s v="SPA BOOKER ENE 2020 SPA"/>
    <n v="380"/>
    <s v="25.02.2020"/>
    <s v="TRANSFERENCIA"/>
    <n v="900022470"/>
    <s v="BOFA"/>
    <s v="BofA RCD 89805242886"/>
    <n v="340953290"/>
    <s v="SOLI3409"/>
  </r>
  <r>
    <n v="3406"/>
    <s v="09.01.2020"/>
    <n v="2020"/>
    <d v="2020-01-01T00:00:00"/>
    <n v="1"/>
    <n v="600006441"/>
    <s v="WE"/>
    <n v="81"/>
    <x v="5"/>
    <n v="21021040"/>
    <x v="5"/>
    <n v="70"/>
    <s v="USD"/>
    <n v="1321.96"/>
    <x v="0"/>
    <m/>
    <m/>
    <s v="N/A Registro proveedor extranjero"/>
    <s v="DE114222813"/>
    <n v="606043"/>
    <s v="AVEN HOSPITALITY SOLUTIONS GMBH"/>
    <m/>
    <m/>
    <s v="09.01.2020"/>
    <n v="90365486"/>
    <n v="20200109"/>
    <n v="70"/>
    <n v="0"/>
    <n v="70"/>
    <n v="600006527"/>
    <s v="COMISION FEE SABRE DICIEMBRE 2019"/>
    <n v="70"/>
    <s v="24.01.2020"/>
    <s v="TRANSFERENCIA"/>
    <n v="600023636"/>
    <s v="BOFA"/>
    <s v="BofA RCD 89805242886"/>
    <n v="340621790"/>
    <s v="MFRUCTUOSO"/>
  </r>
  <r>
    <n v="3406"/>
    <s v="09.01.2020"/>
    <n v="2020"/>
    <d v="2020-01-01T00:00:00"/>
    <n v="1"/>
    <n v="600006442"/>
    <s v="WE"/>
    <n v="81"/>
    <x v="5"/>
    <n v="21021040"/>
    <x v="5"/>
    <n v="70"/>
    <s v="USD"/>
    <n v="1321.96"/>
    <x v="0"/>
    <m/>
    <m/>
    <s v="N/A Registro proveedor extranjero"/>
    <s v="DE114222813"/>
    <n v="606043"/>
    <s v="AVEN HOSPITALITY SOLUTIONS GMBH"/>
    <m/>
    <m/>
    <s v="09.01.2020"/>
    <n v="90364403"/>
    <n v="20200109"/>
    <n v="70"/>
    <n v="0"/>
    <n v="70"/>
    <n v="600006522"/>
    <s v="COMISION FEE SABRE NOVIEMBRE 2019"/>
    <n v="70"/>
    <s v="24.01.2020"/>
    <s v="TRANSFERENCIA"/>
    <n v="600023636"/>
    <s v="BOFA"/>
    <s v="BofA RCD 89805242886"/>
    <n v="340621790"/>
    <s v="MFRUCTUOSO"/>
  </r>
  <r>
    <n v="3407"/>
    <s v="09.01.2020"/>
    <n v="2020"/>
    <d v="2020-01-01T00:00:00"/>
    <n v="1"/>
    <n v="700009994"/>
    <s v="WE"/>
    <n v="81"/>
    <x v="5"/>
    <n v="21021040"/>
    <x v="5"/>
    <n v="3301.54"/>
    <s v="USD"/>
    <n v="62350.239999999998"/>
    <x v="0"/>
    <m/>
    <m/>
    <s v="N/A Registro proveedor extranjero"/>
    <n v="752738581"/>
    <n v="602358"/>
    <s v="PEGASUS BUSINESS INTELLIGENCE"/>
    <m/>
    <m/>
    <s v="09.01.2020"/>
    <n v="2263212"/>
    <n v="20200109"/>
    <n v="3301.54"/>
    <n v="0"/>
    <n v="3301.54"/>
    <n v="700012257"/>
    <s v="COMISIONES PEGASUS CYCLE END 01.11.2020"/>
    <n v="3301.54"/>
    <s v="14.01.2020"/>
    <s v="TRANSFERENCIA"/>
    <n v="700014540"/>
    <s v="BOFA"/>
    <s v="BofA RCD 89805242886"/>
    <n v="340721790"/>
    <s v="SOLI3407"/>
  </r>
  <r>
    <n v="3407"/>
    <s v="09.01.2020"/>
    <n v="2020"/>
    <d v="2020-01-01T00:00:00"/>
    <n v="1"/>
    <n v="700009999"/>
    <s v="WE"/>
    <n v="81"/>
    <x v="5"/>
    <n v="21021040"/>
    <x v="5"/>
    <n v="6414.8"/>
    <s v="USD"/>
    <n v="121144.78"/>
    <x v="0"/>
    <m/>
    <m/>
    <s v="N/A Registro proveedor extranjero"/>
    <n v="364415727"/>
    <n v="800423"/>
    <s v="TRAVELZOO INC"/>
    <m/>
    <m/>
    <s v="09.01.2020"/>
    <s v="HC-36709-R1"/>
    <n v="20200109"/>
    <n v="6414.8"/>
    <n v="0"/>
    <n v="121144.78"/>
    <n v="700012264"/>
    <s v="COMISIONES TRAVELZOO DICIEMBRE 2019"/>
    <n v="121144.78"/>
    <s v="24.01.2020"/>
    <s v="TRANSFERENCIA"/>
    <n v="700027333"/>
    <s v="BOFA"/>
    <s v="BofA RCD 89805242886"/>
    <n v="340721790"/>
    <s v="SOLI3407"/>
  </r>
  <r>
    <n v="3403"/>
    <s v="09.01.2020"/>
    <n v="2020"/>
    <d v="2020-01-01T00:00:00"/>
    <n v="1"/>
    <n v="300004961"/>
    <s v="WE"/>
    <n v="81"/>
    <x v="8"/>
    <n v="21021040"/>
    <x v="8"/>
    <n v="237.5"/>
    <s v="USD"/>
    <n v="4485.24"/>
    <x v="0"/>
    <m/>
    <m/>
    <s v="N/A Registro proveedor extranjero"/>
    <n v="453325398"/>
    <n v="101653"/>
    <s v="BOOKER SOFTWARE INC"/>
    <m/>
    <m/>
    <s v="09.01.2020"/>
    <s v="120106-009E"/>
    <n v="20200109"/>
    <n v="237.5"/>
    <n v="0"/>
    <n v="237.5"/>
    <n v="300008820"/>
    <s v="Mtto Licencias Enero spa 2020"/>
    <n v="237.5"/>
    <s v="06.05.2020"/>
    <s v="TRANSFERENCIA"/>
    <n v="300231884"/>
    <s v="BOFA"/>
    <s v="BofA RCD 89805242886"/>
    <n v="340353290"/>
    <s v="SOLI1103"/>
  </r>
  <r>
    <n v="3407"/>
    <s v="09.01.2020"/>
    <n v="2020"/>
    <d v="2020-01-01T00:00:00"/>
    <n v="1"/>
    <n v="700010043"/>
    <s v="WE"/>
    <n v="81"/>
    <x v="8"/>
    <n v="21021040"/>
    <x v="8"/>
    <n v="6000"/>
    <s v="MXN"/>
    <n v="6000"/>
    <x v="0"/>
    <m/>
    <m/>
    <s v="3B695B50-5E72-4694-A414-A15872640A7E"/>
    <s v="EOA190326GN3"/>
    <n v="109452"/>
    <s v="EJECUCION DE OPERACIONES ADMINISTRA"/>
    <m/>
    <m/>
    <s v="09.01.2020"/>
    <n v="466"/>
    <n v="4501207040"/>
    <n v="6000"/>
    <n v="960"/>
    <n v="6960"/>
    <n v="700015417"/>
    <s v="Licencia IAuditor Anual Enero 2020"/>
    <n v="6960"/>
    <s v="10.02.2020"/>
    <s v="TRANSFERENCIA"/>
    <n v="700045701"/>
    <s v="BBVA"/>
    <s v="BBVAB 00188039070 TP"/>
    <n v="340725490"/>
    <s v="SOLI3407"/>
  </r>
  <r>
    <n v="3407"/>
    <s v="09.01.2020"/>
    <n v="2020"/>
    <d v="2020-01-01T00:00:00"/>
    <n v="1"/>
    <n v="700010044"/>
    <s v="WE"/>
    <n v="81"/>
    <x v="8"/>
    <n v="21021040"/>
    <x v="8"/>
    <n v="6000"/>
    <s v="MXN"/>
    <n v="6000"/>
    <x v="0"/>
    <m/>
    <m/>
    <s v="3B695B50-5E72-4694-A414-A15872640A7E"/>
    <s v="EOA190326GN3"/>
    <n v="109452"/>
    <s v="EJECUCION DE OPERACIONES ADMINISTRA"/>
    <m/>
    <m/>
    <s v="09.01.2020"/>
    <n v="466"/>
    <n v="4501207040"/>
    <n v="6000"/>
    <n v="960"/>
    <n v="6960"/>
    <n v="700015417"/>
    <s v="Licencia IAuditor Anual Enero 2020"/>
    <n v="6960"/>
    <s v="10.02.2020"/>
    <s v="TRANSFERENCIA"/>
    <n v="700045701"/>
    <s v="BBVA"/>
    <s v="BBVAB 00188039070 TP"/>
    <n v="340725190"/>
    <s v="SOLI3407"/>
  </r>
  <r>
    <n v="3407"/>
    <s v="09.01.2020"/>
    <n v="2020"/>
    <d v="2020-01-01T00:00:00"/>
    <n v="1"/>
    <n v="700010098"/>
    <s v="WE"/>
    <n v="81"/>
    <x v="7"/>
    <n v="21021040"/>
    <x v="7"/>
    <n v="26223.79"/>
    <s v="MXN"/>
    <n v="26223.79"/>
    <x v="0"/>
    <m/>
    <m/>
    <m/>
    <m/>
    <n v="500006"/>
    <s v="PROVEEDOR UNICO COMPRAS."/>
    <m/>
    <m/>
    <s v="09.01.2020"/>
    <n v="1756"/>
    <n v="20200109"/>
    <n v="26223.79"/>
    <m/>
    <m/>
    <m/>
    <s v="HONORARIOS NOTARIO FE DE HECHOS"/>
    <m/>
    <m/>
    <m/>
    <m/>
    <m/>
    <m/>
    <n v="340727190"/>
    <s v="JMIRALLES"/>
  </r>
  <r>
    <n v="3407"/>
    <s v="09.01.2020"/>
    <n v="2020"/>
    <d v="2020-01-01T00:00:00"/>
    <n v="1"/>
    <n v="700010099"/>
    <s v="WE"/>
    <n v="81"/>
    <x v="7"/>
    <n v="21021040"/>
    <x v="7"/>
    <n v="62937.09"/>
    <s v="MXN"/>
    <n v="62937.09"/>
    <x v="0"/>
    <m/>
    <m/>
    <m/>
    <m/>
    <n v="500006"/>
    <s v="PROVEEDOR UNICO COMPRAS."/>
    <m/>
    <m/>
    <s v="09.01.2020"/>
    <n v="1757"/>
    <n v="20200109"/>
    <n v="62937.09"/>
    <m/>
    <m/>
    <m/>
    <s v="HONORARIOS NOTARIO FE DE HECHOS"/>
    <m/>
    <m/>
    <m/>
    <m/>
    <m/>
    <m/>
    <n v="340727190"/>
    <s v="JMIRALLES"/>
  </r>
  <r>
    <n v="3407"/>
    <s v="09.01.2020"/>
    <n v="2020"/>
    <d v="2020-01-01T00:00:00"/>
    <n v="1"/>
    <n v="700011257"/>
    <s v="WE"/>
    <n v="91"/>
    <x v="7"/>
    <n v="21021040"/>
    <x v="7"/>
    <n v="26223.79"/>
    <s v="MXN"/>
    <n v="26223.79"/>
    <x v="0"/>
    <m/>
    <m/>
    <m/>
    <m/>
    <n v="500006"/>
    <s v="PROVEEDOR UNICO COMPRAS."/>
    <m/>
    <m/>
    <s v="10.01.2020"/>
    <n v="1756"/>
    <n v="20200109"/>
    <n v="26223.79"/>
    <m/>
    <m/>
    <m/>
    <s v="HONORARIOS NOTARIO FE DE HECHOS"/>
    <m/>
    <m/>
    <m/>
    <m/>
    <m/>
    <m/>
    <n v="340727190"/>
    <s v="AUXCONTAHRLC"/>
  </r>
  <r>
    <n v="3407"/>
    <s v="09.01.2020"/>
    <n v="2020"/>
    <d v="2020-01-01T00:00:00"/>
    <n v="1"/>
    <n v="700011258"/>
    <s v="WE"/>
    <n v="91"/>
    <x v="7"/>
    <n v="21021040"/>
    <x v="7"/>
    <n v="62937.09"/>
    <s v="MXN"/>
    <n v="62937.09"/>
    <x v="0"/>
    <m/>
    <m/>
    <m/>
    <m/>
    <n v="500006"/>
    <s v="PROVEEDOR UNICO COMPRAS."/>
    <m/>
    <m/>
    <s v="10.01.2020"/>
    <n v="1757"/>
    <n v="20200109"/>
    <n v="62937.09"/>
    <m/>
    <m/>
    <m/>
    <s v="HONORARIOS NOTARIO FE DE HECHOS"/>
    <m/>
    <m/>
    <m/>
    <m/>
    <m/>
    <m/>
    <n v="340727190"/>
    <s v="AUXCONTAHRLC"/>
  </r>
  <r>
    <n v="3403"/>
    <s v="14.01.2020"/>
    <n v="2020"/>
    <d v="2020-01-01T00:00:00"/>
    <n v="1"/>
    <n v="300007738"/>
    <s v="WE"/>
    <n v="81"/>
    <x v="5"/>
    <n v="21021040"/>
    <x v="5"/>
    <n v="161502.39999999999"/>
    <s v="MXN"/>
    <n v="161502.39999999999"/>
    <x v="0"/>
    <m/>
    <m/>
    <s v="N/A Registro proveedor extranjero"/>
    <s v="NL805734958B01"/>
    <n v="600271"/>
    <s v="BOOKING COM BV"/>
    <m/>
    <m/>
    <s v="14.01.2020"/>
    <n v="1548691574"/>
    <n v="4501217918"/>
    <n v="161502.39999999999"/>
    <n v="0"/>
    <n v="161502.39999999999"/>
    <n v="300007791"/>
    <s v="Travel Agent Commissions - Booking Dicie"/>
    <n v="300007791"/>
    <s v="21.01.2020"/>
    <s v="TRANSFERENCIA"/>
    <n v="300011043"/>
    <s v="BBVA"/>
    <s v="BBVAB 00188039070 TP"/>
    <n v="340321990"/>
    <s v="DRUBIO"/>
  </r>
  <r>
    <n v="3403"/>
    <s v="14.01.2020"/>
    <n v="2020"/>
    <d v="2020-01-01T00:00:00"/>
    <n v="1"/>
    <n v="300007740"/>
    <s v="WE"/>
    <n v="81"/>
    <x v="5"/>
    <n v="21021040"/>
    <x v="5"/>
    <n v="1542.84"/>
    <s v="USD"/>
    <n v="28964.04"/>
    <x v="0"/>
    <m/>
    <m/>
    <s v="N/A Registro proveedor extranjero"/>
    <n v="752738581"/>
    <n v="602358"/>
    <s v="PEGASUS BUSINESS INTELLIGENCE"/>
    <m/>
    <m/>
    <s v="14.01.2020"/>
    <n v="2273654"/>
    <n v="20200114"/>
    <n v="1542.84"/>
    <n v="0"/>
    <n v="1542.84"/>
    <n v="300007788"/>
    <s v="Travel Agent Commissions - pegasus Cycle"/>
    <n v="1542.84"/>
    <s v="21.01.2020"/>
    <s v="TRANSFERENCIA"/>
    <n v="300011529"/>
    <s v="BOFA"/>
    <s v="BofA RCD 89805242886"/>
    <n v="340321990"/>
    <s v="DRUBIO"/>
  </r>
  <r>
    <n v="3402"/>
    <s v="14.01.2020"/>
    <n v="2020"/>
    <d v="2020-01-01T00:00:00"/>
    <n v="1"/>
    <n v="200038408"/>
    <s v="WE"/>
    <n v="81"/>
    <x v="7"/>
    <n v="21021040"/>
    <x v="7"/>
    <n v="64800"/>
    <s v="MXN"/>
    <n v="64800"/>
    <x v="0"/>
    <m/>
    <m/>
    <s v="0472D662-5FA5-4962-8F66-65F27DDF1400"/>
    <s v="GIS170615IK5"/>
    <n v="109766"/>
    <s v="GRUPO IM DEL SURESTE S DE RL DE CV"/>
    <m/>
    <m/>
    <s v="14.01.2020"/>
    <n v="5023"/>
    <n v="20200114"/>
    <n v="64800"/>
    <n v="10368"/>
    <n v="75168"/>
    <n v="200038491"/>
    <s v="SEGURIDAD EXTERNA ACCESO PRINCIPAL/SERVI"/>
    <n v="75168"/>
    <s v="15.01.2020"/>
    <s v="TRANSFERENCIA"/>
    <n v="200038700"/>
    <s v="BBVA"/>
    <s v="BBVAB 00188039070 TP"/>
    <n v="340225290"/>
    <s v="SOLI1102"/>
  </r>
  <r>
    <n v="3401"/>
    <s v="14.01.2020"/>
    <n v="2020"/>
    <d v="2020-01-01T00:00:00"/>
    <n v="1"/>
    <n v="100013915"/>
    <s v="WE"/>
    <n v="81"/>
    <x v="4"/>
    <n v="21021040"/>
    <x v="4"/>
    <n v="50484"/>
    <s v="MXN"/>
    <n v="50484"/>
    <x v="0"/>
    <m/>
    <m/>
    <s v="27DFA65C-1D63-41B7-9350-ADC68088A10C"/>
    <s v="CSS160330CP7"/>
    <n v="107211"/>
    <s v="CFE SUMINISTRADOR DE SERVICIOS"/>
    <m/>
    <m/>
    <s v="14.01.2020"/>
    <n v="4501216248"/>
    <s v="WH000533227437"/>
    <n v="50484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7"/>
    <s v="14.01.2020"/>
    <n v="2020"/>
    <d v="2020-01-01T00:00:00"/>
    <n v="1"/>
    <n v="700014636"/>
    <s v="WE"/>
    <n v="81"/>
    <x v="8"/>
    <n v="21021040"/>
    <x v="8"/>
    <n v="12540"/>
    <s v="USD"/>
    <n v="235415.93"/>
    <x v="0"/>
    <m/>
    <m/>
    <s v="A727F241-CFD1-4366-924E-C2F4CC4A1ABB"/>
    <s v="GAN090121MN4"/>
    <n v="109733"/>
    <s v="GRUPO DE ACTUACIONES NOVEDOSAS EN T"/>
    <m/>
    <m/>
    <s v="14.01.2020"/>
    <n v="1059"/>
    <n v="1059"/>
    <n v="12540"/>
    <n v="2006.4"/>
    <n v="14546.4"/>
    <n v="700014679"/>
    <s v="LICENCIAMIENTO PALO ALTO ANUAL"/>
    <n v="14546.4"/>
    <s v="11.02.2020"/>
    <s v="TRANSFERENCIA"/>
    <n v="700052487"/>
    <s v="BOFA"/>
    <s v="BofA RCD 89805242886"/>
    <n v="340746390"/>
    <s v="SOLI3407"/>
  </r>
  <r>
    <n v="3402"/>
    <s v="14.01.2020"/>
    <n v="2020"/>
    <d v="2020-01-01T00:00:00"/>
    <n v="1"/>
    <n v="200038793"/>
    <s v="WE"/>
    <n v="81"/>
    <x v="3"/>
    <n v="21021040"/>
    <x v="3"/>
    <n v="24002.6"/>
    <s v="MXN"/>
    <n v="24002.6"/>
    <x v="0"/>
    <m/>
    <m/>
    <m/>
    <m/>
    <n v="604928"/>
    <s v="POWDR WOODWARD PA LLC"/>
    <m/>
    <m/>
    <s v="14.01.2020"/>
    <s v="WWRM-044"/>
    <n v="20200114"/>
    <n v="24002.6"/>
    <m/>
    <m/>
    <m/>
    <s v="PAGO LICENCIA TRIMESTRAL OCT-DIC 19"/>
    <m/>
    <m/>
    <m/>
    <m/>
    <m/>
    <m/>
    <n v="340275190"/>
    <s v="SOLI1102"/>
  </r>
  <r>
    <n v="3401"/>
    <s v="14.01.2020"/>
    <n v="2020"/>
    <d v="2020-01-01T00:00:00"/>
    <n v="1"/>
    <n v="100014034"/>
    <s v="WE"/>
    <n v="81"/>
    <x v="3"/>
    <n v="21021040"/>
    <x v="3"/>
    <n v="1625.81"/>
    <s v="USD"/>
    <n v="30521.66"/>
    <x v="0"/>
    <m/>
    <m/>
    <m/>
    <m/>
    <n v="605735"/>
    <s v="COLIN COWIE LIFESTYLE LLC"/>
    <m/>
    <m/>
    <s v="14.01.2020"/>
    <s v="ENERO"/>
    <n v="20200114"/>
    <n v="1625.81"/>
    <m/>
    <m/>
    <m/>
    <s v="LICENSING FEE QUARTER COLIN COWIE ENERO"/>
    <m/>
    <m/>
    <m/>
    <m/>
    <m/>
    <m/>
    <n v="340120490"/>
    <s v="CXP2"/>
  </r>
  <r>
    <n v="3402"/>
    <s v="14.01.2020"/>
    <n v="2020"/>
    <d v="2020-01-01T00:00:00"/>
    <n v="1"/>
    <n v="200068951"/>
    <s v="WE"/>
    <n v="91"/>
    <x v="3"/>
    <n v="21021040"/>
    <x v="3"/>
    <n v="24002.6"/>
    <s v="MXN"/>
    <n v="24002.6"/>
    <x v="0"/>
    <m/>
    <m/>
    <m/>
    <m/>
    <n v="604928"/>
    <s v="POWDR WOODWARD PA LLC"/>
    <m/>
    <m/>
    <s v="23.01.2020"/>
    <s v="WWRM-044"/>
    <n v="20200114"/>
    <n v="24002.6"/>
    <m/>
    <m/>
    <m/>
    <s v="PAGO LICENCIA TRIMESTRAL OCT-DIC 19"/>
    <m/>
    <m/>
    <m/>
    <m/>
    <m/>
    <m/>
    <n v="340275190"/>
    <s v="SOLI1102"/>
  </r>
  <r>
    <n v="3402"/>
    <s v="06.01.2020"/>
    <n v="2020"/>
    <d v="2020-01-01T00:00:00"/>
    <n v="1"/>
    <n v="200038800"/>
    <s v="SA"/>
    <n v="50"/>
    <x v="4"/>
    <n v="21021040"/>
    <x v="4"/>
    <n v="119.81"/>
    <s v="MXN"/>
    <n v="119.81"/>
    <x v="0"/>
    <m/>
    <m/>
    <m/>
    <m/>
    <m/>
    <m/>
    <m/>
    <m/>
    <s v="14.01.2020"/>
    <m/>
    <n v="20200106"/>
    <n v="119.81"/>
    <m/>
    <m/>
    <m/>
    <s v="RECL CFE GOLF 2855908"/>
    <m/>
    <m/>
    <m/>
    <m/>
    <m/>
    <m/>
    <n v="340255290"/>
    <s v="AUXCONTARVM"/>
  </r>
  <r>
    <n v="3407"/>
    <s v="29.01.2020"/>
    <n v="2020"/>
    <d v="2020-01-01T00:00:00"/>
    <n v="3"/>
    <n v="700037181"/>
    <s v="SA"/>
    <n v="50"/>
    <x v="8"/>
    <n v="54020040"/>
    <x v="8"/>
    <n v="979.62"/>
    <s v="MXN"/>
    <n v="979.62"/>
    <x v="0"/>
    <m/>
    <m/>
    <m/>
    <m/>
    <m/>
    <m/>
    <m/>
    <m/>
    <s v="30.01.2020"/>
    <s v="F-3407 - 21300"/>
    <s v="F-3407 - 21300"/>
    <n v="979.62"/>
    <m/>
    <m/>
    <m/>
    <s v="RECL  DE GASTO A COSTO REFACT HCT"/>
    <m/>
    <m/>
    <m/>
    <m/>
    <m/>
    <m/>
    <n v="340762190"/>
    <s v="CGUTIERREZ"/>
  </r>
  <r>
    <n v="3400"/>
    <s v="27.01.2020"/>
    <n v="2020"/>
    <d v="2020-01-01T00:00:00"/>
    <n v="1"/>
    <n v="100008861"/>
    <s v="FE"/>
    <n v="40"/>
    <x v="9"/>
    <n v="21021040"/>
    <x v="9"/>
    <n v="337.23"/>
    <s v="MXN"/>
    <n v="337.23"/>
    <x v="0"/>
    <s v="U3"/>
    <m/>
    <m/>
    <m/>
    <m/>
    <m/>
    <m/>
    <m/>
    <s v="27.01.2020"/>
    <m/>
    <s v="REFG:RCDPI00020009"/>
    <n v="337.23"/>
    <m/>
    <m/>
    <m/>
    <s v="DESC AS: Hosting Amplified Rewards pres"/>
    <m/>
    <m/>
    <m/>
    <m/>
    <m/>
    <m/>
    <n v="340024450"/>
    <s v="PIRFC"/>
  </r>
  <r>
    <n v="3407"/>
    <s v="06.01.2020"/>
    <n v="2020"/>
    <d v="2020-01-01T00:00:00"/>
    <n v="1"/>
    <n v="700009890"/>
    <s v="WE"/>
    <n v="81"/>
    <x v="8"/>
    <n v="21021040"/>
    <x v="8"/>
    <n v="380"/>
    <s v="USD"/>
    <n v="7175.05"/>
    <x v="0"/>
    <m/>
    <m/>
    <s v="N/A Registro proveedor extranjero"/>
    <n v="453325398"/>
    <n v="101653"/>
    <s v="BOOKER SOFTWARE INC"/>
    <m/>
    <m/>
    <s v="09.01.2020"/>
    <s v="120106-002E"/>
    <n v="20200106"/>
    <n v="380"/>
    <n v="0"/>
    <n v="380"/>
    <n v="700013889"/>
    <s v="mensualidad spabooker spa mes enero"/>
    <n v="380"/>
    <s v="23.01.2020"/>
    <s v="TRANSFERENCIA"/>
    <n v="700025837"/>
    <s v="BOFA"/>
    <s v="BofA RCD 89805242886"/>
    <n v="340753290"/>
    <s v="SOLI3407"/>
  </r>
  <r>
    <n v="3407"/>
    <s v="06.01.2020"/>
    <n v="2020"/>
    <d v="2020-01-01T00:00:00"/>
    <n v="1"/>
    <n v="700009894"/>
    <s v="WE"/>
    <n v="81"/>
    <x v="8"/>
    <n v="21021040"/>
    <x v="8"/>
    <n v="380"/>
    <s v="USD"/>
    <n v="7175.05"/>
    <x v="0"/>
    <m/>
    <m/>
    <s v="N/A Registro proveedor extranjero"/>
    <n v="453325398"/>
    <n v="101653"/>
    <s v="BOOKER SOFTWARE INC"/>
    <m/>
    <m/>
    <s v="09.01.2020"/>
    <s v="120106-002E"/>
    <n v="20200106"/>
    <n v="380"/>
    <n v="0"/>
    <n v="380"/>
    <n v="700013889"/>
    <s v="mensualidad spabooker posh enero"/>
    <n v="380"/>
    <s v="23.01.2020"/>
    <s v="TRANSFERENCIA"/>
    <n v="700025837"/>
    <s v="BOFA"/>
    <s v="BofA RCD 89805242886"/>
    <n v="340753290"/>
    <s v="SOLI3407"/>
  </r>
  <r>
    <n v="3403"/>
    <s v="31.01.2020"/>
    <n v="2020"/>
    <d v="2020-01-01T00:00:00"/>
    <n v="1"/>
    <n v="300019158"/>
    <s v="SA"/>
    <n v="40"/>
    <x v="8"/>
    <n v="21220060"/>
    <x v="8"/>
    <n v="118"/>
    <s v="USD"/>
    <n v="2207.39"/>
    <x v="0"/>
    <m/>
    <m/>
    <m/>
    <m/>
    <m/>
    <m/>
    <m/>
    <n v="300019169"/>
    <s v="02.02.2020"/>
    <s v="AMORT. PANTALLAS"/>
    <s v="ENERO.2020"/>
    <n v="118"/>
    <m/>
    <m/>
    <m/>
    <s v="PROV. PANTALLA TACTILES ACTIV ENE 2020"/>
    <m/>
    <m/>
    <m/>
    <m/>
    <m/>
    <m/>
    <n v="340319290"/>
    <s v="ERAMOS"/>
  </r>
  <r>
    <n v="3403"/>
    <s v="31.01.2020"/>
    <n v="2020"/>
    <d v="2020-01-01T00:00:00"/>
    <n v="1"/>
    <n v="300019169"/>
    <s v="AB"/>
    <n v="50"/>
    <x v="8"/>
    <n v="21220060"/>
    <x v="8"/>
    <n v="118"/>
    <s v="USD"/>
    <n v="2207.39"/>
    <x v="0"/>
    <m/>
    <m/>
    <m/>
    <m/>
    <m/>
    <m/>
    <m/>
    <n v="300019158"/>
    <s v="02.02.2020"/>
    <s v="AMORT. PANTALLAS"/>
    <s v="ENERO.2020"/>
    <n v="118"/>
    <m/>
    <m/>
    <m/>
    <s v="PROV. PANTALLA TACTILES ACTIV ENE 2020"/>
    <m/>
    <m/>
    <m/>
    <m/>
    <m/>
    <m/>
    <n v="340319290"/>
    <s v="ERAMOS"/>
  </r>
  <r>
    <n v="3400"/>
    <s v="27.01.2020"/>
    <n v="2020"/>
    <d v="2020-01-01T00:00:00"/>
    <n v="1"/>
    <n v="100008988"/>
    <s v="FE"/>
    <n v="40"/>
    <x v="9"/>
    <n v="21021040"/>
    <x v="9"/>
    <n v="250.51"/>
    <s v="MXN"/>
    <n v="250.51"/>
    <x v="0"/>
    <s v="U3"/>
    <m/>
    <m/>
    <m/>
    <m/>
    <m/>
    <m/>
    <m/>
    <s v="27.01.2020"/>
    <m/>
    <s v="REFG:RCDPI00020010"/>
    <n v="250.51"/>
    <m/>
    <m/>
    <m/>
    <s v="DESC AS: Hosting Amplified Rewards pres"/>
    <m/>
    <m/>
    <m/>
    <m/>
    <m/>
    <m/>
    <n v="340022550"/>
    <s v="PIRFC"/>
  </r>
  <r>
    <n v="3400"/>
    <s v="27.01.2020"/>
    <n v="2020"/>
    <d v="2020-01-01T00:00:00"/>
    <n v="1"/>
    <n v="100008860"/>
    <s v="FE"/>
    <n v="40"/>
    <x v="9"/>
    <n v="21021040"/>
    <x v="9"/>
    <n v="375.77"/>
    <s v="MXN"/>
    <n v="375.77"/>
    <x v="0"/>
    <s v="U3"/>
    <m/>
    <m/>
    <m/>
    <m/>
    <m/>
    <m/>
    <m/>
    <s v="27.01.2020"/>
    <m/>
    <s v="REFG:RCDPI00020008"/>
    <n v="375.77"/>
    <m/>
    <m/>
    <m/>
    <s v="DESC AS: Hosting Amplified Rewards pres"/>
    <m/>
    <m/>
    <m/>
    <m/>
    <m/>
    <m/>
    <n v="340022650"/>
    <s v="PIRFC"/>
  </r>
  <r>
    <n v="3406"/>
    <s v="13.01.2020"/>
    <n v="2020"/>
    <d v="2020-01-01T00:00:00"/>
    <n v="1"/>
    <n v="600009544"/>
    <s v="WE"/>
    <n v="81"/>
    <x v="5"/>
    <n v="21021040"/>
    <x v="5"/>
    <n v="750.69"/>
    <s v="USD"/>
    <n v="14146.98"/>
    <x v="0"/>
    <m/>
    <m/>
    <s v="9DF3470E-A6CA-4028-8C55-6605A3C31DC5"/>
    <s v="VMA9610235I3"/>
    <n v="606057"/>
    <s v="VIAJES MEXICO CON AMISTAD SA DE CV"/>
    <m/>
    <m/>
    <s v="13.01.2020"/>
    <s v="AA2156"/>
    <n v="20200113"/>
    <n v="750.69"/>
    <n v="120.11040000000001"/>
    <n v="870.80040000000008"/>
    <n v="600012066"/>
    <s v="COMISION VIAJES AMISTAD S.A DE C.V"/>
    <n v="870.80040000000008"/>
    <s v="24.01.2020"/>
    <s v="TRANSFERENCIA"/>
    <n v="600023637"/>
    <s v="BOFA"/>
    <s v="BofA RCD 89805242886"/>
    <n v="340621790"/>
    <s v="MAESCALANTE"/>
  </r>
  <r>
    <n v="3401"/>
    <s v="13.01.2020"/>
    <n v="2020"/>
    <d v="2020-01-01T00:00:00"/>
    <n v="1"/>
    <n v="100012773"/>
    <s v="WE"/>
    <n v="81"/>
    <x v="4"/>
    <n v="21021040"/>
    <x v="4"/>
    <n v="52892"/>
    <s v="MXN"/>
    <n v="52892"/>
    <x v="0"/>
    <m/>
    <m/>
    <s v="27DFA65C-1D63-41B7-9350-ADC68088A10C"/>
    <s v="CSS160330CP7"/>
    <n v="107211"/>
    <s v="CFE SUMINISTRADOR DE SERVICIOS"/>
    <m/>
    <m/>
    <s v="13.01.2020"/>
    <n v="4501216248"/>
    <s v="WH000533227437"/>
    <n v="52892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13.01.2020"/>
    <n v="2020"/>
    <d v="2020-01-01T00:00:00"/>
    <n v="1"/>
    <n v="100012774"/>
    <s v="WE"/>
    <n v="81"/>
    <x v="4"/>
    <n v="21021040"/>
    <x v="4"/>
    <n v="45668"/>
    <s v="MXN"/>
    <n v="45668"/>
    <x v="0"/>
    <m/>
    <m/>
    <s v="27DFA65C-1D63-41B7-9350-ADC68088A10C"/>
    <s v="CSS160330CP7"/>
    <n v="107211"/>
    <s v="CFE SUMINISTRADOR DE SERVICIOS"/>
    <m/>
    <m/>
    <s v="13.01.2020"/>
    <n v="4501216248"/>
    <s v="WH000533227437"/>
    <n v="45668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13.01.2020"/>
    <n v="2020"/>
    <d v="2020-01-01T00:00:00"/>
    <n v="1"/>
    <n v="100012775"/>
    <s v="WE"/>
    <n v="81"/>
    <x v="4"/>
    <n v="21021040"/>
    <x v="4"/>
    <n v="59976"/>
    <s v="MXN"/>
    <n v="59976"/>
    <x v="0"/>
    <m/>
    <m/>
    <s v="27DFA65C-1D63-41B7-9350-ADC68088A10C"/>
    <s v="CSS160330CP7"/>
    <n v="107211"/>
    <s v="CFE SUMINISTRADOR DE SERVICIOS"/>
    <m/>
    <m/>
    <s v="13.01.2020"/>
    <n v="4501216248"/>
    <s v="WH000533227437"/>
    <n v="59976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7"/>
    <s v="13.01.2020"/>
    <n v="2020"/>
    <d v="2020-01-01T00:00:00"/>
    <n v="1"/>
    <n v="700013610"/>
    <s v="WE"/>
    <n v="81"/>
    <x v="7"/>
    <n v="21021040"/>
    <x v="7"/>
    <n v="62937.09"/>
    <s v="MXN"/>
    <n v="62937.09"/>
    <x v="0"/>
    <m/>
    <m/>
    <s v="49A2F67A-B248-458F-B444-16E57BF9DFCA"/>
    <s v="GOCF680717UJ8"/>
    <n v="606740"/>
    <s v="GONZALEZ RUBIO CERECER FERNANDO"/>
    <m/>
    <m/>
    <s v="13.01.2020"/>
    <n v="1757"/>
    <n v="20200113"/>
    <n v="62937.09"/>
    <n v="10069.9344"/>
    <n v="73007.024399999995"/>
    <n v="700013824"/>
    <s v="Honorarios Notario Fe de Hechos"/>
    <n v="73007.024399999995"/>
    <s v="14.01.2020"/>
    <s v="TRANSFERENCIA"/>
    <n v="700013830"/>
    <s v="BBVA"/>
    <s v="BBVAB 00188039070 TP"/>
    <n v="340727190"/>
    <s v="CGUTIERREZ"/>
  </r>
  <r>
    <n v="3406"/>
    <s v="13.01.2020"/>
    <n v="2020"/>
    <d v="2020-01-01T00:00:00"/>
    <n v="1"/>
    <n v="600009663"/>
    <s v="WE"/>
    <n v="81"/>
    <x v="5"/>
    <n v="21021040"/>
    <x v="5"/>
    <n v="3724.53"/>
    <s v="USD"/>
    <n v="70189.89"/>
    <x v="0"/>
    <m/>
    <m/>
    <s v="N/A Registro proveedor extranjero"/>
    <n v="752738581"/>
    <n v="602358"/>
    <s v="PEGASUS BUSINESS INTELLIGENCE"/>
    <m/>
    <m/>
    <s v="13.01.2020"/>
    <n v="2273650"/>
    <n v="20200113"/>
    <n v="3724.53"/>
    <n v="0"/>
    <n v="3724.53"/>
    <n v="600012067"/>
    <s v="COMISIONES ONIX CYCLE 01.18.20"/>
    <n v="3724.53"/>
    <s v="14.01.2020"/>
    <s v="TRANSFERENCIA"/>
    <n v="600019585"/>
    <s v="BOFA"/>
    <s v="BofA RCD 89805242886"/>
    <n v="340621790"/>
    <s v="MFRUCTUOSO"/>
  </r>
  <r>
    <n v="3401"/>
    <s v="13.01.2020"/>
    <n v="2020"/>
    <d v="2020-01-01T00:00:00"/>
    <n v="1"/>
    <n v="100013050"/>
    <s v="WE"/>
    <n v="81"/>
    <x v="7"/>
    <n v="21021040"/>
    <x v="7"/>
    <n v="4869.07"/>
    <s v="MXN"/>
    <n v="4869.07"/>
    <x v="0"/>
    <m/>
    <m/>
    <m/>
    <m/>
    <n v="605645"/>
    <s v="LYNX9 SOLUCIONES SA DE CV"/>
    <m/>
    <m/>
    <s v="13.01.2020"/>
    <s v="A 173"/>
    <n v="20200113"/>
    <n v="4869.07"/>
    <m/>
    <m/>
    <m/>
    <s v="HONORARIOS PROFESION"/>
    <m/>
    <m/>
    <m/>
    <m/>
    <m/>
    <m/>
    <n v="340121790"/>
    <s v="SOLI1101"/>
  </r>
  <r>
    <n v="3409"/>
    <s v="13.01.2020"/>
    <n v="2020"/>
    <d v="2020-01-01T00:00:00"/>
    <n v="1"/>
    <n v="900004368"/>
    <s v="WE"/>
    <n v="81"/>
    <x v="5"/>
    <n v="21021040"/>
    <x v="5"/>
    <n v="439552.69"/>
    <s v="MXN"/>
    <n v="439552.69"/>
    <x v="0"/>
    <m/>
    <m/>
    <s v="N/A Registro proveedor extranjero"/>
    <s v="NL805734958B01"/>
    <n v="600271"/>
    <s v="BOOKING COM BV"/>
    <m/>
    <m/>
    <s v="13.01.2020"/>
    <n v="1548802047"/>
    <n v="20200113"/>
    <n v="439552.69"/>
    <n v="0"/>
    <n v="439552.69"/>
    <n v="900004785"/>
    <s v="Comisiones Booking Diciembre 1548802047"/>
    <n v="439552.69"/>
    <s v="21.01.2020"/>
    <s v="TRANSFERENCIA"/>
    <n v="900006694"/>
    <s v="BBVA"/>
    <s v="BBVAB 00188039070 TP"/>
    <n v="340921790"/>
    <s v="SOLI3409"/>
  </r>
  <r>
    <n v="3406"/>
    <s v="31.01.2020"/>
    <n v="2020"/>
    <d v="2020-01-01T00:00:00"/>
    <n v="1"/>
    <n v="600033463"/>
    <s v="KR"/>
    <n v="40"/>
    <x v="1"/>
    <n v="601003"/>
    <x v="1"/>
    <n v="1375.36"/>
    <s v="USD"/>
    <n v="25728.44"/>
    <x v="0"/>
    <s v="U3"/>
    <m/>
    <m/>
    <m/>
    <m/>
    <m/>
    <m/>
    <m/>
    <s v="04.02.2020"/>
    <s v="SANT USD 310120"/>
    <s v="SANT USD 31.01.20"/>
    <n v="1375.36"/>
    <m/>
    <m/>
    <m/>
    <s v="COMISION SANTANDER USD31.01.2020"/>
    <m/>
    <m/>
    <m/>
    <m/>
    <m/>
    <m/>
    <n v="340640390"/>
    <s v="DVERDE"/>
  </r>
  <r>
    <n v="3402"/>
    <s v="15.01.2020"/>
    <n v="2020"/>
    <d v="2020-01-01T00:00:00"/>
    <n v="1"/>
    <n v="200041715"/>
    <s v="FE"/>
    <n v="40"/>
    <x v="9"/>
    <n v="21021040"/>
    <x v="9"/>
    <n v="1421.09"/>
    <s v="USD"/>
    <n v="26747.05"/>
    <x v="0"/>
    <s v="U3"/>
    <m/>
    <m/>
    <m/>
    <m/>
    <m/>
    <m/>
    <m/>
    <s v="15.01.2020"/>
    <m/>
    <s v="REFG:RCDPI00019602"/>
    <n v="1421.09"/>
    <m/>
    <m/>
    <m/>
    <s v="DESC AS: Hosting Sitios Hard Rock"/>
    <m/>
    <m/>
    <m/>
    <m/>
    <m/>
    <m/>
    <n v="340221790"/>
    <s v="PIRFC"/>
  </r>
  <r>
    <n v="3402"/>
    <s v="23.01.2020"/>
    <n v="2020"/>
    <d v="2020-01-01T00:00:00"/>
    <n v="1"/>
    <n v="200071892"/>
    <s v="FE"/>
    <n v="40"/>
    <x v="9"/>
    <n v="21021040"/>
    <x v="9"/>
    <n v="1293.75"/>
    <s v="USD"/>
    <n v="24194.03"/>
    <x v="0"/>
    <s v="U3"/>
    <m/>
    <m/>
    <m/>
    <m/>
    <m/>
    <m/>
    <m/>
    <s v="24.01.2020"/>
    <m/>
    <s v="REFG:RCDPI00019928"/>
    <n v="1293.75"/>
    <m/>
    <m/>
    <m/>
    <s v="DESC AS: Hosting CRM"/>
    <m/>
    <m/>
    <m/>
    <m/>
    <m/>
    <m/>
    <n v="340221790"/>
    <s v="PIRFC"/>
  </r>
  <r>
    <n v="3402"/>
    <s v="30.01.2020"/>
    <n v="2020"/>
    <d v="2020-01-01T00:00:00"/>
    <n v="1"/>
    <n v="200102486"/>
    <s v="FE"/>
    <n v="40"/>
    <x v="7"/>
    <n v="21021040"/>
    <x v="7"/>
    <n v="4869.07"/>
    <s v="MXN"/>
    <n v="4869.07"/>
    <x v="0"/>
    <s v="U3"/>
    <m/>
    <m/>
    <m/>
    <m/>
    <m/>
    <m/>
    <m/>
    <s v="30.01.2020"/>
    <m/>
    <s v="REFG:RCDPI00020304"/>
    <n v="4869.07"/>
    <m/>
    <m/>
    <m/>
    <s v="DESC AS: Implementación de Programa Docusign"/>
    <m/>
    <m/>
    <m/>
    <m/>
    <m/>
    <m/>
    <n v="340221790"/>
    <s v="PIRFC"/>
  </r>
  <r>
    <n v="3407"/>
    <s v="18.01.2020"/>
    <n v="2020"/>
    <d v="2020-01-01T00:00:00"/>
    <n v="2"/>
    <n v="700020935"/>
    <s v="SA"/>
    <n v="50"/>
    <x v="8"/>
    <n v="54020040"/>
    <x v="8"/>
    <n v="1786.85"/>
    <s v="MXN"/>
    <n v="1786.85"/>
    <x v="0"/>
    <m/>
    <m/>
    <m/>
    <m/>
    <m/>
    <m/>
    <m/>
    <n v="700020970"/>
    <s v="20.01.2020"/>
    <s v="F-3407 - 20176"/>
    <s v="F-3407 - 20176"/>
    <n v="1786.85"/>
    <m/>
    <m/>
    <m/>
    <s v="RECL  DE GASTO A COSTO REFACT CLUB VAC Dic 2019"/>
    <m/>
    <m/>
    <m/>
    <m/>
    <m/>
    <m/>
    <n v="340716690"/>
    <s v="CGUTIERREZ"/>
  </r>
  <r>
    <n v="3407"/>
    <s v="18.01.2020"/>
    <n v="2020"/>
    <d v="2020-01-01T00:00:00"/>
    <n v="2"/>
    <n v="700020969"/>
    <s v="SA"/>
    <n v="50"/>
    <x v="8"/>
    <n v="54020040"/>
    <x v="8"/>
    <n v="1786.85"/>
    <s v="MXN"/>
    <n v="1786.85"/>
    <x v="0"/>
    <m/>
    <m/>
    <m/>
    <m/>
    <m/>
    <m/>
    <m/>
    <n v="700044730"/>
    <s v="20.01.2020"/>
    <s v="F-3407 - 20176"/>
    <s v="F-3407 - 20176"/>
    <n v="1786.85"/>
    <m/>
    <m/>
    <m/>
    <s v="RECL  DE GASTO A COSTO REFACT CLUB VAC Dic 2019"/>
    <m/>
    <m/>
    <m/>
    <m/>
    <m/>
    <m/>
    <n v="340716690"/>
    <s v="CGUTIERREZ"/>
  </r>
  <r>
    <n v="3407"/>
    <s v="18.01.2020"/>
    <n v="2020"/>
    <d v="2020-01-01T00:00:00"/>
    <n v="2"/>
    <n v="700020970"/>
    <s v="AB"/>
    <n v="40"/>
    <x v="8"/>
    <n v="54020040"/>
    <x v="8"/>
    <n v="1786.85"/>
    <s v="MXN"/>
    <n v="1786.85"/>
    <x v="0"/>
    <m/>
    <m/>
    <m/>
    <m/>
    <m/>
    <m/>
    <m/>
    <n v="700020935"/>
    <s v="20.01.2020"/>
    <s v="F-3407 - 20176"/>
    <s v="F-3407 - 20176"/>
    <n v="1786.85"/>
    <m/>
    <m/>
    <m/>
    <s v="RECL  DE GASTO A COSTO REFACT CLUB VAC Dic 2019"/>
    <m/>
    <m/>
    <m/>
    <m/>
    <m/>
    <m/>
    <n v="340716690"/>
    <s v="CGUTIERREZ"/>
  </r>
  <r>
    <n v="3407"/>
    <s v="18.01.2020"/>
    <n v="2020"/>
    <d v="2020-01-01T00:00:00"/>
    <n v="2"/>
    <n v="700044728"/>
    <s v="SA"/>
    <n v="50"/>
    <x v="8"/>
    <n v="54020040"/>
    <x v="8"/>
    <n v="1786.85"/>
    <s v="MXN"/>
    <n v="1786.85"/>
    <x v="0"/>
    <m/>
    <m/>
    <m/>
    <m/>
    <m/>
    <m/>
    <m/>
    <m/>
    <s v="06.02.2020"/>
    <s v="F-3407 - 20176"/>
    <s v="F-3407 - 20176"/>
    <n v="1786.85"/>
    <m/>
    <m/>
    <m/>
    <s v="RECL  DE GASTO A COSTO REFACT CLUB VAC Dic 2019"/>
    <m/>
    <m/>
    <m/>
    <m/>
    <m/>
    <m/>
    <n v="340716690"/>
    <s v="CGUTIERREZ"/>
  </r>
  <r>
    <n v="3407"/>
    <s v="18.01.2020"/>
    <n v="2020"/>
    <d v="2020-01-01T00:00:00"/>
    <n v="2"/>
    <n v="700044730"/>
    <s v="AB"/>
    <n v="40"/>
    <x v="8"/>
    <n v="54020040"/>
    <x v="8"/>
    <n v="1786.85"/>
    <s v="MXN"/>
    <n v="1786.85"/>
    <x v="0"/>
    <m/>
    <m/>
    <m/>
    <m/>
    <m/>
    <m/>
    <m/>
    <n v="700020969"/>
    <s v="06.02.2020"/>
    <s v="F-3407 - 20176"/>
    <s v="F-3407 - 20176"/>
    <n v="1786.85"/>
    <m/>
    <m/>
    <m/>
    <s v="RECL  DE GASTO A COSTO REFACT CLUB VAC Dic 2019"/>
    <m/>
    <m/>
    <m/>
    <m/>
    <m/>
    <m/>
    <n v="340716690"/>
    <s v="CGUTIERREZ"/>
  </r>
  <r>
    <n v="3407"/>
    <s v="31.01.2020"/>
    <n v="2020"/>
    <d v="2020-01-01T00:00:00"/>
    <n v="13"/>
    <n v="700042244"/>
    <s v="SA"/>
    <n v="50"/>
    <x v="0"/>
    <n v="51030020"/>
    <x v="0"/>
    <n v="2100"/>
    <s v="MXN"/>
    <n v="2100"/>
    <x v="0"/>
    <m/>
    <m/>
    <m/>
    <m/>
    <m/>
    <m/>
    <m/>
    <m/>
    <s v="03.02.2020"/>
    <s v="RECLAIF CTAS"/>
    <s v="Reclasif Cuentas"/>
    <n v="2100"/>
    <m/>
    <m/>
    <m/>
    <s v="Reclasif Ctas Alamcen Gral Sobrante Ene 2020"/>
    <m/>
    <m/>
    <m/>
    <m/>
    <m/>
    <m/>
    <n v="340717690"/>
    <s v="CGUTIERREZ"/>
  </r>
  <r>
    <n v="3400"/>
    <s v="27.01.2020"/>
    <n v="2020"/>
    <d v="2020-01-01T00:00:00"/>
    <n v="1"/>
    <n v="100011599"/>
    <s v="FE"/>
    <n v="40"/>
    <x v="9"/>
    <n v="21021040"/>
    <x v="9"/>
    <n v="1293.75"/>
    <s v="USD"/>
    <n v="24324.83"/>
    <x v="0"/>
    <s v="D0"/>
    <m/>
    <m/>
    <m/>
    <m/>
    <m/>
    <m/>
    <m/>
    <s v="04.02.2020"/>
    <m/>
    <s v="REFG:RCDPI00020197"/>
    <n v="1293.75"/>
    <m/>
    <m/>
    <m/>
    <s v="DESC AS: Hosting CRM"/>
    <m/>
    <m/>
    <m/>
    <m/>
    <m/>
    <m/>
    <n v="340022950"/>
    <s v="YCUTZ"/>
  </r>
  <r>
    <n v="3402"/>
    <s v="31.01.2020"/>
    <n v="2020"/>
    <d v="2020-01-01T00:00:00"/>
    <n v="1"/>
    <n v="200120055"/>
    <s v="SA"/>
    <n v="50"/>
    <x v="3"/>
    <n v="21230140"/>
    <x v="3"/>
    <n v="4962.3999999999996"/>
    <s v="USD"/>
    <n v="94864.71"/>
    <x v="0"/>
    <m/>
    <m/>
    <m/>
    <m/>
    <m/>
    <m/>
    <m/>
    <m/>
    <s v="02.02.2020"/>
    <s v="WOODWARD SEPAGO"/>
    <n v="20191031"/>
    <n v="4962.3999999999996"/>
    <m/>
    <m/>
    <m/>
    <s v="HRRM ROYALTY FEES WOODWARD OCT 2019"/>
    <m/>
    <m/>
    <m/>
    <m/>
    <m/>
    <m/>
    <n v="340275190"/>
    <s v="THUCHIN"/>
  </r>
  <r>
    <n v="3401"/>
    <s v="31.01.2020"/>
    <n v="2020"/>
    <d v="2020-01-01T00:00:00"/>
    <n v="1"/>
    <n v="100032806"/>
    <s v="SA"/>
    <n v="40"/>
    <x v="8"/>
    <n v="11210050"/>
    <x v="8"/>
    <n v="167.54"/>
    <s v="USD"/>
    <n v="3134.12"/>
    <x v="0"/>
    <s v="D0"/>
    <m/>
    <m/>
    <m/>
    <m/>
    <m/>
    <m/>
    <m/>
    <s v="01.02.2020"/>
    <s v="DIST GOOGLE ENE"/>
    <n v="20200131"/>
    <n v="167.54"/>
    <m/>
    <m/>
    <m/>
    <s v="DISTRIBUCION GOOGLE ENERO 2020"/>
    <m/>
    <m/>
    <m/>
    <m/>
    <m/>
    <m/>
    <n v="340116690"/>
    <s v="SMARTINEZ"/>
  </r>
  <r>
    <n v="3401"/>
    <s v="31.01.2020"/>
    <n v="2020"/>
    <d v="2020-01-01T00:00:00"/>
    <n v="2"/>
    <n v="100032806"/>
    <s v="SA"/>
    <n v="40"/>
    <x v="8"/>
    <n v="11210050"/>
    <x v="8"/>
    <n v="29.32"/>
    <s v="USD"/>
    <n v="548.48"/>
    <x v="0"/>
    <s v="D0"/>
    <m/>
    <m/>
    <m/>
    <m/>
    <m/>
    <m/>
    <m/>
    <s v="01.02.2020"/>
    <s v="DIST GOOGLE ENE"/>
    <n v="20200131"/>
    <n v="29.32"/>
    <m/>
    <m/>
    <m/>
    <s v="DISTRIBUCION GOOGLE ENERO 2020"/>
    <m/>
    <m/>
    <m/>
    <m/>
    <m/>
    <m/>
    <n v="340110490"/>
    <s v="SMARTINEZ"/>
  </r>
  <r>
    <n v="3401"/>
    <s v="31.01.2020"/>
    <n v="2020"/>
    <d v="2020-01-01T00:00:00"/>
    <n v="3"/>
    <n v="100032806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110590"/>
    <s v="SMARTINEZ"/>
  </r>
  <r>
    <n v="3401"/>
    <s v="31.01.2020"/>
    <n v="2020"/>
    <d v="2020-01-01T00:00:00"/>
    <n v="4"/>
    <n v="100032806"/>
    <s v="SA"/>
    <n v="40"/>
    <x v="8"/>
    <n v="11210050"/>
    <x v="8"/>
    <n v="29.32"/>
    <s v="USD"/>
    <n v="548.48"/>
    <x v="0"/>
    <s v="D0"/>
    <m/>
    <m/>
    <m/>
    <m/>
    <m/>
    <m/>
    <m/>
    <s v="01.02.2020"/>
    <s v="DIST GOOGLE ENE"/>
    <n v="20200131"/>
    <n v="29.32"/>
    <m/>
    <m/>
    <m/>
    <s v="DISTRIBUCION GOOGLE ENERO 2020"/>
    <m/>
    <m/>
    <m/>
    <m/>
    <m/>
    <m/>
    <n v="340110790"/>
    <s v="SMARTINEZ"/>
  </r>
  <r>
    <n v="3401"/>
    <s v="31.01.2020"/>
    <n v="2020"/>
    <d v="2020-01-01T00:00:00"/>
    <n v="5"/>
    <n v="100032806"/>
    <s v="SA"/>
    <n v="40"/>
    <x v="8"/>
    <n v="11210050"/>
    <x v="8"/>
    <n v="37.700000000000003"/>
    <s v="USD"/>
    <n v="705.24"/>
    <x v="0"/>
    <s v="D0"/>
    <m/>
    <m/>
    <m/>
    <m/>
    <m/>
    <m/>
    <m/>
    <s v="01.02.2020"/>
    <s v="DIST GOOGLE ENE"/>
    <n v="20200131"/>
    <n v="37.700000000000003"/>
    <m/>
    <m/>
    <m/>
    <s v="DISTRIBUCION GOOGLE ENERO 2020"/>
    <m/>
    <m/>
    <m/>
    <m/>
    <m/>
    <m/>
    <n v="340110890"/>
    <s v="SMARTINEZ"/>
  </r>
  <r>
    <n v="3401"/>
    <s v="31.01.2020"/>
    <n v="2020"/>
    <d v="2020-01-01T00:00:00"/>
    <n v="6"/>
    <n v="100032806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112290"/>
    <s v="SMARTINEZ"/>
  </r>
  <r>
    <n v="3401"/>
    <s v="31.01.2020"/>
    <n v="2020"/>
    <d v="2020-01-01T00:00:00"/>
    <n v="7"/>
    <n v="100032806"/>
    <s v="SA"/>
    <n v="40"/>
    <x v="8"/>
    <n v="11210050"/>
    <x v="8"/>
    <n v="46.07"/>
    <s v="USD"/>
    <n v="861.82"/>
    <x v="0"/>
    <s v="D0"/>
    <m/>
    <m/>
    <m/>
    <m/>
    <m/>
    <m/>
    <m/>
    <s v="01.02.2020"/>
    <s v="DIST GOOGLE ENE"/>
    <n v="20200131"/>
    <n v="46.07"/>
    <m/>
    <m/>
    <m/>
    <s v="DISTRIBUCION GOOGLE ENERO 2020"/>
    <m/>
    <m/>
    <m/>
    <m/>
    <m/>
    <m/>
    <n v="340112490"/>
    <s v="SMARTINEZ"/>
  </r>
  <r>
    <n v="3401"/>
    <s v="31.01.2020"/>
    <n v="2020"/>
    <d v="2020-01-01T00:00:00"/>
    <n v="8"/>
    <n v="100032806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112590"/>
    <s v="SMARTINEZ"/>
  </r>
  <r>
    <n v="3401"/>
    <s v="31.01.2020"/>
    <n v="2020"/>
    <d v="2020-01-01T00:00:00"/>
    <n v="9"/>
    <n v="100032806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112790"/>
    <s v="SMARTINEZ"/>
  </r>
  <r>
    <n v="3401"/>
    <s v="31.01.2020"/>
    <n v="2020"/>
    <d v="2020-01-01T00:00:00"/>
    <n v="10"/>
    <n v="100032806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112890"/>
    <s v="SMARTINEZ"/>
  </r>
  <r>
    <n v="3401"/>
    <s v="31.01.2020"/>
    <n v="2020"/>
    <d v="2020-01-01T00:00:00"/>
    <n v="11"/>
    <n v="100032806"/>
    <s v="SA"/>
    <n v="40"/>
    <x v="8"/>
    <n v="11210050"/>
    <x v="8"/>
    <n v="1051.32"/>
    <s v="USD"/>
    <n v="19666.73"/>
    <x v="0"/>
    <s v="D0"/>
    <m/>
    <m/>
    <m/>
    <m/>
    <m/>
    <m/>
    <m/>
    <s v="01.02.2020"/>
    <s v="DIST GOOGLE ENE"/>
    <n v="20200131"/>
    <n v="1051.32"/>
    <m/>
    <m/>
    <m/>
    <s v="DISTRIBUCION GOOGLE ENERO 2020"/>
    <m/>
    <m/>
    <m/>
    <m/>
    <m/>
    <m/>
    <n v="340116690"/>
    <s v="SMARTINEZ"/>
  </r>
  <r>
    <n v="3401"/>
    <s v="31.01.2020"/>
    <n v="2020"/>
    <d v="2020-01-01T00:00:00"/>
    <n v="12"/>
    <n v="100032806"/>
    <s v="SA"/>
    <n v="40"/>
    <x v="8"/>
    <n v="11210050"/>
    <x v="8"/>
    <n v="37.700000000000003"/>
    <s v="USD"/>
    <n v="705.24"/>
    <x v="0"/>
    <s v="D0"/>
    <m/>
    <m/>
    <m/>
    <m/>
    <m/>
    <m/>
    <m/>
    <s v="01.02.2020"/>
    <s v="DIST GOOGLE ENE"/>
    <n v="20200131"/>
    <n v="37.700000000000003"/>
    <m/>
    <m/>
    <m/>
    <s v="DISTRIBUCION GOOGLE ENERO 2020"/>
    <m/>
    <m/>
    <m/>
    <m/>
    <m/>
    <m/>
    <n v="340117690"/>
    <s v="SMARTINEZ"/>
  </r>
  <r>
    <n v="3401"/>
    <s v="31.01.2020"/>
    <n v="2020"/>
    <d v="2020-01-01T00:00:00"/>
    <n v="13"/>
    <n v="100032806"/>
    <s v="SA"/>
    <n v="40"/>
    <x v="8"/>
    <n v="11210050"/>
    <x v="8"/>
    <n v="37.700000000000003"/>
    <s v="USD"/>
    <n v="705.24"/>
    <x v="0"/>
    <s v="D0"/>
    <m/>
    <m/>
    <m/>
    <m/>
    <m/>
    <m/>
    <m/>
    <s v="01.02.2020"/>
    <s v="DIST GOOGLE ENE"/>
    <n v="20200131"/>
    <n v="37.700000000000003"/>
    <m/>
    <m/>
    <m/>
    <s v="DISTRIBUCION GOOGLE ENERO 2020"/>
    <m/>
    <m/>
    <m/>
    <m/>
    <m/>
    <m/>
    <n v="340119190"/>
    <s v="SMARTINEZ"/>
  </r>
  <r>
    <n v="3401"/>
    <s v="31.01.2020"/>
    <n v="2020"/>
    <d v="2020-01-01T00:00:00"/>
    <n v="14"/>
    <n v="100032806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119290"/>
    <s v="SMARTINEZ"/>
  </r>
  <r>
    <n v="3401"/>
    <s v="31.01.2020"/>
    <n v="2020"/>
    <d v="2020-01-01T00:00:00"/>
    <n v="15"/>
    <n v="100032806"/>
    <s v="SA"/>
    <n v="40"/>
    <x v="8"/>
    <n v="1121005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120490"/>
    <s v="SMARTINEZ"/>
  </r>
  <r>
    <n v="3401"/>
    <s v="31.01.2020"/>
    <n v="2020"/>
    <d v="2020-01-01T00:00:00"/>
    <n v="16"/>
    <n v="100032806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121690"/>
    <s v="SMARTINEZ"/>
  </r>
  <r>
    <n v="3401"/>
    <s v="31.01.2020"/>
    <n v="2020"/>
    <d v="2020-01-01T00:00:00"/>
    <n v="17"/>
    <n v="100032806"/>
    <s v="SA"/>
    <n v="40"/>
    <x v="8"/>
    <n v="11210050"/>
    <x v="8"/>
    <n v="33.51"/>
    <s v="USD"/>
    <n v="626.86"/>
    <x v="0"/>
    <s v="D0"/>
    <m/>
    <m/>
    <m/>
    <m/>
    <m/>
    <m/>
    <m/>
    <s v="01.02.2020"/>
    <s v="DIST GOOGLE ENE"/>
    <n v="20200131"/>
    <n v="33.51"/>
    <m/>
    <m/>
    <m/>
    <s v="DISTRIBUCION GOOGLE ENERO 2020"/>
    <m/>
    <m/>
    <m/>
    <m/>
    <m/>
    <m/>
    <n v="340121790"/>
    <s v="SMARTINEZ"/>
  </r>
  <r>
    <n v="3401"/>
    <s v="31.01.2020"/>
    <n v="2020"/>
    <d v="2020-01-01T00:00:00"/>
    <n v="18"/>
    <n v="100032806"/>
    <s v="SA"/>
    <n v="40"/>
    <x v="8"/>
    <n v="11210050"/>
    <x v="8"/>
    <n v="67.02"/>
    <s v="USD"/>
    <n v="1253.72"/>
    <x v="0"/>
    <s v="D0"/>
    <m/>
    <m/>
    <m/>
    <m/>
    <m/>
    <m/>
    <m/>
    <s v="01.02.2020"/>
    <s v="DIST GOOGLE ENE"/>
    <n v="20200131"/>
    <n v="67.02"/>
    <m/>
    <m/>
    <m/>
    <s v="DISTRIBUCION GOOGLE ENERO 2020"/>
    <m/>
    <m/>
    <m/>
    <m/>
    <m/>
    <m/>
    <n v="340125190"/>
    <s v="SMARTINEZ"/>
  </r>
  <r>
    <n v="3401"/>
    <s v="31.01.2020"/>
    <n v="2020"/>
    <d v="2020-01-01T00:00:00"/>
    <n v="19"/>
    <n v="100032806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125290"/>
    <s v="SMARTINEZ"/>
  </r>
  <r>
    <n v="3401"/>
    <s v="31.01.2020"/>
    <n v="2020"/>
    <d v="2020-01-01T00:00:00"/>
    <n v="20"/>
    <n v="100032806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125490"/>
    <s v="SMARTINEZ"/>
  </r>
  <r>
    <n v="3401"/>
    <s v="31.01.2020"/>
    <n v="2020"/>
    <d v="2020-01-01T00:00:00"/>
    <n v="21"/>
    <n v="100032806"/>
    <s v="SA"/>
    <n v="40"/>
    <x v="8"/>
    <n v="11210050"/>
    <x v="8"/>
    <n v="33.51"/>
    <s v="USD"/>
    <n v="626.86"/>
    <x v="0"/>
    <s v="D0"/>
    <m/>
    <m/>
    <m/>
    <m/>
    <m/>
    <m/>
    <m/>
    <s v="01.02.2020"/>
    <s v="DIST GOOGLE ENE"/>
    <n v="20200131"/>
    <n v="33.51"/>
    <m/>
    <m/>
    <m/>
    <s v="DISTRIBUCION GOOGLE ENERO 2020"/>
    <m/>
    <m/>
    <m/>
    <m/>
    <m/>
    <m/>
    <n v="340127190"/>
    <s v="SMARTINEZ"/>
  </r>
  <r>
    <n v="3401"/>
    <s v="31.01.2020"/>
    <n v="2020"/>
    <d v="2020-01-01T00:00:00"/>
    <n v="22"/>
    <n v="100032806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127290"/>
    <s v="SMARTINEZ"/>
  </r>
  <r>
    <n v="3401"/>
    <s v="31.01.2020"/>
    <n v="2020"/>
    <d v="2020-01-01T00:00:00"/>
    <n v="23"/>
    <n v="100032806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133190"/>
    <s v="SMARTINEZ"/>
  </r>
  <r>
    <n v="3401"/>
    <s v="31.01.2020"/>
    <n v="2020"/>
    <d v="2020-01-01T00:00:00"/>
    <n v="24"/>
    <n v="100032806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136290"/>
    <s v="SMARTINEZ"/>
  </r>
  <r>
    <n v="3401"/>
    <s v="31.01.2020"/>
    <n v="2020"/>
    <d v="2020-01-01T00:00:00"/>
    <n v="25"/>
    <n v="100032806"/>
    <s v="SA"/>
    <n v="40"/>
    <x v="8"/>
    <n v="11210050"/>
    <x v="8"/>
    <n v="79.58"/>
    <s v="USD"/>
    <n v="1488.68"/>
    <x v="0"/>
    <s v="D0"/>
    <m/>
    <m/>
    <m/>
    <m/>
    <m/>
    <m/>
    <m/>
    <s v="01.02.2020"/>
    <s v="DIST GOOGLE ENE"/>
    <n v="20200131"/>
    <n v="79.58"/>
    <m/>
    <m/>
    <m/>
    <s v="DISTRIBUCION GOOGLE ENERO 2020"/>
    <m/>
    <m/>
    <m/>
    <m/>
    <m/>
    <m/>
    <n v="340140390"/>
    <s v="SMARTINEZ"/>
  </r>
  <r>
    <n v="3401"/>
    <s v="31.01.2020"/>
    <n v="2020"/>
    <d v="2020-01-01T00:00:00"/>
    <n v="26"/>
    <n v="100032806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146390"/>
    <s v="SMARTINEZ"/>
  </r>
  <r>
    <n v="3401"/>
    <s v="31.01.2020"/>
    <n v="2020"/>
    <d v="2020-01-01T00:00:00"/>
    <n v="27"/>
    <n v="100032806"/>
    <s v="SA"/>
    <n v="40"/>
    <x v="8"/>
    <n v="11210050"/>
    <x v="8"/>
    <n v="83.77"/>
    <s v="USD"/>
    <n v="1567.06"/>
    <x v="0"/>
    <s v="D0"/>
    <m/>
    <m/>
    <m/>
    <m/>
    <m/>
    <m/>
    <m/>
    <s v="01.02.2020"/>
    <s v="DIST GOOGLE ENE"/>
    <n v="20200131"/>
    <n v="83.77"/>
    <m/>
    <m/>
    <m/>
    <s v="DISTRIBUCION GOOGLE ENERO 2020"/>
    <m/>
    <m/>
    <m/>
    <m/>
    <m/>
    <m/>
    <n v="340148290"/>
    <s v="SMARTINEZ"/>
  </r>
  <r>
    <n v="3401"/>
    <s v="31.01.2020"/>
    <n v="2020"/>
    <d v="2020-01-01T00:00:00"/>
    <n v="28"/>
    <n v="100032806"/>
    <s v="SA"/>
    <n v="40"/>
    <x v="8"/>
    <n v="11210050"/>
    <x v="8"/>
    <n v="46.07"/>
    <s v="USD"/>
    <n v="861.82"/>
    <x v="0"/>
    <s v="D0"/>
    <m/>
    <m/>
    <m/>
    <m/>
    <m/>
    <m/>
    <m/>
    <s v="01.02.2020"/>
    <s v="DIST GOOGLE ENE"/>
    <n v="20200131"/>
    <n v="46.07"/>
    <m/>
    <m/>
    <m/>
    <s v="DISTRIBUCION GOOGLE ENERO 2020"/>
    <m/>
    <m/>
    <m/>
    <m/>
    <m/>
    <m/>
    <n v="340153290"/>
    <s v="SMARTINEZ"/>
  </r>
  <r>
    <n v="3401"/>
    <s v="31.01.2020"/>
    <n v="2020"/>
    <d v="2020-01-01T00:00:00"/>
    <n v="29"/>
    <n v="100032806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162190"/>
    <s v="SMARTINEZ"/>
  </r>
  <r>
    <n v="3401"/>
    <s v="31.01.2020"/>
    <n v="2020"/>
    <d v="2020-01-01T00:00:00"/>
    <n v="30"/>
    <n v="100032806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117990"/>
    <s v="SMARTINEZ"/>
  </r>
  <r>
    <n v="3401"/>
    <s v="31.01.2020"/>
    <n v="2020"/>
    <d v="2020-01-01T00:00:00"/>
    <n v="31"/>
    <n v="100032806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112390"/>
    <s v="SMARTINEZ"/>
  </r>
  <r>
    <n v="3401"/>
    <s v="31.01.2020"/>
    <n v="2020"/>
    <d v="2020-01-01T00:00:00"/>
    <n v="32"/>
    <n v="100032806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113090"/>
    <s v="SMARTINEZ"/>
  </r>
  <r>
    <n v="3402"/>
    <s v="31.01.2020"/>
    <n v="2020"/>
    <d v="2020-01-01T00:00:00"/>
    <n v="1"/>
    <n v="200114719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210490"/>
    <s v="SMARTINEZ"/>
  </r>
  <r>
    <n v="3402"/>
    <s v="31.01.2020"/>
    <n v="2020"/>
    <d v="2020-01-01T00:00:00"/>
    <n v="2"/>
    <n v="20011471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210590"/>
    <s v="SMARTINEZ"/>
  </r>
  <r>
    <n v="3402"/>
    <s v="31.01.2020"/>
    <n v="2020"/>
    <d v="2020-01-01T00:00:00"/>
    <n v="3"/>
    <n v="200114719"/>
    <s v="SA"/>
    <n v="40"/>
    <x v="8"/>
    <n v="11210050"/>
    <x v="8"/>
    <n v="87.96"/>
    <s v="USD"/>
    <n v="1645.44"/>
    <x v="0"/>
    <s v="D0"/>
    <m/>
    <m/>
    <m/>
    <m/>
    <m/>
    <m/>
    <m/>
    <s v="01.02.2020"/>
    <s v="DIST GOOGLE ENE"/>
    <n v="20200131"/>
    <n v="87.96"/>
    <m/>
    <m/>
    <m/>
    <s v="DISTRIBUCION GOOGLE ENERO 2020"/>
    <m/>
    <m/>
    <m/>
    <m/>
    <m/>
    <m/>
    <n v="340210790"/>
    <s v="SMARTINEZ"/>
  </r>
  <r>
    <n v="3402"/>
    <s v="31.01.2020"/>
    <n v="2020"/>
    <d v="2020-01-01T00:00:00"/>
    <n v="4"/>
    <n v="20011471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210890"/>
    <s v="SMARTINEZ"/>
  </r>
  <r>
    <n v="3402"/>
    <s v="31.01.2020"/>
    <n v="2020"/>
    <d v="2020-01-01T00:00:00"/>
    <n v="5"/>
    <n v="200114719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212290"/>
    <s v="SMARTINEZ"/>
  </r>
  <r>
    <n v="3402"/>
    <s v="31.01.2020"/>
    <n v="2020"/>
    <d v="2020-01-01T00:00:00"/>
    <n v="6"/>
    <n v="20011471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212490"/>
    <s v="SMARTINEZ"/>
  </r>
  <r>
    <n v="3402"/>
    <s v="31.01.2020"/>
    <n v="2020"/>
    <d v="2020-01-01T00:00:00"/>
    <n v="7"/>
    <n v="20011471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212790"/>
    <s v="SMARTINEZ"/>
  </r>
  <r>
    <n v="3402"/>
    <s v="31.01.2020"/>
    <n v="2020"/>
    <d v="2020-01-01T00:00:00"/>
    <n v="8"/>
    <n v="20011471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212890"/>
    <s v="SMARTINEZ"/>
  </r>
  <r>
    <n v="3402"/>
    <s v="31.01.2020"/>
    <n v="2020"/>
    <d v="2020-01-01T00:00:00"/>
    <n v="9"/>
    <n v="20011471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215190"/>
    <s v="SMARTINEZ"/>
  </r>
  <r>
    <n v="3402"/>
    <s v="31.01.2020"/>
    <n v="2020"/>
    <d v="2020-01-01T00:00:00"/>
    <n v="10"/>
    <n v="200114719"/>
    <s v="SA"/>
    <n v="40"/>
    <x v="8"/>
    <n v="11210050"/>
    <x v="8"/>
    <n v="92.15"/>
    <s v="USD"/>
    <n v="1723.82"/>
    <x v="0"/>
    <s v="D0"/>
    <m/>
    <m/>
    <m/>
    <m/>
    <m/>
    <m/>
    <m/>
    <s v="01.02.2020"/>
    <s v="DIST GOOGLE ENE"/>
    <n v="20200131"/>
    <n v="92.15"/>
    <m/>
    <m/>
    <m/>
    <s v="DISTRIBUCION GOOGLE ENERO 2020"/>
    <m/>
    <m/>
    <m/>
    <m/>
    <m/>
    <m/>
    <n v="340216690"/>
    <s v="SMARTINEZ"/>
  </r>
  <r>
    <n v="3402"/>
    <s v="31.01.2020"/>
    <n v="2020"/>
    <d v="2020-01-01T00:00:00"/>
    <n v="11"/>
    <n v="200114719"/>
    <s v="SA"/>
    <n v="40"/>
    <x v="8"/>
    <n v="11210050"/>
    <x v="8"/>
    <n v="67.02"/>
    <s v="USD"/>
    <n v="1253.72"/>
    <x v="0"/>
    <s v="D0"/>
    <m/>
    <m/>
    <m/>
    <m/>
    <m/>
    <m/>
    <m/>
    <s v="01.02.2020"/>
    <s v="DIST GOOGLE ENE"/>
    <n v="20200131"/>
    <n v="67.02"/>
    <m/>
    <m/>
    <m/>
    <s v="DISTRIBUCION GOOGLE ENERO 2020"/>
    <m/>
    <m/>
    <m/>
    <m/>
    <m/>
    <m/>
    <n v="340217690"/>
    <s v="SMARTINEZ"/>
  </r>
  <r>
    <n v="3402"/>
    <s v="31.01.2020"/>
    <n v="2020"/>
    <d v="2020-01-01T00:00:00"/>
    <n v="12"/>
    <n v="20011471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217990"/>
    <s v="SMARTINEZ"/>
  </r>
  <r>
    <n v="3402"/>
    <s v="31.01.2020"/>
    <n v="2020"/>
    <d v="2020-01-01T00:00:00"/>
    <n v="13"/>
    <n v="200114719"/>
    <s v="SA"/>
    <n v="40"/>
    <x v="8"/>
    <n v="11210050"/>
    <x v="8"/>
    <n v="54.45"/>
    <s v="USD"/>
    <n v="1018.58"/>
    <x v="0"/>
    <s v="D0"/>
    <m/>
    <m/>
    <m/>
    <m/>
    <m/>
    <m/>
    <m/>
    <s v="01.02.2020"/>
    <s v="DIST GOOGLE ENE"/>
    <n v="20200131"/>
    <n v="54.45"/>
    <m/>
    <m/>
    <m/>
    <s v="DISTRIBUCION GOOGLE ENERO 2020"/>
    <m/>
    <m/>
    <m/>
    <m/>
    <m/>
    <m/>
    <n v="340219190"/>
    <s v="SMARTINEZ"/>
  </r>
  <r>
    <n v="3402"/>
    <s v="31.01.2020"/>
    <n v="2020"/>
    <d v="2020-01-01T00:00:00"/>
    <n v="14"/>
    <n v="200114719"/>
    <s v="SA"/>
    <n v="40"/>
    <x v="8"/>
    <n v="11210050"/>
    <x v="8"/>
    <n v="29.32"/>
    <s v="USD"/>
    <n v="548.48"/>
    <x v="0"/>
    <s v="D0"/>
    <m/>
    <m/>
    <m/>
    <m/>
    <m/>
    <m/>
    <m/>
    <s v="01.02.2020"/>
    <s v="DIST GOOGLE ENE"/>
    <n v="20200131"/>
    <n v="29.32"/>
    <m/>
    <m/>
    <m/>
    <s v="DISTRIBUCION GOOGLE ENERO 2020"/>
    <m/>
    <m/>
    <m/>
    <m/>
    <m/>
    <m/>
    <n v="340219290"/>
    <s v="SMARTINEZ"/>
  </r>
  <r>
    <n v="3402"/>
    <s v="31.01.2020"/>
    <n v="2020"/>
    <d v="2020-01-01T00:00:00"/>
    <n v="15"/>
    <n v="200114719"/>
    <s v="SA"/>
    <n v="40"/>
    <x v="8"/>
    <n v="11210050"/>
    <x v="8"/>
    <n v="67.02"/>
    <s v="USD"/>
    <n v="1253.72"/>
    <x v="0"/>
    <s v="D0"/>
    <m/>
    <m/>
    <m/>
    <m/>
    <m/>
    <m/>
    <m/>
    <s v="01.02.2020"/>
    <s v="DIST GOOGLE ENE"/>
    <n v="20200131"/>
    <n v="67.02"/>
    <m/>
    <m/>
    <m/>
    <s v="DISTRIBUCION GOOGLE ENERO 2020"/>
    <m/>
    <m/>
    <m/>
    <m/>
    <m/>
    <m/>
    <n v="340220490"/>
    <s v="SMARTINEZ"/>
  </r>
  <r>
    <n v="3402"/>
    <s v="31.01.2020"/>
    <n v="2020"/>
    <d v="2020-01-01T00:00:00"/>
    <n v="16"/>
    <n v="200114719"/>
    <s v="SA"/>
    <n v="40"/>
    <x v="8"/>
    <n v="11210050"/>
    <x v="8"/>
    <n v="58.64"/>
    <s v="USD"/>
    <n v="1096.96"/>
    <x v="0"/>
    <s v="D0"/>
    <m/>
    <m/>
    <m/>
    <m/>
    <m/>
    <m/>
    <m/>
    <s v="01.02.2020"/>
    <s v="DIST GOOGLE ENE"/>
    <n v="20200131"/>
    <n v="58.64"/>
    <m/>
    <m/>
    <m/>
    <s v="DISTRIBUCION GOOGLE ENERO 2020"/>
    <m/>
    <m/>
    <m/>
    <m/>
    <m/>
    <m/>
    <n v="340221690"/>
    <s v="SMARTINEZ"/>
  </r>
  <r>
    <n v="3402"/>
    <s v="31.01.2020"/>
    <n v="2020"/>
    <d v="2020-01-01T00:00:00"/>
    <n v="17"/>
    <n v="200114719"/>
    <s v="SA"/>
    <n v="40"/>
    <x v="8"/>
    <n v="11210050"/>
    <x v="8"/>
    <n v="41.89"/>
    <s v="USD"/>
    <n v="783.62"/>
    <x v="0"/>
    <s v="D0"/>
    <m/>
    <m/>
    <m/>
    <m/>
    <m/>
    <m/>
    <m/>
    <s v="01.02.2020"/>
    <s v="DIST GOOGLE ENE"/>
    <n v="20200131"/>
    <n v="41.89"/>
    <m/>
    <m/>
    <m/>
    <s v="DISTRIBUCION GOOGLE ENERO 2020"/>
    <m/>
    <m/>
    <m/>
    <m/>
    <m/>
    <m/>
    <n v="340221790"/>
    <s v="SMARTINEZ"/>
  </r>
  <r>
    <n v="3402"/>
    <s v="31.01.2020"/>
    <n v="2020"/>
    <d v="2020-01-01T00:00:00"/>
    <n v="18"/>
    <n v="200114719"/>
    <s v="SA"/>
    <n v="40"/>
    <x v="8"/>
    <n v="11210050"/>
    <x v="8"/>
    <n v="87.96"/>
    <s v="USD"/>
    <n v="1645.44"/>
    <x v="0"/>
    <s v="D0"/>
    <m/>
    <m/>
    <m/>
    <m/>
    <m/>
    <m/>
    <m/>
    <s v="01.02.2020"/>
    <s v="DIST GOOGLE ENE"/>
    <n v="20200131"/>
    <n v="87.96"/>
    <m/>
    <m/>
    <m/>
    <s v="DISTRIBUCION GOOGLE ENERO 2020"/>
    <m/>
    <m/>
    <m/>
    <m/>
    <m/>
    <m/>
    <n v="340225190"/>
    <s v="SMARTINEZ"/>
  </r>
  <r>
    <n v="3402"/>
    <s v="31.01.2020"/>
    <n v="2020"/>
    <d v="2020-01-01T00:00:00"/>
    <n v="19"/>
    <n v="200114719"/>
    <s v="SA"/>
    <n v="40"/>
    <x v="8"/>
    <n v="11210050"/>
    <x v="8"/>
    <n v="67.02"/>
    <s v="USD"/>
    <n v="1253.72"/>
    <x v="0"/>
    <s v="D0"/>
    <m/>
    <m/>
    <m/>
    <m/>
    <m/>
    <m/>
    <m/>
    <s v="01.02.2020"/>
    <s v="DIST GOOGLE ENE"/>
    <n v="20200131"/>
    <n v="67.02"/>
    <m/>
    <m/>
    <m/>
    <s v="DISTRIBUCION GOOGLE ENERO 2020"/>
    <m/>
    <m/>
    <m/>
    <m/>
    <m/>
    <m/>
    <n v="340225290"/>
    <s v="SMARTINEZ"/>
  </r>
  <r>
    <n v="3402"/>
    <s v="31.01.2020"/>
    <n v="2020"/>
    <d v="2020-01-01T00:00:00"/>
    <n v="20"/>
    <n v="200114719"/>
    <s v="SA"/>
    <n v="40"/>
    <x v="8"/>
    <n v="1121005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225490"/>
    <s v="SMARTINEZ"/>
  </r>
  <r>
    <n v="3402"/>
    <s v="31.01.2020"/>
    <n v="2020"/>
    <d v="2020-01-01T00:00:00"/>
    <n v="21"/>
    <n v="200114719"/>
    <s v="SA"/>
    <n v="40"/>
    <x v="8"/>
    <n v="11210050"/>
    <x v="8"/>
    <n v="58.64"/>
    <s v="USD"/>
    <n v="1096.96"/>
    <x v="0"/>
    <s v="D0"/>
    <m/>
    <m/>
    <m/>
    <m/>
    <m/>
    <m/>
    <m/>
    <s v="01.02.2020"/>
    <s v="DIST GOOGLE ENE"/>
    <n v="20200131"/>
    <n v="58.64"/>
    <m/>
    <m/>
    <m/>
    <s v="DISTRIBUCION GOOGLE ENERO 2020"/>
    <m/>
    <m/>
    <m/>
    <m/>
    <m/>
    <m/>
    <n v="340227190"/>
    <s v="SMARTINEZ"/>
  </r>
  <r>
    <n v="3402"/>
    <s v="31.01.2020"/>
    <n v="2020"/>
    <d v="2020-01-01T00:00:00"/>
    <n v="22"/>
    <n v="200114719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227290"/>
    <s v="SMARTINEZ"/>
  </r>
  <r>
    <n v="3402"/>
    <s v="31.01.2020"/>
    <n v="2020"/>
    <d v="2020-01-01T00:00:00"/>
    <n v="23"/>
    <n v="20011471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232290"/>
    <s v="SMARTINEZ"/>
  </r>
  <r>
    <n v="3402"/>
    <s v="31.01.2020"/>
    <n v="2020"/>
    <d v="2020-01-01T00:00:00"/>
    <n v="24"/>
    <n v="200114719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233190"/>
    <s v="SMARTINEZ"/>
  </r>
  <r>
    <n v="3402"/>
    <s v="31.01.2020"/>
    <n v="2020"/>
    <d v="2020-01-01T00:00:00"/>
    <n v="25"/>
    <n v="200114719"/>
    <s v="SA"/>
    <n v="40"/>
    <x v="8"/>
    <n v="11210050"/>
    <x v="8"/>
    <n v="33.51"/>
    <s v="USD"/>
    <n v="626.86"/>
    <x v="0"/>
    <s v="D0"/>
    <m/>
    <m/>
    <m/>
    <m/>
    <m/>
    <m/>
    <m/>
    <s v="01.02.2020"/>
    <s v="DIST GOOGLE ENE"/>
    <n v="20200131"/>
    <n v="33.51"/>
    <m/>
    <m/>
    <m/>
    <s v="DISTRIBUCION GOOGLE ENERO 2020"/>
    <m/>
    <m/>
    <m/>
    <m/>
    <m/>
    <m/>
    <n v="340236290"/>
    <s v="SMARTINEZ"/>
  </r>
  <r>
    <n v="3402"/>
    <s v="31.01.2020"/>
    <n v="2020"/>
    <d v="2020-01-01T00:00:00"/>
    <n v="26"/>
    <n v="200114719"/>
    <s v="SA"/>
    <n v="40"/>
    <x v="8"/>
    <n v="11210050"/>
    <x v="8"/>
    <n v="117.28"/>
    <s v="USD"/>
    <n v="2193.92"/>
    <x v="0"/>
    <s v="D0"/>
    <m/>
    <m/>
    <m/>
    <m/>
    <m/>
    <m/>
    <m/>
    <s v="01.02.2020"/>
    <s v="DIST GOOGLE ENE"/>
    <n v="20200131"/>
    <n v="117.28"/>
    <m/>
    <m/>
    <m/>
    <s v="DISTRIBUCION GOOGLE ENERO 2020"/>
    <m/>
    <m/>
    <m/>
    <m/>
    <m/>
    <m/>
    <n v="340240390"/>
    <s v="SMARTINEZ"/>
  </r>
  <r>
    <n v="3402"/>
    <s v="31.01.2020"/>
    <n v="2020"/>
    <d v="2020-01-01T00:00:00"/>
    <n v="27"/>
    <n v="200114719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246390"/>
    <s v="SMARTINEZ"/>
  </r>
  <r>
    <n v="3402"/>
    <s v="31.01.2020"/>
    <n v="2020"/>
    <d v="2020-01-01T00:00:00"/>
    <n v="28"/>
    <n v="200114719"/>
    <s v="SA"/>
    <n v="40"/>
    <x v="8"/>
    <n v="11210050"/>
    <x v="8"/>
    <n v="96.34"/>
    <s v="USD"/>
    <n v="1802.2"/>
    <x v="0"/>
    <s v="D0"/>
    <m/>
    <m/>
    <m/>
    <m/>
    <m/>
    <m/>
    <m/>
    <s v="01.02.2020"/>
    <s v="DIST GOOGLE ENE"/>
    <n v="20200131"/>
    <n v="96.34"/>
    <m/>
    <m/>
    <m/>
    <s v="DISTRIBUCION GOOGLE ENERO 2020"/>
    <m/>
    <m/>
    <m/>
    <m/>
    <m/>
    <m/>
    <n v="340248290"/>
    <s v="SMARTINEZ"/>
  </r>
  <r>
    <n v="3402"/>
    <s v="31.01.2020"/>
    <n v="2020"/>
    <d v="2020-01-01T00:00:00"/>
    <n v="29"/>
    <n v="200114719"/>
    <s v="SA"/>
    <n v="40"/>
    <x v="8"/>
    <n v="11210050"/>
    <x v="8"/>
    <n v="121.47"/>
    <s v="USD"/>
    <n v="2272.3000000000002"/>
    <x v="0"/>
    <s v="D0"/>
    <m/>
    <m/>
    <m/>
    <m/>
    <m/>
    <m/>
    <m/>
    <s v="01.02.2020"/>
    <s v="DIST GOOGLE ENE"/>
    <n v="20200131"/>
    <n v="121.47"/>
    <m/>
    <m/>
    <m/>
    <s v="DISTRIBUCION GOOGLE ENERO 2020"/>
    <m/>
    <m/>
    <m/>
    <m/>
    <m/>
    <m/>
    <n v="340253290"/>
    <s v="SMARTINEZ"/>
  </r>
  <r>
    <n v="3402"/>
    <s v="31.01.2020"/>
    <n v="2020"/>
    <d v="2020-01-01T00:00:00"/>
    <n v="30"/>
    <n v="200114719"/>
    <s v="SA"/>
    <n v="40"/>
    <x v="8"/>
    <n v="11210050"/>
    <x v="8"/>
    <n v="50.26"/>
    <s v="USD"/>
    <n v="940.2"/>
    <x v="0"/>
    <s v="D0"/>
    <m/>
    <m/>
    <m/>
    <m/>
    <m/>
    <m/>
    <m/>
    <s v="01.02.2020"/>
    <s v="DIST GOOGLE ENE"/>
    <n v="20200131"/>
    <n v="50.26"/>
    <m/>
    <m/>
    <m/>
    <s v="DISTRIBUCION GOOGLE ENERO 2020"/>
    <m/>
    <m/>
    <m/>
    <m/>
    <m/>
    <m/>
    <n v="340255290"/>
    <s v="SMARTINEZ"/>
  </r>
  <r>
    <n v="3402"/>
    <s v="31.01.2020"/>
    <n v="2020"/>
    <d v="2020-01-01T00:00:00"/>
    <n v="31"/>
    <n v="200114719"/>
    <s v="SA"/>
    <n v="40"/>
    <x v="8"/>
    <n v="11210050"/>
    <x v="8"/>
    <n v="37.700000000000003"/>
    <s v="USD"/>
    <n v="705.24"/>
    <x v="0"/>
    <s v="D0"/>
    <m/>
    <m/>
    <m/>
    <m/>
    <m/>
    <m/>
    <m/>
    <s v="01.02.2020"/>
    <s v="DIST GOOGLE ENE"/>
    <n v="20200131"/>
    <n v="37.700000000000003"/>
    <m/>
    <m/>
    <m/>
    <s v="DISTRIBUCION GOOGLE ENERO 2020"/>
    <m/>
    <m/>
    <m/>
    <m/>
    <m/>
    <m/>
    <n v="340262190"/>
    <s v="SMARTINEZ"/>
  </r>
  <r>
    <n v="3402"/>
    <s v="31.01.2020"/>
    <n v="2020"/>
    <d v="2020-01-01T00:00:00"/>
    <n v="32"/>
    <n v="200114719"/>
    <s v="SA"/>
    <n v="40"/>
    <x v="8"/>
    <n v="11210050"/>
    <x v="8"/>
    <n v="159.16"/>
    <s v="USD"/>
    <n v="2977.36"/>
    <x v="0"/>
    <s v="D0"/>
    <m/>
    <m/>
    <m/>
    <m/>
    <m/>
    <m/>
    <m/>
    <s v="01.02.2020"/>
    <s v="DIST GOOGLE ENE"/>
    <n v="20200131"/>
    <n v="159.16"/>
    <m/>
    <m/>
    <m/>
    <s v="DISTRIBUCION GOOGLE ENERO 2020"/>
    <m/>
    <m/>
    <m/>
    <m/>
    <m/>
    <m/>
    <n v="340268190"/>
    <s v="SMARTINEZ"/>
  </r>
  <r>
    <n v="3402"/>
    <s v="31.01.2020"/>
    <n v="2020"/>
    <d v="2020-01-01T00:00:00"/>
    <n v="33"/>
    <n v="20011471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275190"/>
    <s v="SMARTINEZ"/>
  </r>
  <r>
    <n v="3402"/>
    <s v="31.01.2020"/>
    <n v="2020"/>
    <d v="2020-01-01T00:00:00"/>
    <n v="34"/>
    <n v="20011471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212690"/>
    <s v="SMARTINEZ"/>
  </r>
  <r>
    <n v="3402"/>
    <s v="31.01.2020"/>
    <n v="2020"/>
    <d v="2020-01-01T00:00:00"/>
    <n v="35"/>
    <n v="20011471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212590"/>
    <s v="SMARTINEZ"/>
  </r>
  <r>
    <n v="3402"/>
    <s v="31.01.2020"/>
    <n v="2020"/>
    <d v="2020-01-01T00:00:00"/>
    <n v="36"/>
    <n v="20011471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212390"/>
    <s v="SMARTINEZ"/>
  </r>
  <r>
    <n v="3402"/>
    <s v="31.01.2020"/>
    <n v="2020"/>
    <d v="2020-01-01T00:00:00"/>
    <n v="37"/>
    <n v="20011471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210690"/>
    <s v="SMARTINEZ"/>
  </r>
  <r>
    <n v="3402"/>
    <s v="31.01.2020"/>
    <n v="2020"/>
    <d v="2020-01-01T00:00:00"/>
    <n v="38"/>
    <n v="20011471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213090"/>
    <s v="SMARTINEZ"/>
  </r>
  <r>
    <n v="3403"/>
    <s v="31.01.2020"/>
    <n v="2020"/>
    <d v="2020-01-01T00:00:00"/>
    <n v="1"/>
    <n v="300018523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310490"/>
    <s v="SMARTINEZ"/>
  </r>
  <r>
    <n v="3403"/>
    <s v="31.01.2020"/>
    <n v="2020"/>
    <d v="2020-01-01T00:00:00"/>
    <n v="2"/>
    <n v="300018523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310590"/>
    <s v="SMARTINEZ"/>
  </r>
  <r>
    <n v="3403"/>
    <s v="31.01.2020"/>
    <n v="2020"/>
    <d v="2020-01-01T00:00:00"/>
    <n v="3"/>
    <n v="300018523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310790"/>
    <s v="SMARTINEZ"/>
  </r>
  <r>
    <n v="3403"/>
    <s v="31.01.2020"/>
    <n v="2020"/>
    <d v="2020-01-01T00:00:00"/>
    <n v="4"/>
    <n v="300018523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312290"/>
    <s v="SMARTINEZ"/>
  </r>
  <r>
    <n v="3403"/>
    <s v="31.01.2020"/>
    <n v="2020"/>
    <d v="2020-01-01T00:00:00"/>
    <n v="5"/>
    <n v="300018523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312490"/>
    <s v="SMARTINEZ"/>
  </r>
  <r>
    <n v="3403"/>
    <s v="31.01.2020"/>
    <n v="2020"/>
    <d v="2020-01-01T00:00:00"/>
    <n v="6"/>
    <n v="300018523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312690"/>
    <s v="SMARTINEZ"/>
  </r>
  <r>
    <n v="3403"/>
    <s v="31.01.2020"/>
    <n v="2020"/>
    <d v="2020-01-01T00:00:00"/>
    <n v="7"/>
    <n v="300018523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315190"/>
    <s v="SMARTINEZ"/>
  </r>
  <r>
    <n v="3403"/>
    <s v="31.01.2020"/>
    <n v="2020"/>
    <d v="2020-01-01T00:00:00"/>
    <n v="8"/>
    <n v="300018523"/>
    <s v="SA"/>
    <n v="40"/>
    <x v="8"/>
    <n v="11210050"/>
    <x v="8"/>
    <n v="62.83"/>
    <s v="USD"/>
    <n v="1175.3399999999999"/>
    <x v="0"/>
    <s v="D0"/>
    <m/>
    <m/>
    <m/>
    <m/>
    <m/>
    <m/>
    <m/>
    <s v="01.02.2020"/>
    <s v="DIST GOOGLE ENE"/>
    <n v="20200131"/>
    <n v="62.83"/>
    <m/>
    <m/>
    <m/>
    <s v="DISTRIBUCION GOOGLE ENERO 2020"/>
    <m/>
    <m/>
    <m/>
    <m/>
    <m/>
    <m/>
    <n v="340316690"/>
    <s v="SMARTINEZ"/>
  </r>
  <r>
    <n v="3403"/>
    <s v="31.01.2020"/>
    <n v="2020"/>
    <d v="2020-01-01T00:00:00"/>
    <n v="9"/>
    <n v="300018523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317690"/>
    <s v="SMARTINEZ"/>
  </r>
  <r>
    <n v="3403"/>
    <s v="31.01.2020"/>
    <n v="2020"/>
    <d v="2020-01-01T00:00:00"/>
    <n v="10"/>
    <n v="300018523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319190"/>
    <s v="SMARTINEZ"/>
  </r>
  <r>
    <n v="3403"/>
    <s v="31.01.2020"/>
    <n v="2020"/>
    <d v="2020-01-01T00:00:00"/>
    <n v="11"/>
    <n v="300018523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319290"/>
    <s v="SMARTINEZ"/>
  </r>
  <r>
    <n v="3403"/>
    <s v="31.01.2020"/>
    <n v="2020"/>
    <d v="2020-01-01T00:00:00"/>
    <n v="12"/>
    <n v="300018523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320490"/>
    <s v="SMARTINEZ"/>
  </r>
  <r>
    <n v="3403"/>
    <s v="31.01.2020"/>
    <n v="2020"/>
    <d v="2020-01-01T00:00:00"/>
    <n v="13"/>
    <n v="300018523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321690"/>
    <s v="SMARTINEZ"/>
  </r>
  <r>
    <n v="3403"/>
    <s v="31.01.2020"/>
    <n v="2020"/>
    <d v="2020-01-01T00:00:00"/>
    <n v="14"/>
    <n v="300018523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321790"/>
    <s v="SMARTINEZ"/>
  </r>
  <r>
    <n v="3403"/>
    <s v="31.01.2020"/>
    <n v="2020"/>
    <d v="2020-01-01T00:00:00"/>
    <n v="15"/>
    <n v="300018523"/>
    <s v="SA"/>
    <n v="40"/>
    <x v="8"/>
    <n v="11210050"/>
    <x v="8"/>
    <n v="37.700000000000003"/>
    <s v="USD"/>
    <n v="705.24"/>
    <x v="0"/>
    <s v="D0"/>
    <m/>
    <m/>
    <m/>
    <m/>
    <m/>
    <m/>
    <m/>
    <s v="01.02.2020"/>
    <s v="DIST GOOGLE ENE"/>
    <n v="20200131"/>
    <n v="37.700000000000003"/>
    <m/>
    <m/>
    <m/>
    <s v="DISTRIBUCION GOOGLE ENERO 2020"/>
    <m/>
    <m/>
    <m/>
    <m/>
    <m/>
    <m/>
    <n v="340325190"/>
    <s v="SMARTINEZ"/>
  </r>
  <r>
    <n v="3403"/>
    <s v="31.01.2020"/>
    <n v="2020"/>
    <d v="2020-01-01T00:00:00"/>
    <n v="16"/>
    <n v="300018523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325290"/>
    <s v="SMARTINEZ"/>
  </r>
  <r>
    <n v="3403"/>
    <s v="31.01.2020"/>
    <n v="2020"/>
    <d v="2020-01-01T00:00:00"/>
    <n v="17"/>
    <n v="300018523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325490"/>
    <s v="SMARTINEZ"/>
  </r>
  <r>
    <n v="3403"/>
    <s v="31.01.2020"/>
    <n v="2020"/>
    <d v="2020-01-01T00:00:00"/>
    <n v="18"/>
    <n v="300018523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327190"/>
    <s v="SMARTINEZ"/>
  </r>
  <r>
    <n v="3403"/>
    <s v="31.01.2020"/>
    <n v="2020"/>
    <d v="2020-01-01T00:00:00"/>
    <n v="19"/>
    <n v="300018523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327290"/>
    <s v="SMARTINEZ"/>
  </r>
  <r>
    <n v="3403"/>
    <s v="31.01.2020"/>
    <n v="2020"/>
    <d v="2020-01-01T00:00:00"/>
    <n v="20"/>
    <n v="300018523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332290"/>
    <s v="SMARTINEZ"/>
  </r>
  <r>
    <n v="3403"/>
    <s v="31.01.2020"/>
    <n v="2020"/>
    <d v="2020-01-01T00:00:00"/>
    <n v="21"/>
    <n v="300018523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333190"/>
    <s v="SMARTINEZ"/>
  </r>
  <r>
    <n v="3403"/>
    <s v="31.01.2020"/>
    <n v="2020"/>
    <d v="2020-01-01T00:00:00"/>
    <n v="22"/>
    <n v="300018523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336290"/>
    <s v="SMARTINEZ"/>
  </r>
  <r>
    <n v="3403"/>
    <s v="31.01.2020"/>
    <n v="2020"/>
    <d v="2020-01-01T00:00:00"/>
    <n v="23"/>
    <n v="300018523"/>
    <s v="SA"/>
    <n v="40"/>
    <x v="8"/>
    <n v="11210050"/>
    <x v="8"/>
    <n v="67.02"/>
    <s v="USD"/>
    <n v="1253.72"/>
    <x v="0"/>
    <s v="D0"/>
    <m/>
    <m/>
    <m/>
    <m/>
    <m/>
    <m/>
    <m/>
    <s v="01.02.2020"/>
    <s v="DIST GOOGLE ENE"/>
    <n v="20200131"/>
    <n v="67.02"/>
    <m/>
    <m/>
    <m/>
    <s v="DISTRIBUCION GOOGLE ENERO 2020"/>
    <m/>
    <m/>
    <m/>
    <m/>
    <m/>
    <m/>
    <n v="340340390"/>
    <s v="SMARTINEZ"/>
  </r>
  <r>
    <n v="3403"/>
    <s v="31.01.2020"/>
    <n v="2020"/>
    <d v="2020-01-01T00:00:00"/>
    <n v="24"/>
    <n v="300018523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346390"/>
    <s v="SMARTINEZ"/>
  </r>
  <r>
    <n v="3403"/>
    <s v="31.01.2020"/>
    <n v="2020"/>
    <d v="2020-01-01T00:00:00"/>
    <n v="25"/>
    <n v="300018523"/>
    <s v="SA"/>
    <n v="40"/>
    <x v="8"/>
    <n v="11210050"/>
    <x v="8"/>
    <n v="41.89"/>
    <s v="USD"/>
    <n v="783.62"/>
    <x v="0"/>
    <s v="D0"/>
    <m/>
    <m/>
    <m/>
    <m/>
    <m/>
    <m/>
    <m/>
    <s v="01.02.2020"/>
    <s v="DIST GOOGLE ENE"/>
    <n v="20200131"/>
    <n v="41.89"/>
    <m/>
    <m/>
    <m/>
    <s v="DISTRIBUCION GOOGLE ENERO 2020"/>
    <m/>
    <m/>
    <m/>
    <m/>
    <m/>
    <m/>
    <n v="340348290"/>
    <s v="SMARTINEZ"/>
  </r>
  <r>
    <n v="3403"/>
    <s v="31.01.2020"/>
    <n v="2020"/>
    <d v="2020-01-01T00:00:00"/>
    <n v="26"/>
    <n v="300018523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353290"/>
    <s v="SMARTINEZ"/>
  </r>
  <r>
    <n v="3403"/>
    <s v="31.01.2020"/>
    <n v="2020"/>
    <d v="2020-01-01T00:00:00"/>
    <n v="27"/>
    <n v="300018523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368190"/>
    <s v="SMARTINEZ"/>
  </r>
  <r>
    <n v="3403"/>
    <s v="31.01.2020"/>
    <n v="2020"/>
    <d v="2020-01-01T00:00:00"/>
    <n v="28"/>
    <n v="300018523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312890"/>
    <s v="SMARTINEZ"/>
  </r>
  <r>
    <n v="3403"/>
    <s v="31.01.2020"/>
    <n v="2020"/>
    <d v="2020-01-01T00:00:00"/>
    <n v="29"/>
    <n v="300018523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310890"/>
    <s v="SMARTINEZ"/>
  </r>
  <r>
    <n v="3403"/>
    <s v="31.01.2020"/>
    <n v="2020"/>
    <d v="2020-01-01T00:00:00"/>
    <n v="30"/>
    <n v="300018523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312790"/>
    <s v="SMARTINEZ"/>
  </r>
  <r>
    <n v="3403"/>
    <s v="31.01.2020"/>
    <n v="2020"/>
    <d v="2020-01-01T00:00:00"/>
    <n v="31"/>
    <n v="300018523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310690"/>
    <s v="SMARTINEZ"/>
  </r>
  <r>
    <n v="3406"/>
    <s v="31.01.2020"/>
    <n v="2020"/>
    <d v="2020-01-01T00:00:00"/>
    <n v="1"/>
    <n v="600031589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610490"/>
    <s v="SMARTINEZ"/>
  </r>
  <r>
    <n v="3406"/>
    <s v="31.01.2020"/>
    <n v="2020"/>
    <d v="2020-01-01T00:00:00"/>
    <n v="2"/>
    <n v="60003158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610590"/>
    <s v="SMARTINEZ"/>
  </r>
  <r>
    <n v="3406"/>
    <s v="31.01.2020"/>
    <n v="2020"/>
    <d v="2020-01-01T00:00:00"/>
    <n v="3"/>
    <n v="60003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610690"/>
    <s v="SMARTINEZ"/>
  </r>
  <r>
    <n v="3406"/>
    <s v="31.01.2020"/>
    <n v="2020"/>
    <d v="2020-01-01T00:00:00"/>
    <n v="4"/>
    <n v="600031589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610790"/>
    <s v="SMARTINEZ"/>
  </r>
  <r>
    <n v="3406"/>
    <s v="31.01.2020"/>
    <n v="2020"/>
    <d v="2020-01-01T00:00:00"/>
    <n v="5"/>
    <n v="60003158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610890"/>
    <s v="SMARTINEZ"/>
  </r>
  <r>
    <n v="3406"/>
    <s v="31.01.2020"/>
    <n v="2020"/>
    <d v="2020-01-01T00:00:00"/>
    <n v="6"/>
    <n v="600031589"/>
    <s v="SA"/>
    <n v="40"/>
    <x v="8"/>
    <n v="11210050"/>
    <x v="8"/>
    <n v="37.700000000000003"/>
    <s v="USD"/>
    <n v="705.24"/>
    <x v="0"/>
    <s v="D0"/>
    <m/>
    <m/>
    <m/>
    <m/>
    <m/>
    <m/>
    <m/>
    <s v="01.02.2020"/>
    <s v="DIST GOOGLE ENE"/>
    <n v="20200131"/>
    <n v="37.700000000000003"/>
    <m/>
    <m/>
    <m/>
    <s v="DISTRIBUCION GOOGLE ENERO 2020"/>
    <m/>
    <m/>
    <m/>
    <m/>
    <m/>
    <m/>
    <n v="340612290"/>
    <s v="SMARTINEZ"/>
  </r>
  <r>
    <n v="3406"/>
    <s v="31.01.2020"/>
    <n v="2020"/>
    <d v="2020-01-01T00:00:00"/>
    <n v="7"/>
    <n v="60003158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612490"/>
    <s v="SMARTINEZ"/>
  </r>
  <r>
    <n v="3406"/>
    <s v="31.01.2020"/>
    <n v="2020"/>
    <d v="2020-01-01T00:00:00"/>
    <n v="8"/>
    <n v="60003158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612590"/>
    <s v="SMARTINEZ"/>
  </r>
  <r>
    <n v="3406"/>
    <s v="31.01.2020"/>
    <n v="2020"/>
    <d v="2020-01-01T00:00:00"/>
    <n v="9"/>
    <n v="60003158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612790"/>
    <s v="SMARTINEZ"/>
  </r>
  <r>
    <n v="3406"/>
    <s v="31.01.2020"/>
    <n v="2020"/>
    <d v="2020-01-01T00:00:00"/>
    <n v="10"/>
    <n v="60003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612890"/>
    <s v="SMARTINEZ"/>
  </r>
  <r>
    <n v="3406"/>
    <s v="31.01.2020"/>
    <n v="2020"/>
    <d v="2020-01-01T00:00:00"/>
    <n v="11"/>
    <n v="60003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613190"/>
    <s v="SMARTINEZ"/>
  </r>
  <r>
    <n v="3406"/>
    <s v="31.01.2020"/>
    <n v="2020"/>
    <d v="2020-01-01T00:00:00"/>
    <n v="12"/>
    <n v="60003158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614190"/>
    <s v="SMARTINEZ"/>
  </r>
  <r>
    <n v="3406"/>
    <s v="31.01.2020"/>
    <n v="2020"/>
    <d v="2020-01-01T00:00:00"/>
    <n v="13"/>
    <n v="60003158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615190"/>
    <s v="SMARTINEZ"/>
  </r>
  <r>
    <n v="3406"/>
    <s v="31.01.2020"/>
    <n v="2020"/>
    <d v="2020-01-01T00:00:00"/>
    <n v="14"/>
    <n v="600031589"/>
    <s v="SA"/>
    <n v="40"/>
    <x v="8"/>
    <n v="11210050"/>
    <x v="8"/>
    <n v="46.07"/>
    <s v="USD"/>
    <n v="861.82"/>
    <x v="0"/>
    <s v="D0"/>
    <m/>
    <m/>
    <m/>
    <m/>
    <m/>
    <m/>
    <m/>
    <s v="01.02.2020"/>
    <s v="DIST GOOGLE ENE"/>
    <n v="20200131"/>
    <n v="46.07"/>
    <m/>
    <m/>
    <m/>
    <s v="DISTRIBUCION GOOGLE ENERO 2020"/>
    <m/>
    <m/>
    <m/>
    <m/>
    <m/>
    <m/>
    <n v="340616690"/>
    <s v="SMARTINEZ"/>
  </r>
  <r>
    <n v="3406"/>
    <s v="31.01.2020"/>
    <n v="2020"/>
    <d v="2020-01-01T00:00:00"/>
    <n v="15"/>
    <n v="600031589"/>
    <s v="SA"/>
    <n v="40"/>
    <x v="8"/>
    <n v="11210050"/>
    <x v="8"/>
    <n v="37.700000000000003"/>
    <s v="USD"/>
    <n v="705.24"/>
    <x v="0"/>
    <s v="D0"/>
    <m/>
    <m/>
    <m/>
    <m/>
    <m/>
    <m/>
    <m/>
    <s v="01.02.2020"/>
    <s v="DIST GOOGLE ENE"/>
    <n v="20200131"/>
    <n v="37.700000000000003"/>
    <m/>
    <m/>
    <m/>
    <s v="DISTRIBUCION GOOGLE ENERO 2020"/>
    <m/>
    <m/>
    <m/>
    <m/>
    <m/>
    <m/>
    <n v="340617690"/>
    <s v="SMARTINEZ"/>
  </r>
  <r>
    <n v="3406"/>
    <s v="31.01.2020"/>
    <n v="2020"/>
    <d v="2020-01-01T00:00:00"/>
    <n v="16"/>
    <n v="600031589"/>
    <s v="SA"/>
    <n v="40"/>
    <x v="8"/>
    <n v="11210050"/>
    <x v="8"/>
    <n v="33.51"/>
    <s v="USD"/>
    <n v="626.86"/>
    <x v="0"/>
    <s v="D0"/>
    <m/>
    <m/>
    <m/>
    <m/>
    <m/>
    <m/>
    <m/>
    <s v="01.02.2020"/>
    <s v="DIST GOOGLE ENE"/>
    <n v="20200131"/>
    <n v="33.51"/>
    <m/>
    <m/>
    <m/>
    <s v="DISTRIBUCION GOOGLE ENERO 2020"/>
    <m/>
    <m/>
    <m/>
    <m/>
    <m/>
    <m/>
    <n v="340617990"/>
    <s v="SMARTINEZ"/>
  </r>
  <r>
    <n v="3406"/>
    <s v="31.01.2020"/>
    <n v="2020"/>
    <d v="2020-01-01T00:00:00"/>
    <n v="17"/>
    <n v="60003158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619190"/>
    <s v="SMARTINEZ"/>
  </r>
  <r>
    <n v="3406"/>
    <s v="31.01.2020"/>
    <n v="2020"/>
    <d v="2020-01-01T00:00:00"/>
    <n v="18"/>
    <n v="60003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619290"/>
    <s v="SMARTINEZ"/>
  </r>
  <r>
    <n v="3406"/>
    <s v="31.01.2020"/>
    <n v="2020"/>
    <d v="2020-01-01T00:00:00"/>
    <n v="19"/>
    <n v="60003158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620490"/>
    <s v="SMARTINEZ"/>
  </r>
  <r>
    <n v="3406"/>
    <s v="31.01.2020"/>
    <n v="2020"/>
    <d v="2020-01-01T00:00:00"/>
    <n v="20"/>
    <n v="600031589"/>
    <s v="SA"/>
    <n v="40"/>
    <x v="8"/>
    <n v="11210050"/>
    <x v="8"/>
    <n v="41.89"/>
    <s v="USD"/>
    <n v="783.62"/>
    <x v="0"/>
    <s v="D0"/>
    <m/>
    <m/>
    <m/>
    <m/>
    <m/>
    <m/>
    <m/>
    <s v="01.02.2020"/>
    <s v="DIST GOOGLE ENE"/>
    <n v="20200131"/>
    <n v="41.89"/>
    <m/>
    <m/>
    <m/>
    <s v="DISTRIBUCION GOOGLE ENERO 2020"/>
    <m/>
    <m/>
    <m/>
    <m/>
    <m/>
    <m/>
    <n v="340621690"/>
    <s v="SMARTINEZ"/>
  </r>
  <r>
    <n v="3406"/>
    <s v="31.01.2020"/>
    <n v="2020"/>
    <d v="2020-01-01T00:00:00"/>
    <n v="21"/>
    <n v="600031589"/>
    <s v="SA"/>
    <n v="40"/>
    <x v="8"/>
    <n v="11210050"/>
    <x v="8"/>
    <n v="41.89"/>
    <s v="USD"/>
    <n v="783.62"/>
    <x v="0"/>
    <s v="D0"/>
    <m/>
    <m/>
    <m/>
    <m/>
    <m/>
    <m/>
    <m/>
    <s v="01.02.2020"/>
    <s v="DIST GOOGLE ENE"/>
    <n v="20200131"/>
    <n v="41.89"/>
    <m/>
    <m/>
    <m/>
    <s v="DISTRIBUCION GOOGLE ENERO 2020"/>
    <m/>
    <m/>
    <m/>
    <m/>
    <m/>
    <m/>
    <n v="340621790"/>
    <s v="SMARTINEZ"/>
  </r>
  <r>
    <n v="3406"/>
    <s v="31.01.2020"/>
    <n v="2020"/>
    <d v="2020-01-01T00:00:00"/>
    <n v="22"/>
    <n v="600031589"/>
    <s v="SA"/>
    <n v="40"/>
    <x v="8"/>
    <n v="1121005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625190"/>
    <s v="SMARTINEZ"/>
  </r>
  <r>
    <n v="3406"/>
    <s v="31.01.2020"/>
    <n v="2020"/>
    <d v="2020-01-01T00:00:00"/>
    <n v="23"/>
    <n v="60003158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625290"/>
    <s v="SMARTINEZ"/>
  </r>
  <r>
    <n v="3406"/>
    <s v="31.01.2020"/>
    <n v="2020"/>
    <d v="2020-01-01T00:00:00"/>
    <n v="24"/>
    <n v="60003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625490"/>
    <s v="SMARTINEZ"/>
  </r>
  <r>
    <n v="3406"/>
    <s v="31.01.2020"/>
    <n v="2020"/>
    <d v="2020-01-01T00:00:00"/>
    <n v="25"/>
    <n v="600031589"/>
    <s v="SA"/>
    <n v="40"/>
    <x v="8"/>
    <n v="11210050"/>
    <x v="8"/>
    <n v="33.51"/>
    <s v="USD"/>
    <n v="626.86"/>
    <x v="0"/>
    <s v="D0"/>
    <m/>
    <m/>
    <m/>
    <m/>
    <m/>
    <m/>
    <m/>
    <s v="01.02.2020"/>
    <s v="DIST GOOGLE ENE"/>
    <n v="20200131"/>
    <n v="33.51"/>
    <m/>
    <m/>
    <m/>
    <s v="DISTRIBUCION GOOGLE ENERO 2020"/>
    <m/>
    <m/>
    <m/>
    <m/>
    <m/>
    <m/>
    <n v="340627190"/>
    <s v="SMARTINEZ"/>
  </r>
  <r>
    <n v="3406"/>
    <s v="31.01.2020"/>
    <n v="2020"/>
    <d v="2020-01-01T00:00:00"/>
    <n v="26"/>
    <n v="600031589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627290"/>
    <s v="SMARTINEZ"/>
  </r>
  <r>
    <n v="3406"/>
    <s v="31.01.2020"/>
    <n v="2020"/>
    <d v="2020-01-01T00:00:00"/>
    <n v="27"/>
    <n v="60003158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633190"/>
    <s v="SMARTINEZ"/>
  </r>
  <r>
    <n v="3406"/>
    <s v="31.01.2020"/>
    <n v="2020"/>
    <d v="2020-01-01T00:00:00"/>
    <n v="28"/>
    <n v="60003158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636290"/>
    <s v="SMARTINEZ"/>
  </r>
  <r>
    <n v="3406"/>
    <s v="31.01.2020"/>
    <n v="2020"/>
    <d v="2020-01-01T00:00:00"/>
    <n v="29"/>
    <n v="600031589"/>
    <s v="SA"/>
    <n v="40"/>
    <x v="8"/>
    <n v="11210050"/>
    <x v="8"/>
    <n v="71.2"/>
    <s v="USD"/>
    <n v="1331.92"/>
    <x v="0"/>
    <s v="D0"/>
    <m/>
    <m/>
    <m/>
    <m/>
    <m/>
    <m/>
    <m/>
    <s v="01.02.2020"/>
    <s v="DIST GOOGLE ENE"/>
    <n v="20200131"/>
    <n v="71.2"/>
    <m/>
    <m/>
    <m/>
    <s v="DISTRIBUCION GOOGLE ENERO 2020"/>
    <m/>
    <m/>
    <m/>
    <m/>
    <m/>
    <m/>
    <n v="340640390"/>
    <s v="SMARTINEZ"/>
  </r>
  <r>
    <n v="3406"/>
    <s v="31.01.2020"/>
    <n v="2020"/>
    <d v="2020-01-01T00:00:00"/>
    <n v="30"/>
    <n v="600031589"/>
    <s v="SA"/>
    <n v="40"/>
    <x v="8"/>
    <n v="1121005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646390"/>
    <s v="SMARTINEZ"/>
  </r>
  <r>
    <n v="3406"/>
    <s v="31.01.2020"/>
    <n v="2020"/>
    <d v="2020-01-01T00:00:00"/>
    <n v="31"/>
    <n v="600031589"/>
    <s v="SA"/>
    <n v="40"/>
    <x v="8"/>
    <n v="11210050"/>
    <x v="8"/>
    <n v="58.64"/>
    <s v="USD"/>
    <n v="1096.96"/>
    <x v="0"/>
    <s v="D0"/>
    <m/>
    <m/>
    <m/>
    <m/>
    <m/>
    <m/>
    <m/>
    <s v="01.02.2020"/>
    <s v="DIST GOOGLE ENE"/>
    <n v="20200131"/>
    <n v="58.64"/>
    <m/>
    <m/>
    <m/>
    <s v="DISTRIBUCION GOOGLE ENERO 2020"/>
    <m/>
    <m/>
    <m/>
    <m/>
    <m/>
    <m/>
    <n v="340648290"/>
    <s v="SMARTINEZ"/>
  </r>
  <r>
    <n v="3406"/>
    <s v="31.01.2020"/>
    <n v="2020"/>
    <d v="2020-01-01T00:00:00"/>
    <n v="32"/>
    <n v="600031589"/>
    <s v="SA"/>
    <n v="40"/>
    <x v="8"/>
    <n v="11210050"/>
    <x v="8"/>
    <n v="50.26"/>
    <s v="USD"/>
    <n v="940.2"/>
    <x v="0"/>
    <s v="D0"/>
    <m/>
    <m/>
    <m/>
    <m/>
    <m/>
    <m/>
    <m/>
    <s v="01.02.2020"/>
    <s v="DIST GOOGLE ENE"/>
    <n v="20200131"/>
    <n v="50.26"/>
    <m/>
    <m/>
    <m/>
    <s v="DISTRIBUCION GOOGLE ENERO 2020"/>
    <m/>
    <m/>
    <m/>
    <m/>
    <m/>
    <m/>
    <n v="340653290"/>
    <s v="SMARTINEZ"/>
  </r>
  <r>
    <n v="3406"/>
    <s v="31.01.2020"/>
    <n v="2020"/>
    <d v="2020-01-01T00:00:00"/>
    <n v="33"/>
    <n v="600031589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662190"/>
    <s v="SMARTINEZ"/>
  </r>
  <r>
    <n v="3406"/>
    <s v="31.01.2020"/>
    <n v="2020"/>
    <d v="2020-01-01T00:00:00"/>
    <n v="34"/>
    <n v="600031589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668390"/>
    <s v="SMARTINEZ"/>
  </r>
  <r>
    <n v="3406"/>
    <s v="31.01.2020"/>
    <n v="2020"/>
    <d v="2020-01-01T00:00:00"/>
    <n v="35"/>
    <n v="60003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668490"/>
    <s v="SMARTINEZ"/>
  </r>
  <r>
    <n v="3406"/>
    <s v="31.01.2020"/>
    <n v="2020"/>
    <d v="2020-01-01T00:00:00"/>
    <n v="36"/>
    <n v="60003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612390"/>
    <s v="SMARTINEZ"/>
  </r>
  <r>
    <n v="3407"/>
    <s v="31.01.2020"/>
    <n v="2020"/>
    <d v="2020-01-01T00:00:00"/>
    <n v="1"/>
    <n v="700040930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710490"/>
    <s v="SMARTINEZ"/>
  </r>
  <r>
    <n v="3407"/>
    <s v="31.01.2020"/>
    <n v="2020"/>
    <d v="2020-01-01T00:00:00"/>
    <n v="2"/>
    <n v="700040930"/>
    <s v="SA"/>
    <n v="40"/>
    <x v="8"/>
    <n v="1121005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710790"/>
    <s v="SMARTINEZ"/>
  </r>
  <r>
    <n v="3407"/>
    <s v="31.01.2020"/>
    <n v="2020"/>
    <d v="2020-01-01T00:00:00"/>
    <n v="3"/>
    <n v="700040930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710890"/>
    <s v="SMARTINEZ"/>
  </r>
  <r>
    <n v="3407"/>
    <s v="31.01.2020"/>
    <n v="2020"/>
    <d v="2020-01-01T00:00:00"/>
    <n v="4"/>
    <n v="700040930"/>
    <s v="SA"/>
    <n v="40"/>
    <x v="8"/>
    <n v="1121005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712290"/>
    <s v="SMARTINEZ"/>
  </r>
  <r>
    <n v="3407"/>
    <s v="31.01.2020"/>
    <n v="2020"/>
    <d v="2020-01-01T00:00:00"/>
    <n v="5"/>
    <n v="700040930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712390"/>
    <s v="SMARTINEZ"/>
  </r>
  <r>
    <n v="3407"/>
    <s v="31.01.2020"/>
    <n v="2020"/>
    <d v="2020-01-01T00:00:00"/>
    <n v="6"/>
    <n v="700040930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712590"/>
    <s v="SMARTINEZ"/>
  </r>
  <r>
    <n v="3407"/>
    <s v="31.01.2020"/>
    <n v="2020"/>
    <d v="2020-01-01T00:00:00"/>
    <n v="7"/>
    <n v="700040930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712690"/>
    <s v="SMARTINEZ"/>
  </r>
  <r>
    <n v="3407"/>
    <s v="31.01.2020"/>
    <n v="2020"/>
    <d v="2020-01-01T00:00:00"/>
    <n v="8"/>
    <n v="700040930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712790"/>
    <s v="SMARTINEZ"/>
  </r>
  <r>
    <n v="3407"/>
    <s v="31.01.2020"/>
    <n v="2020"/>
    <d v="2020-01-01T00:00:00"/>
    <n v="9"/>
    <n v="700040930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712890"/>
    <s v="SMARTINEZ"/>
  </r>
  <r>
    <n v="3407"/>
    <s v="31.01.2020"/>
    <n v="2020"/>
    <d v="2020-01-01T00:00:00"/>
    <n v="10"/>
    <n v="700040930"/>
    <s v="SA"/>
    <n v="40"/>
    <x v="8"/>
    <n v="11210050"/>
    <x v="8"/>
    <n v="62.83"/>
    <s v="USD"/>
    <n v="1175.3399999999999"/>
    <x v="0"/>
    <s v="D0"/>
    <m/>
    <m/>
    <m/>
    <m/>
    <m/>
    <m/>
    <m/>
    <s v="01.02.2020"/>
    <s v="DIST GOOGLE ENE"/>
    <n v="20200131"/>
    <n v="62.83"/>
    <m/>
    <m/>
    <m/>
    <s v="DISTRIBUCION GOOGLE ENERO 2020"/>
    <m/>
    <m/>
    <m/>
    <m/>
    <m/>
    <m/>
    <n v="340716690"/>
    <s v="SMARTINEZ"/>
  </r>
  <r>
    <n v="3407"/>
    <s v="31.01.2020"/>
    <n v="2020"/>
    <d v="2020-01-01T00:00:00"/>
    <n v="11"/>
    <n v="700040930"/>
    <s v="SA"/>
    <n v="40"/>
    <x v="8"/>
    <n v="11210050"/>
    <x v="8"/>
    <n v="46.07"/>
    <s v="USD"/>
    <n v="861.82"/>
    <x v="0"/>
    <s v="D0"/>
    <m/>
    <m/>
    <m/>
    <m/>
    <m/>
    <m/>
    <m/>
    <s v="01.02.2020"/>
    <s v="DIST GOOGLE ENE"/>
    <n v="20200131"/>
    <n v="46.07"/>
    <m/>
    <m/>
    <m/>
    <s v="DISTRIBUCION GOOGLE ENERO 2020"/>
    <m/>
    <m/>
    <m/>
    <m/>
    <m/>
    <m/>
    <n v="340717690"/>
    <s v="SMARTINEZ"/>
  </r>
  <r>
    <n v="3407"/>
    <s v="31.01.2020"/>
    <n v="2020"/>
    <d v="2020-01-01T00:00:00"/>
    <n v="12"/>
    <n v="700040930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717990"/>
    <s v="SMARTINEZ"/>
  </r>
  <r>
    <n v="3407"/>
    <s v="31.01.2020"/>
    <n v="2020"/>
    <d v="2020-01-01T00:00:00"/>
    <n v="13"/>
    <n v="700040930"/>
    <s v="SA"/>
    <n v="40"/>
    <x v="8"/>
    <n v="11210050"/>
    <x v="8"/>
    <n v="50.26"/>
    <s v="USD"/>
    <n v="940.2"/>
    <x v="0"/>
    <s v="D0"/>
    <m/>
    <m/>
    <m/>
    <m/>
    <m/>
    <m/>
    <m/>
    <s v="01.02.2020"/>
    <s v="DIST GOOGLE ENE"/>
    <n v="20200131"/>
    <n v="50.26"/>
    <m/>
    <m/>
    <m/>
    <s v="DISTRIBUCION GOOGLE ENERO 2020"/>
    <m/>
    <m/>
    <m/>
    <m/>
    <m/>
    <m/>
    <n v="340719190"/>
    <s v="SMARTINEZ"/>
  </r>
  <r>
    <n v="3407"/>
    <s v="31.01.2020"/>
    <n v="2020"/>
    <d v="2020-01-01T00:00:00"/>
    <n v="14"/>
    <n v="700040930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719290"/>
    <s v="SMARTINEZ"/>
  </r>
  <r>
    <n v="3407"/>
    <s v="31.01.2020"/>
    <n v="2020"/>
    <d v="2020-01-01T00:00:00"/>
    <n v="15"/>
    <n v="700040930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720490"/>
    <s v="SMARTINEZ"/>
  </r>
  <r>
    <n v="3407"/>
    <s v="31.01.2020"/>
    <n v="2020"/>
    <d v="2020-01-01T00:00:00"/>
    <n v="16"/>
    <n v="700040930"/>
    <s v="SA"/>
    <n v="40"/>
    <x v="8"/>
    <n v="11210050"/>
    <x v="8"/>
    <n v="33.51"/>
    <s v="USD"/>
    <n v="626.86"/>
    <x v="0"/>
    <s v="D0"/>
    <m/>
    <m/>
    <m/>
    <m/>
    <m/>
    <m/>
    <m/>
    <s v="01.02.2020"/>
    <s v="DIST GOOGLE ENE"/>
    <n v="20200131"/>
    <n v="33.51"/>
    <m/>
    <m/>
    <m/>
    <s v="DISTRIBUCION GOOGLE ENERO 2020"/>
    <m/>
    <m/>
    <m/>
    <m/>
    <m/>
    <m/>
    <n v="340721690"/>
    <s v="SMARTINEZ"/>
  </r>
  <r>
    <n v="3407"/>
    <s v="31.01.2020"/>
    <n v="2020"/>
    <d v="2020-01-01T00:00:00"/>
    <n v="17"/>
    <n v="700040930"/>
    <s v="SA"/>
    <n v="40"/>
    <x v="8"/>
    <n v="11210050"/>
    <x v="8"/>
    <n v="46.07"/>
    <s v="USD"/>
    <n v="861.82"/>
    <x v="0"/>
    <s v="D0"/>
    <m/>
    <m/>
    <m/>
    <m/>
    <m/>
    <m/>
    <m/>
    <s v="01.02.2020"/>
    <s v="DIST GOOGLE ENE"/>
    <n v="20200131"/>
    <n v="46.07"/>
    <m/>
    <m/>
    <m/>
    <s v="DISTRIBUCION GOOGLE ENERO 2020"/>
    <m/>
    <m/>
    <m/>
    <m/>
    <m/>
    <m/>
    <n v="340721790"/>
    <s v="SMARTINEZ"/>
  </r>
  <r>
    <n v="3407"/>
    <s v="31.01.2020"/>
    <n v="2020"/>
    <d v="2020-01-01T00:00:00"/>
    <n v="18"/>
    <n v="700040930"/>
    <s v="SA"/>
    <n v="40"/>
    <x v="8"/>
    <n v="11210050"/>
    <x v="8"/>
    <n v="50.26"/>
    <s v="USD"/>
    <n v="940.2"/>
    <x v="0"/>
    <s v="D0"/>
    <m/>
    <m/>
    <m/>
    <m/>
    <m/>
    <m/>
    <m/>
    <s v="01.02.2020"/>
    <s v="DIST GOOGLE ENE"/>
    <n v="20200131"/>
    <n v="50.26"/>
    <m/>
    <m/>
    <m/>
    <s v="DISTRIBUCION GOOGLE ENERO 2020"/>
    <m/>
    <m/>
    <m/>
    <m/>
    <m/>
    <m/>
    <n v="340725190"/>
    <s v="SMARTINEZ"/>
  </r>
  <r>
    <n v="3407"/>
    <s v="31.01.2020"/>
    <n v="2020"/>
    <d v="2020-01-01T00:00:00"/>
    <n v="19"/>
    <n v="700040930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725490"/>
    <s v="SMARTINEZ"/>
  </r>
  <r>
    <n v="3407"/>
    <s v="31.01.2020"/>
    <n v="2020"/>
    <d v="2020-01-01T00:00:00"/>
    <n v="20"/>
    <n v="700040930"/>
    <s v="SA"/>
    <n v="40"/>
    <x v="8"/>
    <n v="11210050"/>
    <x v="8"/>
    <n v="41.89"/>
    <s v="USD"/>
    <n v="783.62"/>
    <x v="0"/>
    <s v="D0"/>
    <m/>
    <m/>
    <m/>
    <m/>
    <m/>
    <m/>
    <m/>
    <s v="01.02.2020"/>
    <s v="DIST GOOGLE ENE"/>
    <n v="20200131"/>
    <n v="41.89"/>
    <m/>
    <m/>
    <m/>
    <s v="DISTRIBUCION GOOGLE ENERO 2020"/>
    <m/>
    <m/>
    <m/>
    <m/>
    <m/>
    <m/>
    <n v="340727190"/>
    <s v="SMARTINEZ"/>
  </r>
  <r>
    <n v="3407"/>
    <s v="31.01.2020"/>
    <n v="2020"/>
    <d v="2020-01-01T00:00:00"/>
    <n v="21"/>
    <n v="700040930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727290"/>
    <s v="SMARTINEZ"/>
  </r>
  <r>
    <n v="3407"/>
    <s v="31.01.2020"/>
    <n v="2020"/>
    <d v="2020-01-01T00:00:00"/>
    <n v="22"/>
    <n v="700040930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732290"/>
    <s v="SMARTINEZ"/>
  </r>
  <r>
    <n v="3407"/>
    <s v="31.01.2020"/>
    <n v="2020"/>
    <d v="2020-01-01T00:00:00"/>
    <n v="23"/>
    <n v="700040930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736290"/>
    <s v="SMARTINEZ"/>
  </r>
  <r>
    <n v="3407"/>
    <s v="31.01.2020"/>
    <n v="2020"/>
    <d v="2020-01-01T00:00:00"/>
    <n v="24"/>
    <n v="700040930"/>
    <s v="SA"/>
    <n v="40"/>
    <x v="8"/>
    <n v="11210050"/>
    <x v="8"/>
    <n v="58.64"/>
    <s v="USD"/>
    <n v="1096.96"/>
    <x v="0"/>
    <s v="D0"/>
    <m/>
    <m/>
    <m/>
    <m/>
    <m/>
    <m/>
    <m/>
    <s v="01.02.2020"/>
    <s v="DIST GOOGLE ENE"/>
    <n v="20200131"/>
    <n v="58.64"/>
    <m/>
    <m/>
    <m/>
    <s v="DISTRIBUCION GOOGLE ENERO 2020"/>
    <m/>
    <m/>
    <m/>
    <m/>
    <m/>
    <m/>
    <n v="340740390"/>
    <s v="SMARTINEZ"/>
  </r>
  <r>
    <n v="3407"/>
    <s v="31.01.2020"/>
    <n v="2020"/>
    <d v="2020-01-01T00:00:00"/>
    <n v="25"/>
    <n v="700040930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746390"/>
    <s v="SMARTINEZ"/>
  </r>
  <r>
    <n v="3407"/>
    <s v="31.01.2020"/>
    <n v="2020"/>
    <d v="2020-01-01T00:00:00"/>
    <n v="26"/>
    <n v="700040930"/>
    <s v="SA"/>
    <n v="40"/>
    <x v="8"/>
    <n v="11210050"/>
    <x v="8"/>
    <n v="87.96"/>
    <s v="USD"/>
    <n v="1645.44"/>
    <x v="0"/>
    <s v="D0"/>
    <m/>
    <m/>
    <m/>
    <m/>
    <m/>
    <m/>
    <m/>
    <s v="01.02.2020"/>
    <s v="DIST GOOGLE ENE"/>
    <n v="20200131"/>
    <n v="87.96"/>
    <m/>
    <m/>
    <m/>
    <s v="DISTRIBUCION GOOGLE ENERO 2020"/>
    <m/>
    <m/>
    <m/>
    <m/>
    <m/>
    <m/>
    <n v="340748290"/>
    <s v="SMARTINEZ"/>
  </r>
  <r>
    <n v="3407"/>
    <s v="31.01.2020"/>
    <n v="2020"/>
    <d v="2020-01-01T00:00:00"/>
    <n v="27"/>
    <n v="700040930"/>
    <s v="SA"/>
    <n v="40"/>
    <x v="8"/>
    <n v="1121005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753290"/>
    <s v="SMARTINEZ"/>
  </r>
  <r>
    <n v="3407"/>
    <s v="31.01.2020"/>
    <n v="2020"/>
    <d v="2020-01-01T00:00:00"/>
    <n v="28"/>
    <n v="700040930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762190"/>
    <s v="SMARTINEZ"/>
  </r>
  <r>
    <n v="3407"/>
    <s v="31.01.2020"/>
    <n v="2020"/>
    <d v="2020-01-01T00:00:00"/>
    <n v="29"/>
    <n v="700040930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768190"/>
    <s v="SMARTINEZ"/>
  </r>
  <r>
    <n v="3407"/>
    <s v="31.01.2020"/>
    <n v="2020"/>
    <d v="2020-01-01T00:00:00"/>
    <n v="30"/>
    <n v="700040930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768690"/>
    <s v="SMARTINEZ"/>
  </r>
  <r>
    <n v="3407"/>
    <s v="31.01.2020"/>
    <n v="2020"/>
    <d v="2020-01-01T00:00:00"/>
    <n v="31"/>
    <n v="700040930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712490"/>
    <s v="SMARTINEZ"/>
  </r>
  <r>
    <n v="3407"/>
    <s v="31.01.2020"/>
    <n v="2020"/>
    <d v="2020-01-01T00:00:00"/>
    <n v="32"/>
    <n v="700040930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725290"/>
    <s v="SMARTINEZ"/>
  </r>
  <r>
    <n v="3409"/>
    <s v="31.01.2020"/>
    <n v="2020"/>
    <d v="2020-01-01T00:00:00"/>
    <n v="1"/>
    <n v="900011589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910490"/>
    <s v="SMARTINEZ"/>
  </r>
  <r>
    <n v="3409"/>
    <s v="31.01.2020"/>
    <n v="2020"/>
    <d v="2020-01-01T00:00:00"/>
    <n v="2"/>
    <n v="90001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910690"/>
    <s v="SMARTINEZ"/>
  </r>
  <r>
    <n v="3409"/>
    <s v="31.01.2020"/>
    <n v="2020"/>
    <d v="2020-01-01T00:00:00"/>
    <n v="3"/>
    <n v="900011589"/>
    <s v="SA"/>
    <n v="40"/>
    <x v="8"/>
    <n v="1121005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910790"/>
    <s v="SMARTINEZ"/>
  </r>
  <r>
    <n v="3409"/>
    <s v="31.01.2020"/>
    <n v="2020"/>
    <d v="2020-01-01T00:00:00"/>
    <n v="4"/>
    <n v="90001158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912490"/>
    <s v="SMARTINEZ"/>
  </r>
  <r>
    <n v="3409"/>
    <s v="31.01.2020"/>
    <n v="2020"/>
    <d v="2020-01-01T00:00:00"/>
    <n v="5"/>
    <n v="90001158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912690"/>
    <s v="SMARTINEZ"/>
  </r>
  <r>
    <n v="3409"/>
    <s v="31.01.2020"/>
    <n v="2020"/>
    <d v="2020-01-01T00:00:00"/>
    <n v="6"/>
    <n v="90001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912890"/>
    <s v="SMARTINEZ"/>
  </r>
  <r>
    <n v="3409"/>
    <s v="31.01.2020"/>
    <n v="2020"/>
    <d v="2020-01-01T00:00:00"/>
    <n v="7"/>
    <n v="90001158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913090"/>
    <s v="SMARTINEZ"/>
  </r>
  <r>
    <n v="3409"/>
    <s v="31.01.2020"/>
    <n v="2020"/>
    <d v="2020-01-01T00:00:00"/>
    <n v="8"/>
    <n v="90001158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917690"/>
    <s v="SMARTINEZ"/>
  </r>
  <r>
    <n v="3409"/>
    <s v="31.01.2020"/>
    <n v="2020"/>
    <d v="2020-01-01T00:00:00"/>
    <n v="9"/>
    <n v="900011589"/>
    <s v="SA"/>
    <n v="40"/>
    <x v="8"/>
    <n v="11210050"/>
    <x v="8"/>
    <n v="46.07"/>
    <s v="USD"/>
    <n v="861.82"/>
    <x v="0"/>
    <s v="D0"/>
    <m/>
    <m/>
    <m/>
    <m/>
    <m/>
    <m/>
    <m/>
    <s v="01.02.2020"/>
    <s v="DIST GOOGLE ENE"/>
    <n v="20200131"/>
    <n v="46.07"/>
    <m/>
    <m/>
    <m/>
    <s v="DISTRIBUCION GOOGLE ENERO 2020"/>
    <m/>
    <m/>
    <m/>
    <m/>
    <m/>
    <m/>
    <n v="340919190"/>
    <s v="SMARTINEZ"/>
  </r>
  <r>
    <n v="3409"/>
    <s v="31.01.2020"/>
    <n v="2020"/>
    <d v="2020-01-01T00:00:00"/>
    <n v="10"/>
    <n v="90001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919290"/>
    <s v="SMARTINEZ"/>
  </r>
  <r>
    <n v="3409"/>
    <s v="31.01.2020"/>
    <n v="2020"/>
    <d v="2020-01-01T00:00:00"/>
    <n v="11"/>
    <n v="90001158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921690"/>
    <s v="SMARTINEZ"/>
  </r>
  <r>
    <n v="3409"/>
    <s v="31.01.2020"/>
    <n v="2020"/>
    <d v="2020-01-01T00:00:00"/>
    <n v="12"/>
    <n v="900011589"/>
    <s v="SA"/>
    <n v="40"/>
    <x v="8"/>
    <n v="11210050"/>
    <x v="8"/>
    <n v="33.51"/>
    <s v="USD"/>
    <n v="626.86"/>
    <x v="0"/>
    <s v="D0"/>
    <m/>
    <m/>
    <m/>
    <m/>
    <m/>
    <m/>
    <m/>
    <s v="01.02.2020"/>
    <s v="DIST GOOGLE ENE"/>
    <n v="20200131"/>
    <n v="33.51"/>
    <m/>
    <m/>
    <m/>
    <s v="DISTRIBUCION GOOGLE ENERO 2020"/>
    <m/>
    <m/>
    <m/>
    <m/>
    <m/>
    <m/>
    <n v="340921790"/>
    <s v="SMARTINEZ"/>
  </r>
  <r>
    <n v="3409"/>
    <s v="31.01.2020"/>
    <n v="2020"/>
    <d v="2020-01-01T00:00:00"/>
    <n v="13"/>
    <n v="900011589"/>
    <s v="SA"/>
    <n v="40"/>
    <x v="8"/>
    <n v="11210050"/>
    <x v="8"/>
    <n v="25.13"/>
    <s v="USD"/>
    <n v="470.1"/>
    <x v="0"/>
    <s v="D0"/>
    <m/>
    <m/>
    <m/>
    <m/>
    <m/>
    <m/>
    <m/>
    <s v="01.02.2020"/>
    <s v="DIST GOOGLE ENE"/>
    <n v="20200131"/>
    <n v="25.13"/>
    <m/>
    <m/>
    <m/>
    <s v="DISTRIBUCION GOOGLE ENERO 2020"/>
    <m/>
    <m/>
    <m/>
    <m/>
    <m/>
    <m/>
    <n v="340925190"/>
    <s v="SMARTINEZ"/>
  </r>
  <r>
    <n v="3409"/>
    <s v="31.01.2020"/>
    <n v="2020"/>
    <d v="2020-01-01T00:00:00"/>
    <n v="14"/>
    <n v="90001158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925290"/>
    <s v="SMARTINEZ"/>
  </r>
  <r>
    <n v="3409"/>
    <s v="31.01.2020"/>
    <n v="2020"/>
    <d v="2020-01-01T00:00:00"/>
    <n v="15"/>
    <n v="90001158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925490"/>
    <s v="SMARTINEZ"/>
  </r>
  <r>
    <n v="3409"/>
    <s v="31.01.2020"/>
    <n v="2020"/>
    <d v="2020-01-01T00:00:00"/>
    <n v="16"/>
    <n v="900011589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927190"/>
    <s v="SMARTINEZ"/>
  </r>
  <r>
    <n v="3409"/>
    <s v="31.01.2020"/>
    <n v="2020"/>
    <d v="2020-01-01T00:00:00"/>
    <n v="17"/>
    <n v="90001158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927290"/>
    <s v="SMARTINEZ"/>
  </r>
  <r>
    <n v="3409"/>
    <s v="31.01.2020"/>
    <n v="2020"/>
    <d v="2020-01-01T00:00:00"/>
    <n v="18"/>
    <n v="90001158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936290"/>
    <s v="SMARTINEZ"/>
  </r>
  <r>
    <n v="3409"/>
    <s v="31.01.2020"/>
    <n v="2020"/>
    <d v="2020-01-01T00:00:00"/>
    <n v="19"/>
    <n v="900011589"/>
    <s v="SA"/>
    <n v="40"/>
    <x v="8"/>
    <n v="11210050"/>
    <x v="8"/>
    <n v="33.51"/>
    <s v="USD"/>
    <n v="626.86"/>
    <x v="0"/>
    <s v="D0"/>
    <m/>
    <m/>
    <m/>
    <m/>
    <m/>
    <m/>
    <m/>
    <s v="01.02.2020"/>
    <s v="DIST GOOGLE ENE"/>
    <n v="20200131"/>
    <n v="33.51"/>
    <m/>
    <m/>
    <m/>
    <s v="DISTRIBUCION GOOGLE ENERO 2020"/>
    <m/>
    <m/>
    <m/>
    <m/>
    <m/>
    <m/>
    <n v="340940390"/>
    <s v="SMARTINEZ"/>
  </r>
  <r>
    <n v="3409"/>
    <s v="31.01.2020"/>
    <n v="2020"/>
    <d v="2020-01-01T00:00:00"/>
    <n v="20"/>
    <n v="90001158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946390"/>
    <s v="SMARTINEZ"/>
  </r>
  <r>
    <n v="3409"/>
    <s v="31.01.2020"/>
    <n v="2020"/>
    <d v="2020-01-01T00:00:00"/>
    <n v="21"/>
    <n v="900011589"/>
    <s v="SA"/>
    <n v="40"/>
    <x v="8"/>
    <n v="11210050"/>
    <x v="8"/>
    <n v="20.94"/>
    <s v="USD"/>
    <n v="391.72"/>
    <x v="0"/>
    <s v="D0"/>
    <m/>
    <m/>
    <m/>
    <m/>
    <m/>
    <m/>
    <m/>
    <s v="01.02.2020"/>
    <s v="DIST GOOGLE ENE"/>
    <n v="20200131"/>
    <n v="20.94"/>
    <m/>
    <m/>
    <m/>
    <s v="DISTRIBUCION GOOGLE ENERO 2020"/>
    <m/>
    <m/>
    <m/>
    <m/>
    <m/>
    <m/>
    <n v="340948290"/>
    <s v="SMARTINEZ"/>
  </r>
  <r>
    <n v="3409"/>
    <s v="31.01.2020"/>
    <n v="2020"/>
    <d v="2020-01-01T00:00:00"/>
    <n v="22"/>
    <n v="900011589"/>
    <s v="SA"/>
    <n v="40"/>
    <x v="8"/>
    <n v="11210050"/>
    <x v="8"/>
    <n v="16.75"/>
    <s v="USD"/>
    <n v="313.33999999999997"/>
    <x v="0"/>
    <s v="D0"/>
    <m/>
    <m/>
    <m/>
    <m/>
    <m/>
    <m/>
    <m/>
    <s v="01.02.2020"/>
    <s v="DIST GOOGLE ENE"/>
    <n v="20200131"/>
    <n v="16.75"/>
    <m/>
    <m/>
    <m/>
    <s v="DISTRIBUCION GOOGLE ENERO 2020"/>
    <m/>
    <m/>
    <m/>
    <m/>
    <m/>
    <m/>
    <n v="340953290"/>
    <s v="SMARTINEZ"/>
  </r>
  <r>
    <n v="3409"/>
    <s v="31.01.2020"/>
    <n v="2020"/>
    <d v="2020-01-01T00:00:00"/>
    <n v="23"/>
    <n v="90001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962190"/>
    <s v="SMARTINEZ"/>
  </r>
  <r>
    <n v="3409"/>
    <s v="31.01.2020"/>
    <n v="2020"/>
    <d v="2020-01-01T00:00:00"/>
    <n v="24"/>
    <n v="90001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980490"/>
    <s v="SMARTINEZ"/>
  </r>
  <r>
    <n v="3409"/>
    <s v="31.01.2020"/>
    <n v="2020"/>
    <d v="2020-01-01T00:00:00"/>
    <n v="25"/>
    <n v="90001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980690"/>
    <s v="SMARTINEZ"/>
  </r>
  <r>
    <n v="3409"/>
    <s v="31.01.2020"/>
    <n v="2020"/>
    <d v="2020-01-01T00:00:00"/>
    <n v="26"/>
    <n v="90001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981090"/>
    <s v="SMARTINEZ"/>
  </r>
  <r>
    <n v="3409"/>
    <s v="31.01.2020"/>
    <n v="2020"/>
    <d v="2020-01-01T00:00:00"/>
    <n v="27"/>
    <n v="900011589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0981990"/>
    <s v="SMARTINEZ"/>
  </r>
  <r>
    <n v="3409"/>
    <s v="31.01.2020"/>
    <n v="2020"/>
    <d v="2020-01-01T00:00:00"/>
    <n v="28"/>
    <n v="90001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982590"/>
    <s v="SMARTINEZ"/>
  </r>
  <r>
    <n v="3409"/>
    <s v="31.01.2020"/>
    <n v="2020"/>
    <d v="2020-01-01T00:00:00"/>
    <n v="29"/>
    <n v="90001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910590"/>
    <s v="SMARTINEZ"/>
  </r>
  <r>
    <n v="3409"/>
    <s v="31.01.2020"/>
    <n v="2020"/>
    <d v="2020-01-01T00:00:00"/>
    <n v="30"/>
    <n v="900011589"/>
    <s v="SA"/>
    <n v="40"/>
    <x v="8"/>
    <n v="11210050"/>
    <x v="8"/>
    <n v="8.3800000000000008"/>
    <s v="USD"/>
    <n v="156.76"/>
    <x v="0"/>
    <s v="D0"/>
    <m/>
    <m/>
    <m/>
    <m/>
    <m/>
    <m/>
    <m/>
    <s v="01.02.2020"/>
    <s v="DIST GOOGLE ENE"/>
    <n v="20200131"/>
    <n v="8.3800000000000008"/>
    <m/>
    <m/>
    <m/>
    <s v="DISTRIBUCION GOOGLE ENERO 2020"/>
    <m/>
    <m/>
    <m/>
    <m/>
    <m/>
    <m/>
    <n v="340912290"/>
    <s v="SMARTINEZ"/>
  </r>
  <r>
    <n v="3409"/>
    <s v="31.01.2020"/>
    <n v="2020"/>
    <d v="2020-01-01T00:00:00"/>
    <n v="31"/>
    <n v="900011589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0981790"/>
    <s v="SMARTINEZ"/>
  </r>
  <r>
    <n v="3413"/>
    <s v="31.01.2020"/>
    <n v="2020"/>
    <d v="2020-01-01T00:00:00"/>
    <n v="1"/>
    <n v="130000470"/>
    <s v="SA"/>
    <n v="40"/>
    <x v="8"/>
    <n v="11210050"/>
    <x v="8"/>
    <n v="12.57"/>
    <s v="USD"/>
    <n v="235.14"/>
    <x v="0"/>
    <s v="D0"/>
    <m/>
    <m/>
    <m/>
    <m/>
    <m/>
    <m/>
    <m/>
    <s v="01.02.2020"/>
    <s v="DIST GOOGLE ENE"/>
    <n v="20200131"/>
    <n v="12.57"/>
    <m/>
    <m/>
    <m/>
    <s v="DISTRIBUCION GOOGLE ENERO 2020"/>
    <m/>
    <m/>
    <m/>
    <m/>
    <m/>
    <m/>
    <n v="341340390"/>
    <s v="SMARTINEZ"/>
  </r>
  <r>
    <n v="3413"/>
    <s v="31.01.2020"/>
    <n v="2020"/>
    <d v="2020-01-01T00:00:00"/>
    <n v="2"/>
    <n v="130000470"/>
    <s v="SA"/>
    <n v="40"/>
    <x v="8"/>
    <n v="11210050"/>
    <x v="8"/>
    <n v="4.5"/>
    <s v="USD"/>
    <n v="84.18"/>
    <x v="0"/>
    <s v="D0"/>
    <m/>
    <m/>
    <m/>
    <m/>
    <m/>
    <m/>
    <m/>
    <s v="01.02.2020"/>
    <s v="DIST GOOGLE ENE"/>
    <n v="20200131"/>
    <n v="4.5"/>
    <m/>
    <m/>
    <m/>
    <s v="DISTRIBUCION GOOGLE ENERO 2020"/>
    <m/>
    <m/>
    <m/>
    <m/>
    <m/>
    <m/>
    <n v="341327190"/>
    <s v="SMARTINEZ"/>
  </r>
  <r>
    <n v="3413"/>
    <s v="31.01.2020"/>
    <n v="2020"/>
    <d v="2020-01-01T00:00:00"/>
    <n v="3"/>
    <n v="130000470"/>
    <s v="SA"/>
    <n v="40"/>
    <x v="8"/>
    <n v="11210050"/>
    <x v="8"/>
    <n v="4.5"/>
    <s v="USD"/>
    <n v="84.18"/>
    <x v="0"/>
    <s v="D0"/>
    <m/>
    <m/>
    <m/>
    <m/>
    <m/>
    <m/>
    <m/>
    <s v="01.02.2020"/>
    <s v="DIST GOOGLE ENE"/>
    <n v="20200131"/>
    <n v="4.5"/>
    <m/>
    <m/>
    <m/>
    <s v="DISTRIBUCION GOOGLE ENERO 2020"/>
    <m/>
    <m/>
    <m/>
    <m/>
    <m/>
    <m/>
    <n v="341317690"/>
    <s v="SMARTINEZ"/>
  </r>
  <r>
    <n v="3413"/>
    <s v="31.01.2020"/>
    <n v="2020"/>
    <d v="2020-01-01T00:00:00"/>
    <n v="4"/>
    <n v="130000470"/>
    <s v="SA"/>
    <n v="40"/>
    <x v="8"/>
    <n v="11210050"/>
    <x v="8"/>
    <n v="9"/>
    <s v="USD"/>
    <n v="168.36"/>
    <x v="0"/>
    <s v="D0"/>
    <m/>
    <m/>
    <m/>
    <m/>
    <m/>
    <m/>
    <m/>
    <s v="01.02.2020"/>
    <s v="DIST GOOGLE ENE"/>
    <n v="20200131"/>
    <n v="9"/>
    <m/>
    <m/>
    <m/>
    <s v="DISTRIBUCION GOOGLE ENERO 2020"/>
    <m/>
    <m/>
    <m/>
    <m/>
    <m/>
    <m/>
    <n v="341321790"/>
    <s v="SMARTINEZ"/>
  </r>
  <r>
    <n v="3413"/>
    <s v="31.01.2020"/>
    <n v="2020"/>
    <d v="2020-01-01T00:00:00"/>
    <n v="5"/>
    <n v="130000470"/>
    <s v="SA"/>
    <n v="40"/>
    <x v="8"/>
    <n v="11210050"/>
    <x v="8"/>
    <n v="4.1900000000000004"/>
    <s v="USD"/>
    <n v="78.38"/>
    <x v="0"/>
    <s v="D0"/>
    <m/>
    <m/>
    <m/>
    <m/>
    <m/>
    <m/>
    <m/>
    <s v="01.02.2020"/>
    <s v="DIST GOOGLE ENE"/>
    <n v="20200131"/>
    <n v="4.1900000000000004"/>
    <m/>
    <m/>
    <m/>
    <s v="DISTRIBUCION GOOGLE ENERO 2020"/>
    <m/>
    <m/>
    <m/>
    <m/>
    <m/>
    <m/>
    <n v="341327290"/>
    <s v="SMARTINEZ"/>
  </r>
  <r>
    <n v="3403"/>
    <s v="31.01.2020"/>
    <n v="2020"/>
    <d v="2020-01-01T00:00:00"/>
    <n v="1"/>
    <n v="300019145"/>
    <s v="SA"/>
    <n v="40"/>
    <x v="8"/>
    <n v="21220060"/>
    <x v="8"/>
    <n v="32"/>
    <s v="USD"/>
    <n v="598.62"/>
    <x v="0"/>
    <m/>
    <m/>
    <m/>
    <m/>
    <m/>
    <m/>
    <m/>
    <n v="300238848"/>
    <s v="02.02.2020"/>
    <m/>
    <n v="20200131"/>
    <n v="32"/>
    <m/>
    <m/>
    <m/>
    <s v="PROV. OPERA LICENCE ENE 2020"/>
    <m/>
    <m/>
    <m/>
    <m/>
    <m/>
    <m/>
    <n v="340310490"/>
    <s v="ERAMOS"/>
  </r>
  <r>
    <n v="3403"/>
    <s v="31.01.2020"/>
    <n v="2020"/>
    <d v="2020-01-01T00:00:00"/>
    <n v="2"/>
    <n v="300019145"/>
    <s v="SA"/>
    <n v="40"/>
    <x v="8"/>
    <n v="21220060"/>
    <x v="8"/>
    <n v="399.95"/>
    <s v="USD"/>
    <n v="7481.74"/>
    <x v="0"/>
    <m/>
    <m/>
    <m/>
    <m/>
    <m/>
    <m/>
    <m/>
    <n v="300238848"/>
    <s v="02.02.2020"/>
    <m/>
    <n v="20200131"/>
    <n v="399.95"/>
    <m/>
    <m/>
    <m/>
    <s v="PROV. OPERA LICENCE ENE 2020"/>
    <m/>
    <m/>
    <m/>
    <m/>
    <m/>
    <m/>
    <n v="340312290"/>
    <s v="ERAMOS"/>
  </r>
  <r>
    <n v="3403"/>
    <s v="31.01.2020"/>
    <n v="2020"/>
    <d v="2020-01-01T00:00:00"/>
    <n v="3"/>
    <n v="300019145"/>
    <s v="SA"/>
    <n v="40"/>
    <x v="8"/>
    <n v="21220060"/>
    <x v="8"/>
    <n v="32"/>
    <s v="USD"/>
    <n v="598.61"/>
    <x v="0"/>
    <m/>
    <m/>
    <m/>
    <m/>
    <m/>
    <m/>
    <m/>
    <n v="300238848"/>
    <s v="02.02.2020"/>
    <m/>
    <n v="20200131"/>
    <n v="32"/>
    <m/>
    <m/>
    <m/>
    <s v="PROV. OPERA LICENCE ENE 2020"/>
    <m/>
    <m/>
    <m/>
    <m/>
    <m/>
    <m/>
    <n v="340320490"/>
    <s v="ERAMOS"/>
  </r>
  <r>
    <n v="3403"/>
    <s v="31.01.2020"/>
    <n v="2020"/>
    <d v="2020-01-01T00:00:00"/>
    <n v="4"/>
    <n v="300019145"/>
    <s v="SA"/>
    <n v="40"/>
    <x v="8"/>
    <n v="21220060"/>
    <x v="8"/>
    <n v="16"/>
    <s v="USD"/>
    <n v="299.31"/>
    <x v="0"/>
    <m/>
    <m/>
    <m/>
    <m/>
    <m/>
    <m/>
    <m/>
    <n v="300238848"/>
    <s v="02.02.2020"/>
    <m/>
    <n v="20200131"/>
    <n v="16"/>
    <m/>
    <m/>
    <m/>
    <s v="PROV. OPERA LICENCE ENE 2020"/>
    <m/>
    <m/>
    <m/>
    <m/>
    <m/>
    <m/>
    <n v="340325490"/>
    <s v="ERAMOS"/>
  </r>
  <r>
    <n v="3403"/>
    <s v="31.01.2020"/>
    <n v="2020"/>
    <d v="2020-01-01T00:00:00"/>
    <n v="5"/>
    <n v="300019145"/>
    <s v="SA"/>
    <n v="40"/>
    <x v="8"/>
    <n v="21220060"/>
    <x v="8"/>
    <n v="32"/>
    <s v="USD"/>
    <n v="598.61"/>
    <x v="0"/>
    <m/>
    <m/>
    <m/>
    <m/>
    <m/>
    <m/>
    <m/>
    <n v="300238848"/>
    <s v="02.02.2020"/>
    <m/>
    <n v="20200131"/>
    <n v="32"/>
    <m/>
    <m/>
    <m/>
    <s v="PROV. OPERA LICENCE ENE 2020"/>
    <m/>
    <m/>
    <m/>
    <m/>
    <m/>
    <m/>
    <n v="340343690"/>
    <s v="ERAMOS"/>
  </r>
  <r>
    <n v="3403"/>
    <s v="31.01.2020"/>
    <n v="2020"/>
    <d v="2020-01-01T00:00:00"/>
    <n v="6"/>
    <n v="300019145"/>
    <s v="SA"/>
    <n v="40"/>
    <x v="8"/>
    <n v="21220060"/>
    <x v="8"/>
    <n v="111.99"/>
    <s v="USD"/>
    <n v="2094.96"/>
    <x v="0"/>
    <m/>
    <m/>
    <m/>
    <m/>
    <m/>
    <m/>
    <m/>
    <n v="300238848"/>
    <s v="02.02.2020"/>
    <m/>
    <n v="20200131"/>
    <n v="111.99"/>
    <m/>
    <m/>
    <m/>
    <s v="PROV. OPERA LICENCE ENE 2020"/>
    <m/>
    <m/>
    <m/>
    <m/>
    <m/>
    <m/>
    <n v="340340390"/>
    <s v="ERAMOS"/>
  </r>
  <r>
    <n v="3403"/>
    <s v="31.01.2020"/>
    <n v="2020"/>
    <d v="2020-01-01T00:00:00"/>
    <n v="7"/>
    <n v="300019145"/>
    <s v="SA"/>
    <n v="40"/>
    <x v="8"/>
    <n v="21220060"/>
    <x v="8"/>
    <n v="32"/>
    <s v="USD"/>
    <n v="598.61"/>
    <x v="0"/>
    <m/>
    <m/>
    <m/>
    <m/>
    <m/>
    <m/>
    <m/>
    <n v="300238848"/>
    <s v="02.02.2020"/>
    <m/>
    <n v="20200131"/>
    <n v="32"/>
    <m/>
    <m/>
    <m/>
    <s v="PROV. OPERA LICENCE ENE 2020"/>
    <m/>
    <m/>
    <m/>
    <m/>
    <m/>
    <m/>
    <n v="340325190"/>
    <s v="ERAMOS"/>
  </r>
  <r>
    <n v="3403"/>
    <s v="31.01.2020"/>
    <n v="2020"/>
    <d v="2020-01-01T00:00:00"/>
    <n v="8"/>
    <n v="300019145"/>
    <s v="SA"/>
    <n v="40"/>
    <x v="8"/>
    <n v="21220060"/>
    <x v="8"/>
    <n v="79.989999999999995"/>
    <s v="USD"/>
    <n v="1496.35"/>
    <x v="0"/>
    <m/>
    <m/>
    <m/>
    <m/>
    <m/>
    <m/>
    <m/>
    <n v="300238848"/>
    <s v="02.02.2020"/>
    <m/>
    <n v="20200131"/>
    <n v="79.989999999999995"/>
    <m/>
    <m/>
    <m/>
    <s v="PROV. OPERA LICENCE ENE 2020"/>
    <m/>
    <m/>
    <m/>
    <m/>
    <m/>
    <m/>
    <n v="340321690"/>
    <s v="ERAMOS"/>
  </r>
  <r>
    <n v="3403"/>
    <s v="31.01.2020"/>
    <n v="2020"/>
    <d v="2020-01-01T00:00:00"/>
    <n v="9"/>
    <n v="300019145"/>
    <s v="SA"/>
    <n v="40"/>
    <x v="8"/>
    <n v="21220060"/>
    <x v="8"/>
    <n v="175.98"/>
    <s v="USD"/>
    <n v="3292.01"/>
    <x v="0"/>
    <m/>
    <m/>
    <m/>
    <m/>
    <m/>
    <m/>
    <m/>
    <n v="300238848"/>
    <s v="02.02.2020"/>
    <m/>
    <n v="20200131"/>
    <n v="175.98"/>
    <m/>
    <m/>
    <m/>
    <s v="PROV. OPERA LICENCE ENE 2020"/>
    <m/>
    <m/>
    <m/>
    <m/>
    <m/>
    <m/>
    <n v="340348290"/>
    <s v="ERAMOS"/>
  </r>
  <r>
    <n v="3403"/>
    <s v="31.01.2020"/>
    <n v="2020"/>
    <d v="2020-01-01T00:00:00"/>
    <n v="10"/>
    <n v="300019145"/>
    <s v="SA"/>
    <n v="40"/>
    <x v="8"/>
    <n v="21220060"/>
    <x v="8"/>
    <n v="143.97999999999999"/>
    <s v="USD"/>
    <n v="2693.39"/>
    <x v="0"/>
    <m/>
    <m/>
    <m/>
    <m/>
    <m/>
    <m/>
    <m/>
    <n v="300238848"/>
    <s v="02.02.2020"/>
    <m/>
    <n v="20200131"/>
    <n v="143.97999999999999"/>
    <m/>
    <m/>
    <m/>
    <s v="PROV. OPERA LICENCE ENE 2020"/>
    <m/>
    <m/>
    <m/>
    <m/>
    <m/>
    <m/>
    <n v="340316690"/>
    <s v="ERAMOS"/>
  </r>
  <r>
    <n v="3403"/>
    <s v="31.01.2020"/>
    <n v="2020"/>
    <d v="2020-01-01T00:00:00"/>
    <n v="11"/>
    <n v="300019145"/>
    <s v="SA"/>
    <n v="40"/>
    <x v="8"/>
    <n v="21220060"/>
    <x v="8"/>
    <n v="239.97"/>
    <s v="USD"/>
    <n v="4489.05"/>
    <x v="0"/>
    <m/>
    <m/>
    <m/>
    <m/>
    <m/>
    <m/>
    <m/>
    <n v="300238848"/>
    <s v="02.02.2020"/>
    <m/>
    <n v="20200131"/>
    <n v="239.97"/>
    <m/>
    <m/>
    <m/>
    <s v="PROV. OPERA LICENCE ENE 2020"/>
    <m/>
    <m/>
    <m/>
    <m/>
    <m/>
    <m/>
    <n v="340310790"/>
    <s v="ERAMOS"/>
  </r>
  <r>
    <n v="3403"/>
    <s v="31.01.2020"/>
    <n v="2020"/>
    <d v="2020-01-01T00:00:00"/>
    <n v="12"/>
    <n v="300019145"/>
    <s v="SA"/>
    <n v="40"/>
    <x v="8"/>
    <n v="21220060"/>
    <x v="8"/>
    <n v="175.98"/>
    <s v="USD"/>
    <n v="3292.01"/>
    <x v="0"/>
    <m/>
    <m/>
    <m/>
    <m/>
    <m/>
    <m/>
    <m/>
    <n v="300238848"/>
    <s v="02.02.2020"/>
    <m/>
    <n v="20200131"/>
    <n v="175.98"/>
    <m/>
    <m/>
    <m/>
    <s v="PROV. OPERA LICENCE ENE 2020"/>
    <m/>
    <m/>
    <m/>
    <m/>
    <m/>
    <m/>
    <n v="340319190"/>
    <s v="ERAMOS"/>
  </r>
  <r>
    <n v="3403"/>
    <s v="31.01.2020"/>
    <n v="2020"/>
    <d v="2020-01-01T00:00:00"/>
    <n v="13"/>
    <n v="300019145"/>
    <s v="SA"/>
    <n v="40"/>
    <x v="8"/>
    <n v="21220060"/>
    <x v="8"/>
    <n v="47.99"/>
    <s v="USD"/>
    <n v="897.73"/>
    <x v="0"/>
    <m/>
    <m/>
    <m/>
    <m/>
    <m/>
    <m/>
    <m/>
    <n v="300238848"/>
    <s v="02.02.2020"/>
    <m/>
    <n v="20200131"/>
    <n v="47.99"/>
    <m/>
    <m/>
    <m/>
    <s v="PROV. OPERA LICENCE ENE 2020"/>
    <m/>
    <m/>
    <m/>
    <m/>
    <m/>
    <m/>
    <n v="340368190"/>
    <s v="ERAMOS"/>
  </r>
  <r>
    <n v="3403"/>
    <s v="31.01.2020"/>
    <n v="2020"/>
    <d v="2020-01-01T00:00:00"/>
    <n v="14"/>
    <n v="300019145"/>
    <s v="SA"/>
    <n v="40"/>
    <x v="8"/>
    <n v="21220060"/>
    <x v="8"/>
    <n v="16"/>
    <s v="USD"/>
    <n v="299.31"/>
    <x v="0"/>
    <m/>
    <m/>
    <m/>
    <m/>
    <m/>
    <m/>
    <m/>
    <n v="300238848"/>
    <s v="02.02.2020"/>
    <m/>
    <n v="20200131"/>
    <n v="16"/>
    <m/>
    <m/>
    <m/>
    <s v="PROV. OPERA LICENCE ENE 2020"/>
    <m/>
    <m/>
    <m/>
    <m/>
    <m/>
    <m/>
    <n v="340315190"/>
    <s v="ERAMOS"/>
  </r>
  <r>
    <n v="3403"/>
    <s v="31.01.2020"/>
    <n v="2020"/>
    <d v="2020-01-01T00:00:00"/>
    <n v="15"/>
    <n v="300019145"/>
    <s v="SA"/>
    <n v="40"/>
    <x v="8"/>
    <n v="21220060"/>
    <x v="8"/>
    <n v="16"/>
    <s v="USD"/>
    <n v="299.31"/>
    <x v="0"/>
    <m/>
    <m/>
    <m/>
    <m/>
    <m/>
    <m/>
    <m/>
    <n v="300238848"/>
    <s v="02.02.2020"/>
    <m/>
    <n v="20200131"/>
    <n v="16"/>
    <m/>
    <m/>
    <m/>
    <s v="PROV. OPERA LICENCE ENE 2020"/>
    <m/>
    <m/>
    <m/>
    <m/>
    <m/>
    <m/>
    <n v="340325290"/>
    <s v="ERAMOS"/>
  </r>
  <r>
    <n v="3403"/>
    <s v="31.01.2020"/>
    <n v="2020"/>
    <d v="2020-01-01T00:00:00"/>
    <n v="16"/>
    <n v="300019145"/>
    <s v="SA"/>
    <n v="40"/>
    <x v="8"/>
    <n v="21220060"/>
    <x v="8"/>
    <n v="47.99"/>
    <s v="USD"/>
    <n v="897.73"/>
    <x v="0"/>
    <m/>
    <m/>
    <m/>
    <m/>
    <m/>
    <m/>
    <m/>
    <n v="300238848"/>
    <s v="02.02.2020"/>
    <m/>
    <n v="20200131"/>
    <n v="47.99"/>
    <m/>
    <m/>
    <m/>
    <s v="PROV. OPERA LICENCE ENE 2020"/>
    <m/>
    <m/>
    <m/>
    <m/>
    <m/>
    <m/>
    <n v="340346390"/>
    <s v="ERAMOS"/>
  </r>
  <r>
    <n v="3403"/>
    <s v="31.01.2020"/>
    <n v="2020"/>
    <d v="2020-01-01T00:00:00"/>
    <n v="17"/>
    <n v="300019145"/>
    <s v="SA"/>
    <n v="40"/>
    <x v="8"/>
    <n v="21220060"/>
    <x v="8"/>
    <n v="95.99"/>
    <s v="USD"/>
    <n v="1795.66"/>
    <x v="0"/>
    <m/>
    <m/>
    <m/>
    <m/>
    <m/>
    <m/>
    <m/>
    <n v="300238848"/>
    <s v="02.02.2020"/>
    <m/>
    <n v="20200131"/>
    <n v="95.99"/>
    <m/>
    <m/>
    <m/>
    <s v="PROV. OPERA LICENCE ENE 2020"/>
    <m/>
    <m/>
    <m/>
    <m/>
    <m/>
    <m/>
    <n v="340353290"/>
    <s v="ERAMOS"/>
  </r>
  <r>
    <n v="3403"/>
    <s v="31.01.2020"/>
    <n v="2020"/>
    <d v="2020-01-01T00:00:00"/>
    <n v="18"/>
    <n v="300019145"/>
    <s v="SA"/>
    <n v="40"/>
    <x v="8"/>
    <n v="21220060"/>
    <x v="8"/>
    <n v="95.95"/>
    <s v="USD"/>
    <n v="1794.91"/>
    <x v="0"/>
    <m/>
    <m/>
    <m/>
    <m/>
    <m/>
    <m/>
    <m/>
    <n v="300238848"/>
    <s v="02.02.2020"/>
    <m/>
    <n v="20200131"/>
    <n v="95.95"/>
    <m/>
    <m/>
    <m/>
    <s v="PROV. OPERA LICENCE ENE 2020"/>
    <m/>
    <m/>
    <m/>
    <m/>
    <m/>
    <m/>
    <n v="340321790"/>
    <s v="ERAMOS"/>
  </r>
  <r>
    <n v="3402"/>
    <s v="31.01.2020"/>
    <n v="2020"/>
    <d v="2020-01-01T00:00:00"/>
    <n v="1"/>
    <n v="200120044"/>
    <s v="SA"/>
    <n v="40"/>
    <x v="8"/>
    <n v="21220040"/>
    <x v="8"/>
    <n v="253.96"/>
    <s v="USD"/>
    <n v="4750.75"/>
    <x v="0"/>
    <m/>
    <m/>
    <m/>
    <m/>
    <m/>
    <m/>
    <m/>
    <m/>
    <s v="02.02.2020"/>
    <m/>
    <n v="20200131"/>
    <n v="253.96"/>
    <m/>
    <m/>
    <m/>
    <s v="PROV FOUR WINDS INTERACTIVE MTTO PANTALLAS ENE20"/>
    <m/>
    <m/>
    <m/>
    <m/>
    <m/>
    <m/>
    <n v="340225190"/>
    <s v="THUCHIN"/>
  </r>
  <r>
    <n v="3409"/>
    <s v="31.01.2020"/>
    <n v="2020"/>
    <d v="2020-01-01T00:00:00"/>
    <n v="1"/>
    <n v="900012083"/>
    <s v="SA"/>
    <n v="40"/>
    <x v="8"/>
    <n v="11610090"/>
    <x v="8"/>
    <n v="4313.3999999999996"/>
    <s v="USD"/>
    <n v="82253.95"/>
    <x v="0"/>
    <m/>
    <m/>
    <m/>
    <m/>
    <m/>
    <m/>
    <m/>
    <m/>
    <s v="03.02.2020"/>
    <n v="8235573"/>
    <n v="20200131"/>
    <n v="4313.3999999999996"/>
    <m/>
    <m/>
    <m/>
    <s v="Interfase Symphonie NOBU enero 2020"/>
    <m/>
    <m/>
    <m/>
    <m/>
    <m/>
    <m/>
    <n v="340946390"/>
    <s v="JQUITERIO"/>
  </r>
  <r>
    <n v="3400"/>
    <s v="31.01.2020"/>
    <n v="2020"/>
    <d v="2020-01-01T00:00:00"/>
    <n v="2"/>
    <n v="100011875"/>
    <s v="SA"/>
    <n v="50"/>
    <x v="8"/>
    <n v="71105160"/>
    <x v="8"/>
    <n v="11004"/>
    <s v="USD"/>
    <n v="207219.63"/>
    <x v="0"/>
    <m/>
    <m/>
    <m/>
    <m/>
    <m/>
    <m/>
    <m/>
    <m/>
    <s v="04.02.2020"/>
    <s v="LIC SAP ANALYTCL"/>
    <n v="20200131"/>
    <n v="11004"/>
    <m/>
    <m/>
    <m/>
    <s v="Lic SAP AnalytCloud Ene 2020"/>
    <m/>
    <m/>
    <m/>
    <m/>
    <m/>
    <m/>
    <n v="340041850"/>
    <s v="MANTONIO"/>
  </r>
  <r>
    <n v="3402"/>
    <s v="31.01.2020"/>
    <n v="2020"/>
    <d v="2020-01-01T00:00:00"/>
    <n v="1"/>
    <n v="200108022"/>
    <s v="WE"/>
    <n v="81"/>
    <x v="3"/>
    <n v="21021040"/>
    <x v="3"/>
    <n v="3425.05"/>
    <s v="USD"/>
    <n v="64071.38"/>
    <x v="0"/>
    <m/>
    <m/>
    <m/>
    <m/>
    <n v="605735"/>
    <s v="COLIN COWIE LIFESTYLE LLC"/>
    <m/>
    <m/>
    <s v="31.01.2020"/>
    <d v="2020-01-01T00:00:00"/>
    <n v="20200131"/>
    <n v="3425.05"/>
    <m/>
    <m/>
    <m/>
    <s v="CUOTA LICENCIA COLIN COWIE  ENERO 20"/>
    <m/>
    <m/>
    <m/>
    <m/>
    <m/>
    <m/>
    <n v="340220490"/>
    <s v="MCONTRERAS"/>
  </r>
  <r>
    <n v="3401"/>
    <s v="31.01.2020"/>
    <n v="2020"/>
    <d v="2020-01-01T00:00:00"/>
    <n v="1"/>
    <n v="100031639"/>
    <s v="WE"/>
    <n v="81"/>
    <x v="7"/>
    <n v="21021040"/>
    <x v="7"/>
    <n v="11000"/>
    <s v="MXN"/>
    <n v="11000"/>
    <x v="0"/>
    <m/>
    <m/>
    <s v="A08E437C-1871-4025-9B62-68E8EE96DACD"/>
    <s v="BPA070914HH6"/>
    <n v="201195"/>
    <s v="BUCAZA PROYECTOS ARQUITECTONICOS"/>
    <m/>
    <m/>
    <s v="31.01.2020"/>
    <n v="4501218465"/>
    <n v="300"/>
    <n v="11000"/>
    <n v="1760"/>
    <n v="12760"/>
    <n v="100102074"/>
    <s v="HONORARIOS DE PROFESION"/>
    <n v="12760"/>
    <s v="08.10.2020"/>
    <s v="TRANSFERENCIA"/>
    <n v="100463413"/>
    <s v="BBVA"/>
    <s v="BBVAB 00188039070 TP"/>
    <n v="340117690"/>
    <s v="MANTTO_MEX"/>
  </r>
  <r>
    <n v="3401"/>
    <s v="31.01.2020"/>
    <n v="2020"/>
    <d v="2020-01-01T00:00:00"/>
    <n v="1"/>
    <n v="100031651"/>
    <s v="WE"/>
    <n v="81"/>
    <x v="7"/>
    <n v="21021040"/>
    <x v="7"/>
    <n v="30000"/>
    <s v="MXN"/>
    <n v="30000"/>
    <x v="0"/>
    <m/>
    <m/>
    <s v="CBC3C3E3-8EA8-437A-A7B7-B7194E3D3BFB"/>
    <s v="CEQ120418PE2"/>
    <n v="107358"/>
    <s v="CULTURA ENERGETICA DE QUINTANA ROO"/>
    <m/>
    <m/>
    <s v="31.01.2020"/>
    <n v="4501183949"/>
    <s v="A1847"/>
    <n v="30000"/>
    <n v="4800"/>
    <n v="34800"/>
    <n v="100058738"/>
    <s v="HONORARIOS DE PROFESION"/>
    <n v="34800"/>
    <s v="08.09.2020"/>
    <s v="TRANSFERENCIA"/>
    <n v="100432718"/>
    <s v="BBVA"/>
    <s v="BBVAB 00188039070 TP"/>
    <n v="340117690"/>
    <s v="MANTTO_MEX"/>
  </r>
  <r>
    <n v="3403"/>
    <s v="31.01.2020"/>
    <n v="2020"/>
    <d v="2020-01-01T00:00:00"/>
    <n v="1"/>
    <n v="300017598"/>
    <s v="WE"/>
    <n v="81"/>
    <x v="4"/>
    <n v="21021040"/>
    <x v="4"/>
    <n v="48695"/>
    <s v="MXN"/>
    <n v="48695"/>
    <x v="0"/>
    <m/>
    <m/>
    <s v="AC3BF6C0-9B0A-4192-9B59-D7ECB6359DA3"/>
    <s v="CSS160330CP7"/>
    <n v="107211"/>
    <s v="CFE SUMINISTRADOR DE SERVICIOS"/>
    <m/>
    <m/>
    <s v="31.01.2020"/>
    <n v="4501228713"/>
    <n v="20200131"/>
    <n v="48695"/>
    <n v="7791.2"/>
    <n v="56486.2"/>
    <n v="300021003"/>
    <s v="Electricidad HRV 30 Enero 2020"/>
    <n v="56486.2"/>
    <s v="06.02.2020"/>
    <s v="TRANSFERENCIA"/>
    <n v="300021371"/>
    <s v="HSBC "/>
    <s v="HSBC 004053489092 TP"/>
    <n v="340318590"/>
    <s v="SOLI1103"/>
  </r>
  <r>
    <n v="3402"/>
    <s v="31.01.2020"/>
    <n v="2020"/>
    <d v="2020-01-01T00:00:00"/>
    <n v="1"/>
    <n v="200108558"/>
    <s v="WE"/>
    <n v="81"/>
    <x v="4"/>
    <n v="21021040"/>
    <x v="4"/>
    <n v="350.05"/>
    <s v="MXN"/>
    <n v="350.05"/>
    <x v="0"/>
    <m/>
    <m/>
    <s v="3BC7123B-A28D-4298-B452-687E6C8B15BB"/>
    <s v="CSS160330CP7"/>
    <n v="107211"/>
    <s v="CFE SUMINISTRADOR DE SERVICIOS"/>
    <m/>
    <m/>
    <s v="31.01.2020"/>
    <n v="4501226797"/>
    <n v="20200131"/>
    <n v="350.05"/>
    <n v="56.008000000000003"/>
    <n v="406.05799999999999"/>
    <n v="200127172"/>
    <s v="Consumo CFE Casa Club 28.01.2020"/>
    <n v="406.05799999999999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3"/>
    <n v="200108558"/>
    <s v="WE"/>
    <n v="81"/>
    <x v="4"/>
    <n v="21021040"/>
    <x v="4"/>
    <n v="2310.02"/>
    <s v="MXN"/>
    <n v="2310.02"/>
    <x v="0"/>
    <m/>
    <m/>
    <s v="3BC7123B-A28D-4298-B452-687E6C8B15BB"/>
    <s v="CSS160330CP7"/>
    <n v="107211"/>
    <s v="CFE SUMINISTRADOR DE SERVICIOS"/>
    <m/>
    <m/>
    <s v="31.01.2020"/>
    <n v="4501226797"/>
    <n v="20200131"/>
    <n v="2310.02"/>
    <n v="369.60320000000002"/>
    <n v="2679.6232"/>
    <n v="200127172"/>
    <s v="Consumo CFE Casa Club 29.01.2020"/>
    <n v="2679.6232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5"/>
    <n v="200108558"/>
    <s v="WE"/>
    <n v="81"/>
    <x v="4"/>
    <n v="21021040"/>
    <x v="4"/>
    <n v="1540.03"/>
    <s v="MXN"/>
    <n v="1540.03"/>
    <x v="0"/>
    <m/>
    <m/>
    <s v="3BC7123B-A28D-4298-B452-687E6C8B15BB"/>
    <s v="CSS160330CP7"/>
    <n v="107211"/>
    <s v="CFE SUMINISTRADOR DE SERVICIOS"/>
    <m/>
    <m/>
    <s v="31.01.2020"/>
    <n v="4501226797"/>
    <n v="20200131"/>
    <n v="1540.03"/>
    <n v="246.40479999999999"/>
    <n v="1786.4348"/>
    <n v="200127172"/>
    <s v="Consumo CFE Casa Club 30.01.2020"/>
    <n v="1786.4348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7"/>
    <n v="200108558"/>
    <s v="WE"/>
    <n v="81"/>
    <x v="4"/>
    <n v="21021040"/>
    <x v="4"/>
    <n v="350.05"/>
    <s v="MXN"/>
    <n v="350.05"/>
    <x v="0"/>
    <m/>
    <m/>
    <s v="3BC7123B-A28D-4298-B452-687E6C8B15BB"/>
    <s v="CSS160330CP7"/>
    <n v="107211"/>
    <s v="CFE SUMINISTRADOR DE SERVICIOS"/>
    <m/>
    <m/>
    <s v="31.01.2020"/>
    <n v="4501226797"/>
    <n v="20200131"/>
    <n v="350.05"/>
    <n v="56.008000000000003"/>
    <n v="406.05799999999999"/>
    <n v="200127172"/>
    <s v="Consumo CFE Casa Club 31.01.2020"/>
    <n v="406.05799999999999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1"/>
    <n v="200108560"/>
    <s v="WE"/>
    <n v="81"/>
    <x v="4"/>
    <n v="21021040"/>
    <x v="4"/>
    <n v="3608"/>
    <s v="MXN"/>
    <n v="3608"/>
    <x v="0"/>
    <m/>
    <m/>
    <s v="3BC7123B-A28D-4298-B452-687E6C8B15BB"/>
    <s v="CSS160330CP7"/>
    <n v="107211"/>
    <s v="CFE SUMINISTRADOR DE SERVICIOS"/>
    <m/>
    <m/>
    <s v="31.01.2020"/>
    <n v="4501226797"/>
    <n v="20200131"/>
    <n v="3608"/>
    <n v="577.28"/>
    <n v="4185.28"/>
    <n v="200127172"/>
    <s v="Consumo CFE Lago Riego 28.01.2020"/>
    <n v="4185.28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3"/>
    <n v="200108560"/>
    <s v="WE"/>
    <n v="81"/>
    <x v="4"/>
    <n v="21021040"/>
    <x v="4"/>
    <n v="1600.05"/>
    <s v="MXN"/>
    <n v="1600.05"/>
    <x v="0"/>
    <m/>
    <m/>
    <s v="3BC7123B-A28D-4298-B452-687E6C8B15BB"/>
    <s v="CSS160330CP7"/>
    <n v="107211"/>
    <s v="CFE SUMINISTRADOR DE SERVICIOS"/>
    <m/>
    <m/>
    <s v="31.01.2020"/>
    <n v="4501226797"/>
    <n v="20200131"/>
    <n v="1600.05"/>
    <n v="256.00799999999998"/>
    <n v="1856.058"/>
    <n v="200127172"/>
    <s v="Consumo CFE Lago Riego 29.01.2020"/>
    <n v="1856.058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5"/>
    <n v="200108560"/>
    <s v="WE"/>
    <n v="81"/>
    <x v="4"/>
    <n v="21021040"/>
    <x v="4"/>
    <n v="0.08"/>
    <s v="MXN"/>
    <n v="0.08"/>
    <x v="0"/>
    <m/>
    <m/>
    <s v="3BC7123B-A28D-4298-B452-687E6C8B15BB"/>
    <s v="CSS160330CP7"/>
    <n v="107211"/>
    <s v="CFE SUMINISTRADOR DE SERVICIOS"/>
    <m/>
    <m/>
    <s v="31.01.2020"/>
    <n v="4501226797"/>
    <n v="20200131"/>
    <n v="0.08"/>
    <n v="1.2800000000000001E-2"/>
    <n v="9.2800000000000007E-2"/>
    <n v="200127172"/>
    <s v="Consumo CFE Lago Riego 30.01.2020"/>
    <n v="9.2800000000000007E-2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7"/>
    <n v="200108560"/>
    <s v="WE"/>
    <n v="81"/>
    <x v="4"/>
    <n v="21021040"/>
    <x v="4"/>
    <n v="1512.03"/>
    <s v="MXN"/>
    <n v="1512.03"/>
    <x v="0"/>
    <m/>
    <m/>
    <s v="3BC7123B-A28D-4298-B452-687E6C8B15BB"/>
    <s v="CSS160330CP7"/>
    <n v="107211"/>
    <s v="CFE SUMINISTRADOR DE SERVICIOS"/>
    <m/>
    <m/>
    <s v="31.01.2020"/>
    <n v="4501226797"/>
    <n v="20200131"/>
    <n v="1512.03"/>
    <n v="241.9248"/>
    <n v="1753.9548"/>
    <n v="200127172"/>
    <s v="Consumo CFE Lago Riego 31.01.2020"/>
    <n v="1753.9548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1"/>
    <n v="200108562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31.01.2020"/>
    <n v="4501226797"/>
    <n v="20200131"/>
    <n v="0.04"/>
    <n v="6.4000000000000003E-3"/>
    <n v="4.6400000000000004E-2"/>
    <n v="200127172"/>
    <s v="Consumo CFE Taller Mantto 28.01.2020"/>
    <n v="4.6400000000000004E-2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3"/>
    <n v="200108562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31.01.2020"/>
    <n v="4501226797"/>
    <n v="20200131"/>
    <n v="0.04"/>
    <n v="6.4000000000000003E-3"/>
    <n v="4.6400000000000004E-2"/>
    <n v="200127172"/>
    <s v="Consumo CFE Taller Mantto 29.01.2020"/>
    <n v="4.6400000000000004E-2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5"/>
    <n v="200108562"/>
    <s v="WE"/>
    <n v="81"/>
    <x v="4"/>
    <n v="21021040"/>
    <x v="4"/>
    <n v="304"/>
    <s v="MXN"/>
    <n v="304"/>
    <x v="0"/>
    <m/>
    <m/>
    <s v="3BC7123B-A28D-4298-B452-687E6C8B15BB"/>
    <s v="CSS160330CP7"/>
    <n v="107211"/>
    <s v="CFE SUMINISTRADOR DE SERVICIOS"/>
    <m/>
    <m/>
    <s v="31.01.2020"/>
    <n v="4501226797"/>
    <n v="20200131"/>
    <n v="304"/>
    <n v="48.64"/>
    <n v="352.64"/>
    <n v="200127172"/>
    <s v="Consumo CFE Taller Mantto 30.01.2020"/>
    <n v="352.64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7"/>
    <n v="200108562"/>
    <s v="WE"/>
    <n v="81"/>
    <x v="4"/>
    <n v="21021040"/>
    <x v="4"/>
    <n v="0.04"/>
    <s v="MXN"/>
    <n v="0.04"/>
    <x v="0"/>
    <m/>
    <m/>
    <s v="3BC7123B-A28D-4298-B452-687E6C8B15BB"/>
    <s v="CSS160330CP7"/>
    <n v="107211"/>
    <s v="CFE SUMINISTRADOR DE SERVICIOS"/>
    <m/>
    <m/>
    <s v="31.01.2020"/>
    <n v="4501226797"/>
    <n v="20200131"/>
    <n v="0.04"/>
    <n v="6.4000000000000003E-3"/>
    <n v="4.6400000000000004E-2"/>
    <n v="200127172"/>
    <s v="Consumo CFE Taller Mantto 31.01.2020"/>
    <n v="4.6400000000000004E-2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1"/>
    <n v="200108566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31.01.2020"/>
    <n v="4501226813"/>
    <n v="20200131"/>
    <n v="117.8"/>
    <n v="18.847999999999999"/>
    <n v="136.648"/>
    <n v="200211626"/>
    <s v="Consumo CFE Hoyo 2  28.01.2020"/>
    <n v="136.648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3"/>
    <n v="200108566"/>
    <s v="WE"/>
    <n v="81"/>
    <x v="4"/>
    <n v="21021040"/>
    <x v="4"/>
    <n v="114"/>
    <s v="MXN"/>
    <n v="114"/>
    <x v="0"/>
    <m/>
    <m/>
    <s v="9020593F-B07D-45F6-B3AA-D39CF7A80117"/>
    <s v="CSS160330CP7"/>
    <n v="107211"/>
    <s v="CFE SUMINISTRADOR DE SERVICIOS"/>
    <m/>
    <m/>
    <s v="31.01.2020"/>
    <n v="4501226813"/>
    <n v="20200131"/>
    <n v="114"/>
    <n v="18.240000000000002"/>
    <n v="132.24"/>
    <n v="200211626"/>
    <s v="Consumo CFE Hoyo 2  29.01.2020"/>
    <n v="132.24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5"/>
    <n v="200108566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31.01.2020"/>
    <n v="4501226813"/>
    <n v="20200131"/>
    <n v="117.8"/>
    <n v="18.847999999999999"/>
    <n v="136.648"/>
    <n v="200211626"/>
    <s v="Consumo CFE Hoyo 2  30.01.2020"/>
    <n v="136.648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7"/>
    <n v="200108566"/>
    <s v="WE"/>
    <n v="81"/>
    <x v="4"/>
    <n v="21021040"/>
    <x v="4"/>
    <n v="117.8"/>
    <s v="MXN"/>
    <n v="117.8"/>
    <x v="0"/>
    <m/>
    <m/>
    <s v="9020593F-B07D-45F6-B3AA-D39CF7A80117"/>
    <s v="CSS160330CP7"/>
    <n v="107211"/>
    <s v="CFE SUMINISTRADOR DE SERVICIOS"/>
    <m/>
    <m/>
    <s v="31.01.2020"/>
    <n v="4501226813"/>
    <n v="20200131"/>
    <n v="117.8"/>
    <n v="18.847999999999999"/>
    <n v="136.648"/>
    <n v="200211626"/>
    <s v="Consumo CFE Hoyo 2  31.01.2020"/>
    <n v="136.648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1"/>
    <n v="200108570"/>
    <s v="WE"/>
    <n v="81"/>
    <x v="4"/>
    <n v="21021040"/>
    <x v="4"/>
    <n v="4.5"/>
    <s v="MXN"/>
    <n v="4.5"/>
    <x v="0"/>
    <m/>
    <m/>
    <s v="9020593F-B07D-45F6-B3AA-D39CF7A80117"/>
    <s v="CSS160330CP7"/>
    <n v="107211"/>
    <s v="CFE SUMINISTRADOR DE SERVICIOS"/>
    <m/>
    <m/>
    <s v="31.01.2020"/>
    <n v="4501226813"/>
    <n v="20200131"/>
    <n v="4.5"/>
    <n v="0.72"/>
    <n v="5.22"/>
    <n v="200211626"/>
    <s v="Consumo CFE Hoyo 5  28.01.2020"/>
    <n v="5.22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3"/>
    <n v="200108570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31.01.2020"/>
    <n v="4501226813"/>
    <n v="20200131"/>
    <n v="0.05"/>
    <n v="8.0000000000000002E-3"/>
    <n v="5.8000000000000003E-2"/>
    <n v="200211626"/>
    <s v="Consumo CFE Hoyo 5  29.01.2020"/>
    <n v="5.8000000000000003E-2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5"/>
    <n v="200108570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31.01.2020"/>
    <n v="4501226813"/>
    <n v="20200131"/>
    <n v="0.05"/>
    <n v="8.0000000000000002E-3"/>
    <n v="5.8000000000000003E-2"/>
    <n v="200211626"/>
    <s v="Consumo CFE Hoyo 5  30.01.2020"/>
    <n v="5.8000000000000003E-2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7"/>
    <n v="200108570"/>
    <s v="WE"/>
    <n v="81"/>
    <x v="4"/>
    <n v="21021040"/>
    <x v="4"/>
    <n v="0.05"/>
    <s v="MXN"/>
    <n v="0.05"/>
    <x v="0"/>
    <m/>
    <m/>
    <s v="9020593F-B07D-45F6-B3AA-D39CF7A80117"/>
    <s v="CSS160330CP7"/>
    <n v="107211"/>
    <s v="CFE SUMINISTRADOR DE SERVICIOS"/>
    <m/>
    <m/>
    <s v="31.01.2020"/>
    <n v="4501226813"/>
    <n v="20200131"/>
    <n v="0.05"/>
    <n v="8.0000000000000002E-3"/>
    <n v="5.8000000000000003E-2"/>
    <n v="200211626"/>
    <s v="Consumo CFE Hoyo 5  31.01.2020"/>
    <n v="5.8000000000000003E-2"/>
    <s v="10.03.2020"/>
    <s v="TRANSFERENCIA"/>
    <n v="200225788"/>
    <s v="HSBC "/>
    <s v="HSBC 004053489092 TP"/>
    <n v="340255290"/>
    <s v="SOLI1102"/>
  </r>
  <r>
    <n v="3407"/>
    <s v="31.01.2020"/>
    <n v="2020"/>
    <d v="2020-01-01T00:00:00"/>
    <n v="1"/>
    <n v="700039122"/>
    <s v="WE"/>
    <n v="81"/>
    <x v="3"/>
    <n v="21021040"/>
    <x v="3"/>
    <n v="4392.03"/>
    <s v="USD"/>
    <n v="82160.39"/>
    <x v="0"/>
    <m/>
    <m/>
    <s v="N/A Registro proveedor extranjero"/>
    <n v="593383972"/>
    <n v="600226"/>
    <s v="HARD ROCK CAFE INTERNATIONAL INC."/>
    <m/>
    <m/>
    <s v="31.01.2020"/>
    <s v="5001219M"/>
    <n v="20200131"/>
    <n v="4392.03"/>
    <n v="0"/>
    <n v="4392.03"/>
    <n v="700039314"/>
    <s v="Memorabilia Dic 2019"/>
    <n v="3513.6239999999998"/>
    <s v="02.06.2020"/>
    <s v="TRANSFERENCIA"/>
    <n v="700367854"/>
    <s v="BOFA"/>
    <s v="BofA RCD 89805242886"/>
    <n v="340721790"/>
    <s v="CGUTIERREZ"/>
  </r>
  <r>
    <n v="3403"/>
    <s v="31.01.2020"/>
    <n v="2020"/>
    <d v="2020-01-01T00:00:00"/>
    <n v="1"/>
    <n v="300018471"/>
    <s v="WE"/>
    <n v="81"/>
    <x v="4"/>
    <n v="21021040"/>
    <x v="4"/>
    <n v="44864"/>
    <s v="MXN"/>
    <n v="44864"/>
    <x v="0"/>
    <m/>
    <m/>
    <s v="AC3BF6C0-9B0A-4192-9B59-D7ECB6359DA3"/>
    <s v="CSS160330CP7"/>
    <n v="107211"/>
    <s v="CFE SUMINISTRADOR DE SERVICIOS"/>
    <m/>
    <m/>
    <s v="01.02.2020"/>
    <n v="450122871"/>
    <n v="20200131"/>
    <n v="44864"/>
    <n v="7178.24"/>
    <n v="52042.239999999998"/>
    <n v="300021003"/>
    <s v="Electricidad HRV 31 Enero 2020"/>
    <n v="52042.239999999998"/>
    <s v="06.02.2020"/>
    <s v="TRANSFERENCIA"/>
    <n v="300021371"/>
    <s v="HSBC "/>
    <s v="HSBC 004053489092 TP"/>
    <n v="340318590"/>
    <s v="SOLI1103"/>
  </r>
  <r>
    <n v="3401"/>
    <s v="31.01.2020"/>
    <n v="2020"/>
    <d v="2020-01-01T00:00:00"/>
    <n v="1"/>
    <n v="100033012"/>
    <s v="WE"/>
    <n v="81"/>
    <x v="5"/>
    <n v="21021040"/>
    <x v="5"/>
    <n v="60964.53"/>
    <s v="MXN"/>
    <n v="60964.53"/>
    <x v="0"/>
    <m/>
    <m/>
    <s v="F5E46C2D-21FE-4D5D-ADD7-14B8337F8774"/>
    <s v="RCI930401GV1"/>
    <n v="600623"/>
    <s v="RESORT CONDOMINIUMS INTERNATIONAL"/>
    <m/>
    <m/>
    <s v="01.02.2020"/>
    <s v="RCI-53063"/>
    <n v="20200131"/>
    <n v="60964.53"/>
    <n v="9754.3248000000003"/>
    <n v="70718.854800000001"/>
    <n v="100033764"/>
    <s v="COMISIONES RCI PRECOBROS ENE 2020"/>
    <n v="70718.854800000001"/>
    <s v="06.03.2020"/>
    <s v="TRANSFERENCIA"/>
    <n v="100078328"/>
    <s v="BBVA"/>
    <s v="BBVAB 00188039070 TP"/>
    <m/>
    <m/>
  </r>
  <r>
    <n v="3402"/>
    <s v="31.01.2020"/>
    <n v="2020"/>
    <d v="2020-01-01T00:00:00"/>
    <n v="1"/>
    <n v="200120037"/>
    <s v="SA"/>
    <n v="40"/>
    <x v="4"/>
    <n v="71104010"/>
    <x v="4"/>
    <n v="187070"/>
    <s v="MXN"/>
    <n v="187070"/>
    <x v="0"/>
    <m/>
    <m/>
    <m/>
    <m/>
    <m/>
    <m/>
    <m/>
    <m/>
    <s v="02.02.2020"/>
    <m/>
    <n v="20200131"/>
    <n v="187070"/>
    <m/>
    <m/>
    <m/>
    <s v="ESTIMADO ENERGETICO ENE 20"/>
    <m/>
    <m/>
    <m/>
    <m/>
    <m/>
    <m/>
    <n v="340275190"/>
    <s v="THUCHIN"/>
  </r>
  <r>
    <n v="3402"/>
    <s v="31.01.2020"/>
    <n v="2020"/>
    <d v="2020-01-01T00:00:00"/>
    <n v="2"/>
    <n v="200120037"/>
    <s v="SA"/>
    <n v="50"/>
    <x v="4"/>
    <n v="71104010"/>
    <x v="4"/>
    <n v="187070"/>
    <s v="MXN"/>
    <n v="187070"/>
    <x v="0"/>
    <m/>
    <m/>
    <m/>
    <m/>
    <m/>
    <m/>
    <m/>
    <m/>
    <s v="02.02.2020"/>
    <m/>
    <n v="20200131"/>
    <n v="187070"/>
    <m/>
    <m/>
    <m/>
    <s v="ESTIMADO ENERGETICO ENE 20 WOODWARD"/>
    <m/>
    <m/>
    <m/>
    <m/>
    <m/>
    <m/>
    <n v="340218590"/>
    <s v="THUCHIN"/>
  </r>
  <r>
    <n v="3402"/>
    <s v="31.01.2020"/>
    <n v="2020"/>
    <d v="2020-01-01T00:00:00"/>
    <n v="1"/>
    <n v="200120051"/>
    <s v="SA"/>
    <n v="40"/>
    <x v="3"/>
    <n v="21230140"/>
    <x v="3"/>
    <n v="250"/>
    <s v="USD"/>
    <n v="4676.68"/>
    <x v="0"/>
    <m/>
    <m/>
    <m/>
    <m/>
    <m/>
    <m/>
    <m/>
    <m/>
    <s v="02.02.2020"/>
    <m/>
    <n v="20200131"/>
    <n v="250"/>
    <m/>
    <m/>
    <m/>
    <s v="TRACKS CHECK IN PROGRAM HRR ENE 2020"/>
    <m/>
    <m/>
    <m/>
    <m/>
    <m/>
    <m/>
    <n v="340210190"/>
    <s v="THUCHIN"/>
  </r>
  <r>
    <n v="3402"/>
    <s v="31.01.2020"/>
    <n v="2020"/>
    <d v="2020-01-01T00:00:00"/>
    <n v="1"/>
    <n v="200120053"/>
    <s v="SA"/>
    <n v="40"/>
    <x v="3"/>
    <n v="21230140"/>
    <x v="3"/>
    <n v="9084"/>
    <s v="USD"/>
    <n v="169931.66"/>
    <x v="0"/>
    <m/>
    <m/>
    <m/>
    <m/>
    <m/>
    <m/>
    <m/>
    <n v="200889814"/>
    <s v="02.02.2020"/>
    <s v="WOODWARD ENE"/>
    <n v="20200131"/>
    <n v="9084"/>
    <m/>
    <m/>
    <m/>
    <s v="HRRM ROYALTY FEES WOODWARD ENE 2020"/>
    <m/>
    <m/>
    <m/>
    <m/>
    <m/>
    <m/>
    <n v="340275190"/>
    <s v="THUCHIN"/>
  </r>
  <r>
    <n v="3401"/>
    <s v="31.01.2020"/>
    <n v="2020"/>
    <d v="2020-01-01T00:00:00"/>
    <n v="1"/>
    <n v="100033699"/>
    <s v="SA"/>
    <n v="40"/>
    <x v="4"/>
    <n v="21220170"/>
    <x v="4"/>
    <n v="1006425"/>
    <s v="MXN"/>
    <n v="1006425"/>
    <x v="0"/>
    <m/>
    <m/>
    <m/>
    <m/>
    <m/>
    <m/>
    <m/>
    <n v="100037121"/>
    <s v="02.02.2020"/>
    <s v="PROV. COMPLEMENT"/>
    <n v="20200131"/>
    <n v="1006425"/>
    <m/>
    <m/>
    <m/>
    <s v="PROV. COMPLEMENTO CFE ENERO 20"/>
    <m/>
    <m/>
    <m/>
    <m/>
    <m/>
    <m/>
    <n v="340118590"/>
    <s v="AKRODRIGUEZ"/>
  </r>
  <r>
    <n v="3402"/>
    <s v="31.01.2020"/>
    <n v="2020"/>
    <d v="2020-01-01T00:00:00"/>
    <n v="1"/>
    <n v="200120084"/>
    <s v="SA"/>
    <n v="40"/>
    <x v="3"/>
    <n v="21230140"/>
    <x v="3"/>
    <n v="62716"/>
    <s v="USD"/>
    <n v="1173209.3999999999"/>
    <x v="0"/>
    <m/>
    <m/>
    <m/>
    <m/>
    <m/>
    <m/>
    <m/>
    <n v="200203602"/>
    <s v="02.02.2020"/>
    <m/>
    <n v="20200131"/>
    <n v="62716"/>
    <m/>
    <m/>
    <m/>
    <s v="PROVISIÓN 0.5% FEE MARKETING HRI ENE 20"/>
    <m/>
    <m/>
    <m/>
    <m/>
    <m/>
    <m/>
    <n v="340221790"/>
    <s v="THUCHIN"/>
  </r>
  <r>
    <n v="3402"/>
    <s v="31.01.2020"/>
    <n v="2020"/>
    <d v="2020-01-01T00:00:00"/>
    <n v="3"/>
    <n v="200120084"/>
    <s v="SA"/>
    <n v="40"/>
    <x v="3"/>
    <n v="21230140"/>
    <x v="3"/>
    <n v="206420"/>
    <s v="USD"/>
    <n v="3861437.01"/>
    <x v="0"/>
    <m/>
    <m/>
    <m/>
    <m/>
    <m/>
    <m/>
    <m/>
    <n v="200203602"/>
    <s v="02.02.2020"/>
    <m/>
    <n v="20200131"/>
    <n v="206420"/>
    <m/>
    <m/>
    <m/>
    <s v="PROVISIÓN 2% FEE HOTEL HRI ENE 2020"/>
    <m/>
    <m/>
    <m/>
    <m/>
    <m/>
    <m/>
    <n v="340221790"/>
    <s v="THUCHIN"/>
  </r>
  <r>
    <n v="3402"/>
    <s v="31.01.2020"/>
    <n v="2020"/>
    <d v="2020-01-01T00:00:00"/>
    <n v="5"/>
    <n v="200120084"/>
    <s v="SA"/>
    <n v="40"/>
    <x v="3"/>
    <n v="21230140"/>
    <x v="3"/>
    <n v="9907"/>
    <s v="USD"/>
    <n v="185327.28"/>
    <x v="0"/>
    <m/>
    <m/>
    <m/>
    <m/>
    <m/>
    <m/>
    <m/>
    <n v="200203602"/>
    <s v="02.02.2020"/>
    <m/>
    <n v="20200131"/>
    <n v="9907"/>
    <m/>
    <m/>
    <m/>
    <s v="PROVISIÓN 10% FEE ROCK SHOP HRI ENE 2020"/>
    <m/>
    <m/>
    <m/>
    <m/>
    <m/>
    <m/>
    <n v="340268190"/>
    <s v="THUCHIN"/>
  </r>
  <r>
    <n v="3401"/>
    <s v="31.01.2020"/>
    <n v="2020"/>
    <d v="2020-01-01T00:00:00"/>
    <n v="2"/>
    <n v="100033748"/>
    <s v="SA"/>
    <n v="50"/>
    <x v="0"/>
    <n v="71102190"/>
    <x v="0"/>
    <n v="712.5"/>
    <s v="MXN"/>
    <n v="712.5"/>
    <x v="0"/>
    <m/>
    <m/>
    <m/>
    <m/>
    <m/>
    <m/>
    <m/>
    <m/>
    <s v="02.02.2020"/>
    <s v="RECLAS. GASTOS"/>
    <n v="20200131"/>
    <n v="712.5"/>
    <m/>
    <m/>
    <m/>
    <s v="GUANTES LATEX DE CIRUJANO"/>
    <m/>
    <m/>
    <m/>
    <m/>
    <m/>
    <m/>
    <n v="340127190"/>
    <s v="AKRODRIGUEZ"/>
  </r>
  <r>
    <n v="3403"/>
    <s v="31.01.2020"/>
    <n v="2020"/>
    <d v="2020-01-01T00:00:00"/>
    <n v="1"/>
    <n v="300019295"/>
    <s v="SA"/>
    <n v="40"/>
    <x v="4"/>
    <n v="71104030"/>
    <x v="4"/>
    <n v="48879.33"/>
    <s v="MXN"/>
    <n v="48879.33"/>
    <x v="0"/>
    <m/>
    <m/>
    <m/>
    <m/>
    <m/>
    <m/>
    <m/>
    <m/>
    <s v="02.02.2020"/>
    <s v="GASTOS ENERG. Y"/>
    <n v="20200131"/>
    <n v="48879.33"/>
    <m/>
    <m/>
    <m/>
    <s v="22, 524 KW/H  UTILIZADOS EN LAVANDERIA ENE 20"/>
    <m/>
    <m/>
    <m/>
    <m/>
    <m/>
    <m/>
    <n v="340332290"/>
    <s v="JBERDON"/>
  </r>
  <r>
    <n v="3403"/>
    <s v="31.01.2020"/>
    <n v="2020"/>
    <d v="2020-01-01T00:00:00"/>
    <n v="2"/>
    <n v="300019295"/>
    <s v="SA"/>
    <n v="50"/>
    <x v="4"/>
    <n v="71104030"/>
    <x v="4"/>
    <n v="48879.33"/>
    <s v="MXN"/>
    <n v="48879.33"/>
    <x v="0"/>
    <m/>
    <m/>
    <m/>
    <m/>
    <m/>
    <m/>
    <m/>
    <m/>
    <s v="02.02.2020"/>
    <s v="GASTOS ENERG. Y"/>
    <n v="20200131"/>
    <n v="48879.33"/>
    <m/>
    <m/>
    <m/>
    <s v="22, 524 KW/H  UTILIZADOS EN LAVANDERIA ENE 20"/>
    <m/>
    <m/>
    <m/>
    <m/>
    <m/>
    <m/>
    <n v="340318590"/>
    <s v="JBERDON"/>
  </r>
  <r>
    <n v="3402"/>
    <s v="31.01.2020"/>
    <n v="2020"/>
    <d v="2020-01-01T00:00:00"/>
    <n v="1"/>
    <n v="200122809"/>
    <s v="WE"/>
    <n v="81"/>
    <x v="4"/>
    <n v="21021040"/>
    <x v="4"/>
    <n v="1863389.4"/>
    <s v="MXN"/>
    <n v="1863389.4"/>
    <x v="0"/>
    <m/>
    <m/>
    <s v="B36F144B-FEAA-423B-A586-88467135EEF1"/>
    <s v="CSS160330CP7"/>
    <n v="107211"/>
    <s v="CFE SUMINISTRADOR DE SERVICIOS"/>
    <m/>
    <m/>
    <s v="03.02.2020"/>
    <n v="4501229349"/>
    <n v="20200131"/>
    <n v="1863389.4"/>
    <n v="298142.304"/>
    <n v="2161531.7039999999"/>
    <n v="200124384"/>
    <s v="LUZ MES DE ENERO"/>
    <n v="2161531.7039999999"/>
    <s v="06.02.2020"/>
    <s v="TRANSFERENCIA"/>
    <n v="200127161"/>
    <s v="HSBC "/>
    <s v="HSBC 004053489092 TP"/>
    <n v="340218590"/>
    <s v="RMARRUFO"/>
  </r>
  <r>
    <n v="3402"/>
    <s v="31.01.2020"/>
    <n v="2020"/>
    <d v="2020-01-01T00:00:00"/>
    <n v="1"/>
    <n v="200122819"/>
    <s v="SA"/>
    <n v="40"/>
    <x v="4"/>
    <n v="71104010"/>
    <x v="4"/>
    <n v="290750.48"/>
    <s v="MXN"/>
    <n v="290750.48"/>
    <x v="0"/>
    <m/>
    <m/>
    <m/>
    <m/>
    <m/>
    <m/>
    <m/>
    <m/>
    <s v="03.02.2020"/>
    <m/>
    <n v="20200131"/>
    <n v="290750.48"/>
    <m/>
    <m/>
    <m/>
    <s v="CONSUMO LUZ LAVANDERÍA ENE 2020 139,710 KW"/>
    <m/>
    <m/>
    <m/>
    <m/>
    <m/>
    <m/>
    <n v="340232290"/>
    <s v="THUCHIN"/>
  </r>
  <r>
    <n v="3402"/>
    <s v="31.01.2020"/>
    <n v="2020"/>
    <d v="2020-01-01T00:00:00"/>
    <n v="2"/>
    <n v="200122819"/>
    <s v="SA"/>
    <n v="50"/>
    <x v="4"/>
    <n v="71104010"/>
    <x v="4"/>
    <n v="290750.48"/>
    <s v="MXN"/>
    <n v="290750.48"/>
    <x v="0"/>
    <m/>
    <m/>
    <m/>
    <m/>
    <m/>
    <m/>
    <m/>
    <m/>
    <s v="03.02.2020"/>
    <m/>
    <n v="20200131"/>
    <n v="290750.48"/>
    <m/>
    <m/>
    <m/>
    <s v="CONSUMO LUZ LAVANDERÍA ENE 2020 290,710 KW"/>
    <m/>
    <m/>
    <m/>
    <m/>
    <m/>
    <m/>
    <n v="340218590"/>
    <s v="THUCHIN"/>
  </r>
  <r>
    <n v="3409"/>
    <s v="31.01.2020"/>
    <n v="2020"/>
    <d v="2020-01-01T00:00:00"/>
    <n v="1"/>
    <n v="900012106"/>
    <s v="SA"/>
    <n v="40"/>
    <x v="3"/>
    <n v="21220060"/>
    <x v="3"/>
    <n v="12500"/>
    <s v="USD"/>
    <n v="233833.75"/>
    <x v="0"/>
    <m/>
    <m/>
    <m/>
    <m/>
    <m/>
    <m/>
    <m/>
    <n v="900038817"/>
    <s v="03.02.2020"/>
    <s v="PROV FEE NOBU"/>
    <n v="20200131"/>
    <n v="12500"/>
    <m/>
    <m/>
    <m/>
    <s v="FEE NOBU ENERO 2020"/>
    <m/>
    <m/>
    <m/>
    <m/>
    <m/>
    <m/>
    <n v="340981990"/>
    <s v="JQUITERIO"/>
  </r>
  <r>
    <n v="3409"/>
    <s v="31.01.2020"/>
    <n v="2020"/>
    <d v="2020-01-01T00:00:00"/>
    <n v="1"/>
    <n v="900012107"/>
    <s v="SA"/>
    <n v="40"/>
    <x v="3"/>
    <n v="21220060"/>
    <x v="3"/>
    <n v="8333"/>
    <s v="USD"/>
    <n v="155882.93"/>
    <x v="0"/>
    <m/>
    <m/>
    <m/>
    <m/>
    <m/>
    <m/>
    <m/>
    <n v="900038818"/>
    <s v="03.02.2020"/>
    <s v="PROV FEE NOBU"/>
    <n v="20200131"/>
    <n v="8333"/>
    <m/>
    <m/>
    <m/>
    <s v="FEE MALIBU ENERO 2020"/>
    <m/>
    <m/>
    <m/>
    <m/>
    <m/>
    <m/>
    <n v="340980690"/>
    <s v="JQUITERIO"/>
  </r>
  <r>
    <n v="3407"/>
    <s v="31.01.2020"/>
    <n v="2020"/>
    <d v="2020-01-01T00:00:00"/>
    <n v="1"/>
    <n v="700042327"/>
    <s v="WE"/>
    <n v="81"/>
    <x v="4"/>
    <n v="21021040"/>
    <x v="4"/>
    <n v="3519294.86"/>
    <s v="MXN"/>
    <n v="3519294.86"/>
    <x v="0"/>
    <m/>
    <m/>
    <s v="8C50D87A-B0AB-4AAF-A8F3-A79EB662C481"/>
    <s v="CSS160330CP7"/>
    <n v="107211"/>
    <s v="CFE SUMINISTRADOR DE SERVICIOS"/>
    <m/>
    <m/>
    <s v="03.02.2020"/>
    <s v="FACTURA ENERGIA"/>
    <s v="REGISTROS ANULADOS"/>
    <n v="3519294.86"/>
    <m/>
    <m/>
    <m/>
    <s v="FACTURA ENERGIA CFE ENERO 20"/>
    <m/>
    <m/>
    <s v="TRANSFERENCIA"/>
    <m/>
    <s v="HSBC "/>
    <s v="HSBC 004053489092 TP"/>
    <n v="340718590"/>
    <s v="JMIRALLES"/>
  </r>
  <r>
    <n v="3407"/>
    <s v="31.01.2020"/>
    <n v="2020"/>
    <d v="2020-01-01T00:00:00"/>
    <n v="1"/>
    <n v="700042354"/>
    <s v="WE"/>
    <n v="81"/>
    <x v="3"/>
    <n v="21021040"/>
    <x v="3"/>
    <n v="204127"/>
    <s v="USD"/>
    <n v="3818542.55"/>
    <x v="0"/>
    <m/>
    <m/>
    <s v="N/A Registro proveedor extranjero"/>
    <n v="593383972"/>
    <n v="600226"/>
    <s v="HARD ROCK CAFE INTERNATIONAL INC."/>
    <m/>
    <m/>
    <s v="03.02.2020"/>
    <n v="31012020"/>
    <n v="20200131"/>
    <m/>
    <n v="0"/>
    <m/>
    <m/>
    <s v="Fees HRI Enero 2020"/>
    <m/>
    <m/>
    <m/>
    <m/>
    <s v="BOFA"/>
    <s v="BofA RCD 89805242886"/>
    <n v="340721790"/>
    <s v="CGUTIERREZ"/>
  </r>
  <r>
    <n v="3400"/>
    <s v="31.01.2020"/>
    <n v="2020"/>
    <d v="2020-01-01T00:00:00"/>
    <n v="5"/>
    <n v="100011167"/>
    <s v="SA"/>
    <n v="40"/>
    <x v="1"/>
    <n v="11610110"/>
    <x v="1"/>
    <n v="7.76"/>
    <s v="MXN"/>
    <n v="7.76"/>
    <x v="0"/>
    <s v="D3"/>
    <m/>
    <m/>
    <m/>
    <m/>
    <m/>
    <m/>
    <m/>
    <s v="03.02.2020"/>
    <s v="EJECUTIVO"/>
    <n v="20200131"/>
    <n v="7.76"/>
    <m/>
    <m/>
    <m/>
    <s v="COMISIONES SI VALE GASOLINA"/>
    <m/>
    <m/>
    <m/>
    <m/>
    <m/>
    <m/>
    <n v="340040450"/>
    <s v="SMARTINEZ"/>
  </r>
  <r>
    <n v="3401"/>
    <s v="31.01.2020"/>
    <n v="2020"/>
    <d v="2020-01-01T00:00:00"/>
    <n v="1"/>
    <n v="100035056"/>
    <s v="WE"/>
    <n v="81"/>
    <x v="4"/>
    <n v="21021040"/>
    <x v="4"/>
    <n v="891114"/>
    <s v="MXN"/>
    <n v="891114"/>
    <x v="0"/>
    <m/>
    <m/>
    <s v="27DFA65C-1D63-41B7-9350-ADC68088A10C"/>
    <s v="CSS160330CP7"/>
    <n v="107211"/>
    <s v="CFE SUMINISTRADOR DE SERVICIOS"/>
    <m/>
    <m/>
    <s v="04.02.2020"/>
    <n v="4501216248"/>
    <s v="WH000533227437"/>
    <n v="891114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31.01.2020"/>
    <n v="2020"/>
    <d v="2020-01-01T00:00:00"/>
    <n v="1"/>
    <n v="100035057"/>
    <s v="WE"/>
    <n v="81"/>
    <x v="4"/>
    <n v="21021040"/>
    <x v="4"/>
    <n v="115331"/>
    <s v="MXN"/>
    <n v="115331"/>
    <x v="0"/>
    <m/>
    <m/>
    <s v="27DFA65C-1D63-41B7-9350-ADC68088A10C"/>
    <s v="CSS160330CP7"/>
    <n v="107211"/>
    <s v="CFE SUMINISTRADOR DE SERVICIOS"/>
    <m/>
    <m/>
    <s v="04.02.2020"/>
    <n v="4501216248"/>
    <s v="WH000533227437"/>
    <n v="115331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31.01.2020"/>
    <n v="2020"/>
    <d v="2020-01-01T00:00:00"/>
    <n v="1"/>
    <n v="100035058"/>
    <s v="WE"/>
    <n v="91"/>
    <x v="4"/>
    <n v="21021040"/>
    <x v="4"/>
    <n v="891114"/>
    <s v="MXN"/>
    <n v="891114"/>
    <x v="0"/>
    <m/>
    <m/>
    <s v="27DFA65C-1D63-41B7-9350-ADC68088A10C"/>
    <s v="CSS160330CP7"/>
    <n v="107211"/>
    <s v="CFE SUMINISTRADOR DE SERVICIOS"/>
    <m/>
    <m/>
    <s v="04.02.2020"/>
    <n v="4501216248"/>
    <s v="WH000533227437"/>
    <n v="891114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31.01.2020"/>
    <n v="2020"/>
    <d v="2020-01-01T00:00:00"/>
    <n v="1"/>
    <n v="100035059"/>
    <s v="WE"/>
    <n v="91"/>
    <x v="4"/>
    <n v="21021040"/>
    <x v="4"/>
    <n v="115331"/>
    <s v="MXN"/>
    <n v="115331"/>
    <x v="0"/>
    <m/>
    <m/>
    <s v="27DFA65C-1D63-41B7-9350-ADC68088A10C"/>
    <s v="CSS160330CP7"/>
    <n v="107211"/>
    <s v="CFE SUMINISTRADOR DE SERVICIOS"/>
    <m/>
    <m/>
    <s v="04.02.2020"/>
    <n v="4501216248"/>
    <s v="WH000533227437"/>
    <n v="115331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6"/>
    <s v="31.01.2020"/>
    <n v="2020"/>
    <d v="2020-01-01T00:00:00"/>
    <n v="1"/>
    <n v="600033366"/>
    <s v="SA"/>
    <n v="40"/>
    <x v="6"/>
    <n v="71111040"/>
    <x v="6"/>
    <n v="193.9"/>
    <s v="MXN"/>
    <n v="193.9"/>
    <x v="0"/>
    <m/>
    <m/>
    <m/>
    <m/>
    <m/>
    <m/>
    <m/>
    <n v="600036774"/>
    <s v="04.02.2020"/>
    <s v="SERV DE LAVANDER"/>
    <n v="20200131"/>
    <n v="193.9"/>
    <m/>
    <m/>
    <m/>
    <s v="35 KG SERV DE LAVANDERIA INT ENE20"/>
    <m/>
    <m/>
    <m/>
    <m/>
    <m/>
    <m/>
    <n v="340619290"/>
    <s v="DVERDE"/>
  </r>
  <r>
    <n v="3406"/>
    <s v="31.01.2020"/>
    <n v="2020"/>
    <d v="2020-01-01T00:00:00"/>
    <n v="2"/>
    <n v="600033366"/>
    <s v="SA"/>
    <n v="40"/>
    <x v="6"/>
    <n v="71111040"/>
    <x v="6"/>
    <n v="113.76"/>
    <s v="MXN"/>
    <n v="113.76"/>
    <x v="0"/>
    <m/>
    <m/>
    <m/>
    <m/>
    <m/>
    <m/>
    <m/>
    <n v="600036774"/>
    <s v="04.02.2020"/>
    <s v="SERV DE LAVANDER"/>
    <n v="20200131"/>
    <n v="113.76"/>
    <m/>
    <m/>
    <m/>
    <s v="20 KG SERV DE LAVANDERIA INT ENE 20"/>
    <m/>
    <m/>
    <m/>
    <m/>
    <m/>
    <m/>
    <n v="340633190"/>
    <s v="DVERDE"/>
  </r>
  <r>
    <n v="3406"/>
    <s v="31.01.2020"/>
    <n v="2020"/>
    <d v="2020-01-01T00:00:00"/>
    <n v="3"/>
    <n v="600033366"/>
    <s v="SA"/>
    <n v="40"/>
    <x v="6"/>
    <n v="71111040"/>
    <x v="6"/>
    <n v="16642.62"/>
    <s v="MXN"/>
    <n v="16642.62"/>
    <x v="0"/>
    <m/>
    <m/>
    <m/>
    <m/>
    <m/>
    <m/>
    <m/>
    <n v="600036774"/>
    <s v="04.02.2020"/>
    <s v="SERV DE LAVANDER"/>
    <n v="20200131"/>
    <n v="16642.62"/>
    <m/>
    <m/>
    <m/>
    <s v=" 2,970  KG SERV DE LAVANDERIA INT ENE 20"/>
    <m/>
    <m/>
    <m/>
    <m/>
    <m/>
    <m/>
    <n v="340610490"/>
    <s v="DVERDE"/>
  </r>
  <r>
    <n v="3406"/>
    <s v="31.01.2020"/>
    <n v="2020"/>
    <d v="2020-01-01T00:00:00"/>
    <n v="6"/>
    <n v="600033366"/>
    <s v="SA"/>
    <n v="40"/>
    <x v="6"/>
    <n v="71111040"/>
    <x v="6"/>
    <n v="105.92"/>
    <s v="MXN"/>
    <n v="105.92"/>
    <x v="0"/>
    <m/>
    <m/>
    <m/>
    <m/>
    <m/>
    <m/>
    <m/>
    <n v="600036774"/>
    <s v="04.02.2020"/>
    <s v="SERV DE LAVANDER"/>
    <n v="20200131"/>
    <n v="105.92"/>
    <m/>
    <m/>
    <m/>
    <s v=" 19  KG SERV DE LAVANDERIA INT ENE2020"/>
    <m/>
    <m/>
    <m/>
    <m/>
    <m/>
    <m/>
    <n v="340619190"/>
    <s v="DVERDE"/>
  </r>
  <r>
    <n v="3406"/>
    <s v="31.01.2020"/>
    <n v="2020"/>
    <d v="2020-01-01T00:00:00"/>
    <n v="8"/>
    <n v="600033366"/>
    <s v="SA"/>
    <n v="40"/>
    <x v="6"/>
    <n v="71111040"/>
    <x v="6"/>
    <n v="2119.67"/>
    <s v="MXN"/>
    <n v="2119.67"/>
    <x v="0"/>
    <m/>
    <m/>
    <m/>
    <m/>
    <m/>
    <m/>
    <m/>
    <n v="600036774"/>
    <s v="04.02.2020"/>
    <s v="SERV DE LAVANDER"/>
    <n v="20200131"/>
    <n v="2119.67"/>
    <m/>
    <m/>
    <m/>
    <s v=" 378  KG SERV DE LAVANDERIA INT ENE20"/>
    <m/>
    <m/>
    <m/>
    <m/>
    <m/>
    <m/>
    <n v="340615190"/>
    <s v="DVERDE"/>
  </r>
  <r>
    <n v="3406"/>
    <s v="31.01.2020"/>
    <n v="2020"/>
    <d v="2020-01-01T00:00:00"/>
    <n v="4"/>
    <n v="600033366"/>
    <s v="SA"/>
    <n v="40"/>
    <x v="6"/>
    <n v="71111040"/>
    <x v="6"/>
    <n v="1371.87"/>
    <s v="MXN"/>
    <n v="1371.87"/>
    <x v="0"/>
    <m/>
    <m/>
    <m/>
    <m/>
    <m/>
    <m/>
    <m/>
    <n v="600036774"/>
    <s v="04.02.2020"/>
    <s v="SERV DE LAVANDER"/>
    <n v="20200131"/>
    <n v="1371.87"/>
    <m/>
    <m/>
    <m/>
    <s v=" 245  KG SERV DE LAVANDERIA INT ENE 20"/>
    <m/>
    <m/>
    <m/>
    <m/>
    <m/>
    <m/>
    <n v="340612890"/>
    <s v="DVERDE"/>
  </r>
  <r>
    <n v="3406"/>
    <s v="31.01.2020"/>
    <n v="2020"/>
    <d v="2020-01-01T00:00:00"/>
    <n v="5"/>
    <n v="600033366"/>
    <s v="SA"/>
    <n v="40"/>
    <x v="6"/>
    <n v="71111040"/>
    <x v="6"/>
    <n v="970.9"/>
    <s v="MXN"/>
    <n v="970.9"/>
    <x v="0"/>
    <m/>
    <m/>
    <m/>
    <m/>
    <m/>
    <m/>
    <m/>
    <n v="600036774"/>
    <s v="04.02.2020"/>
    <s v="SERV DE LAVANDER"/>
    <n v="20200131"/>
    <n v="970.9"/>
    <m/>
    <m/>
    <m/>
    <s v=" 173  KG SERV DE LAVANDERIA INT ENE 20"/>
    <m/>
    <m/>
    <m/>
    <m/>
    <m/>
    <m/>
    <n v="340632290"/>
    <s v="DVERDE"/>
  </r>
  <r>
    <n v="3406"/>
    <s v="31.01.2020"/>
    <n v="2020"/>
    <d v="2020-01-01T00:00:00"/>
    <n v="1"/>
    <n v="600033388"/>
    <s v="SA"/>
    <n v="50"/>
    <x v="4"/>
    <n v="11610030"/>
    <x v="4"/>
    <n v="50188.66"/>
    <s v="MXN"/>
    <n v="50188.66"/>
    <x v="0"/>
    <m/>
    <m/>
    <m/>
    <m/>
    <m/>
    <m/>
    <m/>
    <m/>
    <s v="04.02.2020"/>
    <s v="PROV LUZ ENE 20"/>
    <n v="20200131"/>
    <n v="50188.66"/>
    <m/>
    <m/>
    <m/>
    <s v="PROV ENERGIA ELECTRICA ENE 20"/>
    <m/>
    <m/>
    <m/>
    <m/>
    <m/>
    <m/>
    <n v="340618590"/>
    <s v="DVERDE"/>
  </r>
  <r>
    <n v="3406"/>
    <s v="31.01.2020"/>
    <n v="2020"/>
    <d v="2020-01-01T00:00:00"/>
    <n v="1"/>
    <n v="600033422"/>
    <s v="SA"/>
    <n v="40"/>
    <x v="6"/>
    <n v="71111040"/>
    <x v="6"/>
    <n v="204.6"/>
    <s v="MXN"/>
    <n v="204.6"/>
    <x v="0"/>
    <m/>
    <m/>
    <m/>
    <m/>
    <m/>
    <m/>
    <m/>
    <m/>
    <s v="04.02.2020"/>
    <s v="SERV DE LAVANDER"/>
    <n v="20200131"/>
    <n v="204.6"/>
    <m/>
    <m/>
    <m/>
    <s v="35 KG SERV DE LAVANDERIA INT ENE20"/>
    <m/>
    <m/>
    <m/>
    <m/>
    <m/>
    <m/>
    <n v="340619290"/>
    <s v="DVERDE"/>
  </r>
  <r>
    <n v="3406"/>
    <s v="31.01.2020"/>
    <n v="2020"/>
    <d v="2020-01-01T00:00:00"/>
    <n v="2"/>
    <n v="600033422"/>
    <s v="SA"/>
    <n v="40"/>
    <x v="6"/>
    <n v="71111040"/>
    <x v="6"/>
    <n v="120.04"/>
    <s v="MXN"/>
    <n v="120.04"/>
    <x v="0"/>
    <m/>
    <m/>
    <m/>
    <m/>
    <m/>
    <m/>
    <m/>
    <m/>
    <s v="04.02.2020"/>
    <s v="SERV DE LAVANDER"/>
    <n v="20200131"/>
    <n v="120.04"/>
    <m/>
    <m/>
    <m/>
    <s v="20 KG SERV DE LAVANDERIA INT ENE 20"/>
    <m/>
    <m/>
    <m/>
    <m/>
    <m/>
    <m/>
    <n v="340633190"/>
    <s v="DVERDE"/>
  </r>
  <r>
    <n v="3406"/>
    <s v="31.01.2020"/>
    <n v="2020"/>
    <d v="2020-01-01T00:00:00"/>
    <n v="3"/>
    <n v="600033422"/>
    <s v="SA"/>
    <n v="40"/>
    <x v="6"/>
    <n v="71111040"/>
    <x v="6"/>
    <n v="17560.86"/>
    <s v="MXN"/>
    <n v="17560.86"/>
    <x v="0"/>
    <m/>
    <m/>
    <m/>
    <m/>
    <m/>
    <m/>
    <m/>
    <m/>
    <s v="04.02.2020"/>
    <s v="SERV DE LAVANDER"/>
    <n v="20200131"/>
    <n v="17560.86"/>
    <m/>
    <m/>
    <m/>
    <s v=" 2,970  KG SERV DE LAVANDERIA INT ENE 20"/>
    <m/>
    <m/>
    <m/>
    <m/>
    <m/>
    <m/>
    <n v="340610490"/>
    <s v="DVERDE"/>
  </r>
  <r>
    <n v="3406"/>
    <s v="31.01.2020"/>
    <n v="2020"/>
    <d v="2020-01-01T00:00:00"/>
    <n v="4"/>
    <n v="600033422"/>
    <s v="SA"/>
    <n v="40"/>
    <x v="6"/>
    <n v="71111040"/>
    <x v="6"/>
    <n v="1447.56"/>
    <s v="MXN"/>
    <n v="1447.56"/>
    <x v="0"/>
    <m/>
    <m/>
    <m/>
    <m/>
    <m/>
    <m/>
    <m/>
    <m/>
    <s v="04.02.2020"/>
    <s v="SERV DE LAVANDER"/>
    <n v="20200131"/>
    <n v="1447.56"/>
    <m/>
    <m/>
    <m/>
    <s v=" 245  KG SERV DE LAVANDERIA INT ENE 20"/>
    <m/>
    <m/>
    <m/>
    <m/>
    <m/>
    <m/>
    <n v="340612890"/>
    <s v="DVERDE"/>
  </r>
  <r>
    <n v="3406"/>
    <s v="31.01.2020"/>
    <n v="2020"/>
    <d v="2020-01-01T00:00:00"/>
    <n v="5"/>
    <n v="600033422"/>
    <s v="SA"/>
    <n v="40"/>
    <x v="6"/>
    <n v="71111040"/>
    <x v="6"/>
    <n v="1024.47"/>
    <s v="MXN"/>
    <n v="1024.47"/>
    <x v="0"/>
    <m/>
    <m/>
    <m/>
    <m/>
    <m/>
    <m/>
    <m/>
    <m/>
    <s v="04.02.2020"/>
    <s v="SERV DE LAVANDER"/>
    <n v="20200131"/>
    <n v="1024.47"/>
    <m/>
    <m/>
    <m/>
    <s v=" 173  KG SERV DE LAVANDERIA INT ENE 20"/>
    <m/>
    <m/>
    <m/>
    <m/>
    <m/>
    <m/>
    <n v="340632290"/>
    <s v="DVERDE"/>
  </r>
  <r>
    <n v="3406"/>
    <s v="31.01.2020"/>
    <n v="2020"/>
    <d v="2020-01-01T00:00:00"/>
    <n v="6"/>
    <n v="600033422"/>
    <s v="SA"/>
    <n v="40"/>
    <x v="6"/>
    <n v="71111040"/>
    <x v="6"/>
    <n v="111.76"/>
    <s v="MXN"/>
    <n v="111.76"/>
    <x v="0"/>
    <m/>
    <m/>
    <m/>
    <m/>
    <m/>
    <m/>
    <m/>
    <m/>
    <s v="04.02.2020"/>
    <s v="SERV DE LAVANDER"/>
    <n v="20200131"/>
    <n v="111.76"/>
    <m/>
    <m/>
    <m/>
    <s v=" 19  KG SERV DE LAVANDERIA INT ENE2020"/>
    <m/>
    <m/>
    <m/>
    <m/>
    <m/>
    <m/>
    <n v="340619190"/>
    <s v="DVERDE"/>
  </r>
  <r>
    <n v="3406"/>
    <s v="31.01.2020"/>
    <n v="2020"/>
    <d v="2020-01-01T00:00:00"/>
    <n v="8"/>
    <n v="600033422"/>
    <s v="SA"/>
    <n v="40"/>
    <x v="6"/>
    <n v="71111040"/>
    <x v="6"/>
    <n v="2236.62"/>
    <s v="MXN"/>
    <n v="2236.62"/>
    <x v="0"/>
    <m/>
    <m/>
    <m/>
    <m/>
    <m/>
    <m/>
    <m/>
    <m/>
    <s v="04.02.2020"/>
    <s v="SERV DE LAVANDER"/>
    <n v="20200131"/>
    <n v="2236.62"/>
    <m/>
    <m/>
    <m/>
    <s v=" 378  KG SERV DE LAVANDERIA INT ENE20"/>
    <m/>
    <m/>
    <m/>
    <m/>
    <m/>
    <m/>
    <n v="340615190"/>
    <s v="DVERDE"/>
  </r>
  <r>
    <n v="3403"/>
    <s v="31.01.2020"/>
    <n v="2020"/>
    <d v="2020-01-01T00:00:00"/>
    <n v="1"/>
    <n v="300020325"/>
    <s v="WE"/>
    <n v="81"/>
    <x v="3"/>
    <n v="21021040"/>
    <x v="3"/>
    <n v="7570"/>
    <s v="USD"/>
    <n v="141609.72"/>
    <x v="0"/>
    <m/>
    <m/>
    <s v="N/A Registro proveedor extranjero"/>
    <s v="XEXX0101010"/>
    <n v="101128"/>
    <s v="HARD ROCK LIMITED."/>
    <m/>
    <m/>
    <s v="04.02.2020"/>
    <s v="4501232157-3"/>
    <n v="20200131"/>
    <n v="7570"/>
    <n v="0"/>
    <n v="7570"/>
    <n v="300034130"/>
    <s v="FEES HARD ROCK-STORE FEE"/>
    <n v="6881.8181818181811"/>
    <s v="02.06.2020"/>
    <s v="TRANSFERENCIA"/>
    <n v="300238840"/>
    <s v="BOFA"/>
    <s v="BofA RCD 89805242886"/>
    <n v="340368190"/>
    <s v="ERAMOS"/>
  </r>
  <r>
    <n v="3403"/>
    <s v="31.01.2020"/>
    <n v="2020"/>
    <d v="2020-01-01T00:00:00"/>
    <n v="1"/>
    <n v="300020326"/>
    <s v="WE"/>
    <n v="81"/>
    <x v="3"/>
    <n v="21021040"/>
    <x v="3"/>
    <n v="34433"/>
    <s v="USD"/>
    <n v="644127.80000000005"/>
    <x v="0"/>
    <m/>
    <m/>
    <s v="N/A Registro proveedor extranjero"/>
    <s v="XEXX0101010"/>
    <n v="101128"/>
    <s v="HARD ROCK LIMITED."/>
    <m/>
    <m/>
    <s v="04.02.2020"/>
    <s v="4501232157-2"/>
    <n v="20200131"/>
    <n v="34433"/>
    <n v="0"/>
    <n v="34433"/>
    <n v="300034130"/>
    <s v="FEES HARD ROCK- MARKETING FEE"/>
    <n v="31302.727272727268"/>
    <s v="02.06.2020"/>
    <s v="TRANSFERENCIA"/>
    <n v="300238840"/>
    <s v="BOFA"/>
    <s v="BofA RCD 89805242886"/>
    <n v="340321790"/>
    <s v="ERAMOS"/>
  </r>
  <r>
    <n v="3403"/>
    <s v="31.01.2020"/>
    <n v="2020"/>
    <d v="2020-01-01T00:00:00"/>
    <n v="1"/>
    <n v="300020327"/>
    <s v="WE"/>
    <n v="81"/>
    <x v="3"/>
    <n v="21021040"/>
    <x v="3"/>
    <n v="103298"/>
    <s v="USD"/>
    <n v="1932364.7"/>
    <x v="0"/>
    <m/>
    <m/>
    <s v="N/A Registro proveedor extranjero"/>
    <s v="XEXX0101010"/>
    <n v="101128"/>
    <s v="HARD ROCK LIMITED."/>
    <m/>
    <m/>
    <s v="04.02.2020"/>
    <n v="4501232157"/>
    <n v="20200131"/>
    <n v="103298"/>
    <n v="0"/>
    <n v="103298"/>
    <n v="300034130"/>
    <s v="FEES HARD ROCK- LICENSE FEE"/>
    <n v="93907.272727272721"/>
    <s v="02.06.2020"/>
    <s v="TRANSFERENCIA"/>
    <n v="300238840"/>
    <s v="BOFA"/>
    <s v="BofA RCD 89805242886"/>
    <n v="340321790"/>
    <s v="ERAMOS"/>
  </r>
  <r>
    <n v="3403"/>
    <s v="31.01.2020"/>
    <n v="2020"/>
    <d v="2020-01-01T00:00:00"/>
    <n v="1"/>
    <n v="300020328"/>
    <s v="SA"/>
    <n v="40"/>
    <x v="6"/>
    <n v="71111040"/>
    <x v="6"/>
    <n v="29.74"/>
    <s v="MXN"/>
    <n v="29.74"/>
    <x v="0"/>
    <m/>
    <m/>
    <m/>
    <m/>
    <m/>
    <m/>
    <m/>
    <m/>
    <s v="04.02.2020"/>
    <s v="DIST LAVANDERIA"/>
    <n v="20200131"/>
    <n v="29.74"/>
    <m/>
    <m/>
    <m/>
    <s v="SERV LAV ACT HUESPEDES ENE 2020"/>
    <m/>
    <m/>
    <m/>
    <m/>
    <m/>
    <m/>
    <n v="340319290"/>
    <s v="JBAUTISTA"/>
  </r>
  <r>
    <n v="3403"/>
    <s v="31.01.2020"/>
    <n v="2020"/>
    <d v="2020-01-01T00:00:00"/>
    <n v="2"/>
    <n v="300020328"/>
    <s v="SA"/>
    <n v="40"/>
    <x v="6"/>
    <n v="71111040"/>
    <x v="6"/>
    <n v="661845.63"/>
    <s v="MXN"/>
    <n v="661845.63"/>
    <x v="0"/>
    <m/>
    <m/>
    <m/>
    <m/>
    <m/>
    <m/>
    <m/>
    <m/>
    <s v="04.02.2020"/>
    <s v="DIST LAVANDERIA"/>
    <n v="20200131"/>
    <n v="661845.63"/>
    <m/>
    <m/>
    <m/>
    <s v="SERV LAV AMA DE LLAVES ENE 2020"/>
    <m/>
    <m/>
    <m/>
    <m/>
    <m/>
    <m/>
    <n v="340310490"/>
    <s v="JBAUTISTA"/>
  </r>
  <r>
    <n v="3403"/>
    <s v="31.01.2020"/>
    <n v="2020"/>
    <d v="2020-01-01T00:00:00"/>
    <n v="3"/>
    <n v="300020328"/>
    <s v="SA"/>
    <n v="40"/>
    <x v="6"/>
    <n v="71111040"/>
    <x v="6"/>
    <n v="3783.58"/>
    <s v="MXN"/>
    <n v="3783.58"/>
    <x v="0"/>
    <m/>
    <m/>
    <m/>
    <m/>
    <m/>
    <m/>
    <m/>
    <m/>
    <s v="04.02.2020"/>
    <s v="DIST LAVANDERIA"/>
    <n v="20200131"/>
    <n v="3783.58"/>
    <m/>
    <m/>
    <m/>
    <s v="SERV LAV AREAS PUBLICAS ENE 2020"/>
    <m/>
    <m/>
    <m/>
    <m/>
    <m/>
    <m/>
    <n v="340310590"/>
    <s v="JBAUTISTA"/>
  </r>
  <r>
    <n v="3403"/>
    <s v="31.01.2020"/>
    <n v="2020"/>
    <d v="2020-01-01T00:00:00"/>
    <n v="4"/>
    <n v="300020328"/>
    <s v="SA"/>
    <n v="40"/>
    <x v="6"/>
    <n v="71111040"/>
    <x v="6"/>
    <n v="862.04"/>
    <s v="MXN"/>
    <n v="862.04"/>
    <x v="0"/>
    <m/>
    <m/>
    <m/>
    <m/>
    <m/>
    <m/>
    <m/>
    <m/>
    <s v="04.02.2020"/>
    <s v="DIST LAVANDERIA"/>
    <n v="20200131"/>
    <n v="862.04"/>
    <m/>
    <m/>
    <m/>
    <s v="SERV LAVANDERIA ENE 2020"/>
    <m/>
    <m/>
    <m/>
    <m/>
    <m/>
    <m/>
    <n v="340332290"/>
    <s v="JBAUTISTA"/>
  </r>
  <r>
    <n v="3403"/>
    <s v="31.01.2020"/>
    <n v="2020"/>
    <d v="2020-01-01T00:00:00"/>
    <n v="6"/>
    <n v="300020328"/>
    <s v="SA"/>
    <n v="40"/>
    <x v="6"/>
    <n v="71111040"/>
    <x v="6"/>
    <n v="64497.94"/>
    <s v="MXN"/>
    <n v="64497.94"/>
    <x v="0"/>
    <m/>
    <m/>
    <m/>
    <m/>
    <m/>
    <m/>
    <m/>
    <m/>
    <s v="04.02.2020"/>
    <s v="DIST LAVANDERIA"/>
    <n v="20200131"/>
    <n v="64497.94"/>
    <m/>
    <m/>
    <m/>
    <s v="SERV LAV MANTELERIA AYB ENE 2020"/>
    <m/>
    <m/>
    <m/>
    <m/>
    <m/>
    <m/>
    <n v="340312290"/>
    <s v="JBAUTISTA"/>
  </r>
  <r>
    <n v="3403"/>
    <s v="31.01.2020"/>
    <n v="2020"/>
    <d v="2020-01-01T00:00:00"/>
    <n v="7"/>
    <n v="300020328"/>
    <s v="SA"/>
    <n v="40"/>
    <x v="6"/>
    <n v="71111040"/>
    <x v="6"/>
    <n v="4773.78"/>
    <s v="MXN"/>
    <n v="4773.78"/>
    <x v="0"/>
    <m/>
    <m/>
    <m/>
    <m/>
    <m/>
    <m/>
    <m/>
    <m/>
    <s v="04.02.2020"/>
    <s v="DIST LAVANDERIA"/>
    <n v="20200131"/>
    <n v="4773.78"/>
    <m/>
    <m/>
    <m/>
    <s v="SERV LAV SALA BELLEZA ENE 2020"/>
    <m/>
    <m/>
    <m/>
    <m/>
    <m/>
    <m/>
    <n v="340315190"/>
    <s v="JBAUTISTA"/>
  </r>
  <r>
    <n v="3403"/>
    <s v="31.01.2020"/>
    <n v="2020"/>
    <d v="2020-01-01T00:00:00"/>
    <n v="8"/>
    <n v="300020328"/>
    <s v="SA"/>
    <n v="40"/>
    <x v="6"/>
    <n v="71111040"/>
    <x v="6"/>
    <n v="39585.71"/>
    <s v="MXN"/>
    <n v="39585.71"/>
    <x v="0"/>
    <m/>
    <m/>
    <m/>
    <m/>
    <m/>
    <m/>
    <m/>
    <m/>
    <s v="04.02.2020"/>
    <s v="DIST LAVANDERIA"/>
    <n v="20200131"/>
    <n v="39585.71"/>
    <m/>
    <m/>
    <m/>
    <s v="SERV LAV SPA ENE 2020"/>
    <m/>
    <m/>
    <m/>
    <m/>
    <m/>
    <m/>
    <n v="340353290"/>
    <s v="JBAUTISTA"/>
  </r>
  <r>
    <n v="3403"/>
    <s v="31.01.2020"/>
    <n v="2020"/>
    <d v="2020-01-01T00:00:00"/>
    <n v="9"/>
    <n v="300020328"/>
    <s v="SA"/>
    <n v="40"/>
    <x v="6"/>
    <n v="71111040"/>
    <x v="6"/>
    <n v="49.57"/>
    <s v="MXN"/>
    <n v="49.57"/>
    <x v="0"/>
    <m/>
    <m/>
    <m/>
    <m/>
    <m/>
    <m/>
    <m/>
    <m/>
    <s v="04.02.2020"/>
    <s v="DIST LAVANDERIA"/>
    <n v="20200131"/>
    <n v="49.57"/>
    <m/>
    <m/>
    <m/>
    <s v="SERV LAV EJECUTIVO AYB ENE 2020"/>
    <m/>
    <m/>
    <m/>
    <m/>
    <m/>
    <m/>
    <n v="340312290"/>
    <s v="JBAUTISTA"/>
  </r>
  <r>
    <n v="3403"/>
    <s v="31.01.2020"/>
    <n v="2020"/>
    <d v="2020-01-01T00:00:00"/>
    <n v="10"/>
    <n v="300020328"/>
    <s v="SA"/>
    <n v="40"/>
    <x v="6"/>
    <n v="71111040"/>
    <x v="6"/>
    <n v="21.48"/>
    <s v="MXN"/>
    <n v="21.48"/>
    <x v="0"/>
    <m/>
    <m/>
    <m/>
    <m/>
    <m/>
    <m/>
    <m/>
    <m/>
    <s v="04.02.2020"/>
    <s v="DIST LAVANDERIA"/>
    <n v="20200131"/>
    <n v="21.48"/>
    <m/>
    <m/>
    <m/>
    <s v="SERV LAV EJECUTIVO VENTAS ENE 2020"/>
    <m/>
    <m/>
    <m/>
    <m/>
    <m/>
    <m/>
    <n v="340321790"/>
    <s v="JBAUTISTA"/>
  </r>
  <r>
    <n v="3403"/>
    <s v="31.01.2020"/>
    <n v="2020"/>
    <d v="2020-01-01T00:00:00"/>
    <n v="11"/>
    <n v="300020328"/>
    <s v="SA"/>
    <n v="40"/>
    <x v="6"/>
    <n v="71111040"/>
    <x v="6"/>
    <n v="25.61"/>
    <s v="MXN"/>
    <n v="25.61"/>
    <x v="0"/>
    <m/>
    <m/>
    <m/>
    <m/>
    <m/>
    <m/>
    <m/>
    <m/>
    <s v="04.02.2020"/>
    <s v="DIST LAVANDERIA"/>
    <n v="20200131"/>
    <n v="25.61"/>
    <m/>
    <m/>
    <m/>
    <s v="SERV LAV EJEC CONTRALORIA ENE 2020"/>
    <m/>
    <m/>
    <m/>
    <m/>
    <m/>
    <m/>
    <n v="340340390"/>
    <s v="JBAUTISTA"/>
  </r>
  <r>
    <n v="3403"/>
    <s v="31.01.2020"/>
    <n v="2020"/>
    <d v="2020-01-01T00:00:00"/>
    <n v="12"/>
    <n v="300020328"/>
    <s v="SA"/>
    <n v="40"/>
    <x v="6"/>
    <n v="71111040"/>
    <x v="6"/>
    <n v="19"/>
    <s v="MXN"/>
    <n v="19"/>
    <x v="0"/>
    <m/>
    <m/>
    <m/>
    <m/>
    <m/>
    <m/>
    <m/>
    <m/>
    <s v="04.02.2020"/>
    <s v="DIST LAVANDERIA"/>
    <n v="20200131"/>
    <n v="19"/>
    <m/>
    <m/>
    <m/>
    <s v="SERV LAV EJEC GERENCIA ENE 2020"/>
    <m/>
    <m/>
    <m/>
    <m/>
    <m/>
    <m/>
    <n v="340325190"/>
    <s v="JBAUTISTA"/>
  </r>
  <r>
    <n v="3403"/>
    <s v="31.01.2020"/>
    <n v="2020"/>
    <d v="2020-01-01T00:00:00"/>
    <n v="13"/>
    <n v="300020328"/>
    <s v="SA"/>
    <n v="40"/>
    <x v="6"/>
    <n v="71111040"/>
    <x v="6"/>
    <n v="53.69"/>
    <s v="MXN"/>
    <n v="53.69"/>
    <x v="0"/>
    <m/>
    <m/>
    <m/>
    <m/>
    <m/>
    <m/>
    <m/>
    <m/>
    <s v="04.02.2020"/>
    <s v="DIST LAVANDERIA"/>
    <n v="20200131"/>
    <n v="53.69"/>
    <m/>
    <m/>
    <m/>
    <s v="SERV LAV EJEC GRUPOS ENE 2020"/>
    <m/>
    <m/>
    <m/>
    <m/>
    <m/>
    <m/>
    <n v="340321690"/>
    <s v="JBAUTISTA"/>
  </r>
  <r>
    <n v="3409"/>
    <s v="31.01.2020"/>
    <n v="2020"/>
    <d v="2020-01-01T00:00:00"/>
    <n v="1"/>
    <n v="900012437"/>
    <s v="WE"/>
    <n v="81"/>
    <x v="5"/>
    <n v="21021040"/>
    <x v="5"/>
    <n v="7396.76"/>
    <s v="USD"/>
    <n v="138368.97"/>
    <x v="0"/>
    <m/>
    <m/>
    <s v="N/A Registro proveedor extranjero"/>
    <n v="752738581"/>
    <n v="602358"/>
    <s v="PEGASUS BUSINESS INTELLIGENCE"/>
    <m/>
    <m/>
    <s v="04.02.2020"/>
    <n v="2292346"/>
    <n v="20200131"/>
    <n v="7396.76"/>
    <n v="0"/>
    <n v="7396.76"/>
    <n v="900012515"/>
    <s v="Pegasus  Invoice 292346"/>
    <n v="7396.76"/>
    <s v="10.02.2020"/>
    <s v="TRANSFERENCIA"/>
    <n v="900014325"/>
    <s v="BOFA"/>
    <s v="BofA RCD 89805242886"/>
    <n v="340921790"/>
    <s v="JQUITERIO"/>
  </r>
  <r>
    <n v="3409"/>
    <s v="31.01.2020"/>
    <n v="2020"/>
    <d v="2020-01-01T00:00:00"/>
    <n v="1"/>
    <n v="900012438"/>
    <s v="WE"/>
    <n v="81"/>
    <x v="5"/>
    <n v="21021040"/>
    <x v="5"/>
    <n v="662.59"/>
    <s v="USD"/>
    <n v="12394.87"/>
    <x v="0"/>
    <m/>
    <m/>
    <s v="N/A Registro proveedor extranjero"/>
    <n v="270671211"/>
    <n v="801030"/>
    <s v="ITG TRAVEL AGENCY LLC"/>
    <m/>
    <m/>
    <s v="04.02.2020"/>
    <n v="360"/>
    <n v="20200131"/>
    <n v="662.59"/>
    <n v="0"/>
    <n v="662.59"/>
    <n v="900012521"/>
    <s v="ITG - Travel Agency LLC"/>
    <n v="662.59"/>
    <s v="25.02.2020"/>
    <s v="TRANSFERENCIA"/>
    <n v="900022505"/>
    <s v="BOFA"/>
    <s v="BofA RCD 89805242886"/>
    <n v="340921790"/>
    <s v="JQUITERIO"/>
  </r>
  <r>
    <n v="3409"/>
    <s v="31.01.2020"/>
    <n v="2020"/>
    <d v="2020-01-01T00:00:00"/>
    <n v="1"/>
    <n v="900012439"/>
    <s v="SA"/>
    <n v="40"/>
    <x v="3"/>
    <n v="21230140"/>
    <x v="3"/>
    <n v="41153.25"/>
    <s v="USD"/>
    <n v="769841.5"/>
    <x v="0"/>
    <m/>
    <m/>
    <m/>
    <m/>
    <m/>
    <m/>
    <m/>
    <n v="900012530"/>
    <s v="04.02.2020"/>
    <s v="PROV FEE ENERO20"/>
    <n v="20200131"/>
    <n v="41153.25"/>
    <m/>
    <m/>
    <m/>
    <s v="PROV FEE MARKETING 3% ENERO 2020"/>
    <m/>
    <m/>
    <m/>
    <m/>
    <m/>
    <m/>
    <n v="340921790"/>
    <s v="JQUITERIO"/>
  </r>
  <r>
    <n v="3409"/>
    <s v="31.01.2020"/>
    <n v="2020"/>
    <d v="2020-01-01T00:00:00"/>
    <n v="2"/>
    <n v="900012439"/>
    <s v="SA"/>
    <n v="40"/>
    <x v="3"/>
    <n v="21230140"/>
    <x v="3"/>
    <n v="13717.75"/>
    <s v="USD"/>
    <n v="256613.83"/>
    <x v="0"/>
    <m/>
    <m/>
    <m/>
    <m/>
    <m/>
    <m/>
    <m/>
    <n v="900012530"/>
    <s v="04.02.2020"/>
    <s v="PROV FEE ENERO20"/>
    <n v="20200131"/>
    <n v="13717.75"/>
    <m/>
    <m/>
    <m/>
    <s v="PROV FEE MARKETING 1% ENERO 2020"/>
    <m/>
    <m/>
    <m/>
    <m/>
    <m/>
    <m/>
    <n v="340921790"/>
    <s v="JQUITERIO"/>
  </r>
  <r>
    <n v="3409"/>
    <s v="31.01.2020"/>
    <n v="2020"/>
    <d v="2020-01-01T00:00:00"/>
    <n v="3"/>
    <n v="900012439"/>
    <s v="SA"/>
    <n v="40"/>
    <x v="3"/>
    <n v="21230140"/>
    <x v="3"/>
    <n v="34118.660000000003"/>
    <s v="USD"/>
    <n v="638247.54"/>
    <x v="0"/>
    <m/>
    <m/>
    <m/>
    <m/>
    <m/>
    <m/>
    <m/>
    <n v="900012530"/>
    <s v="04.02.2020"/>
    <s v="PROV FEE ENERO20"/>
    <n v="20200131"/>
    <n v="34118.660000000003"/>
    <m/>
    <m/>
    <m/>
    <s v="PROV FEE NOBU RESTAURANTE 8.5% ENERO 2020"/>
    <m/>
    <m/>
    <m/>
    <m/>
    <m/>
    <m/>
    <n v="340981990"/>
    <s v="JQUITERIO"/>
  </r>
  <r>
    <n v="3409"/>
    <s v="31.01.2020"/>
    <n v="2020"/>
    <d v="2020-01-01T00:00:00"/>
    <n v="1"/>
    <n v="900012451"/>
    <s v="SA"/>
    <n v="40"/>
    <x v="6"/>
    <n v="11210050"/>
    <x v="6"/>
    <n v="11089.23"/>
    <s v="USD"/>
    <n v="222097.43"/>
    <x v="0"/>
    <m/>
    <m/>
    <m/>
    <m/>
    <m/>
    <m/>
    <m/>
    <m/>
    <s v="04.02.2020"/>
    <s v="LAVANDERIA"/>
    <n v="20200131"/>
    <n v="11089.23"/>
    <m/>
    <m/>
    <m/>
    <s v="LAVANDERIA ENERO 20 75918 KILOS"/>
    <m/>
    <m/>
    <m/>
    <m/>
    <m/>
    <m/>
    <n v="340910490"/>
    <s v="JQUITERIO"/>
  </r>
  <r>
    <n v="3409"/>
    <s v="31.01.2020"/>
    <n v="2020"/>
    <d v="2020-01-01T00:00:00"/>
    <n v="2"/>
    <n v="900012451"/>
    <s v="SA"/>
    <n v="40"/>
    <x v="6"/>
    <n v="11210050"/>
    <x v="6"/>
    <n v="32.03"/>
    <s v="USD"/>
    <n v="641.53"/>
    <x v="0"/>
    <m/>
    <m/>
    <m/>
    <m/>
    <m/>
    <m/>
    <m/>
    <m/>
    <s v="04.02.2020"/>
    <s v="LAVANDERIA"/>
    <n v="20200131"/>
    <n v="32.03"/>
    <m/>
    <m/>
    <m/>
    <s v="LAVANDERIA ENERO 20 308.19 KILOS"/>
    <m/>
    <m/>
    <m/>
    <m/>
    <m/>
    <m/>
    <n v="340981090"/>
    <s v="JQUITERIO"/>
  </r>
  <r>
    <n v="3409"/>
    <s v="31.01.2020"/>
    <n v="2020"/>
    <d v="2020-01-01T00:00:00"/>
    <n v="3"/>
    <n v="900012451"/>
    <s v="SA"/>
    <n v="40"/>
    <x v="6"/>
    <n v="11210050"/>
    <x v="6"/>
    <n v="45.01"/>
    <s v="USD"/>
    <n v="901.5"/>
    <x v="0"/>
    <m/>
    <m/>
    <m/>
    <m/>
    <m/>
    <m/>
    <m/>
    <m/>
    <s v="04.02.2020"/>
    <s v="LAVANDERIA"/>
    <n v="20200131"/>
    <n v="45.01"/>
    <m/>
    <m/>
    <m/>
    <s v="LAVANDERIA ENERO 20 308.15 KILOS"/>
    <m/>
    <m/>
    <m/>
    <m/>
    <m/>
    <m/>
    <n v="340980690"/>
    <s v="JQUITERIO"/>
  </r>
  <r>
    <n v="3409"/>
    <s v="31.01.2020"/>
    <n v="2020"/>
    <d v="2020-01-01T00:00:00"/>
    <n v="4"/>
    <n v="900012451"/>
    <s v="SA"/>
    <n v="40"/>
    <x v="6"/>
    <n v="11210050"/>
    <x v="6"/>
    <n v="30.32"/>
    <s v="USD"/>
    <n v="607.26"/>
    <x v="0"/>
    <m/>
    <m/>
    <m/>
    <m/>
    <m/>
    <m/>
    <m/>
    <m/>
    <s v="04.02.2020"/>
    <s v="LAVANDERIA"/>
    <n v="20200131"/>
    <n v="30.32"/>
    <m/>
    <m/>
    <m/>
    <s v="LAVANDERIA ENERO 20 207.58 KILOS"/>
    <m/>
    <m/>
    <m/>
    <m/>
    <m/>
    <m/>
    <n v="340981790"/>
    <s v="JQUITERIO"/>
  </r>
  <r>
    <n v="3409"/>
    <s v="31.01.2020"/>
    <n v="2020"/>
    <d v="2020-01-01T00:00:00"/>
    <n v="5"/>
    <n v="900012451"/>
    <s v="SA"/>
    <n v="40"/>
    <x v="6"/>
    <n v="11210050"/>
    <x v="6"/>
    <n v="155.04"/>
    <s v="USD"/>
    <n v="3105.09"/>
    <x v="0"/>
    <m/>
    <m/>
    <m/>
    <m/>
    <m/>
    <m/>
    <m/>
    <m/>
    <s v="04.02.2020"/>
    <s v="LAVANDERIA"/>
    <n v="20200131"/>
    <n v="155.04"/>
    <m/>
    <m/>
    <m/>
    <s v="LAVANDERIA ENERO 20 1061.39 KILOS"/>
    <m/>
    <m/>
    <m/>
    <m/>
    <m/>
    <m/>
    <n v="340981990"/>
    <s v="JQUITERIO"/>
  </r>
  <r>
    <n v="3409"/>
    <s v="31.01.2020"/>
    <n v="2020"/>
    <d v="2020-01-01T00:00:00"/>
    <n v="6"/>
    <n v="900012451"/>
    <s v="SA"/>
    <n v="40"/>
    <x v="6"/>
    <n v="11210050"/>
    <x v="6"/>
    <n v="10.31"/>
    <s v="USD"/>
    <n v="206.52"/>
    <x v="0"/>
    <m/>
    <m/>
    <m/>
    <m/>
    <m/>
    <m/>
    <m/>
    <m/>
    <s v="04.02.2020"/>
    <s v="LAVANDERIA"/>
    <n v="20200131"/>
    <n v="10.31"/>
    <m/>
    <m/>
    <m/>
    <s v="LAVANDERIA ENERO 20 70.59 KILOS"/>
    <m/>
    <m/>
    <m/>
    <m/>
    <m/>
    <m/>
    <n v="340913190"/>
    <s v="JQUITERIO"/>
  </r>
  <r>
    <n v="3409"/>
    <s v="31.01.2020"/>
    <n v="2020"/>
    <d v="2020-01-01T00:00:00"/>
    <n v="7"/>
    <n v="900012451"/>
    <s v="SA"/>
    <n v="40"/>
    <x v="6"/>
    <n v="11210050"/>
    <x v="6"/>
    <n v="1199.81"/>
    <s v="USD"/>
    <n v="24029.98"/>
    <x v="0"/>
    <m/>
    <m/>
    <m/>
    <m/>
    <m/>
    <m/>
    <m/>
    <m/>
    <s v="04.02.2020"/>
    <s v="LAVANDERIA"/>
    <n v="20200131"/>
    <n v="1199.81"/>
    <m/>
    <m/>
    <m/>
    <s v="LAVANDERIA ENERO 20 8214 KILOS"/>
    <m/>
    <m/>
    <m/>
    <m/>
    <m/>
    <m/>
    <n v="340927190"/>
    <s v="JQUITERIO"/>
  </r>
  <r>
    <n v="3409"/>
    <s v="31.01.2020"/>
    <n v="2020"/>
    <d v="2020-01-01T00:00:00"/>
    <n v="8"/>
    <n v="900012451"/>
    <s v="SA"/>
    <n v="40"/>
    <x v="6"/>
    <n v="11210050"/>
    <x v="6"/>
    <n v="1284.23"/>
    <s v="USD"/>
    <n v="25720.92"/>
    <x v="0"/>
    <m/>
    <m/>
    <m/>
    <m/>
    <m/>
    <m/>
    <m/>
    <m/>
    <s v="04.02.2020"/>
    <s v="LAVANDERIA"/>
    <n v="20200131"/>
    <n v="1284.23"/>
    <m/>
    <m/>
    <m/>
    <s v="LAVANDERIA ENERO 20 8792 KILOS"/>
    <m/>
    <m/>
    <m/>
    <m/>
    <m/>
    <m/>
    <n v="340953290"/>
    <s v="JQUITERIO"/>
  </r>
  <r>
    <n v="3409"/>
    <s v="31.01.2020"/>
    <n v="2020"/>
    <d v="2020-01-01T00:00:00"/>
    <n v="9"/>
    <n v="900012451"/>
    <s v="SA"/>
    <n v="40"/>
    <x v="6"/>
    <n v="11210050"/>
    <x v="6"/>
    <n v="160.53"/>
    <s v="USD"/>
    <n v="3215.11"/>
    <x v="0"/>
    <m/>
    <m/>
    <m/>
    <m/>
    <m/>
    <m/>
    <m/>
    <m/>
    <s v="04.02.2020"/>
    <s v="LAVANDERIA"/>
    <n v="20200131"/>
    <n v="160.53"/>
    <m/>
    <m/>
    <m/>
    <s v="LAVANDERIA ENERO 20 1099 KILOS"/>
    <m/>
    <m/>
    <m/>
    <m/>
    <m/>
    <m/>
    <n v="340915190"/>
    <s v="JQUITERIO"/>
  </r>
  <r>
    <n v="3409"/>
    <s v="31.01.2020"/>
    <n v="2020"/>
    <d v="2020-01-01T00:00:00"/>
    <n v="10"/>
    <n v="900012451"/>
    <s v="SA"/>
    <n v="40"/>
    <x v="6"/>
    <n v="11210050"/>
    <x v="6"/>
    <n v="160.53"/>
    <s v="USD"/>
    <n v="3215.11"/>
    <x v="0"/>
    <m/>
    <m/>
    <m/>
    <m/>
    <m/>
    <m/>
    <m/>
    <m/>
    <s v="04.02.2020"/>
    <s v="LAVANDERIA"/>
    <n v="20200131"/>
    <n v="160.53"/>
    <m/>
    <m/>
    <m/>
    <s v="LAVANDERIA ENERO 20 1099 KILOS"/>
    <m/>
    <m/>
    <m/>
    <m/>
    <m/>
    <m/>
    <n v="340953890"/>
    <s v="JQUITERIO"/>
  </r>
  <r>
    <n v="3400"/>
    <s v="31.01.2020"/>
    <n v="2020"/>
    <d v="2020-01-01T00:00:00"/>
    <n v="13"/>
    <n v="100011795"/>
    <s v="SA"/>
    <n v="40"/>
    <x v="1"/>
    <n v="11610110"/>
    <x v="1"/>
    <n v="27.16"/>
    <s v="MXN"/>
    <n v="27.16"/>
    <x v="0"/>
    <s v="D3"/>
    <m/>
    <m/>
    <m/>
    <m/>
    <m/>
    <m/>
    <m/>
    <s v="04.02.2020"/>
    <s v="OPERATIVO"/>
    <n v="20200131"/>
    <n v="27.16"/>
    <m/>
    <m/>
    <m/>
    <s v="COMISIONES GASOLINA ENERO 2020"/>
    <m/>
    <m/>
    <m/>
    <m/>
    <m/>
    <m/>
    <n v="340040450"/>
    <s v="CMOTA"/>
  </r>
  <r>
    <n v="3401"/>
    <s v="31.01.2020"/>
    <n v="2020"/>
    <d v="2020-01-01T00:00:00"/>
    <n v="1"/>
    <n v="100035189"/>
    <s v="SA"/>
    <n v="40"/>
    <x v="3"/>
    <n v="21230140"/>
    <x v="3"/>
    <n v="174823"/>
    <s v="USD"/>
    <n v="3270361.41"/>
    <x v="0"/>
    <m/>
    <m/>
    <m/>
    <m/>
    <m/>
    <m/>
    <m/>
    <n v="100072597"/>
    <s v="04.02.2020"/>
    <s v="PROV HRIFEES ENE"/>
    <n v="20200131"/>
    <n v="174823"/>
    <m/>
    <m/>
    <m/>
    <s v="LICENSE FEE HR ENE20"/>
    <m/>
    <m/>
    <m/>
    <m/>
    <m/>
    <m/>
    <n v="340121790"/>
    <s v="ARVAZQUEZ"/>
  </r>
  <r>
    <n v="3401"/>
    <s v="31.01.2020"/>
    <n v="2020"/>
    <d v="2020-01-01T00:00:00"/>
    <n v="3"/>
    <n v="100035189"/>
    <s v="SA"/>
    <n v="40"/>
    <x v="3"/>
    <n v="21230140"/>
    <x v="3"/>
    <n v="58274"/>
    <s v="USD"/>
    <n v="1090114.24"/>
    <x v="0"/>
    <m/>
    <m/>
    <m/>
    <m/>
    <m/>
    <m/>
    <m/>
    <n v="100072597"/>
    <s v="04.02.2020"/>
    <s v="PROV HRIFEES ENE"/>
    <n v="20200131"/>
    <n v="58274"/>
    <m/>
    <m/>
    <m/>
    <s v="MARKETING FEE HR 1% ENE20"/>
    <m/>
    <m/>
    <m/>
    <m/>
    <m/>
    <m/>
    <n v="340121790"/>
    <s v="ARVAZQUEZ"/>
  </r>
  <r>
    <n v="3401"/>
    <s v="31.01.2020"/>
    <n v="2020"/>
    <d v="2020-01-01T00:00:00"/>
    <n v="5"/>
    <n v="100035189"/>
    <s v="SA"/>
    <n v="40"/>
    <x v="3"/>
    <n v="21230140"/>
    <x v="3"/>
    <n v="4249"/>
    <s v="USD"/>
    <n v="79484.77"/>
    <x v="0"/>
    <m/>
    <m/>
    <m/>
    <m/>
    <m/>
    <m/>
    <m/>
    <n v="100072597"/>
    <s v="04.02.2020"/>
    <s v="PROV HRIFEES ENE"/>
    <n v="20200131"/>
    <n v="4249"/>
    <m/>
    <m/>
    <m/>
    <s v="RETAIL STORES FEE HR ENE20"/>
    <m/>
    <m/>
    <m/>
    <m/>
    <m/>
    <m/>
    <n v="340170123"/>
    <s v="ARVAZQUEZ"/>
  </r>
  <r>
    <n v="3403"/>
    <s v="31.01.2020"/>
    <n v="2020"/>
    <d v="2020-01-01T00:00:00"/>
    <n v="1"/>
    <n v="300020411"/>
    <s v="WE"/>
    <n v="91"/>
    <x v="4"/>
    <n v="21021040"/>
    <x v="4"/>
    <n v="44864"/>
    <s v="MXN"/>
    <n v="44864"/>
    <x v="0"/>
    <m/>
    <m/>
    <s v="AC3BF6C0-9B0A-4192-9B59-D7ECB6359DA3"/>
    <s v="CSS160330CP7"/>
    <n v="107211"/>
    <s v="CFE SUMINISTRADOR DE SERVICIOS"/>
    <m/>
    <m/>
    <s v="04.02.2020"/>
    <n v="450122871"/>
    <n v="20200131"/>
    <n v="44864"/>
    <n v="7178.24"/>
    <n v="52042.239999999998"/>
    <n v="300021003"/>
    <s v="Electricidad HRV 31 Enero 2020"/>
    <n v="52042.239999999998"/>
    <s v="06.02.2020"/>
    <s v="TRANSFERENCIA"/>
    <n v="300021371"/>
    <s v="HSBC "/>
    <s v="HSBC 004053489092 TP"/>
    <n v="340318590"/>
    <s v="SOLI1103"/>
  </r>
  <r>
    <n v="3403"/>
    <s v="31.01.2020"/>
    <n v="2020"/>
    <d v="2020-01-01T00:00:00"/>
    <n v="1"/>
    <n v="300020412"/>
    <s v="WE"/>
    <n v="81"/>
    <x v="4"/>
    <n v="21021040"/>
    <x v="4"/>
    <n v="10382.41"/>
    <s v="MXN"/>
    <n v="10382.41"/>
    <x v="0"/>
    <m/>
    <m/>
    <s v="AC3BF6C0-9B0A-4192-9B59-D7ECB6359DA3"/>
    <s v="CSS160330CP7"/>
    <n v="107211"/>
    <s v="CFE SUMINISTRADOR DE SERVICIOS"/>
    <m/>
    <m/>
    <s v="04.02.2020"/>
    <n v="4501228713"/>
    <n v="20200131"/>
    <n v="10382.41"/>
    <n v="1661.1856"/>
    <n v="12043.595600000001"/>
    <n v="300021003"/>
    <s v="Electricidad HRV 31 Enero 2020"/>
    <n v="12043.595600000001"/>
    <s v="06.02.2020"/>
    <s v="TRANSFERENCIA"/>
    <n v="300021371"/>
    <s v="HSBC "/>
    <s v="HSBC 004053489092 TP"/>
    <n v="340318590"/>
    <s v="SOLI1103"/>
  </r>
  <r>
    <n v="3401"/>
    <s v="31.01.2020"/>
    <n v="2020"/>
    <d v="2020-01-01T00:00:00"/>
    <n v="1"/>
    <n v="100035321"/>
    <s v="SA"/>
    <n v="40"/>
    <x v="6"/>
    <n v="11210050"/>
    <x v="6"/>
    <n v="40201.230000000003"/>
    <s v="USD"/>
    <n v="753855.57"/>
    <x v="0"/>
    <m/>
    <m/>
    <m/>
    <m/>
    <m/>
    <m/>
    <m/>
    <m/>
    <s v="04.02.2020"/>
    <m/>
    <n v="20200131"/>
    <n v="40201.230000000003"/>
    <m/>
    <m/>
    <m/>
    <s v="DIST LAVANDERIA 170,250 KG ENE 20"/>
    <m/>
    <m/>
    <m/>
    <m/>
    <m/>
    <m/>
    <n v="340110490"/>
    <s v="THUCHIN"/>
  </r>
  <r>
    <n v="3401"/>
    <s v="31.01.2020"/>
    <n v="2020"/>
    <d v="2020-01-01T00:00:00"/>
    <n v="2"/>
    <n v="100035321"/>
    <s v="SA"/>
    <n v="40"/>
    <x v="6"/>
    <n v="11210050"/>
    <x v="6"/>
    <n v="4407.82"/>
    <s v="USD"/>
    <n v="82655.69"/>
    <x v="0"/>
    <m/>
    <m/>
    <m/>
    <m/>
    <m/>
    <m/>
    <m/>
    <m/>
    <s v="04.02.2020"/>
    <m/>
    <n v="20200131"/>
    <n v="4407.82"/>
    <m/>
    <m/>
    <m/>
    <s v="DIST LAVANDERIA  18,667 KG ENE 20"/>
    <m/>
    <m/>
    <m/>
    <m/>
    <m/>
    <m/>
    <n v="340112590"/>
    <s v="THUCHIN"/>
  </r>
  <r>
    <n v="3401"/>
    <s v="31.01.2020"/>
    <n v="2020"/>
    <d v="2020-01-01T00:00:00"/>
    <n v="3"/>
    <n v="100035321"/>
    <s v="SA"/>
    <n v="40"/>
    <x v="6"/>
    <n v="11210050"/>
    <x v="6"/>
    <n v="77.92"/>
    <s v="USD"/>
    <n v="1461.22"/>
    <x v="0"/>
    <m/>
    <m/>
    <m/>
    <m/>
    <m/>
    <m/>
    <m/>
    <m/>
    <s v="04.02.2020"/>
    <m/>
    <n v="20200131"/>
    <n v="77.92"/>
    <m/>
    <m/>
    <m/>
    <s v="DIST LAVANDERIA  330 KG ENE 20"/>
    <m/>
    <m/>
    <m/>
    <m/>
    <m/>
    <m/>
    <n v="340115190"/>
    <s v="THUCHIN"/>
  </r>
  <r>
    <n v="3401"/>
    <s v="31.01.2020"/>
    <n v="2020"/>
    <d v="2020-01-01T00:00:00"/>
    <n v="4"/>
    <n v="100035321"/>
    <s v="SA"/>
    <n v="40"/>
    <x v="6"/>
    <n v="11210050"/>
    <x v="6"/>
    <n v="1866.79"/>
    <s v="USD"/>
    <n v="35006.089999999997"/>
    <x v="0"/>
    <m/>
    <m/>
    <m/>
    <m/>
    <m/>
    <m/>
    <m/>
    <m/>
    <s v="04.02.2020"/>
    <m/>
    <n v="20200131"/>
    <n v="1866.79"/>
    <m/>
    <m/>
    <m/>
    <s v="DIST LAVANDERIA  7,906 KG ENE 20"/>
    <m/>
    <m/>
    <m/>
    <m/>
    <m/>
    <m/>
    <n v="340153290"/>
    <s v="THUCHIN"/>
  </r>
  <r>
    <n v="3407"/>
    <s v="31.01.2020"/>
    <n v="2020"/>
    <d v="2020-01-01T00:00:00"/>
    <n v="6"/>
    <n v="700041054"/>
    <s v="SA"/>
    <n v="40"/>
    <x v="6"/>
    <n v="71111040"/>
    <x v="6"/>
    <n v="2773.55"/>
    <s v="USD"/>
    <n v="55549.22"/>
    <x v="0"/>
    <m/>
    <m/>
    <m/>
    <m/>
    <m/>
    <m/>
    <m/>
    <m/>
    <s v="01.02.2020"/>
    <s v="RECLAIF CTAS"/>
    <s v="Reclasif Cuentas"/>
    <n v="2773.55"/>
    <m/>
    <m/>
    <m/>
    <s v="Distr Lavanderia Enero 2020"/>
    <m/>
    <m/>
    <m/>
    <m/>
    <m/>
    <m/>
    <n v="340753290"/>
    <s v="CGUTIERREZ"/>
  </r>
  <r>
    <n v="3400"/>
    <s v="10.01.2020"/>
    <n v="2020"/>
    <d v="2020-01-01T00:00:00"/>
    <n v="1"/>
    <n v="100003174"/>
    <s v="FE"/>
    <n v="40"/>
    <x v="7"/>
    <n v="21021040"/>
    <x v="7"/>
    <n v="6605"/>
    <s v="MXN"/>
    <n v="6605"/>
    <x v="0"/>
    <s v="U3"/>
    <m/>
    <m/>
    <m/>
    <m/>
    <m/>
    <m/>
    <m/>
    <s v="10.01.2020"/>
    <m/>
    <s v="REFG:RCDPI00019408"/>
    <n v="6605"/>
    <m/>
    <m/>
    <m/>
    <s v="DESC AS: Traducción De Publicidad"/>
    <m/>
    <m/>
    <m/>
    <m/>
    <m/>
    <m/>
    <n v="340019550"/>
    <s v="PIRFC"/>
  </r>
  <r>
    <n v="3407"/>
    <s v="31.01.2020"/>
    <n v="2020"/>
    <d v="2020-01-01T00:00:00"/>
    <n v="2"/>
    <n v="700041037"/>
    <s v="SA"/>
    <n v="50"/>
    <x v="4"/>
    <n v="71104030"/>
    <x v="4"/>
    <n v="117908.32"/>
    <s v="MXN"/>
    <n v="117908.32"/>
    <x v="0"/>
    <m/>
    <m/>
    <m/>
    <m/>
    <m/>
    <m/>
    <m/>
    <m/>
    <s v="01.02.2020"/>
    <s v="RECLAIF CTAS"/>
    <s v="Reclasif Cuentas"/>
    <n v="117908.32"/>
    <m/>
    <m/>
    <m/>
    <s v="Reclasif Energeticos Lavanderia 2020"/>
    <m/>
    <m/>
    <m/>
    <m/>
    <m/>
    <m/>
    <n v="340718590"/>
    <s v="CGUTIERREZ"/>
  </r>
  <r>
    <n v="3403"/>
    <s v="22.01.2020"/>
    <n v="2020"/>
    <d v="2020-01-01T00:00:00"/>
    <n v="3"/>
    <n v="300012072"/>
    <s v="RE"/>
    <n v="91"/>
    <x v="3"/>
    <n v="21021040"/>
    <x v="3"/>
    <n v="0"/>
    <s v="USD"/>
    <n v="545.85"/>
    <x v="0"/>
    <s v="D0"/>
    <m/>
    <m/>
    <m/>
    <m/>
    <m/>
    <m/>
    <m/>
    <s v="22.01.2020"/>
    <s v="4170120M"/>
    <n v="20200122"/>
    <n v="0"/>
    <m/>
    <m/>
    <m/>
    <m/>
    <m/>
    <m/>
    <m/>
    <m/>
    <m/>
    <m/>
    <n v="340321790"/>
    <s v="MGARCIA"/>
  </r>
  <r>
    <n v="3403"/>
    <s v="22.01.2020"/>
    <n v="2020"/>
    <d v="2020-01-01T00:00:00"/>
    <n v="3"/>
    <n v="300012076"/>
    <s v="RE"/>
    <n v="91"/>
    <x v="3"/>
    <n v="21021040"/>
    <x v="3"/>
    <n v="0"/>
    <s v="USD"/>
    <n v="18231.240000000002"/>
    <x v="0"/>
    <s v="D0"/>
    <m/>
    <m/>
    <m/>
    <m/>
    <m/>
    <m/>
    <m/>
    <s v="22.01.2020"/>
    <s v="4171219R"/>
    <n v="20200122"/>
    <n v="0"/>
    <m/>
    <m/>
    <m/>
    <m/>
    <m/>
    <m/>
    <m/>
    <m/>
    <m/>
    <m/>
    <n v="340321790"/>
    <s v="MGARCIA"/>
  </r>
  <r>
    <n v="3403"/>
    <s v="22.01.2020"/>
    <n v="2020"/>
    <d v="2020-01-01T00:00:00"/>
    <n v="5"/>
    <n v="300012076"/>
    <s v="RE"/>
    <n v="91"/>
    <x v="3"/>
    <n v="21021040"/>
    <x v="3"/>
    <n v="0"/>
    <s v="USD"/>
    <n v="6077.14"/>
    <x v="0"/>
    <s v="D0"/>
    <m/>
    <m/>
    <m/>
    <m/>
    <m/>
    <m/>
    <m/>
    <s v="22.01.2020"/>
    <s v="4171219R"/>
    <n v="20200122"/>
    <n v="0"/>
    <m/>
    <m/>
    <m/>
    <m/>
    <m/>
    <m/>
    <m/>
    <m/>
    <m/>
    <m/>
    <n v="340321790"/>
    <s v="MGARCIA"/>
  </r>
  <r>
    <n v="3403"/>
    <s v="22.01.2020"/>
    <n v="2020"/>
    <d v="2020-01-01T00:00:00"/>
    <n v="7"/>
    <n v="300012076"/>
    <s v="RE"/>
    <n v="91"/>
    <x v="3"/>
    <n v="21021040"/>
    <x v="3"/>
    <n v="0"/>
    <s v="USD"/>
    <n v="1078.51"/>
    <x v="0"/>
    <s v="D0"/>
    <m/>
    <m/>
    <m/>
    <m/>
    <m/>
    <m/>
    <m/>
    <s v="22.01.2020"/>
    <s v="4171219R"/>
    <n v="20200122"/>
    <n v="0"/>
    <m/>
    <m/>
    <m/>
    <m/>
    <m/>
    <m/>
    <m/>
    <m/>
    <m/>
    <m/>
    <n v="340368190"/>
    <s v="MGARCIA"/>
  </r>
  <r>
    <n v="3402"/>
    <s v="30.01.2020"/>
    <n v="2020"/>
    <d v="2020-01-01T00:00:00"/>
    <n v="3"/>
    <n v="200102131"/>
    <s v="RE"/>
    <n v="91"/>
    <x v="3"/>
    <n v="21021040"/>
    <x v="3"/>
    <n v="0"/>
    <s v="USD"/>
    <n v="3324.36"/>
    <x v="0"/>
    <s v="D0"/>
    <m/>
    <m/>
    <m/>
    <m/>
    <m/>
    <m/>
    <m/>
    <s v="30.01.2020"/>
    <s v="WWRM-044"/>
    <n v="20200130"/>
    <n v="0"/>
    <m/>
    <m/>
    <m/>
    <m/>
    <m/>
    <m/>
    <m/>
    <m/>
    <m/>
    <m/>
    <n v="340275190"/>
    <s v="MCONTRERAS"/>
  </r>
  <r>
    <n v="3401"/>
    <s v="30.01.2020"/>
    <n v="2020"/>
    <d v="2020-01-01T00:00:00"/>
    <n v="3"/>
    <n v="100030322"/>
    <s v="RE"/>
    <n v="81"/>
    <x v="5"/>
    <n v="600226"/>
    <x v="5"/>
    <n v="0"/>
    <s v="USD"/>
    <n v="4.1500000000000004"/>
    <x v="0"/>
    <s v="D0"/>
    <m/>
    <m/>
    <m/>
    <m/>
    <m/>
    <m/>
    <m/>
    <s v="30.01.2020"/>
    <s v="4161219CRS"/>
    <n v="20200130"/>
    <n v="0"/>
    <m/>
    <m/>
    <m/>
    <m/>
    <m/>
    <m/>
    <m/>
    <m/>
    <m/>
    <m/>
    <n v="340121790"/>
    <s v="CXP2"/>
  </r>
  <r>
    <n v="3406"/>
    <s v="24.01.2020"/>
    <n v="2020"/>
    <d v="2020-01-01T00:00:00"/>
    <n v="3"/>
    <n v="600025891"/>
    <s v="RE"/>
    <n v="91"/>
    <x v="5"/>
    <n v="21021040"/>
    <x v="5"/>
    <n v="0"/>
    <s v="USD"/>
    <n v="1904.08"/>
    <x v="0"/>
    <s v="D0"/>
    <m/>
    <s v="3FCA8972-29A0-4F77-9AE2-C8A4BB80F671"/>
    <m/>
    <m/>
    <m/>
    <m/>
    <m/>
    <s v="27.01.2020"/>
    <s v="TH051069"/>
    <n v="20200124"/>
    <n v="0"/>
    <m/>
    <m/>
    <m/>
    <s v="3% Revenue Diciembre 2019"/>
    <m/>
    <m/>
    <m/>
    <m/>
    <m/>
    <m/>
    <n v="340621790"/>
    <s v="CXP"/>
  </r>
  <r>
    <n v="3402"/>
    <s v="10.01.2020"/>
    <n v="2020"/>
    <d v="2020-01-01T00:00:00"/>
    <n v="3"/>
    <n v="200027802"/>
    <s v="RE"/>
    <n v="91"/>
    <x v="8"/>
    <n v="21021040"/>
    <x v="8"/>
    <n v="0"/>
    <s v="USD"/>
    <n v="19.29"/>
    <x v="0"/>
    <s v="D0"/>
    <m/>
    <s v="101C936A-42B0-470B-B76F-7816B84060C2"/>
    <m/>
    <m/>
    <m/>
    <m/>
    <m/>
    <s v="10.01.2020"/>
    <s v="E120106007"/>
    <n v="20200110"/>
    <n v="0"/>
    <m/>
    <m/>
    <m/>
    <m/>
    <m/>
    <m/>
    <m/>
    <m/>
    <m/>
    <m/>
    <n v="340215190"/>
    <s v="MCONTRERAS"/>
  </r>
  <r>
    <n v="3402"/>
    <s v="10.01.2020"/>
    <n v="2020"/>
    <d v="2020-01-01T00:00:00"/>
    <n v="3"/>
    <n v="200027809"/>
    <s v="RE"/>
    <n v="91"/>
    <x v="8"/>
    <n v="21021040"/>
    <x v="8"/>
    <n v="0"/>
    <s v="USD"/>
    <n v="22.04"/>
    <x v="0"/>
    <s v="D0"/>
    <m/>
    <m/>
    <m/>
    <m/>
    <m/>
    <m/>
    <m/>
    <s v="10.01.2020"/>
    <s v="E120106006"/>
    <n v="20200110"/>
    <n v="0"/>
    <m/>
    <m/>
    <m/>
    <m/>
    <m/>
    <m/>
    <m/>
    <m/>
    <m/>
    <m/>
    <n v="340253290"/>
    <s v="MCONTRERAS"/>
  </r>
  <r>
    <n v="3403"/>
    <s v="16.01.2020"/>
    <n v="2020"/>
    <d v="2020-01-01T00:00:00"/>
    <n v="3"/>
    <n v="300008820"/>
    <s v="RE"/>
    <n v="91"/>
    <x v="8"/>
    <n v="21021040"/>
    <x v="8"/>
    <n v="0"/>
    <s v="USD"/>
    <n v="17.39"/>
    <x v="0"/>
    <s v="D0"/>
    <m/>
    <m/>
    <m/>
    <m/>
    <m/>
    <m/>
    <m/>
    <s v="16.01.2020"/>
    <s v="120106-009E"/>
    <n v="20200116"/>
    <n v="0"/>
    <m/>
    <m/>
    <m/>
    <m/>
    <m/>
    <m/>
    <m/>
    <m/>
    <m/>
    <m/>
    <n v="340353290"/>
    <s v="MGARCIA"/>
  </r>
  <r>
    <n v="3407"/>
    <s v="16.01.2020"/>
    <n v="2020"/>
    <d v="2020-01-01T00:00:00"/>
    <n v="3"/>
    <n v="700021125"/>
    <s v="RE"/>
    <n v="91"/>
    <x v="3"/>
    <n v="21021040"/>
    <x v="3"/>
    <n v="0"/>
    <s v="USD"/>
    <n v="3962.22"/>
    <x v="0"/>
    <s v="D0"/>
    <m/>
    <m/>
    <m/>
    <m/>
    <m/>
    <m/>
    <m/>
    <s v="20.01.2020"/>
    <s v="5001219R"/>
    <n v="20200116"/>
    <n v="0"/>
    <m/>
    <m/>
    <m/>
    <s v="FEES HRI DICIEMBRE"/>
    <m/>
    <m/>
    <m/>
    <m/>
    <m/>
    <m/>
    <n v="340721790"/>
    <s v="CXP1"/>
  </r>
  <r>
    <n v="3401"/>
    <s v="16.01.2020"/>
    <n v="2020"/>
    <d v="2020-01-01T00:00:00"/>
    <n v="3"/>
    <n v="100020671"/>
    <s v="RE"/>
    <n v="81"/>
    <x v="3"/>
    <n v="101128"/>
    <x v="3"/>
    <n v="0"/>
    <s v="USD"/>
    <n v="12340.79"/>
    <x v="0"/>
    <s v="D0"/>
    <m/>
    <m/>
    <m/>
    <m/>
    <m/>
    <m/>
    <m/>
    <s v="21.01.2020"/>
    <s v="4161219R"/>
    <n v="20200116"/>
    <n v="0"/>
    <m/>
    <m/>
    <m/>
    <m/>
    <m/>
    <m/>
    <m/>
    <m/>
    <m/>
    <m/>
    <n v="340121790"/>
    <s v="CXP2"/>
  </r>
  <r>
    <n v="3401"/>
    <s v="16.01.2020"/>
    <n v="2020"/>
    <d v="2020-01-01T00:00:00"/>
    <n v="5"/>
    <n v="100020671"/>
    <s v="RE"/>
    <n v="81"/>
    <x v="3"/>
    <n v="101128"/>
    <x v="3"/>
    <n v="0"/>
    <s v="USD"/>
    <n v="607.20000000000005"/>
    <x v="0"/>
    <s v="D0"/>
    <m/>
    <m/>
    <m/>
    <m/>
    <m/>
    <m/>
    <m/>
    <s v="21.01.2020"/>
    <s v="4161219R"/>
    <n v="20200116"/>
    <n v="0"/>
    <m/>
    <m/>
    <m/>
    <m/>
    <m/>
    <m/>
    <m/>
    <m/>
    <m/>
    <m/>
    <n v="340170123"/>
    <s v="CXP2"/>
  </r>
  <r>
    <n v="3401"/>
    <s v="16.01.2020"/>
    <n v="2020"/>
    <d v="2020-01-01T00:00:00"/>
    <n v="7"/>
    <n v="100020671"/>
    <s v="RE"/>
    <n v="81"/>
    <x v="3"/>
    <n v="101128"/>
    <x v="3"/>
    <n v="0"/>
    <s v="USD"/>
    <n v="4113.59"/>
    <x v="0"/>
    <s v="D0"/>
    <m/>
    <m/>
    <m/>
    <m/>
    <m/>
    <m/>
    <m/>
    <s v="21.01.2020"/>
    <s v="4161219R"/>
    <n v="20200116"/>
    <n v="0"/>
    <m/>
    <m/>
    <m/>
    <m/>
    <m/>
    <m/>
    <m/>
    <m/>
    <m/>
    <m/>
    <n v="340121790"/>
    <s v="CXP2"/>
  </r>
  <r>
    <n v="3401"/>
    <s v="06.01.2020"/>
    <n v="2020"/>
    <d v="2020-01-01T00:00:00"/>
    <n v="3"/>
    <n v="100006710"/>
    <s v="RE"/>
    <n v="81"/>
    <x v="8"/>
    <n v="101653"/>
    <x v="8"/>
    <n v="0"/>
    <s v="USD"/>
    <n v="5.48"/>
    <x v="0"/>
    <s v="D0"/>
    <m/>
    <m/>
    <m/>
    <m/>
    <m/>
    <m/>
    <m/>
    <s v="08.01.2020"/>
    <s v="120106-003E"/>
    <n v="20200106"/>
    <n v="0"/>
    <m/>
    <m/>
    <m/>
    <m/>
    <m/>
    <m/>
    <m/>
    <m/>
    <m/>
    <m/>
    <n v="340153290"/>
    <s v="CXP2"/>
  </r>
  <r>
    <n v="3401"/>
    <s v="06.01.2020"/>
    <n v="2020"/>
    <d v="2020-01-01T00:00:00"/>
    <n v="5"/>
    <n v="100006710"/>
    <s v="RE"/>
    <n v="81"/>
    <x v="8"/>
    <n v="101653"/>
    <x v="8"/>
    <n v="0"/>
    <s v="USD"/>
    <n v="5.48"/>
    <x v="0"/>
    <s v="D0"/>
    <m/>
    <m/>
    <m/>
    <m/>
    <m/>
    <m/>
    <m/>
    <s v="08.01.2020"/>
    <s v="120106-003E"/>
    <n v="20200106"/>
    <n v="0"/>
    <m/>
    <m/>
    <m/>
    <m/>
    <m/>
    <m/>
    <m/>
    <m/>
    <m/>
    <m/>
    <n v="340115190"/>
    <s v="CXP2"/>
  </r>
  <r>
    <n v="3409"/>
    <s v="06.01.2020"/>
    <n v="2020"/>
    <d v="2020-01-01T00:00:00"/>
    <n v="3"/>
    <n v="900004280"/>
    <s v="RE"/>
    <n v="91"/>
    <x v="8"/>
    <n v="21021040"/>
    <x v="8"/>
    <n v="0"/>
    <s v="USD"/>
    <n v="1.33"/>
    <x v="0"/>
    <s v="D0"/>
    <m/>
    <m/>
    <m/>
    <m/>
    <m/>
    <m/>
    <m/>
    <s v="13.01.2020"/>
    <s v="120106-001E"/>
    <n v="20200106"/>
    <n v="0"/>
    <m/>
    <m/>
    <m/>
    <s v="SPA BOOKER ENE 2020 SABE"/>
    <m/>
    <m/>
    <m/>
    <m/>
    <m/>
    <m/>
    <n v="340915190"/>
    <s v="AUXCXP3"/>
  </r>
  <r>
    <n v="3409"/>
    <s v="06.01.2020"/>
    <n v="2020"/>
    <d v="2020-01-01T00:00:00"/>
    <n v="5"/>
    <n v="900004280"/>
    <s v="RE"/>
    <n v="91"/>
    <x v="8"/>
    <n v="21021040"/>
    <x v="8"/>
    <n v="0"/>
    <s v="USD"/>
    <n v="1.33"/>
    <x v="0"/>
    <s v="D0"/>
    <m/>
    <m/>
    <m/>
    <m/>
    <m/>
    <m/>
    <m/>
    <s v="13.01.2020"/>
    <s v="120106-001E"/>
    <n v="20200106"/>
    <n v="0"/>
    <m/>
    <m/>
    <m/>
    <s v="SPA BOOKER ENE 2020 SPA"/>
    <m/>
    <m/>
    <m/>
    <m/>
    <m/>
    <m/>
    <n v="340953290"/>
    <s v="AUXCXP3"/>
  </r>
  <r>
    <n v="3409"/>
    <s v="01.01.2020"/>
    <n v="2020"/>
    <d v="2020-01-01T00:00:00"/>
    <n v="3"/>
    <n v="900003250"/>
    <s v="RE"/>
    <n v="81"/>
    <x v="5"/>
    <n v="800423"/>
    <x v="5"/>
    <n v="0"/>
    <s v="USD"/>
    <n v="1876.05"/>
    <x v="0"/>
    <s v="D0"/>
    <m/>
    <s v="45861990-71B4-457A-B79B-6978F7A9C420"/>
    <m/>
    <m/>
    <m/>
    <m/>
    <m/>
    <s v="09.01.2020"/>
    <s v="HC-36746-R1"/>
    <n v="20200101"/>
    <n v="0"/>
    <m/>
    <m/>
    <m/>
    <s v="TravelZoo Diciembre 2019"/>
    <m/>
    <m/>
    <m/>
    <m/>
    <m/>
    <m/>
    <n v="340921790"/>
    <s v="CXP1"/>
  </r>
  <r>
    <n v="3407"/>
    <s v="11.01.2020"/>
    <n v="2020"/>
    <d v="2020-01-01T00:00:00"/>
    <n v="3"/>
    <n v="700012257"/>
    <s v="RE"/>
    <n v="91"/>
    <x v="5"/>
    <n v="21021040"/>
    <x v="5"/>
    <n v="0"/>
    <s v="USD"/>
    <n v="131.72999999999999"/>
    <x v="0"/>
    <s v="D0"/>
    <m/>
    <m/>
    <m/>
    <m/>
    <m/>
    <m/>
    <m/>
    <s v="11.01.2020"/>
    <n v="2263212"/>
    <n v="20200111"/>
    <n v="0"/>
    <m/>
    <m/>
    <m/>
    <s v="COMISIONES PEGASUS CYCLE END 01.11.2020"/>
    <m/>
    <m/>
    <m/>
    <m/>
    <m/>
    <m/>
    <n v="340721790"/>
    <s v="CXP1"/>
  </r>
  <r>
    <n v="3409"/>
    <s v="01.01.2020"/>
    <n v="2020"/>
    <d v="2020-01-01T00:00:00"/>
    <n v="3"/>
    <n v="900006194"/>
    <s v="RE"/>
    <n v="91"/>
    <x v="5"/>
    <n v="21021040"/>
    <x v="5"/>
    <n v="0"/>
    <s v="USD"/>
    <n v="4.0599999999999996"/>
    <x v="0"/>
    <s v="D0"/>
    <m/>
    <m/>
    <m/>
    <m/>
    <m/>
    <m/>
    <m/>
    <s v="18.01.2020"/>
    <s v="CTS203590573"/>
    <n v="20200101"/>
    <n v="0"/>
    <m/>
    <m/>
    <m/>
    <s v="Protravel International - Rva 19735066"/>
    <m/>
    <m/>
    <m/>
    <m/>
    <m/>
    <m/>
    <n v="340921790"/>
    <s v="CXP1"/>
  </r>
  <r>
    <n v="3409"/>
    <s v="01.01.2020"/>
    <n v="2020"/>
    <d v="2020-01-01T00:00:00"/>
    <n v="3"/>
    <n v="900006195"/>
    <s v="RE"/>
    <n v="91"/>
    <x v="5"/>
    <n v="21021040"/>
    <x v="5"/>
    <n v="0"/>
    <s v="USD"/>
    <n v="20.149999999999999"/>
    <x v="0"/>
    <s v="D0"/>
    <m/>
    <m/>
    <m/>
    <m/>
    <m/>
    <m/>
    <m/>
    <s v="18.01.2020"/>
    <s v="CTS203623069"/>
    <n v="20200101"/>
    <n v="0"/>
    <m/>
    <m/>
    <m/>
    <s v="Protravel International - Rva 19767198"/>
    <m/>
    <m/>
    <m/>
    <m/>
    <m/>
    <m/>
    <n v="340921790"/>
    <s v="CXP1"/>
  </r>
  <r>
    <n v="3407"/>
    <s v="01.01.2020"/>
    <n v="2020"/>
    <d v="2020-01-01T00:00:00"/>
    <n v="3"/>
    <n v="700011249"/>
    <s v="RE"/>
    <n v="91"/>
    <x v="3"/>
    <n v="21021040"/>
    <x v="3"/>
    <n v="0"/>
    <s v="USD"/>
    <n v="94208.43"/>
    <x v="0"/>
    <s v="D0"/>
    <m/>
    <m/>
    <m/>
    <m/>
    <m/>
    <m/>
    <m/>
    <s v="10.01.2020"/>
    <s v="5001119R"/>
    <n v="20200101"/>
    <n v="0"/>
    <m/>
    <m/>
    <m/>
    <s v="Fee' Nov 2019"/>
    <m/>
    <m/>
    <m/>
    <m/>
    <m/>
    <m/>
    <n v="340721790"/>
    <s v="CXP1"/>
  </r>
  <r>
    <n v="3406"/>
    <s v="08.01.2020"/>
    <n v="2020"/>
    <d v="2020-01-01T00:00:00"/>
    <n v="1"/>
    <n v="600005645"/>
    <s v="WE"/>
    <n v="81"/>
    <x v="5"/>
    <n v="21021040"/>
    <x v="5"/>
    <n v="163846.28"/>
    <s v="MXN"/>
    <n v="163846.28"/>
    <x v="0"/>
    <m/>
    <m/>
    <s v="N/A Registro proveedor extranjero"/>
    <s v="NL805734958B01"/>
    <n v="600271"/>
    <s v="BOOKING COM BV"/>
    <m/>
    <m/>
    <s v="08.01.2020"/>
    <n v="1548756279"/>
    <n v="20200108"/>
    <n v="163846.28"/>
    <n v="0"/>
    <n v="163846.28"/>
    <n v="600006359"/>
    <s v="COMISIONES BOOKING DICIEMBRE 2019"/>
    <n v="163846.28"/>
    <s v="21.01.2020"/>
    <s v="TRANSFERENCIA"/>
    <n v="600019044"/>
    <s v="BBVA"/>
    <s v="BBVAB 00188039070 TP"/>
    <n v="340621790"/>
    <s v="MFRUCTUOSO"/>
  </r>
  <r>
    <n v="3402"/>
    <s v="08.01.2020"/>
    <n v="2020"/>
    <d v="2020-01-01T00:00:00"/>
    <n v="1"/>
    <n v="200021514"/>
    <s v="WE"/>
    <n v="81"/>
    <x v="8"/>
    <n v="21021040"/>
    <x v="8"/>
    <n v="760"/>
    <s v="USD"/>
    <n v="14308.52"/>
    <x v="0"/>
    <m/>
    <m/>
    <s v="N/A Registro proveedor extranjero"/>
    <n v="453325398"/>
    <n v="101653"/>
    <s v="BOOKER SOFTWARE INC"/>
    <m/>
    <m/>
    <s v="08.01.2020"/>
    <s v="120106-006E"/>
    <n v="20200108"/>
    <n v="760"/>
    <n v="0"/>
    <n v="760"/>
    <n v="200027809"/>
    <s v="PAGO SPA BOOKER ENERO"/>
    <n v="760"/>
    <s v="11.02.2020"/>
    <s v="TRANSFERENCIA"/>
    <n v="200150427"/>
    <s v="BOFA"/>
    <s v="BofA RCD 89805242886"/>
    <n v="340253290"/>
    <s v="SOLI1102"/>
  </r>
  <r>
    <n v="3409"/>
    <s v="08.01.2020"/>
    <n v="2020"/>
    <d v="2020-01-01T00:00:00"/>
    <n v="1"/>
    <n v="900002503"/>
    <s v="WE"/>
    <n v="81"/>
    <x v="5"/>
    <n v="21021040"/>
    <x v="5"/>
    <n v="2392"/>
    <s v="USD"/>
    <n v="45034.18"/>
    <x v="0"/>
    <m/>
    <m/>
    <s v="N/A Registro proveedor extranjero"/>
    <n v="364415727"/>
    <n v="800423"/>
    <s v="TRAVELZOO INC"/>
    <m/>
    <m/>
    <s v="08.01.2020"/>
    <s v="HC-36746-R1"/>
    <n v="20200108"/>
    <n v="2392"/>
    <n v="0"/>
    <n v="45034.18"/>
    <n v="200027802"/>
    <s v="TravelZoo Diciembre 2019"/>
    <n v="45034.18"/>
    <s v="24.01.2020"/>
    <s v="TRANSFERENCIA"/>
    <n v="900008380"/>
    <s v="BOFA"/>
    <s v="BofA RCD 89805242886"/>
    <n v="340921790"/>
    <s v="SOLI3409"/>
  </r>
  <r>
    <n v="3406"/>
    <s v="08.01.2020"/>
    <n v="2020"/>
    <d v="2020-01-01T00:00:00"/>
    <n v="1"/>
    <n v="600005812"/>
    <s v="WE"/>
    <n v="81"/>
    <x v="8"/>
    <n v="21021040"/>
    <x v="8"/>
    <n v="380"/>
    <s v="USD"/>
    <n v="7154.26"/>
    <x v="0"/>
    <m/>
    <m/>
    <s v="N/A Registro proveedor extranjero"/>
    <n v="453325398"/>
    <n v="101653"/>
    <s v="BOOKER SOFTWARE INC"/>
    <m/>
    <m/>
    <s v="08.01.2020"/>
    <s v="120106-008E"/>
    <n v="20200108"/>
    <n v="380"/>
    <n v="0"/>
    <n v="380"/>
    <n v="600025900"/>
    <s v="PAGO SPA BOOKER ENE 2020"/>
    <n v="380"/>
    <s v="11.02.2020"/>
    <s v="TRANSFERENCIA"/>
    <n v="600040066"/>
    <s v="BOFA"/>
    <s v="BofA RCD 89805242886"/>
    <n v="340653290"/>
    <s v="SOLIUNICO"/>
  </r>
  <r>
    <n v="3406"/>
    <s v="08.01.2020"/>
    <n v="2020"/>
    <d v="2020-01-01T00:00:00"/>
    <n v="1"/>
    <n v="600005815"/>
    <s v="WE"/>
    <n v="81"/>
    <x v="8"/>
    <n v="21021040"/>
    <x v="8"/>
    <n v="20.14"/>
    <s v="USD"/>
    <n v="379.18"/>
    <x v="0"/>
    <m/>
    <m/>
    <s v="N/A Registro proveedor extranjero"/>
    <n v="453325398"/>
    <n v="101653"/>
    <s v="BOOKER SOFTWARE INC"/>
    <m/>
    <m/>
    <s v="08.01.2020"/>
    <s v="120106-008E"/>
    <n v="20200108"/>
    <n v="20.14"/>
    <n v="0"/>
    <n v="20.14"/>
    <n v="600025900"/>
    <s v="PAGO SABE BOOKER 2020"/>
    <n v="20.14"/>
    <s v="11.02.2020"/>
    <s v="TRANSFERENCIA"/>
    <n v="600040066"/>
    <s v="BOFA"/>
    <s v="BofA RCD 89805242886"/>
    <n v="340615190"/>
    <s v="SOLIUNICO"/>
  </r>
  <r>
    <n v="3403"/>
    <s v="08.01.2020"/>
    <n v="2020"/>
    <d v="2020-01-01T00:00:00"/>
    <n v="4"/>
    <n v="300004406"/>
    <s v="KR"/>
    <n v="40"/>
    <x v="1"/>
    <n v="604244"/>
    <x v="1"/>
    <n v="3"/>
    <s v="MXN"/>
    <n v="3"/>
    <x v="0"/>
    <s v="D0"/>
    <m/>
    <m/>
    <m/>
    <m/>
    <m/>
    <m/>
    <m/>
    <s v="08.01.2020"/>
    <s v="IHB NOV-DIC2019"/>
    <n v="20200108"/>
    <n v="3"/>
    <m/>
    <m/>
    <m/>
    <s v="IMPUESTO AL HOSPEDAJE DEL BIMESTRE VI NOV-DIC 2019"/>
    <m/>
    <m/>
    <m/>
    <m/>
    <m/>
    <m/>
    <n v="340340390"/>
    <s v="EIBAÑEZ"/>
  </r>
  <r>
    <n v="3402"/>
    <s v="08.01.2020"/>
    <n v="2020"/>
    <d v="2020-01-01T00:00:00"/>
    <n v="1"/>
    <n v="200021798"/>
    <s v="WE"/>
    <n v="81"/>
    <x v="8"/>
    <n v="21021040"/>
    <x v="8"/>
    <n v="665"/>
    <s v="USD"/>
    <n v="12519.96"/>
    <x v="0"/>
    <m/>
    <m/>
    <s v="N/A Registro proveedor extranjero"/>
    <n v="453325398"/>
    <n v="101653"/>
    <s v="BOOKER SOFTWARE INC"/>
    <m/>
    <m/>
    <s v="08.01.2020"/>
    <s v="120106-007E"/>
    <n v="20200108"/>
    <n v="665"/>
    <n v="0"/>
    <n v="665"/>
    <n v="200027802"/>
    <s v="Mtto Licencias Booker SABE Enero 2020"/>
    <n v="665"/>
    <s v="11.02.2020"/>
    <s v="TRANSFERENCIA"/>
    <n v="200150427"/>
    <s v="BOFA"/>
    <s v="BofA RCD 89805242886"/>
    <n v="340215190"/>
    <s v="SOLI1102"/>
  </r>
  <r>
    <n v="3402"/>
    <s v="10.01.2020"/>
    <n v="2020"/>
    <d v="2020-01-01T00:00:00"/>
    <n v="1"/>
    <n v="200027806"/>
    <s v="WE"/>
    <n v="81"/>
    <x v="5"/>
    <n v="21021040"/>
    <x v="5"/>
    <n v="210431.03"/>
    <s v="MXN"/>
    <n v="210431.03"/>
    <x v="0"/>
    <m/>
    <m/>
    <s v="N/A Registro proveedor extranjero"/>
    <s v="NL805734958B01"/>
    <n v="600271"/>
    <s v="BOOKING COM BV"/>
    <m/>
    <m/>
    <s v="10.01.2020"/>
    <n v="1548705238"/>
    <n v="20200110"/>
    <n v="210431.03"/>
    <n v="0"/>
    <n v="210431.03"/>
    <n v="200035338"/>
    <s v="COMISIONES BOOKING DIC 2019- HACIENDA"/>
    <n v="210431.03"/>
    <s v="21.01.2020"/>
    <s v="TRANSFERENCIA"/>
    <n v="200057427"/>
    <s v="BBVA"/>
    <s v="BBVAB 00188039070 TP"/>
    <n v="340221990"/>
    <s v="AINGRESOSCG"/>
  </r>
  <r>
    <n v="3402"/>
    <s v="10.01.2020"/>
    <n v="2020"/>
    <d v="2020-01-01T00:00:00"/>
    <n v="1"/>
    <n v="200027812"/>
    <s v="WE"/>
    <n v="81"/>
    <x v="5"/>
    <n v="21021040"/>
    <x v="5"/>
    <n v="27954.36"/>
    <s v="MXN"/>
    <n v="27954.36"/>
    <x v="0"/>
    <m/>
    <m/>
    <s v="N/A Registro proveedor extranjero"/>
    <s v="NL805734958B01"/>
    <n v="600271"/>
    <s v="BOOKING COM BV"/>
    <m/>
    <m/>
    <s v="10.01.2020"/>
    <n v="1548693032"/>
    <n v="20200110"/>
    <n v="27954.36"/>
    <n v="0"/>
    <n v="27954.36"/>
    <n v="200035334"/>
    <s v="COMISIONES BOOKING DIC 2019- HEAVEN"/>
    <n v="27954.36"/>
    <s v="21.01.2020"/>
    <s v="TRANSFERENCIA"/>
    <n v="200057427"/>
    <s v="BBVA"/>
    <s v="BBVAB 00188039070 TP"/>
    <n v="340221990"/>
    <s v="AINGRESOSCG"/>
  </r>
  <r>
    <n v="3401"/>
    <s v="10.01.2020"/>
    <n v="2020"/>
    <d v="2020-01-01T00:00:00"/>
    <n v="1"/>
    <n v="100009515"/>
    <s v="WE"/>
    <n v="81"/>
    <x v="4"/>
    <n v="21021040"/>
    <x v="4"/>
    <n v="53480"/>
    <s v="MXN"/>
    <n v="53480"/>
    <x v="0"/>
    <m/>
    <m/>
    <s v="27DFA65C-1D63-41B7-9350-ADC68088A10C"/>
    <s v="CSS160330CP7"/>
    <n v="107211"/>
    <s v="CFE SUMINISTRADOR DE SERVICIOS"/>
    <m/>
    <m/>
    <s v="10.01.2020"/>
    <n v="4501216248"/>
    <s v="WH000533227437"/>
    <n v="53480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7"/>
    <s v="10.01.2020"/>
    <n v="2020"/>
    <d v="2020-01-01T00:00:00"/>
    <n v="1"/>
    <n v="700010842"/>
    <s v="WE"/>
    <n v="81"/>
    <x v="5"/>
    <n v="21021040"/>
    <x v="5"/>
    <n v="201928.89"/>
    <s v="MXN"/>
    <n v="201928.89"/>
    <x v="0"/>
    <m/>
    <m/>
    <s v="N/A Registro proveedor extranjero"/>
    <s v="NL805734958B01"/>
    <n v="600271"/>
    <s v="BOOKING COM BV"/>
    <m/>
    <m/>
    <s v="10.01.2020"/>
    <n v="1548789341"/>
    <n v="20200110"/>
    <n v="201928.89"/>
    <n v="0"/>
    <n v="201928.89"/>
    <n v="700011485"/>
    <s v="COMISION BOOKING DICIEMBRE 2019"/>
    <n v="201928.89"/>
    <s v="21.01.2020"/>
    <s v="TRANSFERENCIA"/>
    <n v="700020940"/>
    <s v="BBVA"/>
    <s v="BBVAB 00188039070 TP"/>
    <n v="340721790"/>
    <s v="SOLI3407"/>
  </r>
  <r>
    <n v="3406"/>
    <s v="10.01.2020"/>
    <n v="2020"/>
    <d v="2020-01-01T00:00:00"/>
    <n v="1"/>
    <n v="600007236"/>
    <s v="WE"/>
    <n v="81"/>
    <x v="8"/>
    <n v="21021040"/>
    <x v="8"/>
    <n v="157482.49"/>
    <s v="MXN"/>
    <n v="157482.49"/>
    <x v="0"/>
    <m/>
    <m/>
    <s v="AFA2E399-A9D8-409D-AFB9-BF92C8657AA4"/>
    <m/>
    <n v="105456"/>
    <s v="BAZAN LIRA SAMIR ABINADI"/>
    <m/>
    <m/>
    <s v="10.01.2020"/>
    <s v="OT 80"/>
    <n v="20200110"/>
    <n v="157482.49"/>
    <n v="25197.198399999997"/>
    <n v="182679.68839999998"/>
    <n v="600007266"/>
    <s v="Licencia anual fortinet"/>
    <n v="182679.68839999998"/>
    <s v="25.02.2020"/>
    <s v="TRANSFERENCIA"/>
    <n v="600055348"/>
    <s v="BBVA"/>
    <s v="BBVAB 00188039070 TP"/>
    <n v="340646390"/>
    <s v="SOLIUNICO"/>
  </r>
  <r>
    <n v="3402"/>
    <s v="08.01.2020"/>
    <n v="2020"/>
    <d v="2020-01-01T00:00:00"/>
    <n v="1"/>
    <n v="200038791"/>
    <s v="SA"/>
    <n v="40"/>
    <x v="4"/>
    <n v="21021040"/>
    <x v="4"/>
    <n v="80425.69"/>
    <s v="MXN"/>
    <n v="80425.69"/>
    <x v="0"/>
    <m/>
    <m/>
    <m/>
    <m/>
    <m/>
    <m/>
    <m/>
    <m/>
    <s v="14.01.2020"/>
    <m/>
    <n v="20200108"/>
    <n v="80425.69"/>
    <m/>
    <m/>
    <m/>
    <s v="RECL CFE GOLF 2856592-217"/>
    <m/>
    <m/>
    <m/>
    <m/>
    <m/>
    <m/>
    <n v="340255290"/>
    <s v="AUXCONTARVM"/>
  </r>
  <r>
    <n v="3402"/>
    <s v="10.01.2020"/>
    <n v="2020"/>
    <d v="2020-01-01T00:00:00"/>
    <n v="1"/>
    <n v="200038798"/>
    <s v="SA"/>
    <n v="40"/>
    <x v="4"/>
    <n v="21021040"/>
    <x v="4"/>
    <n v="269.48"/>
    <s v="MXN"/>
    <n v="269.48"/>
    <x v="0"/>
    <m/>
    <m/>
    <m/>
    <m/>
    <m/>
    <m/>
    <m/>
    <m/>
    <s v="14.01.2020"/>
    <m/>
    <n v="20200110"/>
    <n v="269.48"/>
    <m/>
    <m/>
    <m/>
    <s v="RECL CFE GOLF 2919280"/>
    <m/>
    <m/>
    <m/>
    <m/>
    <m/>
    <m/>
    <n v="340255290"/>
    <s v="AUXCONTARVM"/>
  </r>
  <r>
    <n v="3402"/>
    <s v="10.01.2020"/>
    <n v="2020"/>
    <d v="2020-01-01T00:00:00"/>
    <n v="7"/>
    <n v="200041197"/>
    <s v="SA"/>
    <n v="40"/>
    <x v="9"/>
    <n v="11610030"/>
    <x v="9"/>
    <n v="47.08"/>
    <s v="USD"/>
    <n v="901.14"/>
    <x v="0"/>
    <m/>
    <m/>
    <m/>
    <m/>
    <m/>
    <m/>
    <m/>
    <m/>
    <s v="15.01.2020"/>
    <s v="DIF ENE 20"/>
    <n v="20200110"/>
    <n v="47.08"/>
    <m/>
    <m/>
    <m/>
    <s v="DIF ENE 20 RENOVACION ANUAL DE SERVICIO CAMARA WEB"/>
    <m/>
    <m/>
    <m/>
    <m/>
    <m/>
    <m/>
    <n v="340221790"/>
    <s v="AUXCONTARVM"/>
  </r>
  <r>
    <n v="3402"/>
    <s v="10.01.2020"/>
    <n v="2020"/>
    <d v="2020-01-01T00:00:00"/>
    <n v="9"/>
    <n v="200041197"/>
    <s v="SA"/>
    <n v="40"/>
    <x v="9"/>
    <n v="11610030"/>
    <x v="9"/>
    <n v="5.75"/>
    <s v="USD"/>
    <n v="110.05"/>
    <x v="0"/>
    <m/>
    <m/>
    <m/>
    <m/>
    <m/>
    <m/>
    <m/>
    <m/>
    <s v="15.01.2020"/>
    <s v="DIF ENE 20"/>
    <n v="20200110"/>
    <n v="5.75"/>
    <m/>
    <m/>
    <m/>
    <s v="DIF ENE 20 RENOVACION ANUAL DE SERVICIO CAMARA WEB"/>
    <m/>
    <m/>
    <m/>
    <m/>
    <m/>
    <m/>
    <n v="340221790"/>
    <s v="AUXCONTARVM"/>
  </r>
  <r>
    <n v="3402"/>
    <s v="10.01.2020"/>
    <n v="2020"/>
    <d v="2020-01-01T00:00:00"/>
    <n v="11"/>
    <n v="200041197"/>
    <s v="SA"/>
    <n v="40"/>
    <x v="8"/>
    <n v="11610030"/>
    <x v="8"/>
    <n v="45.96"/>
    <s v="USD"/>
    <n v="902.49"/>
    <x v="0"/>
    <m/>
    <m/>
    <m/>
    <m/>
    <m/>
    <m/>
    <m/>
    <m/>
    <s v="15.01.2020"/>
    <s v="DIF ENE 20"/>
    <n v="20200110"/>
    <n v="45.96"/>
    <m/>
    <m/>
    <m/>
    <s v="DIF ENE20 Pago semestral adaptador twitter fourwin"/>
    <m/>
    <m/>
    <m/>
    <m/>
    <m/>
    <m/>
    <n v="340225190"/>
    <s v="AUXCONTARVM"/>
  </r>
  <r>
    <n v="3402"/>
    <s v="10.01.2020"/>
    <n v="2020"/>
    <d v="2020-01-01T00:00:00"/>
    <n v="13"/>
    <n v="200041197"/>
    <s v="SA"/>
    <n v="40"/>
    <x v="3"/>
    <n v="11610030"/>
    <x v="3"/>
    <n v="13255"/>
    <s v="USD"/>
    <n v="265516.2"/>
    <x v="0"/>
    <m/>
    <m/>
    <m/>
    <m/>
    <m/>
    <m/>
    <m/>
    <m/>
    <s v="15.01.2020"/>
    <s v="DIF ENE 20"/>
    <n v="20200110"/>
    <n v="13255"/>
    <m/>
    <m/>
    <m/>
    <s v="DIF ENE 20 PAGO DE LICENCIA ANUAL WOODWARD"/>
    <m/>
    <m/>
    <m/>
    <m/>
    <m/>
    <m/>
    <n v="340275190"/>
    <s v="AUXCONTARVM"/>
  </r>
  <r>
    <n v="3406"/>
    <s v="08.01.2020"/>
    <n v="2020"/>
    <d v="2020-01-01T00:00:00"/>
    <n v="1"/>
    <n v="600015295"/>
    <s v="WE"/>
    <n v="91"/>
    <x v="8"/>
    <n v="21021040"/>
    <x v="8"/>
    <n v="20.14"/>
    <s v="USD"/>
    <n v="379.18"/>
    <x v="0"/>
    <m/>
    <m/>
    <s v="N/A Registro proveedor extranjero"/>
    <n v="453325398"/>
    <n v="101653"/>
    <s v="BOOKER SOFTWARE INC"/>
    <m/>
    <m/>
    <s v="17.01.2020"/>
    <s v="120106-008E"/>
    <n v="20200108"/>
    <n v="20.14"/>
    <n v="0"/>
    <n v="20.14"/>
    <n v="600025900"/>
    <s v="PAGO SABE BOOKER 2020"/>
    <n v="20.14"/>
    <s v="11.02.2020"/>
    <s v="TRANSFERENCIA"/>
    <n v="600040066"/>
    <s v="BOFA"/>
    <s v="BofA RCD 89805242886"/>
    <n v="340615190"/>
    <s v="SOLIUNICO"/>
  </r>
  <r>
    <n v="3406"/>
    <s v="08.01.2020"/>
    <n v="2020"/>
    <d v="2020-01-01T00:00:00"/>
    <n v="1"/>
    <n v="600015384"/>
    <s v="WE"/>
    <n v="91"/>
    <x v="8"/>
    <n v="21021040"/>
    <x v="8"/>
    <n v="380"/>
    <s v="USD"/>
    <n v="7154.26"/>
    <x v="0"/>
    <m/>
    <m/>
    <s v="N/A Registro proveedor extranjero"/>
    <n v="453325398"/>
    <n v="101653"/>
    <s v="BOOKER SOFTWARE INC"/>
    <m/>
    <m/>
    <s v="17.01.2020"/>
    <s v="120106-008E"/>
    <n v="20200108"/>
    <n v="380"/>
    <n v="0"/>
    <n v="380"/>
    <n v="600025900"/>
    <s v="PAGO SPA BOOKER ENE 2020"/>
    <n v="380"/>
    <s v="11.02.2020"/>
    <s v="TRANSFERENCIA"/>
    <n v="600040066"/>
    <s v="BOFA"/>
    <s v="BofA RCD 89805242886"/>
    <n v="340653290"/>
    <s v="SOLIUNICO"/>
  </r>
  <r>
    <n v="3406"/>
    <s v="08.01.2020"/>
    <n v="2020"/>
    <d v="2020-01-01T00:00:00"/>
    <n v="1"/>
    <n v="600015392"/>
    <s v="WE"/>
    <n v="81"/>
    <x v="8"/>
    <n v="21021040"/>
    <x v="8"/>
    <n v="380"/>
    <s v="USD"/>
    <n v="7154.26"/>
    <x v="0"/>
    <m/>
    <m/>
    <s v="N/A Registro proveedor extranjero"/>
    <n v="453325398"/>
    <n v="101653"/>
    <s v="BOOKER SOFTWARE INC"/>
    <m/>
    <m/>
    <s v="17.01.2020"/>
    <s v="120106-008E"/>
    <n v="20200108"/>
    <n v="380"/>
    <n v="0"/>
    <n v="380"/>
    <n v="600025900"/>
    <s v="PAGO SPA BOOKER ENE 2020"/>
    <n v="380"/>
    <s v="11.02.2020"/>
    <s v="TRANSFERENCIA"/>
    <n v="600040066"/>
    <s v="BOFA"/>
    <s v="BofA RCD 89805242886"/>
    <n v="340653290"/>
    <s v="SOLIUNICO"/>
  </r>
  <r>
    <n v="3400"/>
    <s v="31.01.2020"/>
    <n v="2020"/>
    <d v="2020-01-01T00:00:00"/>
    <n v="1"/>
    <n v="100011186"/>
    <s v="CR"/>
    <n v="40"/>
    <x v="0"/>
    <n v="606338"/>
    <x v="0"/>
    <n v="86.77"/>
    <s v="MXN"/>
    <n v="86.77"/>
    <x v="0"/>
    <s v="D3"/>
    <s v="716CCABD9D2047C2BD05FFDE63637FA7"/>
    <m/>
    <m/>
    <m/>
    <m/>
    <m/>
    <m/>
    <s v="03.02.2020"/>
    <n v="79220"/>
    <s v="7F402B4794D547F3A9"/>
    <n v="86.77"/>
    <m/>
    <m/>
    <m/>
    <s v="7F402B4794D547F3A92C|79220|"/>
    <m/>
    <m/>
    <m/>
    <m/>
    <m/>
    <m/>
    <n v="340023450"/>
    <s v="OTUN"/>
  </r>
  <r>
    <n v="3407"/>
    <s v="31.01.2020"/>
    <n v="2020"/>
    <d v="2020-01-01T00:00:00"/>
    <n v="1"/>
    <n v="700041037"/>
    <s v="SA"/>
    <n v="40"/>
    <x v="4"/>
    <n v="71104030"/>
    <x v="4"/>
    <n v="117908.32"/>
    <s v="MXN"/>
    <n v="117908.32"/>
    <x v="0"/>
    <m/>
    <m/>
    <m/>
    <m/>
    <m/>
    <m/>
    <m/>
    <m/>
    <s v="01.02.2020"/>
    <s v="RECLAIF CTAS"/>
    <s v="Reclasif Cuentas"/>
    <n v="117908.32"/>
    <m/>
    <m/>
    <m/>
    <s v="Reclasif Energeticos Lavanderia 2020"/>
    <m/>
    <m/>
    <m/>
    <m/>
    <m/>
    <m/>
    <n v="340732290"/>
    <s v="CGUTIERREZ"/>
  </r>
  <r>
    <n v="3407"/>
    <s v="29.01.2020"/>
    <n v="2020"/>
    <d v="2020-01-01T00:00:00"/>
    <n v="3"/>
    <n v="700037162"/>
    <s v="SA"/>
    <n v="50"/>
    <x v="8"/>
    <n v="54020040"/>
    <x v="8"/>
    <n v="1614.45"/>
    <s v="MXN"/>
    <n v="1614.45"/>
    <x v="0"/>
    <m/>
    <m/>
    <m/>
    <m/>
    <m/>
    <m/>
    <m/>
    <m/>
    <s v="30.01.2020"/>
    <s v="F-3407 - 21299"/>
    <s v="F-3407 - 21299"/>
    <n v="1614.45"/>
    <m/>
    <m/>
    <m/>
    <s v="RECL  DE GASTO A COSTO REFACT HCT DICIEMBRE 2019"/>
    <m/>
    <m/>
    <m/>
    <m/>
    <m/>
    <m/>
    <n v="340748290"/>
    <s v="CGUTIERREZ"/>
  </r>
  <r>
    <n v="3406"/>
    <s v="01.01.2020"/>
    <n v="2020"/>
    <d v="2020-01-01T00:00:00"/>
    <n v="1"/>
    <n v="600010480"/>
    <s v="SA"/>
    <n v="40"/>
    <x v="8"/>
    <n v="11610080"/>
    <x v="8"/>
    <n v="1646.25"/>
    <s v="MXN"/>
    <n v="1646.25"/>
    <x v="0"/>
    <m/>
    <m/>
    <m/>
    <m/>
    <m/>
    <m/>
    <m/>
    <m/>
    <s v="14.01.2020"/>
    <n v="20200101"/>
    <s v="01.01.2020"/>
    <n v="1646.25"/>
    <m/>
    <m/>
    <m/>
    <s v="AMORT. Sistema Open Table 2087  ENE 20"/>
    <m/>
    <m/>
    <m/>
    <m/>
    <m/>
    <m/>
    <n v="340612590"/>
    <s v="RBENITO"/>
  </r>
  <r>
    <n v="3406"/>
    <s v="01.01.2020"/>
    <n v="2020"/>
    <d v="2020-01-01T00:00:00"/>
    <n v="1"/>
    <n v="600010483"/>
    <s v="SA"/>
    <n v="40"/>
    <x v="8"/>
    <n v="11610080"/>
    <x v="8"/>
    <n v="1646.25"/>
    <s v="MXN"/>
    <n v="1646.25"/>
    <x v="0"/>
    <m/>
    <m/>
    <m/>
    <m/>
    <m/>
    <m/>
    <m/>
    <m/>
    <s v="14.01.2020"/>
    <n v="20200101"/>
    <s v="01.01.2020"/>
    <n v="1646.25"/>
    <m/>
    <m/>
    <m/>
    <s v="AMORT. Sistema Open Table Mura Hou ENE 20"/>
    <m/>
    <m/>
    <m/>
    <m/>
    <m/>
    <m/>
    <n v="340612590"/>
    <s v="RBENITO"/>
  </r>
  <r>
    <n v="3400"/>
    <s v="23.01.2020"/>
    <n v="2020"/>
    <d v="2020-01-01T00:00:00"/>
    <n v="1"/>
    <n v="100008992"/>
    <s v="FE"/>
    <n v="40"/>
    <x v="9"/>
    <n v="21021040"/>
    <x v="9"/>
    <n v="11261.2"/>
    <s v="USD"/>
    <n v="210592.32"/>
    <x v="0"/>
    <s v="D0"/>
    <m/>
    <m/>
    <m/>
    <m/>
    <m/>
    <m/>
    <m/>
    <s v="27.01.2020"/>
    <m/>
    <s v="REFG:RCDPI00019906"/>
    <n v="11261.2"/>
    <m/>
    <m/>
    <m/>
    <s v="DESC AS: Transactions dic 2019"/>
    <m/>
    <m/>
    <m/>
    <m/>
    <m/>
    <m/>
    <n v="340019450"/>
    <s v="YCUTZ"/>
  </r>
  <r>
    <n v="3407"/>
    <s v="01.01.2020"/>
    <n v="2020"/>
    <d v="2020-01-01T00:00:00"/>
    <n v="1"/>
    <n v="700034798"/>
    <s v="SA"/>
    <n v="40"/>
    <x v="8"/>
    <n v="11610080"/>
    <x v="8"/>
    <n v="4122"/>
    <s v="USD"/>
    <n v="77793.27"/>
    <x v="0"/>
    <m/>
    <m/>
    <m/>
    <m/>
    <m/>
    <m/>
    <m/>
    <m/>
    <s v="29.01.2020"/>
    <s v="PROV MEDALIA"/>
    <s v="Prov Medalia"/>
    <n v="4122"/>
    <m/>
    <m/>
    <m/>
    <s v="Prov Sist Aseguram Calidad Medali HRC Ene"/>
    <m/>
    <m/>
    <m/>
    <m/>
    <m/>
    <m/>
    <n v="340743690"/>
    <s v="CGUTIERREZ"/>
  </r>
  <r>
    <n v="3407"/>
    <s v="29.01.2020"/>
    <n v="2020"/>
    <d v="2020-01-01T00:00:00"/>
    <n v="3"/>
    <n v="700037019"/>
    <s v="SA"/>
    <n v="50"/>
    <x v="8"/>
    <n v="54020040"/>
    <x v="8"/>
    <n v="80.7"/>
    <s v="MXN"/>
    <n v="80.7"/>
    <x v="0"/>
    <m/>
    <m/>
    <m/>
    <m/>
    <m/>
    <m/>
    <m/>
    <n v="700037084"/>
    <s v="30.01.2020"/>
    <s v="F-3407 - 21298"/>
    <s v="F-3407 - 21298"/>
    <n v="80.7"/>
    <m/>
    <m/>
    <m/>
    <s v="CTO REFAC.DE GASTOS OPER. ROCK AWAY Diciembre 2019"/>
    <m/>
    <m/>
    <m/>
    <m/>
    <m/>
    <m/>
    <n v="340768690"/>
    <s v="CGUTIERREZ"/>
  </r>
  <r>
    <n v="3407"/>
    <s v="29.01.2020"/>
    <n v="2020"/>
    <d v="2020-01-01T00:00:00"/>
    <n v="3"/>
    <n v="700037084"/>
    <s v="AB"/>
    <n v="40"/>
    <x v="8"/>
    <n v="54020040"/>
    <x v="8"/>
    <n v="80.7"/>
    <s v="MXN"/>
    <n v="80.7"/>
    <x v="0"/>
    <m/>
    <m/>
    <m/>
    <m/>
    <m/>
    <m/>
    <m/>
    <n v="700037019"/>
    <s v="30.01.2020"/>
    <s v="F-3407 - 21298"/>
    <s v="F-3407 - 21298"/>
    <n v="80.7"/>
    <m/>
    <m/>
    <m/>
    <s v="CTO REFAC.DE GASTOS OPER. ROCK AWAY Diciembre 2019"/>
    <m/>
    <m/>
    <m/>
    <m/>
    <m/>
    <m/>
    <n v="340768690"/>
    <s v="CGUTIERREZ"/>
  </r>
  <r>
    <n v="3407"/>
    <s v="29.01.2020"/>
    <n v="2020"/>
    <d v="2020-01-01T00:00:00"/>
    <n v="3"/>
    <n v="700037086"/>
    <s v="SA"/>
    <n v="50"/>
    <x v="8"/>
    <n v="54020040"/>
    <x v="8"/>
    <n v="80.7"/>
    <s v="MXN"/>
    <n v="80.7"/>
    <x v="0"/>
    <m/>
    <m/>
    <m/>
    <m/>
    <m/>
    <m/>
    <m/>
    <m/>
    <s v="30.01.2020"/>
    <s v="F-3407 - 21298"/>
    <s v="F-3407 - 21298"/>
    <n v="80.7"/>
    <m/>
    <m/>
    <m/>
    <s v="CTO REFAC.DE GASTOS OPER. ROCK AWAY Diciembre 2019"/>
    <m/>
    <m/>
    <m/>
    <m/>
    <m/>
    <m/>
    <n v="340768690"/>
    <s v="CGUTIERREZ"/>
  </r>
  <r>
    <n v="3400"/>
    <s v="31.01.2020"/>
    <n v="2020"/>
    <d v="2020-01-01T00:00:00"/>
    <n v="1"/>
    <n v="100011190"/>
    <s v="CR"/>
    <n v="40"/>
    <x v="1"/>
    <n v="606338"/>
    <x v="1"/>
    <n v="30.16"/>
    <s v="MXN"/>
    <n v="30.16"/>
    <x v="0"/>
    <s v="D0"/>
    <m/>
    <m/>
    <m/>
    <m/>
    <m/>
    <m/>
    <m/>
    <s v="03.02.2020"/>
    <n v="79220"/>
    <s v="7F402B4794D547F3A9"/>
    <n v="30.16"/>
    <m/>
    <m/>
    <m/>
    <s v="7F402B4794D547F3A92C|79220|"/>
    <m/>
    <m/>
    <m/>
    <m/>
    <m/>
    <m/>
    <n v="340023450"/>
    <s v="OTUN"/>
  </r>
  <r>
    <n v="3407"/>
    <s v="18.01.2020"/>
    <n v="2020"/>
    <d v="2020-01-01T00:00:00"/>
    <n v="3"/>
    <n v="700021052"/>
    <s v="SA"/>
    <n v="50"/>
    <x v="8"/>
    <n v="54020040"/>
    <x v="8"/>
    <n v="80.7"/>
    <s v="MXN"/>
    <n v="80.7"/>
    <x v="0"/>
    <m/>
    <m/>
    <m/>
    <m/>
    <m/>
    <m/>
    <m/>
    <n v="700037013"/>
    <s v="20.01.2020"/>
    <s v="F-3407 - 20170"/>
    <s v="F-3407 - 20170"/>
    <n v="80.7"/>
    <m/>
    <m/>
    <m/>
    <s v="CTO REFAC.DE GASTOS OPER. ROCK AWAY Dic 2019"/>
    <m/>
    <m/>
    <m/>
    <m/>
    <m/>
    <m/>
    <n v="340768690"/>
    <s v="CGUTIERREZ"/>
  </r>
  <r>
    <n v="3407"/>
    <s v="29.01.2020"/>
    <n v="2020"/>
    <d v="2020-01-01T00:00:00"/>
    <n v="3"/>
    <n v="700037010"/>
    <s v="SA"/>
    <n v="50"/>
    <x v="8"/>
    <n v="54020040"/>
    <x v="8"/>
    <n v="80.7"/>
    <s v="MXN"/>
    <n v="80.7"/>
    <x v="0"/>
    <m/>
    <m/>
    <m/>
    <m/>
    <m/>
    <m/>
    <m/>
    <n v="700037014"/>
    <s v="30.01.2020"/>
    <s v="F-3407 - 21298"/>
    <s v="F-3407 - 21298"/>
    <n v="80.7"/>
    <m/>
    <m/>
    <m/>
    <s v="CTO REFAC.DE GASTOS OPER. ROCK AWAY Dic 2019"/>
    <m/>
    <m/>
    <m/>
    <m/>
    <m/>
    <m/>
    <n v="340768690"/>
    <s v="CGUTIERREZ"/>
  </r>
  <r>
    <n v="3407"/>
    <s v="18.01.2020"/>
    <n v="2020"/>
    <d v="2020-01-01T00:00:00"/>
    <n v="3"/>
    <n v="700037013"/>
    <s v="AB"/>
    <n v="40"/>
    <x v="8"/>
    <n v="54020040"/>
    <x v="8"/>
    <n v="80.7"/>
    <s v="MXN"/>
    <n v="80.7"/>
    <x v="0"/>
    <m/>
    <m/>
    <m/>
    <m/>
    <m/>
    <m/>
    <m/>
    <n v="700021052"/>
    <s v="30.01.2020"/>
    <s v="F-3407 - 20170"/>
    <s v="F-3407 - 20170"/>
    <n v="80.7"/>
    <m/>
    <m/>
    <m/>
    <s v="CTO REFAC.DE GASTOS OPER. ROCK AWAY Dic 2019"/>
    <m/>
    <m/>
    <m/>
    <m/>
    <m/>
    <m/>
    <n v="340768690"/>
    <s v="CGUTIERREZ"/>
  </r>
  <r>
    <n v="3407"/>
    <s v="29.01.2020"/>
    <n v="2020"/>
    <d v="2020-01-01T00:00:00"/>
    <n v="3"/>
    <n v="700037014"/>
    <s v="AB"/>
    <n v="40"/>
    <x v="8"/>
    <n v="54020040"/>
    <x v="8"/>
    <n v="80.7"/>
    <s v="MXN"/>
    <n v="80.7"/>
    <x v="0"/>
    <m/>
    <m/>
    <m/>
    <m/>
    <m/>
    <m/>
    <m/>
    <n v="700037010"/>
    <s v="30.01.2020"/>
    <s v="F-3407 - 21298"/>
    <s v="F-3407 - 21298"/>
    <n v="80.7"/>
    <m/>
    <m/>
    <m/>
    <s v="CTO REFAC.DE GASTOS OPER. ROCK AWAY Dic 2019"/>
    <m/>
    <m/>
    <m/>
    <m/>
    <m/>
    <m/>
    <n v="340768690"/>
    <s v="CGUTIERREZ"/>
  </r>
  <r>
    <n v="3400"/>
    <s v="31.01.2020"/>
    <n v="2020"/>
    <d v="2020-01-01T00:00:00"/>
    <n v="1"/>
    <n v="100011187"/>
    <s v="CR"/>
    <n v="40"/>
    <x v="1"/>
    <n v="606338"/>
    <x v="1"/>
    <n v="34.68"/>
    <s v="MXN"/>
    <n v="34.68"/>
    <x v="0"/>
    <s v="D0"/>
    <m/>
    <m/>
    <m/>
    <m/>
    <m/>
    <m/>
    <m/>
    <s v="03.02.2020"/>
    <n v="79220"/>
    <s v="7F402B4794D547F3A9"/>
    <n v="34.68"/>
    <m/>
    <m/>
    <m/>
    <s v="7F402B4794D547F3A92C|79220|"/>
    <m/>
    <m/>
    <m/>
    <m/>
    <m/>
    <m/>
    <n v="340023450"/>
    <s v="OTUN"/>
  </r>
  <r>
    <n v="3403"/>
    <s v="11.01.2020"/>
    <n v="2020"/>
    <d v="2020-01-01T00:00:00"/>
    <n v="3"/>
    <n v="300006080"/>
    <s v="KR"/>
    <n v="40"/>
    <x v="1"/>
    <n v="603940"/>
    <x v="1"/>
    <n v="3"/>
    <s v="MXN"/>
    <n v="3"/>
    <x v="0"/>
    <s v="D0"/>
    <m/>
    <m/>
    <m/>
    <m/>
    <m/>
    <m/>
    <m/>
    <s v="11.01.2020"/>
    <s v="IMTO CED NAY DIC"/>
    <n v="20200111"/>
    <n v="3"/>
    <m/>
    <m/>
    <m/>
    <s v="PAGO DEL IMPUESTO CEDULAR NAYARIT NOV 2019"/>
    <m/>
    <m/>
    <m/>
    <m/>
    <m/>
    <m/>
    <n v="340340390"/>
    <s v="MGARCIA"/>
  </r>
  <r>
    <n v="3407"/>
    <s v="24.01.2020"/>
    <n v="2020"/>
    <d v="2020-01-01T00:00:00"/>
    <n v="2"/>
    <n v="700033103"/>
    <s v="SA"/>
    <n v="50"/>
    <x v="7"/>
    <n v="71107040"/>
    <x v="7"/>
    <n v="2430"/>
    <s v="USD"/>
    <n v="45412.57"/>
    <x v="0"/>
    <m/>
    <m/>
    <m/>
    <m/>
    <m/>
    <m/>
    <m/>
    <m/>
    <s v="28.01.2020"/>
    <s v="AUD NSF HRI"/>
    <s v="Aud NSF HRI"/>
    <n v="2430"/>
    <m/>
    <m/>
    <m/>
    <s v="Auditoria NSF Hard Rock Intal"/>
    <m/>
    <m/>
    <m/>
    <m/>
    <m/>
    <m/>
    <n v="340712290"/>
    <s v="CGUTIERREZ"/>
  </r>
  <r>
    <n v="3407"/>
    <s v="31.01.2020"/>
    <n v="2020"/>
    <d v="2020-01-01T00:00:00"/>
    <n v="2"/>
    <n v="700041054"/>
    <s v="SA"/>
    <n v="40"/>
    <x v="6"/>
    <n v="71111040"/>
    <x v="6"/>
    <n v="24160.61"/>
    <s v="USD"/>
    <n v="483893.77"/>
    <x v="0"/>
    <m/>
    <m/>
    <m/>
    <m/>
    <m/>
    <m/>
    <m/>
    <m/>
    <s v="01.02.2020"/>
    <s v="RECLAIF CTAS"/>
    <s v="Reclasif Cuentas"/>
    <n v="24160.61"/>
    <m/>
    <m/>
    <m/>
    <s v="Distr Lavanderia Enero 2020"/>
    <m/>
    <m/>
    <m/>
    <m/>
    <m/>
    <m/>
    <n v="340710490"/>
    <s v="CGUTIERREZ"/>
  </r>
  <r>
    <n v="3407"/>
    <s v="31.01.2020"/>
    <n v="2020"/>
    <d v="2020-01-01T00:00:00"/>
    <n v="4"/>
    <n v="700041054"/>
    <s v="SA"/>
    <n v="40"/>
    <x v="6"/>
    <n v="71111040"/>
    <x v="6"/>
    <n v="980.7"/>
    <s v="USD"/>
    <n v="19641.75"/>
    <x v="0"/>
    <m/>
    <m/>
    <m/>
    <m/>
    <m/>
    <m/>
    <m/>
    <m/>
    <s v="01.02.2020"/>
    <s v="RECLAIF CTAS"/>
    <s v="Reclasif Cuentas"/>
    <n v="980.7"/>
    <m/>
    <m/>
    <m/>
    <s v="Distr Lavanderia Enero 2020"/>
    <m/>
    <m/>
    <m/>
    <m/>
    <m/>
    <m/>
    <n v="340712590"/>
    <s v="CGUTIERREZ"/>
  </r>
  <r>
    <n v="3407"/>
    <s v="31.01.2020"/>
    <n v="2020"/>
    <d v="2020-01-01T00:00:00"/>
    <n v="5"/>
    <n v="700041054"/>
    <s v="SA"/>
    <n v="40"/>
    <x v="6"/>
    <n v="71111040"/>
    <x v="6"/>
    <n v="1251.08"/>
    <s v="USD"/>
    <n v="25056.83"/>
    <x v="0"/>
    <m/>
    <m/>
    <m/>
    <m/>
    <m/>
    <m/>
    <m/>
    <m/>
    <s v="01.02.2020"/>
    <s v="RECLAIF CTAS"/>
    <s v="Reclasif Cuentas"/>
    <n v="1251.08"/>
    <m/>
    <m/>
    <m/>
    <s v="Distr Lavanderia Enero 2020"/>
    <m/>
    <m/>
    <m/>
    <m/>
    <m/>
    <m/>
    <n v="340712590"/>
    <s v="CGUTIERREZ"/>
  </r>
  <r>
    <n v="3407"/>
    <s v="31.01.2020"/>
    <n v="2020"/>
    <d v="2020-01-01T00:00:00"/>
    <n v="7"/>
    <n v="700041054"/>
    <s v="SA"/>
    <n v="40"/>
    <x v="6"/>
    <n v="71111040"/>
    <x v="6"/>
    <n v="12371.42"/>
    <s v="USD"/>
    <n v="247777.39"/>
    <x v="0"/>
    <m/>
    <m/>
    <m/>
    <m/>
    <m/>
    <m/>
    <m/>
    <m/>
    <s v="01.02.2020"/>
    <s v="RECLAIF CTAS"/>
    <s v="Reclasif Cuentas"/>
    <n v="12371.42"/>
    <m/>
    <m/>
    <m/>
    <s v="Distr Lavanderia Enero 2020"/>
    <m/>
    <m/>
    <m/>
    <m/>
    <m/>
    <m/>
    <n v="340710590"/>
    <s v="CGUTIERREZ"/>
  </r>
  <r>
    <n v="3400"/>
    <s v="30.01.2020"/>
    <n v="2020"/>
    <d v="2020-01-01T00:00:00"/>
    <n v="1"/>
    <n v="100010322"/>
    <s v="FE"/>
    <n v="40"/>
    <x v="9"/>
    <n v="21021040"/>
    <x v="9"/>
    <n v="3464"/>
    <s v="USD"/>
    <n v="65130.82"/>
    <x v="0"/>
    <s v="U3"/>
    <m/>
    <m/>
    <m/>
    <m/>
    <m/>
    <m/>
    <m/>
    <s v="30.01.2020"/>
    <m/>
    <s v="REFG:RCDPI00020212"/>
    <n v="3464"/>
    <m/>
    <m/>
    <m/>
    <s v="DESC AS: Hosting Kio Networks"/>
    <m/>
    <m/>
    <m/>
    <m/>
    <m/>
    <m/>
    <n v="340041850"/>
    <s v="YCUTZ"/>
  </r>
  <r>
    <n v="3403"/>
    <s v="21.01.2020"/>
    <n v="2020"/>
    <d v="2020-01-01T00:00:00"/>
    <n v="2"/>
    <n v="300012187"/>
    <s v="SK"/>
    <n v="40"/>
    <x v="1"/>
    <n v="11110100"/>
    <x v="1"/>
    <n v="11.6"/>
    <s v="MXN"/>
    <n v="11.6"/>
    <x v="0"/>
    <m/>
    <m/>
    <m/>
    <m/>
    <m/>
    <m/>
    <m/>
    <m/>
    <s v="22.01.2020"/>
    <m/>
    <n v="20200121"/>
    <n v="11.6"/>
    <m/>
    <m/>
    <m/>
    <s v="Comisión deposito de cheque Novabox"/>
    <m/>
    <m/>
    <m/>
    <m/>
    <m/>
    <m/>
    <n v="340340390"/>
    <s v="ERAMOS"/>
  </r>
  <r>
    <n v="3403"/>
    <s v="21.01.2020"/>
    <n v="2020"/>
    <d v="2020-01-01T00:00:00"/>
    <n v="2"/>
    <n v="300012188"/>
    <s v="SK"/>
    <n v="40"/>
    <x v="1"/>
    <n v="11110100"/>
    <x v="1"/>
    <n v="29"/>
    <s v="MXN"/>
    <n v="29"/>
    <x v="0"/>
    <m/>
    <m/>
    <m/>
    <m/>
    <m/>
    <m/>
    <m/>
    <m/>
    <s v="22.01.2020"/>
    <m/>
    <n v="20200121"/>
    <n v="29"/>
    <m/>
    <m/>
    <m/>
    <s v="Comisión deposito de cheque Novavision"/>
    <m/>
    <m/>
    <m/>
    <m/>
    <m/>
    <m/>
    <n v="340340390"/>
    <s v="ERAMOS"/>
  </r>
  <r>
    <n v="3403"/>
    <s v="28.01.2020"/>
    <n v="2020"/>
    <d v="2020-01-01T00:00:00"/>
    <n v="2"/>
    <n v="300015711"/>
    <s v="SK"/>
    <n v="40"/>
    <x v="1"/>
    <n v="11110100"/>
    <x v="1"/>
    <n v="11.6"/>
    <s v="MXN"/>
    <n v="11.6"/>
    <x v="0"/>
    <m/>
    <m/>
    <m/>
    <m/>
    <m/>
    <m/>
    <m/>
    <m/>
    <s v="28.01.2020"/>
    <m/>
    <n v="20200128"/>
    <n v="11.6"/>
    <m/>
    <m/>
    <m/>
    <s v="Comisión deposito de cheque Novabox"/>
    <m/>
    <m/>
    <m/>
    <m/>
    <m/>
    <m/>
    <n v="340340390"/>
    <s v="ERAMOS"/>
  </r>
  <r>
    <n v="3403"/>
    <s v="28.01.2020"/>
    <n v="2020"/>
    <d v="2020-01-01T00:00:00"/>
    <n v="2"/>
    <n v="300015712"/>
    <s v="SK"/>
    <n v="40"/>
    <x v="1"/>
    <n v="11110100"/>
    <x v="1"/>
    <n v="11.6"/>
    <s v="MXN"/>
    <n v="11.6"/>
    <x v="0"/>
    <m/>
    <m/>
    <m/>
    <m/>
    <m/>
    <m/>
    <m/>
    <m/>
    <s v="28.01.2020"/>
    <m/>
    <n v="20200128"/>
    <n v="11.6"/>
    <m/>
    <m/>
    <m/>
    <s v="Comisión deposito de cheque Novavision"/>
    <m/>
    <m/>
    <m/>
    <m/>
    <m/>
    <m/>
    <n v="340340390"/>
    <s v="ERAMOS"/>
  </r>
  <r>
    <n v="3406"/>
    <s v="20.01.2020"/>
    <n v="2020"/>
    <d v="2020-01-01T00:00:00"/>
    <n v="3"/>
    <n v="600025900"/>
    <s v="RE"/>
    <n v="91"/>
    <x v="8"/>
    <n v="21021040"/>
    <x v="8"/>
    <n v="0"/>
    <s v="USD"/>
    <n v="12.92"/>
    <x v="0"/>
    <s v="D0"/>
    <m/>
    <m/>
    <m/>
    <m/>
    <m/>
    <m/>
    <m/>
    <s v="27.01.2020"/>
    <s v="120106-008E"/>
    <n v="20200120"/>
    <n v="0"/>
    <m/>
    <m/>
    <m/>
    <m/>
    <m/>
    <m/>
    <m/>
    <m/>
    <m/>
    <m/>
    <n v="340653290"/>
    <s v="CXP"/>
  </r>
  <r>
    <n v="3402"/>
    <s v="27.01.2020"/>
    <n v="2020"/>
    <d v="2020-01-01T00:00:00"/>
    <n v="3"/>
    <n v="200086228"/>
    <s v="RE"/>
    <n v="91"/>
    <x v="5"/>
    <n v="21021040"/>
    <x v="5"/>
    <n v="0"/>
    <s v="USD"/>
    <n v="51.9"/>
    <x v="0"/>
    <s v="D0"/>
    <m/>
    <m/>
    <m/>
    <m/>
    <m/>
    <m/>
    <m/>
    <s v="27.01.2020"/>
    <n v="2238852"/>
    <n v="20200127"/>
    <n v="0"/>
    <m/>
    <m/>
    <m/>
    <m/>
    <m/>
    <m/>
    <m/>
    <m/>
    <m/>
    <m/>
    <n v="340221990"/>
    <s v="MCONTRERAS"/>
  </r>
  <r>
    <n v="3402"/>
    <s v="28.01.2020"/>
    <n v="2020"/>
    <d v="2020-01-01T00:00:00"/>
    <n v="3"/>
    <n v="200091600"/>
    <s v="RE"/>
    <n v="81"/>
    <x v="3"/>
    <n v="600226"/>
    <x v="3"/>
    <n v="0"/>
    <s v="USD"/>
    <n v="233.32"/>
    <x v="0"/>
    <s v="D0"/>
    <m/>
    <s v="9F117055-BA8A-4F86-BB32-99E83D4C6356"/>
    <m/>
    <m/>
    <m/>
    <m/>
    <m/>
    <s v="28.01.2020"/>
    <s v="4180120M"/>
    <n v="20200128"/>
    <n v="0"/>
    <m/>
    <m/>
    <m/>
    <m/>
    <m/>
    <m/>
    <m/>
    <m/>
    <m/>
    <m/>
    <n v="340221790"/>
    <s v="MCONTRERAS"/>
  </r>
  <r>
    <n v="3406"/>
    <s v="14.01.2020"/>
    <n v="2020"/>
    <d v="2020-01-01T00:00:00"/>
    <n v="3"/>
    <n v="600012066"/>
    <s v="RE"/>
    <n v="91"/>
    <x v="5"/>
    <n v="21021040"/>
    <x v="5"/>
    <n v="0"/>
    <s v="USD"/>
    <n v="54.13"/>
    <x v="0"/>
    <s v="U3"/>
    <m/>
    <s v="9DF3470E-A6CA-4028-8C55-6605A3C31DC5"/>
    <m/>
    <m/>
    <m/>
    <m/>
    <m/>
    <s v="15.01.2020"/>
    <s v="AA2156"/>
    <n v="20200114"/>
    <n v="0"/>
    <m/>
    <m/>
    <m/>
    <s v="COMISION VIAJES AMISTAD S.A DE C.V"/>
    <m/>
    <m/>
    <m/>
    <m/>
    <m/>
    <m/>
    <n v="340621790"/>
    <s v="CXP"/>
  </r>
  <r>
    <n v="3406"/>
    <s v="14.01.2020"/>
    <n v="2020"/>
    <d v="2020-01-01T00:00:00"/>
    <n v="3"/>
    <n v="600012067"/>
    <s v="RE"/>
    <n v="91"/>
    <x v="5"/>
    <n v="21021040"/>
    <x v="5"/>
    <n v="0"/>
    <s v="USD"/>
    <n v="268.54000000000002"/>
    <x v="0"/>
    <s v="D0"/>
    <m/>
    <m/>
    <m/>
    <m/>
    <m/>
    <m/>
    <m/>
    <s v="15.01.2020"/>
    <n v="2273650"/>
    <n v="20200114"/>
    <n v="0"/>
    <m/>
    <m/>
    <m/>
    <m/>
    <m/>
    <m/>
    <m/>
    <m/>
    <m/>
    <m/>
    <n v="340621790"/>
    <s v="CXP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"/>
    <x v="0"/>
    <x v="0"/>
    <x v="0"/>
    <x v="0"/>
  </r>
  <r>
    <n v="1"/>
    <x v="1"/>
    <x v="1"/>
    <x v="1"/>
    <x v="1"/>
  </r>
  <r>
    <n v="1"/>
    <x v="2"/>
    <x v="2"/>
    <x v="2"/>
    <x v="2"/>
  </r>
  <r>
    <n v="1"/>
    <x v="3"/>
    <x v="3"/>
    <x v="3"/>
    <x v="3"/>
  </r>
  <r>
    <n v="1"/>
    <x v="4"/>
    <x v="4"/>
    <x v="4"/>
    <x v="4"/>
  </r>
  <r>
    <n v="1"/>
    <x v="5"/>
    <x v="5"/>
    <x v="5"/>
    <x v="5"/>
  </r>
  <r>
    <n v="1"/>
    <x v="6"/>
    <x v="6"/>
    <x v="6"/>
    <x v="6"/>
  </r>
  <r>
    <n v="1"/>
    <x v="7"/>
    <x v="7"/>
    <x v="5"/>
    <x v="7"/>
  </r>
  <r>
    <n v="1"/>
    <x v="8"/>
    <x v="8"/>
    <x v="7"/>
    <x v="8"/>
  </r>
  <r>
    <n v="1"/>
    <x v="9"/>
    <x v="9"/>
    <x v="8"/>
    <x v="9"/>
  </r>
  <r>
    <n v="2"/>
    <x v="0"/>
    <x v="0"/>
    <x v="9"/>
    <x v="10"/>
  </r>
  <r>
    <n v="2"/>
    <x v="1"/>
    <x v="1"/>
    <x v="10"/>
    <x v="11"/>
  </r>
  <r>
    <n v="2"/>
    <x v="2"/>
    <x v="2"/>
    <x v="11"/>
    <x v="12"/>
  </r>
  <r>
    <n v="2"/>
    <x v="3"/>
    <x v="3"/>
    <x v="12"/>
    <x v="13"/>
  </r>
  <r>
    <n v="2"/>
    <x v="4"/>
    <x v="4"/>
    <x v="13"/>
    <x v="14"/>
  </r>
  <r>
    <n v="2"/>
    <x v="5"/>
    <x v="5"/>
    <x v="12"/>
    <x v="15"/>
  </r>
  <r>
    <n v="2"/>
    <x v="6"/>
    <x v="6"/>
    <x v="14"/>
    <x v="16"/>
  </r>
  <r>
    <n v="2"/>
    <x v="7"/>
    <x v="7"/>
    <x v="15"/>
    <x v="17"/>
  </r>
  <r>
    <n v="2"/>
    <x v="8"/>
    <x v="8"/>
    <x v="16"/>
    <x v="18"/>
  </r>
  <r>
    <n v="2"/>
    <x v="9"/>
    <x v="9"/>
    <x v="17"/>
    <x v="19"/>
  </r>
  <r>
    <n v="3"/>
    <x v="0"/>
    <x v="0"/>
    <x v="18"/>
    <x v="20"/>
  </r>
  <r>
    <n v="3"/>
    <x v="1"/>
    <x v="1"/>
    <x v="19"/>
    <x v="21"/>
  </r>
  <r>
    <n v="3"/>
    <x v="2"/>
    <x v="2"/>
    <x v="20"/>
    <x v="22"/>
  </r>
  <r>
    <n v="3"/>
    <x v="3"/>
    <x v="3"/>
    <x v="21"/>
    <x v="23"/>
  </r>
  <r>
    <n v="3"/>
    <x v="4"/>
    <x v="4"/>
    <x v="22"/>
    <x v="24"/>
  </r>
  <r>
    <n v="3"/>
    <x v="5"/>
    <x v="5"/>
    <x v="23"/>
    <x v="25"/>
  </r>
  <r>
    <n v="3"/>
    <x v="6"/>
    <x v="6"/>
    <x v="8"/>
    <x v="26"/>
  </r>
  <r>
    <n v="3"/>
    <x v="7"/>
    <x v="7"/>
    <x v="10"/>
    <x v="27"/>
  </r>
  <r>
    <n v="3"/>
    <x v="8"/>
    <x v="8"/>
    <x v="7"/>
    <x v="28"/>
  </r>
  <r>
    <n v="3"/>
    <x v="9"/>
    <x v="9"/>
    <x v="17"/>
    <x v="29"/>
  </r>
  <r>
    <n v="4"/>
    <x v="0"/>
    <x v="0"/>
    <x v="24"/>
    <x v="30"/>
  </r>
  <r>
    <n v="4"/>
    <x v="1"/>
    <x v="1"/>
    <x v="25"/>
    <x v="31"/>
  </r>
  <r>
    <n v="4"/>
    <x v="2"/>
    <x v="2"/>
    <x v="26"/>
    <x v="32"/>
  </r>
  <r>
    <n v="4"/>
    <x v="3"/>
    <x v="3"/>
    <x v="27"/>
    <x v="33"/>
  </r>
  <r>
    <n v="4"/>
    <x v="4"/>
    <x v="4"/>
    <x v="28"/>
    <x v="34"/>
  </r>
  <r>
    <n v="4"/>
    <x v="5"/>
    <x v="5"/>
    <x v="29"/>
    <x v="35"/>
  </r>
  <r>
    <n v="4"/>
    <x v="6"/>
    <x v="6"/>
    <x v="30"/>
    <x v="36"/>
  </r>
  <r>
    <n v="4"/>
    <x v="7"/>
    <x v="7"/>
    <x v="31"/>
    <x v="37"/>
  </r>
  <r>
    <n v="4"/>
    <x v="8"/>
    <x v="8"/>
    <x v="32"/>
    <x v="38"/>
  </r>
  <r>
    <n v="4"/>
    <x v="9"/>
    <x v="9"/>
    <x v="33"/>
    <x v="39"/>
  </r>
  <r>
    <n v="5"/>
    <x v="0"/>
    <x v="0"/>
    <x v="34"/>
    <x v="40"/>
  </r>
  <r>
    <n v="5"/>
    <x v="1"/>
    <x v="1"/>
    <x v="35"/>
    <x v="41"/>
  </r>
  <r>
    <n v="5"/>
    <x v="2"/>
    <x v="2"/>
    <x v="36"/>
    <x v="42"/>
  </r>
  <r>
    <n v="5"/>
    <x v="3"/>
    <x v="3"/>
    <x v="37"/>
    <x v="43"/>
  </r>
  <r>
    <n v="5"/>
    <x v="4"/>
    <x v="4"/>
    <x v="38"/>
    <x v="44"/>
  </r>
  <r>
    <n v="5"/>
    <x v="5"/>
    <x v="5"/>
    <x v="39"/>
    <x v="45"/>
  </r>
  <r>
    <n v="5"/>
    <x v="6"/>
    <x v="6"/>
    <x v="40"/>
    <x v="46"/>
  </r>
  <r>
    <n v="5"/>
    <x v="7"/>
    <x v="7"/>
    <x v="41"/>
    <x v="47"/>
  </r>
  <r>
    <n v="5"/>
    <x v="8"/>
    <x v="8"/>
    <x v="42"/>
    <x v="48"/>
  </r>
  <r>
    <n v="5"/>
    <x v="9"/>
    <x v="9"/>
    <x v="31"/>
    <x v="49"/>
  </r>
  <r>
    <n v="6"/>
    <x v="0"/>
    <x v="0"/>
    <x v="43"/>
    <x v="50"/>
  </r>
  <r>
    <n v="6"/>
    <x v="1"/>
    <x v="1"/>
    <x v="30"/>
    <x v="51"/>
  </r>
  <r>
    <n v="6"/>
    <x v="2"/>
    <x v="2"/>
    <x v="44"/>
    <x v="52"/>
  </r>
  <r>
    <n v="6"/>
    <x v="3"/>
    <x v="3"/>
    <x v="45"/>
    <x v="53"/>
  </r>
  <r>
    <n v="6"/>
    <x v="4"/>
    <x v="4"/>
    <x v="46"/>
    <x v="54"/>
  </r>
  <r>
    <n v="6"/>
    <x v="5"/>
    <x v="5"/>
    <x v="47"/>
    <x v="55"/>
  </r>
  <r>
    <n v="6"/>
    <x v="6"/>
    <x v="6"/>
    <x v="6"/>
    <x v="56"/>
  </r>
  <r>
    <n v="6"/>
    <x v="7"/>
    <x v="7"/>
    <x v="29"/>
    <x v="57"/>
  </r>
  <r>
    <n v="6"/>
    <x v="8"/>
    <x v="8"/>
    <x v="48"/>
    <x v="58"/>
  </r>
  <r>
    <n v="6"/>
    <x v="9"/>
    <x v="9"/>
    <x v="17"/>
    <x v="59"/>
  </r>
  <r>
    <n v="7"/>
    <x v="0"/>
    <x v="0"/>
    <x v="49"/>
    <x v="60"/>
  </r>
  <r>
    <n v="7"/>
    <x v="1"/>
    <x v="1"/>
    <x v="50"/>
    <x v="61"/>
  </r>
  <r>
    <n v="7"/>
    <x v="2"/>
    <x v="2"/>
    <x v="51"/>
    <x v="62"/>
  </r>
  <r>
    <n v="7"/>
    <x v="3"/>
    <x v="3"/>
    <x v="37"/>
    <x v="63"/>
  </r>
  <r>
    <n v="7"/>
    <x v="4"/>
    <x v="4"/>
    <x v="52"/>
    <x v="64"/>
  </r>
  <r>
    <n v="7"/>
    <x v="5"/>
    <x v="5"/>
    <x v="53"/>
    <x v="65"/>
  </r>
  <r>
    <n v="7"/>
    <x v="6"/>
    <x v="6"/>
    <x v="54"/>
    <x v="66"/>
  </r>
  <r>
    <n v="7"/>
    <x v="7"/>
    <x v="7"/>
    <x v="25"/>
    <x v="67"/>
  </r>
  <r>
    <n v="7"/>
    <x v="8"/>
    <x v="8"/>
    <x v="55"/>
    <x v="68"/>
  </r>
  <r>
    <n v="7"/>
    <x v="9"/>
    <x v="9"/>
    <x v="3"/>
    <x v="69"/>
  </r>
  <r>
    <n v="8"/>
    <x v="0"/>
    <x v="0"/>
    <x v="56"/>
    <x v="70"/>
  </r>
  <r>
    <n v="8"/>
    <x v="1"/>
    <x v="1"/>
    <x v="57"/>
    <x v="71"/>
  </r>
  <r>
    <n v="8"/>
    <x v="2"/>
    <x v="2"/>
    <x v="58"/>
    <x v="72"/>
  </r>
  <r>
    <n v="8"/>
    <x v="3"/>
    <x v="3"/>
    <x v="33"/>
    <x v="73"/>
  </r>
  <r>
    <n v="8"/>
    <x v="4"/>
    <x v="4"/>
    <x v="59"/>
    <x v="74"/>
  </r>
  <r>
    <n v="8"/>
    <x v="5"/>
    <x v="5"/>
    <x v="33"/>
    <x v="75"/>
  </r>
  <r>
    <n v="8"/>
    <x v="6"/>
    <x v="6"/>
    <x v="60"/>
    <x v="76"/>
  </r>
  <r>
    <n v="8"/>
    <x v="7"/>
    <x v="7"/>
    <x v="61"/>
    <x v="77"/>
  </r>
  <r>
    <n v="8"/>
    <x v="8"/>
    <x v="8"/>
    <x v="23"/>
    <x v="78"/>
  </r>
  <r>
    <n v="8"/>
    <x v="9"/>
    <x v="9"/>
    <x v="62"/>
    <x v="79"/>
  </r>
  <r>
    <n v="9"/>
    <x v="0"/>
    <x v="0"/>
    <x v="63"/>
    <x v="80"/>
  </r>
  <r>
    <n v="9"/>
    <x v="1"/>
    <x v="1"/>
    <x v="53"/>
    <x v="81"/>
  </r>
  <r>
    <n v="9"/>
    <x v="2"/>
    <x v="2"/>
    <x v="64"/>
    <x v="82"/>
  </r>
  <r>
    <n v="9"/>
    <x v="3"/>
    <x v="3"/>
    <x v="65"/>
    <x v="83"/>
  </r>
  <r>
    <n v="9"/>
    <x v="4"/>
    <x v="4"/>
    <x v="66"/>
    <x v="84"/>
  </r>
  <r>
    <n v="9"/>
    <x v="5"/>
    <x v="5"/>
    <x v="48"/>
    <x v="85"/>
  </r>
  <r>
    <n v="9"/>
    <x v="6"/>
    <x v="6"/>
    <x v="67"/>
    <x v="86"/>
  </r>
  <r>
    <n v="9"/>
    <x v="7"/>
    <x v="7"/>
    <x v="35"/>
    <x v="87"/>
  </r>
  <r>
    <n v="9"/>
    <x v="8"/>
    <x v="8"/>
    <x v="68"/>
    <x v="88"/>
  </r>
  <r>
    <n v="9"/>
    <x v="9"/>
    <x v="9"/>
    <x v="69"/>
    <x v="89"/>
  </r>
  <r>
    <n v="10"/>
    <x v="0"/>
    <x v="0"/>
    <x v="70"/>
    <x v="90"/>
  </r>
  <r>
    <n v="10"/>
    <x v="1"/>
    <x v="1"/>
    <x v="5"/>
    <x v="91"/>
  </r>
  <r>
    <n v="10"/>
    <x v="2"/>
    <x v="2"/>
    <x v="71"/>
    <x v="92"/>
  </r>
  <r>
    <n v="10"/>
    <x v="3"/>
    <x v="3"/>
    <x v="72"/>
    <x v="93"/>
  </r>
  <r>
    <n v="10"/>
    <x v="4"/>
    <x v="4"/>
    <x v="73"/>
    <x v="94"/>
  </r>
  <r>
    <n v="10"/>
    <x v="5"/>
    <x v="5"/>
    <x v="45"/>
    <x v="95"/>
  </r>
  <r>
    <n v="10"/>
    <x v="6"/>
    <x v="6"/>
    <x v="74"/>
    <x v="96"/>
  </r>
  <r>
    <n v="10"/>
    <x v="7"/>
    <x v="7"/>
    <x v="21"/>
    <x v="97"/>
  </r>
  <r>
    <n v="10"/>
    <x v="8"/>
    <x v="8"/>
    <x v="55"/>
    <x v="98"/>
  </r>
  <r>
    <n v="10"/>
    <x v="9"/>
    <x v="9"/>
    <x v="75"/>
    <x v="99"/>
  </r>
  <r>
    <n v="11"/>
    <x v="0"/>
    <x v="0"/>
    <x v="76"/>
    <x v="100"/>
  </r>
  <r>
    <n v="11"/>
    <x v="1"/>
    <x v="1"/>
    <x v="61"/>
    <x v="101"/>
  </r>
  <r>
    <n v="11"/>
    <x v="2"/>
    <x v="2"/>
    <x v="64"/>
    <x v="102"/>
  </r>
  <r>
    <n v="11"/>
    <x v="3"/>
    <x v="3"/>
    <x v="29"/>
    <x v="103"/>
  </r>
  <r>
    <n v="11"/>
    <x v="4"/>
    <x v="4"/>
    <x v="77"/>
    <x v="104"/>
  </r>
  <r>
    <n v="11"/>
    <x v="5"/>
    <x v="5"/>
    <x v="31"/>
    <x v="105"/>
  </r>
  <r>
    <n v="11"/>
    <x v="6"/>
    <x v="6"/>
    <x v="78"/>
    <x v="106"/>
  </r>
  <r>
    <n v="11"/>
    <x v="7"/>
    <x v="7"/>
    <x v="79"/>
    <x v="107"/>
  </r>
  <r>
    <n v="11"/>
    <x v="8"/>
    <x v="8"/>
    <x v="80"/>
    <x v="108"/>
  </r>
  <r>
    <n v="11"/>
    <x v="9"/>
    <x v="9"/>
    <x v="81"/>
    <x v="109"/>
  </r>
  <r>
    <n v="12"/>
    <x v="0"/>
    <x v="0"/>
    <x v="82"/>
    <x v="110"/>
  </r>
  <r>
    <n v="12"/>
    <x v="1"/>
    <x v="1"/>
    <x v="83"/>
    <x v="111"/>
  </r>
  <r>
    <n v="12"/>
    <x v="2"/>
    <x v="2"/>
    <x v="84"/>
    <x v="112"/>
  </r>
  <r>
    <n v="12"/>
    <x v="3"/>
    <x v="3"/>
    <x v="85"/>
    <x v="113"/>
  </r>
  <r>
    <n v="12"/>
    <x v="4"/>
    <x v="4"/>
    <x v="86"/>
    <x v="114"/>
  </r>
  <r>
    <n v="12"/>
    <x v="5"/>
    <x v="5"/>
    <x v="17"/>
    <x v="115"/>
  </r>
  <r>
    <n v="12"/>
    <x v="6"/>
    <x v="6"/>
    <x v="87"/>
    <x v="116"/>
  </r>
  <r>
    <n v="12"/>
    <x v="7"/>
    <x v="7"/>
    <x v="37"/>
    <x v="117"/>
  </r>
  <r>
    <n v="12"/>
    <x v="8"/>
    <x v="8"/>
    <x v="47"/>
    <x v="118"/>
  </r>
  <r>
    <n v="12"/>
    <x v="9"/>
    <x v="9"/>
    <x v="88"/>
    <x v="11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">
  <r>
    <n v="3401"/>
    <s v="27.01.2020"/>
    <n v="2020"/>
    <d v="2020-01-01T00:00:00"/>
    <n v="1"/>
    <n v="100026729"/>
    <s v="WE"/>
    <n v="81"/>
    <x v="0"/>
    <x v="0"/>
    <x v="0"/>
    <n v="49308.02"/>
    <s v="MXN"/>
    <n v="49308.02"/>
    <x v="0"/>
    <x v="0"/>
    <m/>
    <s v="27DFA65C-1D63-41B7-9350-ADC68088A10C"/>
    <s v="CSS160330CP7"/>
    <n v="107211"/>
    <s v="CFE SUMINISTRADOR DE SERVICIOS"/>
    <m/>
    <m/>
    <s v="27.01.2020"/>
    <n v="4501216248"/>
    <s v="WH000533227437"/>
    <n v="49308.02"/>
    <n v="368995.17"/>
    <n v="2790526"/>
    <n v="100036889"/>
    <s v="CONSUMO ENERGIA ENERO 2020"/>
    <n v="2790526"/>
    <s v="06.02.2020"/>
    <s v="TRANSFERENCIA"/>
    <n v="100036917"/>
    <s v="HSBC"/>
    <s v="HSBC 004053489092 TP"/>
    <n v="340118590"/>
    <s v="MANTTO_MEX"/>
  </r>
  <r>
    <n v="3401"/>
    <s v="27.01.2020"/>
    <n v="2020"/>
    <d v="2020-01-01T00:00:00"/>
    <n v="1"/>
    <n v="100026958"/>
    <s v="WE"/>
    <n v="81"/>
    <x v="1"/>
    <x v="0"/>
    <x v="1"/>
    <n v="10377.35"/>
    <s v="USD"/>
    <n v="195112.86"/>
    <x v="0"/>
    <x v="0"/>
    <m/>
    <s v="N/A Registro proveedor extranjero"/>
    <n v="593383972"/>
    <n v="600226"/>
    <s v="HARD ROCK CAFE INTERNATIONAL INC."/>
    <m/>
    <m/>
    <s v="27.01.2020"/>
    <s v="4161219CRS"/>
    <n v="20200127"/>
    <n v="10377.35"/>
    <n v="0"/>
    <n v="10377.35"/>
    <n v="100030322"/>
    <s v="Comisión por reservas de DIC 2019 HRI"/>
    <n v="9433.9545454545441"/>
    <s v="05.02.2020"/>
    <s v="TRANSFERENCIA"/>
    <n v="100036041"/>
    <s v="BOFA"/>
    <s v="BofA RCD 89805242886"/>
    <n v="340121790"/>
    <s v="SOLI1101"/>
  </r>
  <r>
    <n v="3401"/>
    <s v="27.01.2020"/>
    <n v="2020"/>
    <d v="2020-01-01T00:00:00"/>
    <n v="1"/>
    <n v="100026728"/>
    <s v="WE"/>
    <n v="81"/>
    <x v="0"/>
    <x v="0"/>
    <x v="0"/>
    <n v="39676"/>
    <s v="MXN"/>
    <n v="39676"/>
    <x v="0"/>
    <x v="0"/>
    <m/>
    <s v="27DFA65C-1D63-41B7-9350-ADC68088A10C"/>
    <s v="CSS160330CP7"/>
    <n v="107211"/>
    <s v="CFE SUMINISTRADOR DE SERVICIOS"/>
    <m/>
    <m/>
    <s v="27.01.2020"/>
    <n v="4501216248"/>
    <s v="WH000533227437"/>
    <n v="39676"/>
    <m/>
    <m/>
    <n v="100036889"/>
    <s v="CONSUMO ENERGIA ENERO 2020"/>
    <n v="3245.7840000000001"/>
    <s v="06.02.2020"/>
    <s v="TRANSFERENCIA"/>
    <n v="100036917"/>
    <s v="HSBC"/>
    <s v="HSBC 004053489092 TP"/>
    <n v="340118590"/>
    <s v="MANTTO_MEX"/>
  </r>
  <r>
    <n v="3406"/>
    <s v="27.01.2020"/>
    <n v="2020"/>
    <d v="2020-01-01T00:00:00"/>
    <n v="1"/>
    <n v="600025749"/>
    <s v="WE"/>
    <n v="81"/>
    <x v="1"/>
    <x v="0"/>
    <x v="1"/>
    <n v="284.54000000000002"/>
    <s v="USD"/>
    <n v="5349.86"/>
    <x v="0"/>
    <x v="0"/>
    <m/>
    <s v="N/A Registro proveedor extranjero"/>
    <n v="752738581"/>
    <n v="602358"/>
    <s v="PEGASUS BUSINESS INTELLIGENCE"/>
    <m/>
    <m/>
    <s v="27.01.2020"/>
    <n v="2292347"/>
    <n v="20200127"/>
    <n v="284.54000000000002"/>
    <n v="0"/>
    <n v="284.54000000000002"/>
    <n v="600027034"/>
    <s v="COMISIONES ONIX CYCLE 02.01.20"/>
    <n v="284.54000000000002"/>
    <s v="10.02.2020"/>
    <s v="TRANSFERENCIA"/>
    <n v="600039069"/>
    <s v="BOFA"/>
    <s v="BofA RCD 89805242886"/>
    <n v="340621790"/>
    <s v="MFRUCTUOSO"/>
  </r>
  <r>
    <n v="3402"/>
    <s v="27.01.2020"/>
    <n v="2020"/>
    <d v="2020-01-01T00:00:00"/>
    <n v="1"/>
    <n v="200086370"/>
    <s v="WE"/>
    <n v="81"/>
    <x v="0"/>
    <x v="0"/>
    <x v="0"/>
    <n v="175.05"/>
    <s v="MXN"/>
    <n v="175.05"/>
    <x v="0"/>
    <x v="0"/>
    <m/>
    <s v="3BC7123B-A28D-4298-B452-687E6C8B15BB"/>
    <s v="CSS160330CP7"/>
    <n v="107211"/>
    <s v="CFE SUMINISTRADOR DE SERVICIOS"/>
    <m/>
    <m/>
    <s v="27.01.2020"/>
    <n v="4501226797"/>
    <n v="20200127"/>
    <n v="175.05"/>
    <n v="28.008000000000003"/>
    <n v="203.05800000000002"/>
    <n v="200127172"/>
    <s v="Consumo CFE Casa Club 26.01.2020"/>
    <n v="203.05800000000002"/>
    <s v="10.02.2020"/>
    <s v="TRANSFERENCIA"/>
    <n v="200130320"/>
    <s v="HSBC "/>
    <s v="HSBC 004053489092 TP"/>
    <n v="340255290"/>
    <s v="SOLI1102"/>
  </r>
  <r>
    <n v="3402"/>
    <s v="27.01.2020"/>
    <n v="2020"/>
    <d v="2020-01-01T00:00:00"/>
    <n v="3"/>
    <n v="200086370"/>
    <s v="WE"/>
    <n v="81"/>
    <x v="0"/>
    <x v="0"/>
    <x v="0"/>
    <n v="2730.06"/>
    <s v="MXN"/>
    <n v="2730.06"/>
    <x v="0"/>
    <x v="0"/>
    <m/>
    <s v="3BC7123B-A28D-4298-B452-687E6C8B15BB"/>
    <s v="CSS160330CP7"/>
    <n v="107211"/>
    <s v="CFE SUMINISTRADOR DE SERVICIOS"/>
    <m/>
    <m/>
    <s v="27.01.2020"/>
    <n v="4501226797"/>
    <n v="20200127"/>
    <n v="2730.06"/>
    <n v="436.80959999999999"/>
    <n v="3166.8696"/>
    <n v="200127172"/>
    <s v="Consumo CFE Casa Club 27.01.2020"/>
    <n v="3166.8696"/>
    <s v="10.02.2020"/>
    <s v="TRANSFERENCIA"/>
    <n v="200130320"/>
    <s v="HSBC "/>
    <s v="HSBC 004053489092 TP"/>
    <n v="340255290"/>
    <s v="SOLI1102"/>
  </r>
  <r>
    <n v="3402"/>
    <s v="27.01.2020"/>
    <n v="2020"/>
    <d v="2020-01-01T00:00:00"/>
    <n v="1"/>
    <n v="200086373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7.01.2020"/>
    <n v="4501226813"/>
    <n v="20200127"/>
    <n v="0.05"/>
    <n v="8.0000000000000002E-3"/>
    <n v="5.8000000000000003E-2"/>
    <n v="200211626"/>
    <s v="Consumo CFE Hoyo 5  26.01.2020"/>
    <n v="5.8000000000000003E-2"/>
    <s v="10.03.2020"/>
    <s v="TRANSFERENCIA"/>
    <n v="200225788"/>
    <s v="HSBC"/>
    <s v="HSBC 004053489092 TP"/>
    <n v="340255290"/>
    <s v="SOLI1102"/>
  </r>
  <r>
    <n v="3402"/>
    <s v="27.01.2020"/>
    <n v="2020"/>
    <d v="2020-01-01T00:00:00"/>
    <n v="3"/>
    <n v="200086373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7.01.2020"/>
    <n v="4501226813"/>
    <n v="20200127"/>
    <n v="0.05"/>
    <n v="8.0000000000000002E-3"/>
    <n v="5.8000000000000003E-2"/>
    <n v="200211626"/>
    <s v="Consumo CFE Hoyo 5  27.01.2020"/>
    <n v="5.8000000000000003E-2"/>
    <s v="10.03.2020"/>
    <s v="TRANSFERENCIA"/>
    <n v="200225788"/>
    <s v="HSBC"/>
    <s v="HSBC 004053489092 TP"/>
    <n v="340255290"/>
    <s v="SOLI1102"/>
  </r>
  <r>
    <n v="3402"/>
    <s v="27.01.2020"/>
    <n v="2020"/>
    <d v="2020-01-01T00:00:00"/>
    <n v="1"/>
    <n v="200086374"/>
    <s v="WE"/>
    <n v="81"/>
    <x v="0"/>
    <x v="0"/>
    <x v="0"/>
    <n v="114"/>
    <s v="MXN"/>
    <n v="114"/>
    <x v="0"/>
    <x v="0"/>
    <m/>
    <s v="9020593F-B07D-45F6-B3AA-D39CF7A80117"/>
    <s v="CSS160330CP7"/>
    <n v="107211"/>
    <s v="CFE SUMINISTRADOR DE SERVICIOS"/>
    <m/>
    <m/>
    <s v="27.01.2020"/>
    <n v="4501226813"/>
    <n v="20200127"/>
    <n v="114"/>
    <n v="18.240000000000002"/>
    <n v="132.24"/>
    <n v="200211626"/>
    <s v="Consumo CFE Hoyo 2  26.01.2020"/>
    <n v="132.24"/>
    <s v="10.03.2020"/>
    <s v="TRANSFERENCIA"/>
    <n v="200225788"/>
    <s v="HSBC"/>
    <s v="HSBC 004053489092 TP"/>
    <n v="340255290"/>
    <s v="SOLI1102"/>
  </r>
  <r>
    <n v="3402"/>
    <s v="27.01.2020"/>
    <n v="2020"/>
    <d v="2020-01-01T00:00:00"/>
    <n v="3"/>
    <n v="200086374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7.01.2020"/>
    <n v="4501226813"/>
    <n v="20200127"/>
    <n v="117.8"/>
    <n v="18.847999999999999"/>
    <n v="136.648"/>
    <n v="200211626"/>
    <s v="Consumo CFE Hoyo 2  27.01.2020"/>
    <n v="136.648"/>
    <s v="10.03.2020"/>
    <s v="TRANSFERENCIA"/>
    <n v="200225788"/>
    <s v="HSBC"/>
    <s v="HSBC 004053489092 TP"/>
    <n v="340255290"/>
    <s v="SOLI1102"/>
  </r>
  <r>
    <n v="3402"/>
    <s v="27.01.2020"/>
    <n v="2020"/>
    <d v="2020-01-01T00:00:00"/>
    <n v="1"/>
    <n v="200086379"/>
    <s v="WE"/>
    <n v="81"/>
    <x v="0"/>
    <x v="0"/>
    <x v="0"/>
    <n v="1112.03"/>
    <s v="MXN"/>
    <n v="1112.03"/>
    <x v="0"/>
    <x v="0"/>
    <m/>
    <s v="3BC7123B-A28D-4298-B452-687E6C8B15BB"/>
    <s v="CSS160330CP7"/>
    <n v="107211"/>
    <s v="CFE SUMINISTRADOR DE SERVICIOS"/>
    <m/>
    <m/>
    <s v="27.01.2020"/>
    <n v="4501226797"/>
    <n v="20200127"/>
    <n v="1112.03"/>
    <n v="177.9248"/>
    <n v="1289.9548"/>
    <n v="200127172"/>
    <s v="Consumo CFE Lago Riego 26.01.2020"/>
    <n v="1289.9548"/>
    <s v="10.02.2020"/>
    <s v="TRANSFERENCIA"/>
    <n v="200130320"/>
    <s v="HSBC "/>
    <s v="HSBC 004053489092 TP"/>
    <n v="340255290"/>
    <s v="SOLI1102"/>
  </r>
  <r>
    <n v="3402"/>
    <s v="27.01.2020"/>
    <n v="2020"/>
    <d v="2020-01-01T00:00:00"/>
    <n v="1"/>
    <n v="200086381"/>
    <s v="WE"/>
    <n v="81"/>
    <x v="0"/>
    <x v="0"/>
    <x v="0"/>
    <n v="624.05999999999995"/>
    <s v="MXN"/>
    <n v="624.05999999999995"/>
    <x v="0"/>
    <x v="0"/>
    <m/>
    <s v="3BC7123B-A28D-4298-B452-687E6C8B15BB"/>
    <s v="CSS160330CP7"/>
    <n v="107211"/>
    <s v="CFE SUMINISTRADOR DE SERVICIOS"/>
    <m/>
    <m/>
    <s v="27.01.2020"/>
    <n v="4501226797"/>
    <n v="20200127"/>
    <n v="624.05999999999995"/>
    <n v="99.849599999999995"/>
    <n v="723.90959999999995"/>
    <n v="200127172"/>
    <s v="Consumo CFE Lago Riego 27.01.2020"/>
    <n v="723.90959999999995"/>
    <s v="10.02.2020"/>
    <s v="TRANSFERENCIA"/>
    <n v="200130320"/>
    <s v="HSBC "/>
    <s v="HSBC 004053489092 TP"/>
    <n v="340255290"/>
    <s v="SOLI1102"/>
  </r>
  <r>
    <n v="3402"/>
    <s v="27.01.2020"/>
    <n v="2020"/>
    <d v="2020-01-01T00:00:00"/>
    <n v="1"/>
    <n v="200086384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7.01.2020"/>
    <n v="4501226797"/>
    <n v="20200127"/>
    <n v="0.04"/>
    <n v="6.4000000000000003E-3"/>
    <n v="4.6400000000000004E-2"/>
    <n v="200127172"/>
    <s v="Consumo CFE Taller Mantto 26.01.2020"/>
    <n v="4.6400000000000004E-2"/>
    <s v="10.02.2020"/>
    <s v="TRANSFERENCIA"/>
    <n v="200130320"/>
    <s v="HSBC "/>
    <s v="HSBC 004053489092 TP"/>
    <n v="340255290"/>
    <s v="SOLI1102"/>
  </r>
  <r>
    <n v="3402"/>
    <s v="27.01.2020"/>
    <n v="2020"/>
    <d v="2020-01-01T00:00:00"/>
    <n v="3"/>
    <n v="200086384"/>
    <s v="WE"/>
    <n v="81"/>
    <x v="0"/>
    <x v="0"/>
    <x v="0"/>
    <n v="304"/>
    <s v="MXN"/>
    <n v="304"/>
    <x v="0"/>
    <x v="0"/>
    <m/>
    <s v="3BC7123B-A28D-4298-B452-687E6C8B15BB"/>
    <s v="CSS160330CP7"/>
    <n v="107211"/>
    <s v="CFE SUMINISTRADOR DE SERVICIOS"/>
    <m/>
    <m/>
    <s v="27.01.2020"/>
    <n v="4501226797"/>
    <n v="20200127"/>
    <n v="304"/>
    <n v="48.64"/>
    <n v="352.64"/>
    <n v="200127172"/>
    <s v="Consumo CFE Taller Mantto 27.01.2020"/>
    <n v="352.64"/>
    <s v="10.02.2020"/>
    <s v="TRANSFERENCIA"/>
    <n v="200130320"/>
    <s v="HSBC "/>
    <s v="HSBC 004053489092 TP"/>
    <n v="340255290"/>
    <s v="SOLI1102"/>
  </r>
  <r>
    <n v="3401"/>
    <s v="27.01.2020"/>
    <n v="2020"/>
    <d v="2020-01-01T00:00:00"/>
    <n v="1"/>
    <n v="100026935"/>
    <s v="WE"/>
    <n v="81"/>
    <x v="1"/>
    <x v="0"/>
    <x v="1"/>
    <n v="5730.55"/>
    <s v="USD"/>
    <n v="107744.65"/>
    <x v="0"/>
    <x v="0"/>
    <m/>
    <s v="N/A Registro proveedor extranjero"/>
    <n v="752738581"/>
    <n v="602358"/>
    <s v="PEGASUS BUSINESS INTELLIGENCE"/>
    <m/>
    <m/>
    <s v="27.01.2020"/>
    <n v="2273653"/>
    <n v="20200127"/>
    <n v="5730.55"/>
    <n v="0"/>
    <n v="5730.55"/>
    <n v="100027985"/>
    <s v="COMISIONES RESERVAS 2273653"/>
    <n v="5730.55"/>
    <s v="10.02.2020"/>
    <s v="TRANSFERENCIA"/>
    <n v="100040908"/>
    <s v="BOFA"/>
    <s v="BofA RCD 89805242886"/>
    <n v="340121790"/>
    <s v="SOLI1101"/>
  </r>
  <r>
    <n v="3406"/>
    <s v="27.01.2020"/>
    <n v="2020"/>
    <d v="2020-01-01T00:00:00"/>
    <n v="1"/>
    <n v="600025898"/>
    <s v="WE"/>
    <n v="81"/>
    <x v="0"/>
    <x v="0"/>
    <x v="0"/>
    <n v="94815"/>
    <s v="MXN"/>
    <n v="9481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4815"/>
    <n v="94815"/>
    <n v="189630"/>
    <n v="600035567"/>
    <s v="1 DE ENERO"/>
    <n v="189630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899"/>
    <s v="WE"/>
    <n v="81"/>
    <x v="0"/>
    <x v="0"/>
    <x v="0"/>
    <n v="97975.5"/>
    <s v="MXN"/>
    <n v="97975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7975.5"/>
    <n v="97975.5"/>
    <n v="195951"/>
    <n v="600035567"/>
    <s v="2 DE ENERO"/>
    <n v="195951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1"/>
    <s v="WE"/>
    <n v="81"/>
    <x v="0"/>
    <x v="0"/>
    <x v="0"/>
    <n v="101587.5"/>
    <s v="MXN"/>
    <n v="101587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101587.5"/>
    <n v="101587.5"/>
    <n v="203175"/>
    <n v="600035567"/>
    <s v="3 DE ENERO"/>
    <n v="203175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2"/>
    <s v="WE"/>
    <n v="81"/>
    <x v="0"/>
    <x v="0"/>
    <x v="0"/>
    <n v="96169.5"/>
    <s v="MXN"/>
    <n v="96169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6169.5"/>
    <n v="96169.5"/>
    <n v="192339"/>
    <n v="600035567"/>
    <s v="4 DE ENERO"/>
    <n v="192339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3"/>
    <s v="WE"/>
    <n v="81"/>
    <x v="0"/>
    <x v="0"/>
    <x v="0"/>
    <n v="86688"/>
    <s v="MXN"/>
    <n v="86688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86688"/>
    <n v="86688"/>
    <n v="173376"/>
    <n v="600035567"/>
    <s v="5 DE ENERO"/>
    <n v="173376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4"/>
    <s v="WE"/>
    <n v="81"/>
    <x v="0"/>
    <x v="0"/>
    <x v="0"/>
    <n v="81270"/>
    <s v="MXN"/>
    <n v="81270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81270"/>
    <n v="81270"/>
    <n v="162540"/>
    <n v="600035567"/>
    <s v="6 DE ENERO"/>
    <n v="162540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5"/>
    <s v="WE"/>
    <n v="81"/>
    <x v="0"/>
    <x v="0"/>
    <x v="0"/>
    <n v="80367"/>
    <s v="MXN"/>
    <n v="80367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80367"/>
    <n v="80367"/>
    <n v="160734"/>
    <n v="600035567"/>
    <s v="7 DE ENERO"/>
    <n v="160734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6"/>
    <s v="WE"/>
    <n v="81"/>
    <x v="0"/>
    <x v="0"/>
    <x v="0"/>
    <n v="80818.5"/>
    <s v="MXN"/>
    <n v="80818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80818.5"/>
    <n v="80818.5"/>
    <n v="161637"/>
    <n v="600035567"/>
    <s v="8 DE ENERO"/>
    <n v="161637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7"/>
    <s v="WE"/>
    <n v="81"/>
    <x v="0"/>
    <x v="0"/>
    <x v="0"/>
    <n v="86688"/>
    <s v="MXN"/>
    <n v="86688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86688"/>
    <n v="86688"/>
    <n v="173376"/>
    <n v="600035567"/>
    <s v="9 DE ENERO"/>
    <n v="173376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8"/>
    <s v="WE"/>
    <n v="81"/>
    <x v="0"/>
    <x v="0"/>
    <x v="0"/>
    <n v="97975.5"/>
    <s v="MXN"/>
    <n v="97975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7975.5"/>
    <n v="97975.5"/>
    <n v="195951"/>
    <n v="600035567"/>
    <s v="10 DE ENERO"/>
    <n v="195951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09"/>
    <s v="WE"/>
    <n v="81"/>
    <x v="0"/>
    <x v="0"/>
    <x v="0"/>
    <n v="99781.5"/>
    <s v="MXN"/>
    <n v="99781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9781.5"/>
    <n v="99781.5"/>
    <n v="199563"/>
    <n v="600035567"/>
    <s v="11 DE ENERO"/>
    <n v="199563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0"/>
    <s v="WE"/>
    <n v="81"/>
    <x v="0"/>
    <x v="0"/>
    <x v="0"/>
    <n v="96169.5"/>
    <s v="MXN"/>
    <n v="96169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6169.5"/>
    <n v="96169.5"/>
    <n v="192339"/>
    <n v="600035567"/>
    <s v="12 DE ENERO"/>
    <n v="192339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2"/>
    <s v="WE"/>
    <n v="81"/>
    <x v="0"/>
    <x v="0"/>
    <x v="0"/>
    <n v="93460.5"/>
    <s v="MXN"/>
    <n v="93460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3460.5"/>
    <n v="93460.5"/>
    <n v="186921"/>
    <n v="600035567"/>
    <s v="13 DE ENERO"/>
    <n v="186921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3"/>
    <s v="WE"/>
    <n v="81"/>
    <x v="0"/>
    <x v="0"/>
    <x v="0"/>
    <n v="96169.5"/>
    <s v="MXN"/>
    <n v="96169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6169.5"/>
    <n v="96169.5"/>
    <n v="192339"/>
    <n v="600035567"/>
    <s v="14 DE ENERO"/>
    <n v="192339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4"/>
    <s v="WE"/>
    <n v="81"/>
    <x v="0"/>
    <x v="0"/>
    <x v="0"/>
    <n v="96169.5"/>
    <s v="MXN"/>
    <n v="96169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6169.5"/>
    <n v="96169.5"/>
    <n v="192339"/>
    <n v="600035567"/>
    <s v="15 DE ENERO"/>
    <n v="192339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5"/>
    <s v="WE"/>
    <n v="81"/>
    <x v="0"/>
    <x v="0"/>
    <x v="0"/>
    <n v="92557.5"/>
    <s v="MXN"/>
    <n v="92557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2557.5"/>
    <n v="92557.5"/>
    <n v="185115"/>
    <n v="600035567"/>
    <s v="18 DE ENERO"/>
    <n v="185115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6"/>
    <s v="WE"/>
    <n v="81"/>
    <x v="0"/>
    <x v="0"/>
    <x v="0"/>
    <n v="97975.5"/>
    <s v="MXN"/>
    <n v="97975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7975.5"/>
    <n v="97975.5"/>
    <n v="195951"/>
    <n v="600035567"/>
    <s v="19 DE ENERO"/>
    <n v="195951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7"/>
    <s v="WE"/>
    <n v="81"/>
    <x v="0"/>
    <x v="0"/>
    <x v="0"/>
    <n v="94363.5"/>
    <s v="MXN"/>
    <n v="94363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4363.5"/>
    <n v="94363.5"/>
    <n v="188727"/>
    <n v="600035567"/>
    <s v="20 DE ENERO"/>
    <n v="188727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8"/>
    <s v="WE"/>
    <n v="81"/>
    <x v="0"/>
    <x v="0"/>
    <x v="0"/>
    <n v="94363.5"/>
    <s v="MXN"/>
    <n v="94363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4363.5"/>
    <n v="94363.5"/>
    <n v="188727"/>
    <n v="600035567"/>
    <s v="21 DE ENERO"/>
    <n v="188727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19"/>
    <s v="WE"/>
    <n v="81"/>
    <x v="0"/>
    <x v="0"/>
    <x v="0"/>
    <n v="79012.5"/>
    <s v="MXN"/>
    <n v="79012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79012.5"/>
    <n v="79012.5"/>
    <n v="158025"/>
    <n v="600035567"/>
    <s v="22 DE ENERO"/>
    <n v="158025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0"/>
    <s v="WE"/>
    <n v="81"/>
    <x v="0"/>
    <x v="0"/>
    <x v="0"/>
    <n v="79464"/>
    <s v="MXN"/>
    <n v="79464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79464"/>
    <n v="79464"/>
    <n v="158928"/>
    <n v="600035567"/>
    <s v="23 DE ENERO"/>
    <n v="158928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1"/>
    <s v="WE"/>
    <n v="81"/>
    <x v="0"/>
    <x v="0"/>
    <x v="0"/>
    <n v="79915.5"/>
    <s v="MXN"/>
    <n v="79915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79915.5"/>
    <n v="79915.5"/>
    <n v="159831"/>
    <n v="600035567"/>
    <s v="24 DE ENERO"/>
    <n v="159831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2"/>
    <s v="WE"/>
    <n v="81"/>
    <x v="0"/>
    <x v="0"/>
    <x v="0"/>
    <n v="78561"/>
    <s v="MXN"/>
    <n v="78561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78561"/>
    <n v="78561"/>
    <n v="157122"/>
    <n v="600035567"/>
    <s v="25 DE ENERO"/>
    <n v="157122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3"/>
    <s v="WE"/>
    <n v="81"/>
    <x v="0"/>
    <x v="0"/>
    <x v="0"/>
    <n v="78561"/>
    <s v="MXN"/>
    <n v="78561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78561"/>
    <n v="78561"/>
    <n v="157122"/>
    <n v="600035567"/>
    <s v="26  DE ENERO"/>
    <n v="157122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5"/>
    <s v="WE"/>
    <n v="81"/>
    <x v="0"/>
    <x v="0"/>
    <x v="0"/>
    <n v="92557.5"/>
    <s v="MXN"/>
    <n v="92557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2557.5"/>
    <n v="92557.5"/>
    <n v="185115"/>
    <n v="600035567"/>
    <s v="16 DE ENERO"/>
    <n v="185115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7"/>
    <s v="WE"/>
    <n v="81"/>
    <x v="0"/>
    <x v="0"/>
    <x v="0"/>
    <n v="97975.5"/>
    <s v="MXN"/>
    <n v="97975.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97975.5"/>
    <n v="97975.5"/>
    <n v="195951"/>
    <n v="600035567"/>
    <s v="17 DE ENERO"/>
    <n v="195951"/>
    <s v="06.02.2020"/>
    <s v="TRANSFERENCIA"/>
    <n v="600035588"/>
    <s v="HSBC "/>
    <s v="HSBC 004053489092 TP"/>
    <n v="340618590"/>
    <s v="SOLIUNICO"/>
  </r>
  <r>
    <n v="3406"/>
    <s v="27.01.2020"/>
    <n v="2020"/>
    <d v="2020-01-01T00:00:00"/>
    <n v="1"/>
    <n v="600025928"/>
    <s v="WE"/>
    <n v="81"/>
    <x v="0"/>
    <x v="0"/>
    <x v="0"/>
    <n v="83205"/>
    <s v="MXN"/>
    <n v="83205"/>
    <x v="0"/>
    <x v="0"/>
    <m/>
    <s v="092932E6-8FFC-11EF-A47B-8F40AB67745F"/>
    <s v="CSS160330CP7"/>
    <n v="107211"/>
    <s v="CFE SUMINISTRADOR DE SERVICIOS"/>
    <m/>
    <m/>
    <s v="27.01.2020"/>
    <n v="4501226446"/>
    <n v="20200127"/>
    <n v="83205"/>
    <n v="83205"/>
    <n v="166410"/>
    <n v="600035567"/>
    <s v="27 DE ENERO"/>
    <n v="166410"/>
    <s v="06.02.2020"/>
    <s v="TRANSFERENCIA"/>
    <n v="600035588"/>
    <s v="HSBC "/>
    <s v="HSBC 004053489092 TP"/>
    <n v="340618590"/>
    <s v="SOLIUNICO"/>
  </r>
  <r>
    <n v="3403"/>
    <s v="27.01.2020"/>
    <n v="2020"/>
    <d v="2020-01-01T00:00:00"/>
    <n v="1"/>
    <n v="300015083"/>
    <s v="WE"/>
    <n v="81"/>
    <x v="1"/>
    <x v="0"/>
    <x v="1"/>
    <n v="634.57000000000005"/>
    <s v="USD"/>
    <n v="11931.06"/>
    <x v="0"/>
    <x v="0"/>
    <m/>
    <s v="N/A Registro proveedor extranjero"/>
    <n v="752738581"/>
    <n v="602358"/>
    <s v="PEGASUS BUSINESS INTELLIGENCE"/>
    <m/>
    <m/>
    <s v="27.01.2020"/>
    <n v="2292349"/>
    <n v="20200127"/>
    <n v="634.57000000000005"/>
    <n v="0"/>
    <n v="634.57000000000005"/>
    <n v="300018475"/>
    <s v="Travel Agent Commissions - Pegasus Cycle"/>
    <n v="634.57000000000005"/>
    <s v="10.02.2020"/>
    <s v="TRANSFERENCIA"/>
    <n v="300026024"/>
    <s v="BOFA"/>
    <s v="BofA RCD 89805242886"/>
    <n v="340321990"/>
    <s v="DRUBIO"/>
  </r>
  <r>
    <n v="3402"/>
    <s v="27.01.2020"/>
    <n v="2020"/>
    <d v="2020-01-01T00:00:00"/>
    <n v="1"/>
    <n v="200091597"/>
    <s v="WE"/>
    <n v="81"/>
    <x v="2"/>
    <x v="0"/>
    <x v="2"/>
    <n v="7909.01"/>
    <s v="USD"/>
    <n v="148703.62"/>
    <x v="0"/>
    <x v="0"/>
    <m/>
    <s v="N/A Registro proveedor extranjero"/>
    <n v="593383972"/>
    <n v="600226"/>
    <s v="HARD ROCK CAFE INTERNATIONAL INC."/>
    <m/>
    <m/>
    <s v="28.01.2020"/>
    <s v="INVOICE 4181219M"/>
    <n v="20200127"/>
    <n v="7909.01"/>
    <n v="0"/>
    <n v="7909.01"/>
    <n v="200091600"/>
    <s v="RENTA MENSUAL MEMORABILIA ENE2020"/>
    <n v="6327.2080000000005"/>
    <s v="02.06.2020"/>
    <s v="TRANSFERENCIA"/>
    <n v="200783543"/>
    <s v="BOFA"/>
    <s v="BofA RCD 89805242886"/>
    <n v="340221790"/>
    <s v="SOLI1102"/>
  </r>
  <r>
    <n v="3409"/>
    <s v="18.01.2020"/>
    <n v="2020"/>
    <d v="2020-01-01T00:00:00"/>
    <n v="1"/>
    <n v="900006201"/>
    <s v="WE"/>
    <n v="81"/>
    <x v="1"/>
    <x v="0"/>
    <x v="1"/>
    <n v="115.68"/>
    <s v="USD"/>
    <n v="2173.9699999999998"/>
    <x v="0"/>
    <x v="0"/>
    <m/>
    <s v="N/A Registro proveedor extranjero"/>
    <n v="133189146"/>
    <n v="105142"/>
    <s v="PROTRAVEL INTERNATIONAL"/>
    <m/>
    <m/>
    <s v="18.01.2020"/>
    <s v="RVA 19735066"/>
    <n v="20200118"/>
    <n v="115.68"/>
    <n v="0"/>
    <n v="115.68"/>
    <n v="900006377"/>
    <s v="Protravel International - Rva 19735066"/>
    <n v="115.68"/>
    <s v="24.01.2020"/>
    <s v="TRANSFERENCIA"/>
    <n v="900008379"/>
    <s v="BOFA"/>
    <s v="BofA RCD 89805242886"/>
    <n v="340921790"/>
    <s v="SOLI3409"/>
  </r>
  <r>
    <n v="3403"/>
    <s v="31.01.2020"/>
    <n v="2020"/>
    <d v="2020-01-01T00:00:00"/>
    <n v="1"/>
    <n v="300017857"/>
    <s v="WE"/>
    <n v="81"/>
    <x v="1"/>
    <x v="0"/>
    <x v="1"/>
    <n v="19637.509999999998"/>
    <s v="MXN"/>
    <n v="19637.509999999998"/>
    <x v="0"/>
    <x v="0"/>
    <m/>
    <s v="229043C1-1634-46CA-86E7-7D6F4F0FC837"/>
    <s v="RCI930401GV1"/>
    <n v="600623"/>
    <s v="RESORT CONDOMINIUMS INTERNATIONAL"/>
    <m/>
    <m/>
    <s v="31.01.2020"/>
    <s v="RCI-53062"/>
    <n v="4501231390"/>
    <n v="19637.509999999998"/>
    <n v="3142.0015999999996"/>
    <n v="22779.511599999998"/>
    <n v="300020318"/>
    <s v="PRECOBROS COMISION AGENCIA RCI ENE 2020"/>
    <n v="22779.511599999998"/>
    <s v="06.03.2020"/>
    <s v="TRANSFERENCIA"/>
    <n v="300049758"/>
    <s v="BBVA"/>
    <s v="BBVAB 00188039070 TP"/>
    <n v="340310190"/>
    <s v="SOLI1103"/>
  </r>
  <r>
    <n v="3403"/>
    <s v="31.01.2020"/>
    <n v="2020"/>
    <d v="2020-01-01T00:00:00"/>
    <n v="1"/>
    <n v="300017858"/>
    <s v="WE"/>
    <n v="81"/>
    <x v="1"/>
    <x v="0"/>
    <x v="1"/>
    <n v="874"/>
    <s v="USD"/>
    <n v="16349.66"/>
    <x v="0"/>
    <x v="0"/>
    <m/>
    <s v="E8B9374F-B6E6-41FB-AF83-74A1B8D1FCF8"/>
    <s v="RCI930401GV1"/>
    <n v="600623"/>
    <s v="RESORT CONDOMINIUMS INTERNATIONAL"/>
    <m/>
    <m/>
    <s v="31.01.2020"/>
    <s v="RCI-52960"/>
    <n v="4501231419"/>
    <n v="874"/>
    <n v="139.84"/>
    <n v="1013.84"/>
    <n v="300020317"/>
    <s v="COMISION RCI ALL INCLUSIVE HRV ENE 2020"/>
    <n v="1013.84"/>
    <s v="28.05.2020"/>
    <s v="TRANSFERENCIA"/>
    <n v="300236206"/>
    <s v="BOFA"/>
    <s v="BofA RCD 89805242886"/>
    <n v="340310190"/>
    <s v="SOLI1103"/>
  </r>
  <r>
    <n v="3402"/>
    <s v="29.01.2020"/>
    <n v="2020"/>
    <d v="2020-01-01T00:00:00"/>
    <n v="1"/>
    <n v="200096302"/>
    <s v="WE"/>
    <n v="81"/>
    <x v="3"/>
    <x v="0"/>
    <x v="3"/>
    <n v="30524.48"/>
    <s v="MXN"/>
    <n v="30524.48"/>
    <x v="0"/>
    <x v="0"/>
    <m/>
    <s v="4212A6A7-52DA-4CD3-B6B3-A9EB0E49A56F"/>
    <s v="MOFR810207T10"/>
    <n v="606476"/>
    <s v="MORALES FLORES RICARDO JAVIER"/>
    <m/>
    <m/>
    <s v="29.01.2020"/>
    <s v="FOLIO 105"/>
    <n v="20200129"/>
    <n v="30524.48"/>
    <n v="4883.9168"/>
    <n v="35408.396800000002"/>
    <n v="200124279"/>
    <s v="plan de manejo mapaches"/>
    <n v="35408.396800000002"/>
    <s v="17.02.2020"/>
    <s v="TRANSFERENCIA"/>
    <n v="200154027"/>
    <s v="BBVA"/>
    <s v="BBVAB 00188039070 TP"/>
    <n v="340225490"/>
    <s v="SOLI1102"/>
  </r>
  <r>
    <n v="3407"/>
    <s v="29.01.2020"/>
    <n v="2020"/>
    <d v="2020-01-01T00:00:00"/>
    <n v="1"/>
    <n v="700034671"/>
    <s v="WE"/>
    <n v="81"/>
    <x v="1"/>
    <x v="0"/>
    <x v="1"/>
    <n v="1889.25"/>
    <s v="USD"/>
    <n v="35783.72"/>
    <x v="0"/>
    <x v="0"/>
    <m/>
    <s v="N/A Registro proveedor extranjero"/>
    <n v="752738581"/>
    <n v="602358"/>
    <s v="PEGASUS BUSINESS INTELLIGENCE"/>
    <m/>
    <m/>
    <s v="29.01.2020"/>
    <n v="2292345"/>
    <n v="20200129"/>
    <n v="1889.25"/>
    <n v="0"/>
    <n v="1889.25"/>
    <n v="700043292"/>
    <s v="Comision Pegasus CYCLE END 02/01/2020."/>
    <n v="1889.25"/>
    <s v="10.02.2020"/>
    <s v="TRANSFERENCIA"/>
    <n v="700050731"/>
    <s v="BOFA"/>
    <s v="BofA RCD 89805242886"/>
    <n v="340721790"/>
    <s v="SOLI3407"/>
  </r>
  <r>
    <n v="3401"/>
    <s v="29.01.2020"/>
    <n v="2020"/>
    <d v="2020-01-01T00:00:00"/>
    <n v="1"/>
    <n v="100029231"/>
    <s v="WE"/>
    <n v="81"/>
    <x v="0"/>
    <x v="0"/>
    <x v="0"/>
    <n v="50484"/>
    <s v="MXN"/>
    <n v="50484"/>
    <x v="0"/>
    <x v="0"/>
    <m/>
    <s v="27DFA65C-1D63-41B7-9350-ADC68088A10C"/>
    <s v="CSS160330CP7"/>
    <n v="107211"/>
    <s v="CFE SUMINISTRADOR DE SERVICIOS"/>
    <m/>
    <m/>
    <s v="29.01.2020"/>
    <n v="4501216248"/>
    <s v="WH000533227437"/>
    <n v="50484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2"/>
    <s v="29.01.2020"/>
    <n v="2020"/>
    <d v="2020-01-01T00:00:00"/>
    <n v="1"/>
    <n v="200096532"/>
    <s v="WE"/>
    <n v="81"/>
    <x v="3"/>
    <x v="0"/>
    <x v="3"/>
    <n v="9475"/>
    <s v="MXN"/>
    <n v="9475"/>
    <x v="0"/>
    <x v="0"/>
    <m/>
    <s v="0A22F755-3D21-4B48-8F4A-37B37BBC74E9"/>
    <m/>
    <n v="101476"/>
    <s v="ESTRADA RODRIGUEZ RAFAEL"/>
    <m/>
    <m/>
    <s v="29.01.2020"/>
    <s v="D128"/>
    <n v="20200129"/>
    <n v="9475"/>
    <n v="1516"/>
    <n v="10991"/>
    <n v="200124339"/>
    <s v="pago temazcal del 8 al 22 enero"/>
    <n v="10991"/>
    <s v="17.02.2020"/>
    <s v="TRANSFERENCIA"/>
    <n v="200154004"/>
    <s v="BBVA"/>
    <s v="BBVAB 00188039070 TP"/>
    <n v="340253290"/>
    <s v="SOLI1102"/>
  </r>
  <r>
    <n v="3401"/>
    <s v="30.01.2020"/>
    <n v="2020"/>
    <d v="2020-01-01T00:00:00"/>
    <n v="1"/>
    <n v="100030312"/>
    <s v="WE"/>
    <n v="81"/>
    <x v="1"/>
    <x v="0"/>
    <x v="1"/>
    <n v="294.10000000000002"/>
    <s v="USD"/>
    <n v="5529.73"/>
    <x v="0"/>
    <x v="0"/>
    <m/>
    <s v="N/A Registro proveedor extranjero"/>
    <n v="435003532"/>
    <n v="600803"/>
    <s v="TRIPADVISOR LLC."/>
    <m/>
    <m/>
    <s v="30.01.2020"/>
    <n v="881747592654"/>
    <n v="20200130"/>
    <n v="294.10000000000002"/>
    <n v="0"/>
    <n v="294.10000000000002"/>
    <m/>
    <s v="Travel Agent Commissions"/>
    <n v="294.10000000000002"/>
    <s v="25.02.2020"/>
    <s v="TRANSFERENCIA"/>
    <n v="100063856"/>
    <s v="BOFA"/>
    <s v="BofA RCD 89805242886"/>
    <n v="340121790"/>
    <s v="SOLI1101"/>
  </r>
  <r>
    <n v="3407"/>
    <s v="30.01.2020"/>
    <n v="2020"/>
    <d v="2020-01-01T00:00:00"/>
    <n v="1"/>
    <n v="700036796"/>
    <s v="WE"/>
    <n v="81"/>
    <x v="3"/>
    <x v="0"/>
    <x v="3"/>
    <n v="104895.14"/>
    <s v="MXN"/>
    <n v="104895.14"/>
    <x v="0"/>
    <x v="0"/>
    <m/>
    <s v="DDBBEA96-ED35-427F-B186-E849239B944D"/>
    <s v="GOCF680717UJ8"/>
    <n v="606740"/>
    <s v="GONZALEZ RUBIO CERECER FERNANDO"/>
    <m/>
    <m/>
    <s v="30.01.2020"/>
    <n v="1766"/>
    <n v="20200130"/>
    <n v="104895.14"/>
    <n v="16783.222399999999"/>
    <n v="121678.3624"/>
    <n v="700036809"/>
    <s v="Notario Fe Hechos Prob Sindicato"/>
    <n v="121678.3624"/>
    <s v="31.01.2020"/>
    <s v="TRANSFERENCIA"/>
    <n v="700037016"/>
    <s v="BBVA"/>
    <s v="BBVAB 00188039070 TP"/>
    <n v="340727190"/>
    <s v="CGUTIERREZ"/>
  </r>
  <r>
    <n v="3402"/>
    <s v="30.01.2020"/>
    <n v="2020"/>
    <d v="2020-01-01T00:00:00"/>
    <n v="1"/>
    <n v="200102631"/>
    <s v="WE"/>
    <n v="81"/>
    <x v="0"/>
    <x v="0"/>
    <x v="0"/>
    <n v="133.24"/>
    <s v="MXN"/>
    <n v="133.24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33.24"/>
    <n v="21.3184"/>
    <n v="154.55840000000001"/>
    <n v="200124384"/>
    <s v="LUZ 2 ENERO"/>
    <n v="154.5584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8"/>
    <s v="WE"/>
    <n v="81"/>
    <x v="0"/>
    <x v="0"/>
    <x v="0"/>
    <n v="131.58000000000001"/>
    <s v="MXN"/>
    <n v="131.58000000000001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31.58000000000001"/>
    <n v="21.052800000000001"/>
    <n v="152.6328"/>
    <n v="200124384"/>
    <s v="LUZ 27 ENERO"/>
    <n v="152.632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0"/>
    <s v="WE"/>
    <n v="91"/>
    <x v="0"/>
    <x v="0"/>
    <x v="0"/>
    <n v="144.96"/>
    <s v="MXN"/>
    <n v="144.96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44.96"/>
    <n v="23.1936"/>
    <n v="168.15360000000001"/>
    <n v="200124384"/>
    <s v="LUZ 3 ENERO"/>
    <n v="168.1536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1"/>
    <s v="WE"/>
    <n v="81"/>
    <x v="0"/>
    <x v="0"/>
    <x v="0"/>
    <n v="144965.98000000001"/>
    <s v="MXN"/>
    <n v="144965.9800000000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44965.98000000001"/>
    <n v="23194.556800000002"/>
    <n v="168160.5368"/>
    <n v="200124384"/>
    <s v="LUZ 3 ENERO"/>
    <n v="168160.536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3"/>
    <s v="WE"/>
    <n v="81"/>
    <x v="0"/>
    <x v="0"/>
    <x v="0"/>
    <n v="126548.08"/>
    <s v="MXN"/>
    <n v="126548.08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26548.08"/>
    <n v="20247.692800000001"/>
    <n v="146795.77280000001"/>
    <n v="200124384"/>
    <s v="LUZ 4 ENERO"/>
    <n v="146795.7728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6"/>
    <s v="WE"/>
    <n v="81"/>
    <x v="0"/>
    <x v="0"/>
    <x v="0"/>
    <n v="92593.4"/>
    <s v="MXN"/>
    <n v="92593.4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92593.4"/>
    <n v="14814.944"/>
    <n v="107408.344"/>
    <n v="200124384"/>
    <s v="LUZ 5 ENERO"/>
    <n v="107408.34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75"/>
    <s v="WE"/>
    <n v="91"/>
    <x v="0"/>
    <x v="0"/>
    <x v="0"/>
    <n v="131.54"/>
    <s v="MXN"/>
    <n v="131.54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1.54"/>
    <n v="21.046399999999998"/>
    <n v="152.5864"/>
    <n v="200124384"/>
    <s v="LUZ 16 ENERO"/>
    <n v="152.586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87"/>
    <s v="WE"/>
    <n v="81"/>
    <x v="0"/>
    <x v="0"/>
    <x v="0"/>
    <n v="135096.29999999999"/>
    <s v="MXN"/>
    <n v="135096.29999999999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5096.29999999999"/>
    <n v="21615.407999999999"/>
    <n v="156711.70799999998"/>
    <n v="200124384"/>
    <s v="LUZ 17 ENERO"/>
    <n v="156711.7079999999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88"/>
    <s v="WE"/>
    <n v="91"/>
    <x v="0"/>
    <x v="0"/>
    <x v="0"/>
    <n v="132.84"/>
    <s v="MXN"/>
    <n v="132.84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2.84"/>
    <n v="21.2544"/>
    <n v="154.09440000000001"/>
    <n v="200124384"/>
    <s v="LUZ 18 ENERO"/>
    <n v="154.0944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89"/>
    <s v="WE"/>
    <n v="81"/>
    <x v="0"/>
    <x v="0"/>
    <x v="0"/>
    <n v="132835.92000000001"/>
    <s v="MXN"/>
    <n v="132835.9200000000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2835.92000000001"/>
    <n v="21253.747200000002"/>
    <n v="154089.66720000003"/>
    <n v="200124384"/>
    <s v="LUZ 18 ENERO"/>
    <n v="154089.66720000003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2"/>
    <s v="WE"/>
    <n v="91"/>
    <x v="0"/>
    <x v="0"/>
    <x v="0"/>
    <n v="132.56"/>
    <s v="MXN"/>
    <n v="132.56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2.56"/>
    <n v="21.209600000000002"/>
    <n v="153.7696"/>
    <n v="200124384"/>
    <s v="LUZ 20 ENERO"/>
    <n v="153.769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3"/>
    <s v="WE"/>
    <n v="81"/>
    <x v="0"/>
    <x v="0"/>
    <x v="0"/>
    <n v="132559.07999999999"/>
    <s v="MXN"/>
    <n v="132559.07999999999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2559.07999999999"/>
    <n v="21209.452799999999"/>
    <n v="153768.53279999999"/>
    <n v="200124384"/>
    <s v="LUZ 20 ENERO"/>
    <n v="153768.5327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0"/>
    <s v="WE"/>
    <n v="91"/>
    <x v="0"/>
    <x v="0"/>
    <x v="0"/>
    <n v="112.94"/>
    <s v="MXN"/>
    <n v="112.94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12.94"/>
    <n v="18.070399999999999"/>
    <n v="131.0104"/>
    <n v="200124384"/>
    <s v="LUZ 24 ENERO"/>
    <n v="131.010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2"/>
    <s v="WE"/>
    <n v="91"/>
    <x v="0"/>
    <x v="0"/>
    <x v="0"/>
    <n v="113.71"/>
    <s v="MXN"/>
    <n v="113.7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13.71"/>
    <n v="18.1936"/>
    <n v="131.90359999999998"/>
    <n v="200124384"/>
    <s v="LUZ 25 ENERO"/>
    <n v="131.9035999999999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8"/>
    <s v="WE"/>
    <n v="81"/>
    <x v="0"/>
    <x v="0"/>
    <x v="0"/>
    <n v="131581.92000000001"/>
    <s v="MXN"/>
    <n v="131581.9200000000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1581.92000000001"/>
    <n v="21053.107200000002"/>
    <n v="152635.02720000001"/>
    <n v="200124384"/>
    <s v="LUZ 27 ENERO"/>
    <n v="152635.02720000001"/>
    <s v="06.02.2020"/>
    <s v="TRANSFERENCIA"/>
    <n v="200127161"/>
    <s v="HSBC "/>
    <s v="HSBC 004053489092 TP"/>
    <n v="340218590"/>
    <s v="SOLI1102"/>
  </r>
  <r>
    <n v="3406"/>
    <s v="30.01.2020"/>
    <n v="2020"/>
    <d v="2020-01-01T00:00:00"/>
    <n v="1"/>
    <n v="600029607"/>
    <s v="WE"/>
    <n v="81"/>
    <x v="0"/>
    <x v="0"/>
    <x v="0"/>
    <n v="85785"/>
    <s v="MXN"/>
    <n v="85785"/>
    <x v="0"/>
    <x v="0"/>
    <m/>
    <s v="092932E6-8FFC-11EF-A47B-8F40AB67745F"/>
    <s v="CSS160330CP7"/>
    <n v="107211"/>
    <s v="CFE SUMINISTRADOR DE SERVICIOS"/>
    <m/>
    <m/>
    <s v="30.01.2020"/>
    <n v="4501226446"/>
    <n v="20200130"/>
    <n v="85785"/>
    <n v="85785"/>
    <n v="171570"/>
    <n v="600035567"/>
    <s v="28 DE ENERO"/>
    <n v="171570"/>
    <s v="06.02.2020"/>
    <s v="TRANSFERENCIA"/>
    <n v="600035588"/>
    <s v="HSBC "/>
    <s v="HSBC 004053489092 TP"/>
    <n v="340618590"/>
    <s v="SOLIUNICO"/>
  </r>
  <r>
    <n v="3406"/>
    <s v="30.01.2020"/>
    <n v="2020"/>
    <d v="2020-01-01T00:00:00"/>
    <n v="1"/>
    <n v="600029609"/>
    <s v="WE"/>
    <n v="81"/>
    <x v="0"/>
    <x v="0"/>
    <x v="0"/>
    <n v="90300"/>
    <s v="MXN"/>
    <n v="90300"/>
    <x v="0"/>
    <x v="0"/>
    <m/>
    <s v="092932E6-8FFC-11EF-A47B-8F40AB67745F"/>
    <s v="CSS160330CP7"/>
    <n v="107211"/>
    <s v="CFE SUMINISTRADOR DE SERVICIOS"/>
    <m/>
    <m/>
    <s v="30.01.2020"/>
    <n v="4501226446"/>
    <n v="20200130"/>
    <n v="90300"/>
    <n v="90300"/>
    <n v="180600"/>
    <n v="600035567"/>
    <s v="29 DE ENERO"/>
    <n v="180600"/>
    <s v="06.02.2020"/>
    <s v="TRANSFERENCIA"/>
    <n v="600035588"/>
    <s v="HSBC "/>
    <s v="HSBC 004053489092 TP"/>
    <n v="340618590"/>
    <s v="SOLIUNICO"/>
  </r>
  <r>
    <n v="3406"/>
    <s v="30.01.2020"/>
    <n v="2020"/>
    <d v="2020-01-01T00:00:00"/>
    <n v="1"/>
    <n v="600029610"/>
    <s v="WE"/>
    <n v="81"/>
    <x v="0"/>
    <x v="0"/>
    <x v="0"/>
    <n v="95718"/>
    <s v="MXN"/>
    <n v="95718"/>
    <x v="0"/>
    <x v="0"/>
    <m/>
    <s v="092932E6-8FFC-11EF-A47B-8F40AB67745F"/>
    <s v="CSS160330CP7"/>
    <n v="107211"/>
    <s v="CFE SUMINISTRADOR DE SERVICIOS"/>
    <m/>
    <m/>
    <s v="30.01.2020"/>
    <n v="4501226446"/>
    <n v="20200130"/>
    <n v="95718"/>
    <n v="95718"/>
    <n v="191436"/>
    <n v="600035567"/>
    <s v="30 DE ENERO"/>
    <n v="191436"/>
    <s v="06.02.2020"/>
    <s v="TRANSFERENCIA"/>
    <n v="600035588"/>
    <s v="HSBC "/>
    <s v="HSBC 004053489092 TP"/>
    <n v="340618590"/>
    <s v="SOLIUNICO"/>
  </r>
  <r>
    <n v="3402"/>
    <s v="30.01.2020"/>
    <n v="2020"/>
    <d v="2020-01-01T00:00:00"/>
    <n v="1"/>
    <n v="200102630"/>
    <s v="WE"/>
    <n v="81"/>
    <x v="0"/>
    <x v="0"/>
    <x v="0"/>
    <n v="109.7"/>
    <s v="MXN"/>
    <n v="109.7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09.7"/>
    <n v="17.552"/>
    <n v="127.25200000000001"/>
    <n v="200124384"/>
    <s v="LUZ 1 ENERO"/>
    <n v="127.2520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2"/>
    <s v="WE"/>
    <n v="81"/>
    <x v="0"/>
    <x v="0"/>
    <x v="0"/>
    <n v="144.96"/>
    <s v="MXN"/>
    <n v="144.96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44.96"/>
    <n v="23.1936"/>
    <n v="168.15360000000001"/>
    <n v="200124384"/>
    <s v="LUZ 3 ENERO"/>
    <n v="168.1536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3"/>
    <s v="WE"/>
    <n v="81"/>
    <x v="0"/>
    <x v="0"/>
    <x v="0"/>
    <n v="126.54"/>
    <s v="MXN"/>
    <n v="126.54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26.54"/>
    <n v="20.246400000000001"/>
    <n v="146.78640000000001"/>
    <n v="200124384"/>
    <s v="LUZ 4 ENERO"/>
    <n v="146.7864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4"/>
    <s v="WE"/>
    <n v="81"/>
    <x v="0"/>
    <x v="0"/>
    <x v="0"/>
    <n v="92.61"/>
    <s v="MXN"/>
    <n v="92.61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92.61"/>
    <n v="14.817600000000001"/>
    <n v="107.4276"/>
    <n v="200124384"/>
    <s v="LUZ 5 ENERO"/>
    <n v="107.427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5"/>
    <s v="WE"/>
    <n v="81"/>
    <x v="0"/>
    <x v="0"/>
    <x v="0"/>
    <n v="124.01"/>
    <s v="MXN"/>
    <n v="124.01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24.01"/>
    <n v="19.8416"/>
    <n v="143.85160000000002"/>
    <n v="200124384"/>
    <s v="LUZ 6 ENERO"/>
    <n v="143.8516000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6"/>
    <s v="WE"/>
    <n v="81"/>
    <x v="0"/>
    <x v="0"/>
    <x v="0"/>
    <n v="110.07"/>
    <s v="MXN"/>
    <n v="110.07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10.07"/>
    <n v="17.6112"/>
    <n v="127.68119999999999"/>
    <n v="200124384"/>
    <s v="LUZ 7 ENERO"/>
    <n v="127.6811999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7"/>
    <s v="WE"/>
    <n v="81"/>
    <x v="0"/>
    <x v="0"/>
    <x v="0"/>
    <n v="128.66"/>
    <s v="MXN"/>
    <n v="128.66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28.66"/>
    <n v="20.585599999999999"/>
    <n v="149.2456"/>
    <n v="200124384"/>
    <s v="LUZ 8 ENERO"/>
    <n v="149.245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8"/>
    <s v="WE"/>
    <n v="81"/>
    <x v="0"/>
    <x v="0"/>
    <x v="0"/>
    <n v="125.42"/>
    <s v="MXN"/>
    <n v="125.42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25.42"/>
    <n v="20.0672"/>
    <n v="145.4872"/>
    <n v="200124384"/>
    <s v="LUZ 9 ENERO"/>
    <n v="145.487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39"/>
    <s v="WE"/>
    <n v="81"/>
    <x v="0"/>
    <x v="0"/>
    <x v="0"/>
    <n v="146.44999999999999"/>
    <s v="MXN"/>
    <n v="146.44999999999999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46.44999999999999"/>
    <n v="23.431999999999999"/>
    <n v="169.88199999999998"/>
    <n v="200124384"/>
    <s v="LUZ 10 ENERO"/>
    <n v="169.8819999999999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0"/>
    <s v="WE"/>
    <n v="81"/>
    <x v="0"/>
    <x v="0"/>
    <x v="0"/>
    <n v="133.81"/>
    <s v="MXN"/>
    <n v="133.81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33.81"/>
    <n v="21.409600000000001"/>
    <n v="155.21960000000001"/>
    <n v="200124384"/>
    <s v="LUZ 11 ENERO"/>
    <n v="155.2196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1"/>
    <s v="WE"/>
    <n v="81"/>
    <x v="0"/>
    <x v="0"/>
    <x v="0"/>
    <n v="106.13"/>
    <s v="MXN"/>
    <n v="106.13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06.13"/>
    <n v="16.980799999999999"/>
    <n v="123.1108"/>
    <n v="200124384"/>
    <s v="LUZ 12 ENERO"/>
    <n v="123.110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2"/>
    <s v="WE"/>
    <n v="81"/>
    <x v="0"/>
    <x v="0"/>
    <x v="0"/>
    <n v="152.13"/>
    <s v="MXN"/>
    <n v="152.13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52.13"/>
    <n v="24.340800000000002"/>
    <n v="176.4708"/>
    <n v="200124384"/>
    <s v="LUZ 13 ENERO"/>
    <n v="176.470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3"/>
    <s v="WE"/>
    <n v="81"/>
    <x v="0"/>
    <x v="0"/>
    <x v="0"/>
    <n v="139.52000000000001"/>
    <s v="MXN"/>
    <n v="139.52000000000001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39.52000000000001"/>
    <n v="22.323200000000003"/>
    <n v="161.84320000000002"/>
    <n v="200124384"/>
    <s v="LUZ 14 ENERO"/>
    <n v="161.8432000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5"/>
    <s v="WE"/>
    <n v="81"/>
    <x v="0"/>
    <x v="0"/>
    <x v="0"/>
    <n v="139.66"/>
    <s v="MXN"/>
    <n v="139.66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39.66"/>
    <n v="22.345600000000001"/>
    <n v="162.00559999999999"/>
    <n v="200124384"/>
    <s v="LUZ 15 ENERO"/>
    <n v="162.0055999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6"/>
    <s v="WE"/>
    <n v="81"/>
    <x v="0"/>
    <x v="0"/>
    <x v="0"/>
    <n v="131.54"/>
    <s v="MXN"/>
    <n v="131.54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31.54"/>
    <n v="21.046399999999998"/>
    <n v="152.5864"/>
    <n v="200124384"/>
    <s v="LUZ 16 ENERO"/>
    <n v="152.586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8"/>
    <s v="WE"/>
    <n v="81"/>
    <x v="0"/>
    <x v="0"/>
    <x v="0"/>
    <n v="135.1"/>
    <s v="MXN"/>
    <n v="135.1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35.1"/>
    <n v="21.616"/>
    <n v="156.71600000000001"/>
    <n v="200124384"/>
    <s v="LUZ 17 ENERO"/>
    <n v="156.7160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49"/>
    <s v="WE"/>
    <n v="81"/>
    <x v="0"/>
    <x v="0"/>
    <x v="0"/>
    <n v="132.84"/>
    <s v="MXN"/>
    <n v="132.84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32.84"/>
    <n v="21.2544"/>
    <n v="154.09440000000001"/>
    <n v="200124384"/>
    <s v="LUZ 18 ENERO"/>
    <n v="154.0944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0"/>
    <s v="WE"/>
    <n v="81"/>
    <x v="0"/>
    <x v="0"/>
    <x v="0"/>
    <n v="99.77"/>
    <s v="MXN"/>
    <n v="99.77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99.77"/>
    <n v="15.963200000000001"/>
    <n v="115.7332"/>
    <n v="200124384"/>
    <s v="LUZ 19 ENERO"/>
    <n v="115.733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1"/>
    <s v="WE"/>
    <n v="81"/>
    <x v="0"/>
    <x v="0"/>
    <x v="0"/>
    <n v="132.56"/>
    <s v="MXN"/>
    <n v="132.56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32.56"/>
    <n v="21.209600000000002"/>
    <n v="153.7696"/>
    <n v="200124384"/>
    <s v="LUZ 20 ENERO"/>
    <n v="153.769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2"/>
    <s v="WE"/>
    <n v="81"/>
    <x v="0"/>
    <x v="0"/>
    <x v="0"/>
    <n v="114.32"/>
    <s v="MXN"/>
    <n v="114.32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14.32"/>
    <n v="18.2912"/>
    <n v="132.6112"/>
    <n v="200124384"/>
    <s v="LUZ 21 ENERO"/>
    <n v="132.611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3"/>
    <s v="WE"/>
    <n v="81"/>
    <x v="0"/>
    <x v="0"/>
    <x v="0"/>
    <n v="103.05"/>
    <s v="MXN"/>
    <n v="103.05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03.05"/>
    <n v="16.488"/>
    <n v="119.538"/>
    <n v="200124384"/>
    <s v="LUZ 22 ENERO"/>
    <n v="119.53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4"/>
    <s v="WE"/>
    <n v="81"/>
    <x v="0"/>
    <x v="0"/>
    <x v="0"/>
    <n v="106.36"/>
    <s v="MXN"/>
    <n v="106.36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06.36"/>
    <n v="17.017600000000002"/>
    <n v="123.3776"/>
    <n v="200124384"/>
    <s v="LUZ 23 ENERO"/>
    <n v="123.377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5"/>
    <s v="WE"/>
    <n v="81"/>
    <x v="0"/>
    <x v="0"/>
    <x v="0"/>
    <n v="112.94"/>
    <s v="MXN"/>
    <n v="112.94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12.94"/>
    <n v="18.070399999999999"/>
    <n v="131.0104"/>
    <n v="200124384"/>
    <s v="LUZ 24 ENERO"/>
    <n v="131.010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6"/>
    <s v="WE"/>
    <n v="81"/>
    <x v="0"/>
    <x v="0"/>
    <x v="0"/>
    <n v="113.71"/>
    <s v="MXN"/>
    <n v="113.71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13.71"/>
    <n v="18.1936"/>
    <n v="131.90359999999998"/>
    <n v="200124384"/>
    <s v="LUZ 25 ENERO"/>
    <n v="131.9035999999999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7"/>
    <s v="WE"/>
    <n v="81"/>
    <x v="0"/>
    <x v="0"/>
    <x v="0"/>
    <n v="92.39"/>
    <s v="MXN"/>
    <n v="92.39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92.39"/>
    <n v="14.782400000000001"/>
    <n v="107.1724"/>
    <n v="200124384"/>
    <s v="LUZ 26 ENERO"/>
    <n v="107.172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59"/>
    <s v="WE"/>
    <n v="81"/>
    <x v="0"/>
    <x v="0"/>
    <x v="0"/>
    <n v="134.05000000000001"/>
    <s v="MXN"/>
    <n v="134.05000000000001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34.05000000000001"/>
    <n v="21.448000000000004"/>
    <n v="155.49800000000002"/>
    <n v="200124384"/>
    <s v="LUZ 28 ENERO"/>
    <n v="155.4980000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02660"/>
    <s v="WE"/>
    <n v="81"/>
    <x v="0"/>
    <x v="0"/>
    <x v="0"/>
    <n v="140.38999999999999"/>
    <s v="MXN"/>
    <n v="140.38999999999999"/>
    <x v="0"/>
    <x v="0"/>
    <m/>
    <s v="B36F144B-FEAA-423B-A586-88467135EEF1"/>
    <s v="CSS160330CP7"/>
    <n v="107211"/>
    <s v="CFE SUMINISTRADOR DE SERVICIOS"/>
    <m/>
    <m/>
    <s v="30.01.2020"/>
    <n v="4501229349"/>
    <n v="20200130"/>
    <n v="140.38999999999999"/>
    <n v="22.462399999999999"/>
    <n v="162.85239999999999"/>
    <n v="200124384"/>
    <s v="LUZ 29 ENERO"/>
    <n v="162.8523999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35"/>
    <s v="WE"/>
    <n v="91"/>
    <x v="0"/>
    <x v="0"/>
    <x v="0"/>
    <n v="109.7"/>
    <s v="MXN"/>
    <n v="109.7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09.7"/>
    <n v="17.552"/>
    <n v="127.25200000000001"/>
    <n v="200124384"/>
    <s v="LUZ 1 ENERO"/>
    <n v="127.2520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36"/>
    <s v="WE"/>
    <n v="81"/>
    <x v="0"/>
    <x v="0"/>
    <x v="0"/>
    <n v="109685.4"/>
    <s v="MXN"/>
    <n v="109685.4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09685.4"/>
    <n v="17549.664000000001"/>
    <n v="127235.064"/>
    <n v="200124384"/>
    <s v="LUZ 1 ENERO"/>
    <n v="127235.06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38"/>
    <s v="WE"/>
    <n v="91"/>
    <x v="0"/>
    <x v="0"/>
    <x v="0"/>
    <n v="133.24"/>
    <s v="MXN"/>
    <n v="133.24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3.24"/>
    <n v="21.3184"/>
    <n v="154.55840000000001"/>
    <n v="200124384"/>
    <s v="LUZ 2 ENERO"/>
    <n v="154.5584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39"/>
    <s v="WE"/>
    <n v="81"/>
    <x v="0"/>
    <x v="0"/>
    <x v="0"/>
    <n v="133232.92000000001"/>
    <s v="MXN"/>
    <n v="133232.9200000000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3232.92000000001"/>
    <n v="21317.267200000002"/>
    <n v="154550.18720000001"/>
    <n v="200124384"/>
    <s v="LUZ 2 ENERO"/>
    <n v="154550.1872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2"/>
    <s v="WE"/>
    <n v="91"/>
    <x v="0"/>
    <x v="0"/>
    <x v="0"/>
    <n v="126.54"/>
    <s v="MXN"/>
    <n v="126.54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26.54"/>
    <n v="20.246400000000001"/>
    <n v="146.78640000000001"/>
    <n v="200124384"/>
    <s v="LUZ 4 ENERO"/>
    <n v="146.7864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4"/>
    <s v="WE"/>
    <n v="91"/>
    <x v="0"/>
    <x v="0"/>
    <x v="0"/>
    <n v="92.61"/>
    <s v="MXN"/>
    <n v="92.6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92.61"/>
    <n v="14.817600000000001"/>
    <n v="107.4276"/>
    <n v="200124384"/>
    <s v="LUZ 5 ENERO"/>
    <n v="107.427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7"/>
    <s v="WE"/>
    <n v="91"/>
    <x v="0"/>
    <x v="0"/>
    <x v="0"/>
    <n v="124.01"/>
    <s v="MXN"/>
    <n v="124.0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24.01"/>
    <n v="19.8416"/>
    <n v="143.85160000000002"/>
    <n v="200124384"/>
    <s v="LUZ 6 ENERO"/>
    <n v="143.8516000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8"/>
    <s v="WE"/>
    <n v="81"/>
    <x v="0"/>
    <x v="0"/>
    <x v="0"/>
    <n v="124005.88"/>
    <s v="MXN"/>
    <n v="124005.88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24005.88"/>
    <n v="19840.9408"/>
    <n v="143846.82080000002"/>
    <n v="200124384"/>
    <s v="LUZ 6 ENERO"/>
    <n v="143846.8208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49"/>
    <s v="WE"/>
    <n v="91"/>
    <x v="0"/>
    <x v="0"/>
    <x v="0"/>
    <n v="124005.88"/>
    <s v="MXN"/>
    <n v="124005.88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24005.88"/>
    <n v="19840.9408"/>
    <n v="143846.82080000002"/>
    <n v="200124384"/>
    <s v="LUZ 6 ENERO"/>
    <n v="143846.8208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0"/>
    <s v="WE"/>
    <n v="81"/>
    <x v="0"/>
    <x v="0"/>
    <x v="0"/>
    <n v="124005.88"/>
    <s v="MXN"/>
    <n v="124005.88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24005.88"/>
    <n v="19840.9408"/>
    <n v="143846.82080000002"/>
    <n v="200124384"/>
    <s v="LUZ 6 ENERO"/>
    <n v="143846.8208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1"/>
    <s v="WE"/>
    <n v="91"/>
    <x v="0"/>
    <x v="0"/>
    <x v="0"/>
    <n v="128.66"/>
    <s v="MXN"/>
    <n v="128.66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28.66"/>
    <n v="20.585599999999999"/>
    <n v="149.2456"/>
    <n v="200124384"/>
    <s v="LUZ 8 ENERO"/>
    <n v="149.245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2"/>
    <s v="WE"/>
    <n v="81"/>
    <x v="0"/>
    <x v="0"/>
    <x v="0"/>
    <n v="128660.9"/>
    <s v="MXN"/>
    <n v="128660.9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28660.9"/>
    <n v="20585.743999999999"/>
    <n v="149246.644"/>
    <n v="200124384"/>
    <s v="LUZ 8 ENERO"/>
    <n v="149246.64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3"/>
    <s v="WE"/>
    <n v="91"/>
    <x v="0"/>
    <x v="0"/>
    <x v="0"/>
    <n v="125.42"/>
    <s v="MXN"/>
    <n v="125.42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25.42"/>
    <n v="20.0672"/>
    <n v="145.4872"/>
    <n v="200124384"/>
    <s v="LUZ 9 ENERO"/>
    <n v="145.487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4"/>
    <s v="WE"/>
    <n v="81"/>
    <x v="0"/>
    <x v="0"/>
    <x v="0"/>
    <n v="125422.5"/>
    <s v="MXN"/>
    <n v="125422.5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25422.5"/>
    <n v="20067.600000000002"/>
    <n v="145490.1"/>
    <n v="200124384"/>
    <s v="LUZ 9 ENERO"/>
    <n v="145490.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5"/>
    <s v="WE"/>
    <n v="91"/>
    <x v="0"/>
    <x v="0"/>
    <x v="0"/>
    <n v="146.44999999999999"/>
    <s v="MXN"/>
    <n v="146.44999999999999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46.44999999999999"/>
    <n v="23.431999999999999"/>
    <n v="169.88199999999998"/>
    <n v="200124384"/>
    <s v="LUZ 10 ENERO"/>
    <n v="169.8819999999999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6"/>
    <s v="WE"/>
    <n v="81"/>
    <x v="0"/>
    <x v="0"/>
    <x v="0"/>
    <n v="146443.92000000001"/>
    <s v="MXN"/>
    <n v="146443.9200000000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46443.92000000001"/>
    <n v="23431.027200000004"/>
    <n v="169874.94720000002"/>
    <n v="200124384"/>
    <s v="LUZ 10 ENERO"/>
    <n v="169874.9472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7"/>
    <s v="WE"/>
    <n v="91"/>
    <x v="0"/>
    <x v="0"/>
    <x v="0"/>
    <n v="133.81"/>
    <s v="MXN"/>
    <n v="133.8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3.81"/>
    <n v="21.409600000000001"/>
    <n v="155.21960000000001"/>
    <n v="200124384"/>
    <s v="LUZ 11 ENERO"/>
    <n v="155.2196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59"/>
    <s v="WE"/>
    <n v="81"/>
    <x v="0"/>
    <x v="0"/>
    <x v="0"/>
    <n v="133814.44"/>
    <s v="MXN"/>
    <n v="133814.44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3814.44"/>
    <n v="21410.310400000002"/>
    <n v="155224.75040000002"/>
    <n v="200124384"/>
    <s v="LUZ 11 ENERO"/>
    <n v="155224.7504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60"/>
    <s v="WE"/>
    <n v="91"/>
    <x v="0"/>
    <x v="0"/>
    <x v="0"/>
    <n v="106.13"/>
    <s v="MXN"/>
    <n v="106.13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06.13"/>
    <n v="16.980799999999999"/>
    <n v="123.1108"/>
    <n v="200124384"/>
    <s v="LUZ 12 ENERO"/>
    <n v="123.110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61"/>
    <s v="WE"/>
    <n v="81"/>
    <x v="0"/>
    <x v="0"/>
    <x v="0"/>
    <n v="106113.52"/>
    <s v="MXN"/>
    <n v="106113.52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06113.52"/>
    <n v="16978.163200000003"/>
    <n v="123091.6832"/>
    <n v="200124384"/>
    <s v="LUZ 12 ENERO"/>
    <n v="123091.683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62"/>
    <s v="WE"/>
    <n v="91"/>
    <x v="0"/>
    <x v="0"/>
    <x v="0"/>
    <n v="152.13"/>
    <s v="MXN"/>
    <n v="152.13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52.13"/>
    <n v="24.340800000000002"/>
    <n v="176.4708"/>
    <n v="200124384"/>
    <s v="LUZ 13 ENERO"/>
    <n v="176.470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63"/>
    <s v="WE"/>
    <n v="81"/>
    <x v="0"/>
    <x v="0"/>
    <x v="0"/>
    <n v="152129.60000000001"/>
    <s v="MXN"/>
    <n v="152129.6000000000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52129.60000000001"/>
    <n v="24340.736000000001"/>
    <n v="176470.33600000001"/>
    <n v="200124384"/>
    <s v="LUZ 13 ENERO"/>
    <n v="176470.336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64"/>
    <s v="WE"/>
    <n v="91"/>
    <x v="0"/>
    <x v="0"/>
    <x v="0"/>
    <n v="139.52000000000001"/>
    <s v="MXN"/>
    <n v="139.5200000000000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9.52000000000001"/>
    <n v="22.323200000000003"/>
    <n v="161.84320000000002"/>
    <n v="200124384"/>
    <s v="LUZ 14 ENERO"/>
    <n v="161.8432000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67"/>
    <s v="WE"/>
    <n v="81"/>
    <x v="0"/>
    <x v="0"/>
    <x v="0"/>
    <n v="139516.32"/>
    <s v="MXN"/>
    <n v="139516.32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9516.32"/>
    <n v="22322.611200000003"/>
    <n v="161838.93120000002"/>
    <n v="200124384"/>
    <s v="LUZ 14 ENERO"/>
    <n v="161838.9312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70"/>
    <s v="WE"/>
    <n v="91"/>
    <x v="0"/>
    <x v="0"/>
    <x v="0"/>
    <n v="139.66"/>
    <s v="MXN"/>
    <n v="139.66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9.66"/>
    <n v="22.345600000000001"/>
    <n v="162.00559999999999"/>
    <n v="200124384"/>
    <s v="LUZ 15 ENERO"/>
    <n v="162.0055999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73"/>
    <s v="WE"/>
    <n v="81"/>
    <x v="0"/>
    <x v="0"/>
    <x v="0"/>
    <n v="139653.68"/>
    <s v="MXN"/>
    <n v="139653.68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9653.68"/>
    <n v="22344.588799999998"/>
    <n v="161998.26879999999"/>
    <n v="200124384"/>
    <s v="LUZ 15 ENERO"/>
    <n v="161998.2687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85"/>
    <s v="WE"/>
    <n v="81"/>
    <x v="0"/>
    <x v="0"/>
    <x v="0"/>
    <n v="131539.44"/>
    <s v="MXN"/>
    <n v="131539.44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1539.44"/>
    <n v="21046.310400000002"/>
    <n v="152585.75040000002"/>
    <n v="200124384"/>
    <s v="LUZ 16 ENERO"/>
    <n v="152585.7504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86"/>
    <s v="WE"/>
    <n v="91"/>
    <x v="0"/>
    <x v="0"/>
    <x v="0"/>
    <n v="135.1"/>
    <s v="MXN"/>
    <n v="135.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5.1"/>
    <n v="21.616"/>
    <n v="156.71600000000001"/>
    <n v="200124384"/>
    <s v="LUZ 17 ENERO"/>
    <n v="156.7160000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0"/>
    <s v="WE"/>
    <n v="91"/>
    <x v="0"/>
    <x v="0"/>
    <x v="0"/>
    <n v="99.77"/>
    <s v="MXN"/>
    <n v="99.77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99.77"/>
    <n v="15.963200000000001"/>
    <n v="115.7332"/>
    <n v="200124384"/>
    <s v="LUZ 19 ENERO"/>
    <n v="115.733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1"/>
    <s v="WE"/>
    <n v="81"/>
    <x v="0"/>
    <x v="0"/>
    <x v="0"/>
    <n v="99744.78"/>
    <s v="MXN"/>
    <n v="99744.78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99744.78"/>
    <n v="15959.1648"/>
    <n v="115703.9448"/>
    <n v="200124384"/>
    <s v="LUZ 19 ENERO"/>
    <n v="115703.944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4"/>
    <s v="WE"/>
    <n v="91"/>
    <x v="0"/>
    <x v="0"/>
    <x v="0"/>
    <n v="114.32"/>
    <s v="MXN"/>
    <n v="114.32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14.32"/>
    <n v="18.2912"/>
    <n v="132.6112"/>
    <n v="200124384"/>
    <s v="LUZ 21 ENERO"/>
    <n v="132.611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5"/>
    <s v="WE"/>
    <n v="81"/>
    <x v="0"/>
    <x v="0"/>
    <x v="0"/>
    <n v="114322.46"/>
    <s v="MXN"/>
    <n v="114322.46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14322.46"/>
    <n v="18291.5936"/>
    <n v="132614.05360000001"/>
    <n v="200124384"/>
    <s v="LUZ 21 ENERO"/>
    <n v="132614.0536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6"/>
    <s v="WE"/>
    <n v="91"/>
    <x v="0"/>
    <x v="0"/>
    <x v="0"/>
    <n v="103.05"/>
    <s v="MXN"/>
    <n v="103.05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03.05"/>
    <n v="16.488"/>
    <n v="119.538"/>
    <n v="200124384"/>
    <s v="LUZ 22 ENERO"/>
    <n v="119.53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7"/>
    <s v="WE"/>
    <n v="81"/>
    <x v="0"/>
    <x v="0"/>
    <x v="0"/>
    <n v="103053.84"/>
    <s v="MXN"/>
    <n v="103053.84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03053.84"/>
    <n v="16488.614399999999"/>
    <n v="119542.45439999999"/>
    <n v="200124384"/>
    <s v="LUZ 22 ENERO"/>
    <n v="119542.4543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8"/>
    <s v="WE"/>
    <n v="91"/>
    <x v="0"/>
    <x v="0"/>
    <x v="0"/>
    <n v="106.36"/>
    <s v="MXN"/>
    <n v="106.36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06.36"/>
    <n v="17.017600000000002"/>
    <n v="123.3776"/>
    <n v="200124384"/>
    <s v="LUZ 23 ENERO"/>
    <n v="123.377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399"/>
    <s v="WE"/>
    <n v="81"/>
    <x v="0"/>
    <x v="0"/>
    <x v="0"/>
    <n v="106362.82"/>
    <s v="MXN"/>
    <n v="106362.82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06362.82"/>
    <n v="17018.051200000002"/>
    <n v="123380.87120000001"/>
    <n v="200124384"/>
    <s v="LUZ 23 ENERO"/>
    <n v="123380.87120000001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1"/>
    <s v="WE"/>
    <n v="81"/>
    <x v="0"/>
    <x v="0"/>
    <x v="0"/>
    <n v="112943.74"/>
    <s v="MXN"/>
    <n v="112943.74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12943.74"/>
    <n v="18070.9984"/>
    <n v="131014.7384"/>
    <n v="200124384"/>
    <s v="LUZ 24 ENERO"/>
    <n v="131014.738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4"/>
    <s v="WE"/>
    <n v="81"/>
    <x v="0"/>
    <x v="0"/>
    <x v="0"/>
    <n v="113707.4"/>
    <s v="MXN"/>
    <n v="113707.4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13707.4"/>
    <n v="18193.184000000001"/>
    <n v="131900.584"/>
    <n v="200124384"/>
    <s v="LUZ 25 ENERO"/>
    <n v="131900.58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5"/>
    <s v="WE"/>
    <n v="91"/>
    <x v="0"/>
    <x v="0"/>
    <x v="0"/>
    <n v="92.39"/>
    <s v="MXN"/>
    <n v="92.39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92.39"/>
    <n v="14.782400000000001"/>
    <n v="107.1724"/>
    <n v="200124384"/>
    <s v="LUZ 26 ENERO"/>
    <n v="107.1724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6"/>
    <s v="WE"/>
    <n v="81"/>
    <x v="0"/>
    <x v="0"/>
    <x v="0"/>
    <n v="92364.68"/>
    <s v="MXN"/>
    <n v="92364.68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92364.68"/>
    <n v="14778.3488"/>
    <n v="107143.0288"/>
    <n v="200124384"/>
    <s v="LUZ 26 ENERO"/>
    <n v="107143.028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7"/>
    <s v="WE"/>
    <n v="91"/>
    <x v="0"/>
    <x v="0"/>
    <x v="0"/>
    <n v="131.58000000000001"/>
    <s v="MXN"/>
    <n v="131.5800000000000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1.58000000000001"/>
    <n v="21.052800000000001"/>
    <n v="152.6328"/>
    <n v="200124384"/>
    <s v="LUZ 27 ENERO"/>
    <n v="152.6328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09"/>
    <s v="WE"/>
    <n v="91"/>
    <x v="0"/>
    <x v="0"/>
    <x v="0"/>
    <n v="134.05000000000001"/>
    <s v="MXN"/>
    <n v="134.05000000000001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4.05000000000001"/>
    <n v="21.448000000000004"/>
    <n v="155.49800000000002"/>
    <n v="200124384"/>
    <s v="LUZ 28 ENERO"/>
    <n v="155.49800000000002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10"/>
    <s v="WE"/>
    <n v="81"/>
    <x v="0"/>
    <x v="0"/>
    <x v="0"/>
    <n v="134060.46"/>
    <s v="MXN"/>
    <n v="134060.46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34060.46"/>
    <n v="21449.673599999998"/>
    <n v="155510.1336"/>
    <n v="200124384"/>
    <s v="LUZ 28 ENERO"/>
    <n v="155510.1336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11"/>
    <s v="WE"/>
    <n v="91"/>
    <x v="0"/>
    <x v="0"/>
    <x v="0"/>
    <n v="140.38999999999999"/>
    <s v="MXN"/>
    <n v="140.38999999999999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40.38999999999999"/>
    <n v="22.462399999999999"/>
    <n v="162.85239999999999"/>
    <n v="200124384"/>
    <s v="LUZ 29 ENERO"/>
    <n v="162.85239999999999"/>
    <s v="06.02.2020"/>
    <s v="TRANSFERENCIA"/>
    <n v="200127161"/>
    <s v="HSBC "/>
    <s v="HSBC 004053489092 TP"/>
    <n v="340218590"/>
    <s v="SOLI1102"/>
  </r>
  <r>
    <n v="3402"/>
    <s v="30.01.2020"/>
    <n v="2020"/>
    <d v="2020-01-01T00:00:00"/>
    <n v="1"/>
    <n v="200114412"/>
    <s v="WE"/>
    <n v="81"/>
    <x v="0"/>
    <x v="0"/>
    <x v="0"/>
    <n v="140387.4"/>
    <s v="MXN"/>
    <n v="140387.4"/>
    <x v="0"/>
    <x v="0"/>
    <m/>
    <s v="B36F144B-FEAA-423B-A586-88467135EEF1"/>
    <s v="CSS160330CP7"/>
    <n v="107211"/>
    <s v="CFE SUMINISTRADOR DE SERVICIOS"/>
    <m/>
    <m/>
    <s v="01.02.2020"/>
    <n v="4501229349"/>
    <n v="20200130"/>
    <n v="140387.4"/>
    <n v="22461.984"/>
    <n v="162849.38399999999"/>
    <n v="200124384"/>
    <s v="LUZ 29 ENERO"/>
    <n v="162849.38399999999"/>
    <s v="06.02.2020"/>
    <s v="TRANSFERENCIA"/>
    <n v="200127161"/>
    <s v="HSBC "/>
    <s v="HSBC 004053489092 TP"/>
    <n v="340218590"/>
    <s v="SOLI1102"/>
  </r>
  <r>
    <n v="3409"/>
    <s v="20.01.2020"/>
    <n v="2020"/>
    <d v="2020-01-01T00:00:00"/>
    <n v="1"/>
    <n v="900006650"/>
    <s v="WE"/>
    <n v="81"/>
    <x v="2"/>
    <x v="0"/>
    <x v="2"/>
    <n v="75744.33"/>
    <s v="USD"/>
    <n v="1423463.19"/>
    <x v="0"/>
    <x v="0"/>
    <m/>
    <s v="N/A Registro proveedor extranjero"/>
    <n v="270972527"/>
    <n v="200497"/>
    <s v="NOBU HOSPITALITY LLC"/>
    <m/>
    <m/>
    <s v="20.01.2020"/>
    <s v="INVOICE 1219"/>
    <s v="2019 A"/>
    <n v="75744.33"/>
    <n v="0"/>
    <n v="75744.33"/>
    <n v="900006711"/>
    <s v="FEE DICIEMBRE NOBU"/>
    <n v="75744.33"/>
    <s v="05.11.2020"/>
    <s v="TRANSFERENCIA"/>
    <n v="900203553"/>
    <s v="BOFA"/>
    <s v="BofA RCD 89805242886"/>
    <n v="340921790"/>
    <s v="SOLI3409"/>
  </r>
  <r>
    <n v="3401"/>
    <s v="17.01.2020"/>
    <n v="2020"/>
    <d v="2020-01-01T00:00:00"/>
    <n v="1"/>
    <n v="100016554"/>
    <s v="WE"/>
    <n v="81"/>
    <x v="0"/>
    <x v="0"/>
    <x v="0"/>
    <n v="61152"/>
    <s v="MXN"/>
    <n v="61152"/>
    <x v="0"/>
    <x v="0"/>
    <m/>
    <s v="27DFA65C-1D63-41B7-9350-ADC68088A10C"/>
    <s v="CSS160330CP7"/>
    <n v="107211"/>
    <s v="CFE SUMINISTRADOR DE SERVICIOS"/>
    <m/>
    <m/>
    <s v="17.01.2020"/>
    <n v="4501216248"/>
    <s v="WH000533227437"/>
    <n v="61152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2"/>
    <s v="17.01.2020"/>
    <n v="2020"/>
    <d v="2020-01-01T00:00:00"/>
    <n v="1"/>
    <n v="200044644"/>
    <s v="WE"/>
    <n v="81"/>
    <x v="1"/>
    <x v="0"/>
    <x v="1"/>
    <n v="38730.230000000003"/>
    <s v="MXN"/>
    <n v="38730.230000000003"/>
    <x v="0"/>
    <x v="0"/>
    <m/>
    <s v="BD88B363-95A7-4071-82E9-ACF028EE7E63"/>
    <s v="CCI190617M37"/>
    <n v="801033"/>
    <s v="CARIBBEAN CIT SA DE CV"/>
    <m/>
    <m/>
    <s v="17.01.2020"/>
    <s v="FACTURA A 1"/>
    <n v="4501221659"/>
    <n v="38730.230000000003"/>
    <n v="6196.8368000000009"/>
    <n v="44927.066800000001"/>
    <n v="200057190"/>
    <s v="Comisiones Caribbean Cit"/>
    <n v="44927.066800000001"/>
    <s v="14.02.2020"/>
    <s v="TRANSFERENCIA"/>
    <n v="200153773"/>
    <s v="BBVA"/>
    <s v="BBVAB 00188039070 TP"/>
    <n v="340210190"/>
    <s v="JURIBE"/>
  </r>
  <r>
    <n v="3409"/>
    <s v="17.01.2020"/>
    <n v="2020"/>
    <d v="2020-01-01T00:00:00"/>
    <n v="1"/>
    <n v="900005944"/>
    <s v="WE"/>
    <n v="81"/>
    <x v="1"/>
    <x v="0"/>
    <x v="1"/>
    <n v="252"/>
    <s v="USD"/>
    <n v="4739.54"/>
    <x v="0"/>
    <x v="0"/>
    <m/>
    <s v="N/A Registro proveedor extranjero"/>
    <n v="261534006"/>
    <n v="801038"/>
    <s v="INTERNATIONAL TOURS SPECIALISTS INC"/>
    <m/>
    <m/>
    <s v="17.01.2020"/>
    <s v="RVA 198774892"/>
    <n v="20200117"/>
    <n v="252"/>
    <n v="0"/>
    <n v="252"/>
    <n v="900006186"/>
    <s v="COMISION RVA 19877482 CHANEL THIERRY"/>
    <n v="252"/>
    <s v="25.02.2020"/>
    <s v="TRANSFERENCIA"/>
    <n v="900022506"/>
    <s v="BOFA"/>
    <s v="BofA RCD 89805242886"/>
    <n v="340921790"/>
    <s v="SOLI3409"/>
  </r>
  <r>
    <n v="3402"/>
    <s v="15.01.2020"/>
    <n v="2020"/>
    <d v="2020-01-01T00:00:00"/>
    <n v="1"/>
    <n v="200041145"/>
    <s v="WE"/>
    <n v="81"/>
    <x v="3"/>
    <x v="0"/>
    <x v="3"/>
    <n v="49700"/>
    <s v="MXN"/>
    <n v="49700"/>
    <x v="0"/>
    <x v="0"/>
    <m/>
    <s v="118291E0-651A-4E69-A868-3DA64924DC20"/>
    <s v="OISF711126FU8"/>
    <n v="606552"/>
    <s v="ORDINOLA SOTELO FABIO"/>
    <m/>
    <m/>
    <s v="15.01.2020"/>
    <s v="FACT 184"/>
    <n v="20200115"/>
    <n v="49700"/>
    <n v="7952"/>
    <n v="57652"/>
    <n v="200041365"/>
    <s v="servicio cetreria control aves ene"/>
    <n v="57652"/>
    <s v="07.08.2020"/>
    <s v="TRANSFERENCIA"/>
    <m/>
    <s v="HSBC"/>
    <s v="HSBC 004053489092 TP"/>
    <n v="340225490"/>
    <s v="SOLI1102"/>
  </r>
  <r>
    <n v="3401"/>
    <s v="15.01.2020"/>
    <n v="2020"/>
    <d v="2020-01-01T00:00:00"/>
    <n v="1"/>
    <n v="100014881"/>
    <s v="WE"/>
    <n v="81"/>
    <x v="0"/>
    <x v="0"/>
    <x v="0"/>
    <n v="52892"/>
    <s v="MXN"/>
    <n v="52892"/>
    <x v="0"/>
    <x v="0"/>
    <m/>
    <s v="27DFA65C-1D63-41B7-9350-ADC68088A10C"/>
    <s v="CSS160330CP7"/>
    <n v="107211"/>
    <s v="CFE SUMINISTRADOR DE SERVICIOS"/>
    <m/>
    <m/>
    <s v="15.01.2020"/>
    <n v="4501216248"/>
    <s v="WH000533227437"/>
    <n v="52892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0"/>
    <s v="15.01.2020"/>
    <n v="2020"/>
    <d v="2020-01-01T00:00:00"/>
    <n v="1"/>
    <n v="100004363"/>
    <s v="WE"/>
    <n v="81"/>
    <x v="0"/>
    <x v="0"/>
    <x v="0"/>
    <n v="18276.38"/>
    <s v="MXN"/>
    <n v="18276.38"/>
    <x v="0"/>
    <x v="0"/>
    <m/>
    <s v="8A0A6FA0-25BB-46E0-87E9-8518C7CE0A65"/>
    <s v="CSS160330CP7"/>
    <n v="107211"/>
    <s v="CFE SUMINISTRADOR DE SERVICIOS"/>
    <m/>
    <m/>
    <s v="15.01.2020"/>
    <n v="-780130403722"/>
    <n v="20200115"/>
    <n v="18276.38"/>
    <n v="2924.2208000000001"/>
    <n v="21200.6008"/>
    <n v="100004526"/>
    <s v="SERV LUZ ENERO 14 LA 16"/>
    <n v="21200.6008"/>
    <s v="21.01.2020"/>
    <s v="TRANSFERENCIA"/>
    <m/>
    <s v="HSBC "/>
    <s v="HSBC 004053489092 TP"/>
    <n v="340041450"/>
    <s v="CTRUJILLO"/>
  </r>
  <r>
    <n v="3400"/>
    <s v="15.01.2020"/>
    <n v="2020"/>
    <d v="2020-01-01T00:00:00"/>
    <n v="1"/>
    <n v="100004367"/>
    <s v="WE"/>
    <n v="81"/>
    <x v="0"/>
    <x v="0"/>
    <x v="0"/>
    <n v="913.81"/>
    <s v="MXN"/>
    <n v="913.81"/>
    <x v="0"/>
    <x v="0"/>
    <m/>
    <s v="8A0A6FA0-25BB-46E0-87E9-8518C7CE0A65"/>
    <s v="CSS160330CP7"/>
    <n v="107211"/>
    <s v="CFE SUMINISTRADOR DE SERVICIOS"/>
    <m/>
    <m/>
    <s v="15.01.2020"/>
    <n v="-780130403722"/>
    <n v="20200115"/>
    <n v="913.81"/>
    <n v="0"/>
    <n v="913.81"/>
    <n v="100004526"/>
    <s v="SERV LUZ ENERO ALUMBRADO"/>
    <n v="913.81"/>
    <s v="21.01.2020"/>
    <s v="TRANSFERENCIA"/>
    <m/>
    <s v="HSBC "/>
    <s v="HSBC 004053489092 TP"/>
    <n v="340041450"/>
    <s v="CTRUJILLO"/>
  </r>
  <r>
    <n v="3400"/>
    <s v="15.01.2020"/>
    <n v="2020"/>
    <d v="2020-01-01T00:00:00"/>
    <n v="1"/>
    <n v="100004368"/>
    <s v="WE"/>
    <n v="81"/>
    <x v="0"/>
    <x v="0"/>
    <x v="0"/>
    <n v="9811.6299999999992"/>
    <s v="MXN"/>
    <n v="9811.6299999999992"/>
    <x v="0"/>
    <x v="0"/>
    <m/>
    <s v="77531E7A-8070-4F32-B40D-8CD81FB98472"/>
    <s v="CSS160330CP7"/>
    <n v="107211"/>
    <s v="CFE SUMINISTRADOR DE SERVICIOS"/>
    <m/>
    <m/>
    <s v="15.01.2020"/>
    <n v="-780180102898"/>
    <n v="20200115"/>
    <n v="9811.6299999999992"/>
    <n v="1569.8607999999999"/>
    <n v="11381.4908"/>
    <n v="100004524"/>
    <s v="SERV LUZ ENERO 21"/>
    <n v="11381.4908"/>
    <s v="21.01.2020"/>
    <s v="TRANSFERENCIA"/>
    <m/>
    <s v="HSBC "/>
    <s v="HSBC 004053489092 TP"/>
    <n v="340041450"/>
    <s v="CTRUJILLO"/>
  </r>
  <r>
    <n v="3400"/>
    <s v="15.01.2020"/>
    <n v="2020"/>
    <d v="2020-01-01T00:00:00"/>
    <n v="1"/>
    <n v="100004369"/>
    <s v="WE"/>
    <n v="81"/>
    <x v="0"/>
    <x v="0"/>
    <x v="0"/>
    <n v="490.58"/>
    <s v="MXN"/>
    <n v="490.58"/>
    <x v="0"/>
    <x v="0"/>
    <m/>
    <s v="77531E7A-8070-4F32-B40D-8CD81FB98472"/>
    <s v="CSS160330CP7"/>
    <n v="107211"/>
    <s v="CFE SUMINISTRADOR DE SERVICIOS"/>
    <m/>
    <m/>
    <s v="15.01.2020"/>
    <n v="-780180102898"/>
    <n v="20200115"/>
    <n v="490.58"/>
    <n v="0"/>
    <n v="490.58"/>
    <n v="100004524"/>
    <s v="SERV LUZ ENERO ALUMBRADO"/>
    <n v="490.58"/>
    <s v="21.01.2020"/>
    <s v="TRANSFERENCIA"/>
    <m/>
    <s v="HSBC "/>
    <s v="HSBC 004053489092 TP"/>
    <n v="340041450"/>
    <s v="CTRUJILLO"/>
  </r>
  <r>
    <n v="3400"/>
    <s v="15.01.2020"/>
    <n v="2020"/>
    <d v="2020-01-01T00:00:00"/>
    <n v="1"/>
    <n v="100004370"/>
    <s v="WE"/>
    <n v="81"/>
    <x v="0"/>
    <x v="0"/>
    <x v="0"/>
    <n v="9507.9500000000007"/>
    <s v="MXN"/>
    <n v="9507.9500000000007"/>
    <x v="0"/>
    <x v="0"/>
    <m/>
    <s v="D04C89F4-16AE-4BB7-ACA3-F036479A2370"/>
    <s v="CSS160330CP7"/>
    <n v="107211"/>
    <s v="CFE SUMINISTRADOR DE SERVICIOS"/>
    <m/>
    <m/>
    <s v="15.01.2020"/>
    <n v="-780180102880"/>
    <n v="20200115"/>
    <n v="9507.9500000000007"/>
    <n v="1521.2720000000002"/>
    <n v="11029.222000000002"/>
    <n v="100004525"/>
    <s v="SERV LUZ ENERO 22"/>
    <n v="11029.222000000002"/>
    <s v="21.01.2020"/>
    <s v="TRANSFERENCIA"/>
    <m/>
    <s v="HSBC "/>
    <s v="HSBC 004053489092 TP"/>
    <n v="340041450"/>
    <s v="CTRUJILLO"/>
  </r>
  <r>
    <n v="3400"/>
    <s v="15.01.2020"/>
    <n v="2020"/>
    <d v="2020-01-01T00:00:00"/>
    <n v="1"/>
    <n v="100004374"/>
    <s v="WE"/>
    <n v="81"/>
    <x v="0"/>
    <x v="0"/>
    <x v="0"/>
    <n v="475.39"/>
    <s v="MXN"/>
    <n v="475.39"/>
    <x v="0"/>
    <x v="0"/>
    <m/>
    <s v="D04C89F4-16AE-4BB7-ACA3-F036479A2370"/>
    <s v="CSS160330CP7"/>
    <n v="107211"/>
    <s v="CFE SUMINISTRADOR DE SERVICIOS"/>
    <m/>
    <m/>
    <s v="15.01.2020"/>
    <n v="-780180102880"/>
    <n v="20200115"/>
    <n v="475.39"/>
    <n v="0"/>
    <n v="475.39"/>
    <n v="100004525"/>
    <s v="SERV LUZ ENERO ALUMBRADO"/>
    <n v="475.39"/>
    <s v="21.01.2020"/>
    <s v="TRANSFERENCIA"/>
    <m/>
    <s v="HSBC "/>
    <s v="HSBC 004053489092 TP"/>
    <n v="340041450"/>
    <s v="CTRUJILLO"/>
  </r>
  <r>
    <n v="3400"/>
    <s v="15.01.2020"/>
    <n v="2020"/>
    <d v="2020-01-01T00:00:00"/>
    <n v="1"/>
    <n v="100004390"/>
    <s v="WE"/>
    <n v="81"/>
    <x v="0"/>
    <x v="0"/>
    <x v="0"/>
    <n v="5698.94"/>
    <s v="MXN"/>
    <n v="5698.94"/>
    <x v="0"/>
    <x v="0"/>
    <m/>
    <s v="B062957A-21B8-4887-AF92-BA6B77097CBB"/>
    <s v="CSS160330CP7"/>
    <n v="107211"/>
    <s v="CFE SUMINISTRADOR DE SERVICIOS"/>
    <m/>
    <m/>
    <s v="15.01.2020"/>
    <n v="-780180102863"/>
    <n v="20200115"/>
    <n v="5698.94"/>
    <n v="911.83039999999994"/>
    <n v="6610.7703999999994"/>
    <n v="100004526"/>
    <s v="SERV LUZ ENERO LOC 24 Y 25"/>
    <n v="6610.7703999999994"/>
    <s v="21.01.2020"/>
    <s v="TRANSFERENCIA"/>
    <m/>
    <s v="HSBC "/>
    <s v="HSBC 004053489092 TP"/>
    <n v="340041450"/>
    <s v="CTRUJILLO"/>
  </r>
  <r>
    <n v="3400"/>
    <s v="15.01.2020"/>
    <n v="2020"/>
    <d v="2020-01-01T00:00:00"/>
    <n v="1"/>
    <n v="100004396"/>
    <s v="WE"/>
    <n v="81"/>
    <x v="0"/>
    <x v="0"/>
    <x v="0"/>
    <n v="284.94"/>
    <s v="MXN"/>
    <n v="284.94"/>
    <x v="0"/>
    <x v="0"/>
    <m/>
    <s v="B062957A-21B8-4887-AF92-BA6B77097CBB"/>
    <s v="CSS160330CP7"/>
    <n v="107211"/>
    <s v="CFE SUMINISTRADOR DE SERVICIOS"/>
    <m/>
    <m/>
    <s v="15.01.2020"/>
    <n v="-780180102863"/>
    <n v="20200115"/>
    <n v="284.94"/>
    <n v="0"/>
    <n v="284.94"/>
    <n v="100004526"/>
    <s v="SERV LUZ ENERO ALUMBRADO"/>
    <n v="284.94"/>
    <s v="21.01.2020"/>
    <s v="TRANSFERENCIA"/>
    <m/>
    <s v="HSBC "/>
    <s v="HSBC 004053489092 TP"/>
    <n v="340041450"/>
    <s v="CTRUJILLO"/>
  </r>
  <r>
    <n v="3400"/>
    <s v="15.01.2020"/>
    <n v="2020"/>
    <d v="2020-01-01T00:00:00"/>
    <n v="1"/>
    <n v="100004513"/>
    <s v="WE"/>
    <n v="81"/>
    <x v="0"/>
    <x v="0"/>
    <x v="0"/>
    <n v="9858.7999999999993"/>
    <s v="MXN"/>
    <n v="9858.7999999999993"/>
    <x v="0"/>
    <x v="0"/>
    <m/>
    <s v="44466AFF-DE27-4A43-6326-61035E2885CF"/>
    <s v="CSS160330CP7"/>
    <n v="107211"/>
    <s v="CFE SUMINISTRADOR DE SERVICIOS"/>
    <m/>
    <m/>
    <s v="15.01.2020"/>
    <n v="-780120800944"/>
    <n v="20200115"/>
    <n v="9858.7999999999993"/>
    <n v="1577.4079999999999"/>
    <n v="11436.207999999999"/>
    <n v="100004523"/>
    <s v="SERV LUZ ENERO LOC 17"/>
    <n v="11436.207999999999"/>
    <s v="21.01.2020"/>
    <s v="TRANSFERENCIA"/>
    <m/>
    <s v="HSBC "/>
    <s v="HSBC 004053489092 TP"/>
    <n v="340041450"/>
    <s v="CTRUJILLO"/>
  </r>
  <r>
    <n v="3400"/>
    <s v="15.01.2020"/>
    <n v="2020"/>
    <d v="2020-01-01T00:00:00"/>
    <n v="1"/>
    <n v="100004519"/>
    <s v="WE"/>
    <n v="81"/>
    <x v="0"/>
    <x v="0"/>
    <x v="0"/>
    <n v="492.94"/>
    <s v="MXN"/>
    <n v="492.94"/>
    <x v="0"/>
    <x v="0"/>
    <m/>
    <s v="44466AFF-DE27-4A43-6326-61035E2885CF"/>
    <s v="CSS160330CP7"/>
    <n v="107211"/>
    <s v="CFE SUMINISTRADOR DE SERVICIOS"/>
    <m/>
    <m/>
    <s v="15.01.2020"/>
    <n v="-780120800944"/>
    <n v="20200115"/>
    <n v="492.94"/>
    <n v="0"/>
    <n v="492.94"/>
    <n v="100004523"/>
    <s v="SERV LUZ ENERO ALUMBRADO"/>
    <n v="492.94"/>
    <s v="21.01.2020"/>
    <s v="TRANSFERENCIA"/>
    <m/>
    <s v="HSBC "/>
    <s v="HSBC 004053489092 TP"/>
    <n v="340041450"/>
    <s v="CTRUJILLO"/>
  </r>
  <r>
    <n v="3407"/>
    <s v="23.01.2020"/>
    <n v="2020"/>
    <d v="2020-01-01T00:00:00"/>
    <n v="1"/>
    <n v="700025779"/>
    <s v="WE"/>
    <n v="81"/>
    <x v="1"/>
    <x v="0"/>
    <x v="1"/>
    <n v="9260.5499999999993"/>
    <s v="USD"/>
    <n v="173178.77"/>
    <x v="0"/>
    <x v="0"/>
    <m/>
    <s v="N/A Registro proveedor extranjero"/>
    <n v="752738581"/>
    <n v="602358"/>
    <s v="PEGASUS BUSINESS INTELLIGENCE"/>
    <m/>
    <m/>
    <s v="23.01.2020"/>
    <n v="2282584"/>
    <n v="20200123"/>
    <n v="9260.5499999999993"/>
    <n v="0"/>
    <n v="9260.5499999999993"/>
    <n v="700025941"/>
    <s v="COMISION PEGASUS CYCLE END 01/25/20"/>
    <n v="9260.5499999999993"/>
    <s v="29.01.2020"/>
    <s v="TRANSFERENCIA"/>
    <n v="700034623"/>
    <s v="BOFA"/>
    <s v="BofA RCD 89805242886"/>
    <n v="340721790"/>
    <s v="SOLI3407"/>
  </r>
  <r>
    <n v="3402"/>
    <s v="24.01.2020"/>
    <n v="2020"/>
    <d v="2020-01-01T00:00:00"/>
    <n v="1"/>
    <n v="200071729"/>
    <s v="WE"/>
    <n v="81"/>
    <x v="3"/>
    <x v="0"/>
    <x v="3"/>
    <n v="317800"/>
    <s v="MXN"/>
    <n v="317800"/>
    <x v="0"/>
    <x v="0"/>
    <m/>
    <m/>
    <s v="GIS170615IK5"/>
    <n v="109766"/>
    <s v="GRUPO IM DEL SURESTE S DE RL DE CV"/>
    <m/>
    <m/>
    <s v="24.01.2020"/>
    <n v="5227"/>
    <n v="20200124"/>
    <n v="317800"/>
    <n v="50848"/>
    <n v="368648"/>
    <n v="200071850"/>
    <s v="SERV. SEGURIDAD EXTERNO 08 al 19 ENE"/>
    <n v="368648"/>
    <s v="31.01.2020"/>
    <s v="TRANSFERENCIA"/>
    <m/>
    <s v="BBVA"/>
    <s v="BBVAB 00188039070 TP"/>
    <n v="340225290"/>
    <s v="SOLI1102"/>
  </r>
  <r>
    <n v="3402"/>
    <s v="24.01.2020"/>
    <n v="2020"/>
    <d v="2020-01-01T00:00:00"/>
    <n v="1"/>
    <n v="200071875"/>
    <s v="WE"/>
    <n v="81"/>
    <x v="1"/>
    <x v="0"/>
    <x v="1"/>
    <n v="14743.58"/>
    <s v="USD"/>
    <n v="275532.45"/>
    <x v="0"/>
    <x v="0"/>
    <m/>
    <s v="N/A Registro proveedor extranjero"/>
    <n v="593383972"/>
    <n v="600226"/>
    <s v="HARD ROCK CAFE INTERNATIONAL INC."/>
    <m/>
    <m/>
    <s v="24.01.2020"/>
    <s v="4181219CRS"/>
    <n v="20200124"/>
    <n v="14743.58"/>
    <n v="0"/>
    <n v="14743.58"/>
    <n v="200071893"/>
    <s v="Services Fee Dic 2019 HRI"/>
    <n v="13403.254545454543"/>
    <s v="05.02.2020"/>
    <s v="TRANSFERENCIA"/>
    <n v="200126182"/>
    <s v="BOFA"/>
    <s v="BofA RCD 89805242886"/>
    <n v="340210190"/>
    <s v="JURIBE"/>
  </r>
  <r>
    <n v="3401"/>
    <s v="24.01.2020"/>
    <n v="2020"/>
    <d v="2020-01-01T00:00:00"/>
    <n v="1"/>
    <n v="100024208"/>
    <s v="WE"/>
    <n v="81"/>
    <x v="0"/>
    <x v="0"/>
    <x v="0"/>
    <n v="44856"/>
    <s v="MXN"/>
    <n v="44856"/>
    <x v="0"/>
    <x v="0"/>
    <m/>
    <s v="27DFA65C-1D63-41B7-9350-ADC68088A10C"/>
    <s v="CSS160330CP7"/>
    <n v="107211"/>
    <s v="CFE SUMINISTRADOR DE SERVICIOS"/>
    <m/>
    <m/>
    <s v="24.01.2020"/>
    <n v="4501216248"/>
    <s v="WH000533227437"/>
    <n v="44856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1"/>
    <s v="24.01.2020"/>
    <n v="2020"/>
    <d v="2020-01-01T00:00:00"/>
    <n v="1"/>
    <n v="100024209"/>
    <s v="WE"/>
    <n v="81"/>
    <x v="0"/>
    <x v="0"/>
    <x v="0"/>
    <n v="50484"/>
    <s v="MXN"/>
    <n v="50484"/>
    <x v="0"/>
    <x v="0"/>
    <m/>
    <s v="27DFA65C-1D63-41B7-9350-ADC68088A10C"/>
    <s v="CSS160330CP7"/>
    <n v="107211"/>
    <s v="CFE SUMINISTRADOR DE SERVICIOS"/>
    <m/>
    <m/>
    <s v="24.01.2020"/>
    <n v="4501216248"/>
    <s v="WH000533227437"/>
    <n v="50484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7"/>
    <s v="24.01.2020"/>
    <n v="2020"/>
    <d v="2020-01-01T00:00:00"/>
    <n v="1"/>
    <n v="700027500"/>
    <s v="WE"/>
    <n v="81"/>
    <x v="3"/>
    <x v="0"/>
    <x v="3"/>
    <n v="2430"/>
    <s v="USD"/>
    <n v="45412.57"/>
    <x v="0"/>
    <x v="0"/>
    <m/>
    <s v="N/A Registro proveedor extranjero"/>
    <s v="XEXX0101010"/>
    <n v="101128"/>
    <s v="HARD ROCK LIMITED."/>
    <m/>
    <m/>
    <s v="24.01.2020"/>
    <s v="5000819NSF"/>
    <n v="20200124"/>
    <n v="2430"/>
    <n v="0"/>
    <n v="2430"/>
    <n v="700028121"/>
    <s v="Audit NSF Hard Rock"/>
    <n v="2430"/>
    <s v="05.02.2020"/>
    <s v="TRANSFERENCIA"/>
    <m/>
    <s v="BOFA"/>
    <s v="BofA RCD 89805242886"/>
    <n v="340712290"/>
    <s v="CGUTIERREZ"/>
  </r>
  <r>
    <n v="3401"/>
    <s v="21.01.2020"/>
    <n v="2020"/>
    <d v="2020-01-01T00:00:00"/>
    <n v="1"/>
    <n v="100020665"/>
    <s v="WE"/>
    <n v="81"/>
    <x v="2"/>
    <x v="0"/>
    <x v="2"/>
    <n v="168589.96"/>
    <s v="USD"/>
    <n v="3159173.54"/>
    <x v="0"/>
    <x v="0"/>
    <m/>
    <s v="N/A Registro proveedor extranjero"/>
    <s v="XEXX0101010"/>
    <n v="101128"/>
    <s v="HARD ROCK LIMITED."/>
    <m/>
    <m/>
    <s v="16.01.2020"/>
    <s v="4161219R"/>
    <s v="4161219R"/>
    <n v="168589.96"/>
    <n v="0"/>
    <n v="168589.96"/>
    <n v="100020671"/>
    <s v="REGALIAS LICENCIA TARIFAS HOTEL 3%"/>
    <n v="134871.96799999999"/>
    <s v="05.02.2020"/>
    <s v="TRANSFERENCIA"/>
    <m/>
    <s v="BOFA"/>
    <s v="BofA RCD 89805242886"/>
    <n v="340121790"/>
    <s v="CXP2"/>
  </r>
  <r>
    <n v="3401"/>
    <s v="21.01.2020"/>
    <n v="2020"/>
    <d v="2020-01-01T00:00:00"/>
    <n v="1"/>
    <n v="100020666"/>
    <s v="WE"/>
    <n v="81"/>
    <x v="2"/>
    <x v="0"/>
    <x v="2"/>
    <n v="8295.15"/>
    <s v="USD"/>
    <n v="155441.16"/>
    <x v="0"/>
    <x v="0"/>
    <m/>
    <s v="N/A Registro proveedor extranjero"/>
    <s v="XEXX0101010"/>
    <n v="101128"/>
    <s v="HARD ROCK LIMITED."/>
    <m/>
    <m/>
    <s v="16.01.2020"/>
    <s v="4161219R"/>
    <s v="4161219R"/>
    <n v="8295.15"/>
    <n v="0"/>
    <n v="8295.15"/>
    <n v="100020671"/>
    <s v="REGALIAS VENTAS POR MENOR 10%"/>
    <n v="6636.12"/>
    <s v="05.02.2020"/>
    <s v="TRANSFERENCIA"/>
    <m/>
    <s v="BOFA"/>
    <s v="BofA RCD 89805242886"/>
    <n v="340170123"/>
    <s v="CXP2"/>
  </r>
  <r>
    <n v="3401"/>
    <s v="21.01.2020"/>
    <n v="2020"/>
    <d v="2020-01-01T00:00:00"/>
    <n v="1"/>
    <n v="100020854"/>
    <s v="WE"/>
    <n v="81"/>
    <x v="0"/>
    <x v="0"/>
    <x v="0"/>
    <n v="50484"/>
    <s v="MXN"/>
    <n v="50484"/>
    <x v="0"/>
    <x v="0"/>
    <m/>
    <s v="27DFA65C-1D63-41B7-9350-ADC68088A10C"/>
    <s v="CSS160330CP7"/>
    <n v="107211"/>
    <s v="CFE SUMINISTRADOR DE SERVICIOS"/>
    <m/>
    <m/>
    <s v="21.01.2020"/>
    <n v="4501216248"/>
    <s v="WH000533227437"/>
    <n v="50484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9"/>
    <s v="21.01.2020"/>
    <n v="2020"/>
    <d v="2020-01-01T00:00:00"/>
    <n v="1"/>
    <n v="900007290"/>
    <s v="WE"/>
    <n v="81"/>
    <x v="1"/>
    <x v="0"/>
    <x v="1"/>
    <n v="1952.64"/>
    <s v="MXN"/>
    <n v="1952.64"/>
    <x v="0"/>
    <x v="0"/>
    <m/>
    <s v="229168A1-7138-5953-8D9D-9F9B36E41721"/>
    <s v="VIN841210F32"/>
    <n v="801037"/>
    <s v="VIAJES INTERMEX SA DE CV"/>
    <m/>
    <m/>
    <s v="21.01.2020"/>
    <s v="FACT FC3 2104"/>
    <n v="20200121"/>
    <n v="1952.64"/>
    <n v="312.42240000000004"/>
    <n v="2265.0624000000003"/>
    <n v="900008158"/>
    <s v="Comision Rva 9977865 - Viajes Intermex"/>
    <n v="2265.0624000000003"/>
    <s v="29.01.2020"/>
    <s v="TRANSFERENCIA"/>
    <n v="900009857"/>
    <s v="BBVA"/>
    <s v="BBVAB 00188039070 TP"/>
    <n v="340921790"/>
    <s v="SOLI3409"/>
  </r>
  <r>
    <n v="3401"/>
    <s v="28.01.2020"/>
    <n v="2020"/>
    <d v="2020-01-01T00:00:00"/>
    <n v="1"/>
    <n v="100027969"/>
    <s v="WE"/>
    <n v="81"/>
    <x v="0"/>
    <x v="0"/>
    <x v="0"/>
    <n v="50484"/>
    <s v="MXN"/>
    <n v="50484"/>
    <x v="0"/>
    <x v="0"/>
    <m/>
    <s v="27DFA65C-1D63-41B7-9350-ADC68088A10C"/>
    <s v="CSS160330CP7"/>
    <n v="107211"/>
    <s v="CFE SUMINISTRADOR DE SERVICIOS"/>
    <m/>
    <m/>
    <s v="28.01.2020"/>
    <n v="4501216248"/>
    <s v="WH000533227437"/>
    <n v="50484"/>
    <m/>
    <m/>
    <n v="100036889"/>
    <s v="CONSUMO ENERGIA ENERO 2020"/>
    <n v="0"/>
    <s v="06.0+AI1661:AI17142.2020"/>
    <s v="TRANSFERENCIA"/>
    <m/>
    <s v="HSBC "/>
    <s v="HSBC 004053489092 TP"/>
    <n v="340118590"/>
    <s v="MANTTO_MEX"/>
  </r>
  <r>
    <n v="3403"/>
    <s v="28.01.2020"/>
    <n v="2020"/>
    <d v="2020-01-01T00:00:00"/>
    <n v="1"/>
    <n v="300015540"/>
    <s v="WE"/>
    <n v="81"/>
    <x v="4"/>
    <x v="0"/>
    <x v="4"/>
    <n v="6100.02"/>
    <s v="MXN"/>
    <n v="6100.02"/>
    <x v="0"/>
    <x v="0"/>
    <m/>
    <s v="4CA63134-3809-48C2-847E-D054AA4F074B"/>
    <s v="CME190128AY7"/>
    <n v="109624"/>
    <s v="COOKINGCLEAN DE MEXICO SA DE CV"/>
    <m/>
    <m/>
    <s v="28.01.2020"/>
    <n v="476"/>
    <n v="4501226973"/>
    <n v="6100.02"/>
    <n v="976.00320000000011"/>
    <n v="7076.0232000000005"/>
    <n v="300016348"/>
    <s v="SERV.EQUIPO DESINCRUSTANTE ENE 2020"/>
    <n v="7076.0232000000005"/>
    <s v="23.11.2020"/>
    <s v="TRANSFERENCIA"/>
    <m/>
    <s v="HSBC "/>
    <s v="HSBC 004053489092 TP"/>
    <n v="340312890"/>
    <s v="SOLI1103"/>
  </r>
  <r>
    <n v="3402"/>
    <s v="28.01.2020"/>
    <n v="2020"/>
    <d v="2020-01-01T00:00:00"/>
    <n v="1"/>
    <n v="200091776"/>
    <s v="WE"/>
    <n v="81"/>
    <x v="3"/>
    <x v="0"/>
    <x v="3"/>
    <n v="30524.48"/>
    <s v="MXN"/>
    <n v="30524.48"/>
    <x v="0"/>
    <x v="0"/>
    <m/>
    <s v="4212A6A7-52DA-4CD3-B6B3-A9EB0E49A56F"/>
    <s v="MOFR810207T10"/>
    <n v="606476"/>
    <s v="MORALES FLORES RICARDO JAVIER"/>
    <m/>
    <m/>
    <s v="28.01.2020"/>
    <s v="FOLIO 105"/>
    <n v="20200128"/>
    <n v="30524.48"/>
    <n v="4883.9168"/>
    <n v="35408.396800000002"/>
    <n v="200124279"/>
    <s v="elaboracion diagnostico y plan de manejo"/>
    <n v="35408.396800000002"/>
    <s v="17.02.2020"/>
    <s v="TRANSFERENCIA"/>
    <m/>
    <s v="BBVA"/>
    <s v="BBVAB 00188039070 TP"/>
    <n v="340225490"/>
    <s v="SOLI1102"/>
  </r>
  <r>
    <n v="3407"/>
    <s v="28.01.2020"/>
    <n v="2020"/>
    <d v="2020-01-01T00:00:00"/>
    <n v="1"/>
    <n v="700032933"/>
    <s v="WE"/>
    <n v="81"/>
    <x v="0"/>
    <x v="0"/>
    <x v="0"/>
    <n v="3557319.57"/>
    <s v="MXN"/>
    <n v="3557319.57"/>
    <x v="0"/>
    <x v="0"/>
    <m/>
    <s v="8C50D87A-B0AB-4AAF-A8F3-A79EB662C481"/>
    <s v="CSS160330CP7"/>
    <n v="107211"/>
    <s v="CFE SUMINISTRADOR DE SERVICIOS"/>
    <m/>
    <m/>
    <s v="28.01.2020"/>
    <s v="AG000029644824"/>
    <n v="20200128"/>
    <n v="3557319.57"/>
    <n v="569171.13119999995"/>
    <n v="4082382"/>
    <n v="700042411"/>
    <s v="CFE ENERO 2020"/>
    <n v="4082382"/>
    <s v="06.02.2020"/>
    <s v="TRANSFERENCIA"/>
    <m/>
    <s v="HSBC "/>
    <s v="HSBC 004053489092 TP"/>
    <n v="340718590"/>
    <s v="SOLI3407"/>
  </r>
  <r>
    <n v="3403"/>
    <s v="02.01.2020"/>
    <n v="2020"/>
    <d v="2020-01-01T00:00:00"/>
    <n v="1"/>
    <n v="300017003"/>
    <s v="WE"/>
    <n v="81"/>
    <x v="0"/>
    <x v="0"/>
    <x v="0"/>
    <n v="38384.019999999997"/>
    <s v="MXN"/>
    <n v="38384.019999999997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38384.019999999997"/>
    <n v="6141.4431999999997"/>
    <n v="44525.463199999998"/>
    <n v="300021003"/>
    <s v="Electricidad HRV 01 Enero 2020"/>
    <n v="44525.463199999998"/>
    <s v="06.02.2020"/>
    <s v="TRANSFERENCIA"/>
    <m/>
    <s v="HSBC "/>
    <s v="HSBC 004053489092 TP"/>
    <n v="340318590"/>
    <s v="SOLI1103"/>
  </r>
  <r>
    <n v="3403"/>
    <s v="02.01.2020"/>
    <n v="2020"/>
    <d v="2020-01-01T00:00:00"/>
    <n v="3"/>
    <n v="300017003"/>
    <s v="WE"/>
    <n v="81"/>
    <x v="0"/>
    <x v="0"/>
    <x v="0"/>
    <n v="45342"/>
    <s v="MXN"/>
    <n v="45342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5342"/>
    <n v="7254.72"/>
    <n v="52596.72"/>
    <n v="300021003"/>
    <s v="Electricidad HRV 02 Enero 2020"/>
    <n v="52596.72"/>
    <s v="06.02.2020"/>
    <s v="TRANSFERENCIA"/>
    <m/>
    <s v="HSBC "/>
    <s v="HSBC 004053489092 TP"/>
    <n v="340318590"/>
    <s v="SOLI1103"/>
  </r>
  <r>
    <n v="3403"/>
    <s v="02.01.2020"/>
    <n v="2020"/>
    <d v="2020-01-01T00:00:00"/>
    <n v="5"/>
    <n v="300017003"/>
    <s v="WE"/>
    <n v="81"/>
    <x v="0"/>
    <x v="0"/>
    <x v="0"/>
    <n v="44719"/>
    <s v="MXN"/>
    <n v="44719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4719"/>
    <n v="7155.04"/>
    <n v="51874.04"/>
    <n v="300021003"/>
    <s v="Electricidad HRV 03 Enero 2020"/>
    <n v="51874.04"/>
    <s v="06.02.2020"/>
    <s v="TRANSFERENCIA"/>
    <m/>
    <s v="HSBC "/>
    <s v="HSBC 004053489092 TP"/>
    <n v="340318590"/>
    <s v="SOLI1103"/>
  </r>
  <r>
    <n v="3403"/>
    <s v="02.01.2020"/>
    <n v="2020"/>
    <d v="2020-01-01T00:00:00"/>
    <n v="7"/>
    <n v="300017003"/>
    <s v="WE"/>
    <n v="81"/>
    <x v="0"/>
    <x v="0"/>
    <x v="0"/>
    <n v="43732"/>
    <s v="MXN"/>
    <n v="43732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3732"/>
    <n v="6997.12"/>
    <n v="50729.120000000003"/>
    <n v="300021003"/>
    <s v="Electricidad HRV 04 Enero 2020"/>
    <n v="50729.120000000003"/>
    <s v="06.02.2020"/>
    <s v="TRANSFERENCIA"/>
    <m/>
    <s v="HSBC "/>
    <s v="HSBC 004053489092 TP"/>
    <n v="340318590"/>
    <s v="SOLI1103"/>
  </r>
  <r>
    <n v="3403"/>
    <s v="02.01.2020"/>
    <n v="2020"/>
    <d v="2020-01-01T00:00:00"/>
    <n v="9"/>
    <n v="300017003"/>
    <s v="WE"/>
    <n v="81"/>
    <x v="0"/>
    <x v="0"/>
    <x v="0"/>
    <n v="37985.019999999997"/>
    <s v="MXN"/>
    <n v="37985.019999999997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37985.019999999997"/>
    <n v="6077.6031999999996"/>
    <n v="44062.623199999995"/>
    <n v="300021003"/>
    <s v="Electricidad HRV 05 Enero 2020"/>
    <n v="44062.623199999995"/>
    <s v="06.02.2020"/>
    <s v="TRANSFERENCIA"/>
    <m/>
    <s v="HSBC "/>
    <s v="HSBC 004053489092 TP"/>
    <n v="340318590"/>
    <s v="SOLI1103"/>
  </r>
  <r>
    <n v="3403"/>
    <s v="02.01.2020"/>
    <n v="2020"/>
    <d v="2020-01-01T00:00:00"/>
    <n v="11"/>
    <n v="300017003"/>
    <s v="WE"/>
    <n v="81"/>
    <x v="0"/>
    <x v="0"/>
    <x v="0"/>
    <n v="45013"/>
    <s v="MXN"/>
    <n v="45013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5013"/>
    <n v="7202.08"/>
    <n v="52215.08"/>
    <n v="300021003"/>
    <s v="Electricidad HRV 06 Enero 2020"/>
    <n v="52215.08"/>
    <s v="06.02.2020"/>
    <s v="TRANSFERENCIA"/>
    <m/>
    <s v="HSBC "/>
    <s v="HSBC 004053489092 TP"/>
    <n v="340318590"/>
    <s v="SOLI1103"/>
  </r>
  <r>
    <n v="3403"/>
    <s v="02.01.2020"/>
    <n v="2020"/>
    <d v="2020-01-01T00:00:00"/>
    <n v="13"/>
    <n v="300017003"/>
    <s v="WE"/>
    <n v="81"/>
    <x v="0"/>
    <x v="0"/>
    <x v="0"/>
    <n v="46504"/>
    <s v="MXN"/>
    <n v="46504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6504"/>
    <n v="7440.64"/>
    <n v="53944.639999999999"/>
    <n v="300021003"/>
    <s v="Electricidad HRV 07 Enero 2020"/>
    <n v="53944.639999999999"/>
    <s v="06.02.2020"/>
    <s v="TRANSFERENCIA"/>
    <m/>
    <s v="HSBC "/>
    <s v="HSBC 004053489092 TP"/>
    <n v="340318590"/>
    <s v="SOLI1103"/>
  </r>
  <r>
    <n v="3403"/>
    <s v="02.01.2020"/>
    <n v="2020"/>
    <d v="2020-01-01T00:00:00"/>
    <n v="15"/>
    <n v="300017003"/>
    <s v="WE"/>
    <n v="81"/>
    <x v="0"/>
    <x v="0"/>
    <x v="0"/>
    <n v="47358"/>
    <s v="MXN"/>
    <n v="47358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7358"/>
    <n v="7577.28"/>
    <n v="54935.28"/>
    <n v="300021003"/>
    <s v="Electricidad HRV 08 Enero 2020"/>
    <n v="54935.28"/>
    <s v="06.02.2020"/>
    <s v="TRANSFERENCIA"/>
    <m/>
    <s v="HSBC "/>
    <s v="HSBC 004053489092 TP"/>
    <n v="340318590"/>
    <s v="SOLI1103"/>
  </r>
  <r>
    <n v="3403"/>
    <s v="02.01.2020"/>
    <n v="2020"/>
    <d v="2020-01-01T00:00:00"/>
    <n v="17"/>
    <n v="300017003"/>
    <s v="WE"/>
    <n v="81"/>
    <x v="0"/>
    <x v="0"/>
    <x v="0"/>
    <n v="47372"/>
    <s v="MXN"/>
    <n v="47372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7372"/>
    <n v="7579.52"/>
    <n v="54951.520000000004"/>
    <n v="300021003"/>
    <s v="Electricidad HRV 09 Enero 2020"/>
    <n v="54951.520000000004"/>
    <s v="06.02.2020"/>
    <s v="TRANSFERENCIA"/>
    <m/>
    <s v="HSBC "/>
    <s v="HSBC 004053489092 TP"/>
    <n v="340318590"/>
    <s v="SOLI1103"/>
  </r>
  <r>
    <n v="3403"/>
    <s v="02.01.2020"/>
    <n v="2020"/>
    <d v="2020-01-01T00:00:00"/>
    <n v="19"/>
    <n v="300017003"/>
    <s v="WE"/>
    <n v="81"/>
    <x v="0"/>
    <x v="0"/>
    <x v="0"/>
    <n v="47421"/>
    <s v="MXN"/>
    <n v="47421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7421"/>
    <n v="7587.3600000000006"/>
    <n v="55008.36"/>
    <n v="300021003"/>
    <s v="Electricidad HRV 10 Enero 2020"/>
    <n v="55008.36"/>
    <s v="06.02.2020"/>
    <s v="TRANSFERENCIA"/>
    <m/>
    <s v="HSBC "/>
    <s v="HSBC 004053489092 TP"/>
    <n v="340318590"/>
    <s v="SOLI1103"/>
  </r>
  <r>
    <n v="3403"/>
    <s v="02.01.2020"/>
    <n v="2020"/>
    <d v="2020-01-01T00:00:00"/>
    <n v="21"/>
    <n v="300017003"/>
    <s v="WE"/>
    <n v="81"/>
    <x v="0"/>
    <x v="0"/>
    <x v="0"/>
    <n v="49864"/>
    <s v="MXN"/>
    <n v="49864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9864"/>
    <n v="7978.24"/>
    <n v="57842.239999999998"/>
    <n v="300021003"/>
    <s v="Electricidad HRV 11 Enero 2020"/>
    <n v="57842.239999999998"/>
    <s v="06.02.2020"/>
    <s v="TRANSFERENCIA"/>
    <m/>
    <s v="HSBC "/>
    <s v="HSBC 004053489092 TP"/>
    <n v="340318590"/>
    <s v="SOLI1103"/>
  </r>
  <r>
    <n v="3403"/>
    <s v="02.01.2020"/>
    <n v="2020"/>
    <d v="2020-01-01T00:00:00"/>
    <n v="23"/>
    <n v="300017003"/>
    <s v="WE"/>
    <n v="81"/>
    <x v="0"/>
    <x v="0"/>
    <x v="0"/>
    <n v="35549.019999999997"/>
    <s v="MXN"/>
    <n v="35549.019999999997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35549.019999999997"/>
    <n v="5687.8431999999993"/>
    <n v="41236.863199999993"/>
    <n v="300021003"/>
    <s v="Electricidad HRV 12 Enero 2020"/>
    <n v="41236.863199999993"/>
    <s v="06.02.2020"/>
    <s v="TRANSFERENCIA"/>
    <m/>
    <s v="HSBC "/>
    <s v="HSBC 004053489092 TP"/>
    <n v="340318590"/>
    <s v="SOLI1103"/>
  </r>
  <r>
    <n v="3403"/>
    <s v="02.01.2020"/>
    <n v="2020"/>
    <d v="2020-01-01T00:00:00"/>
    <n v="25"/>
    <n v="300017003"/>
    <s v="WE"/>
    <n v="81"/>
    <x v="0"/>
    <x v="0"/>
    <x v="0"/>
    <n v="48471"/>
    <s v="MXN"/>
    <n v="48471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8471"/>
    <n v="7755.3600000000006"/>
    <n v="56226.36"/>
    <n v="300021003"/>
    <s v="Electricidad HRV 13 Enero 2020"/>
    <n v="56226.36"/>
    <s v="06.02.2020"/>
    <s v="TRANSFERENCIA"/>
    <m/>
    <s v="HSBC "/>
    <s v="HSBC 004053489092 TP"/>
    <n v="340318590"/>
    <s v="SOLI1103"/>
  </r>
  <r>
    <n v="3403"/>
    <s v="02.01.2020"/>
    <n v="2020"/>
    <d v="2020-01-01T00:00:00"/>
    <n v="27"/>
    <n v="300017003"/>
    <s v="WE"/>
    <n v="81"/>
    <x v="0"/>
    <x v="0"/>
    <x v="0"/>
    <n v="47799"/>
    <s v="MXN"/>
    <n v="47799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7799"/>
    <n v="7647.84"/>
    <n v="55446.84"/>
    <n v="300021003"/>
    <s v="Electricidad HRV 14 Enero 2020"/>
    <n v="55446.84"/>
    <s v="06.02.2020"/>
    <s v="TRANSFERENCIA"/>
    <m/>
    <s v="HSBC "/>
    <s v="HSBC 004053489092 TP"/>
    <n v="340318590"/>
    <s v="SOLI1103"/>
  </r>
  <r>
    <n v="3403"/>
    <s v="02.01.2020"/>
    <n v="2020"/>
    <d v="2020-01-01T00:00:00"/>
    <n v="29"/>
    <n v="300017003"/>
    <s v="WE"/>
    <n v="81"/>
    <x v="0"/>
    <x v="0"/>
    <x v="0"/>
    <n v="49528"/>
    <s v="MXN"/>
    <n v="49528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9528"/>
    <n v="7924.4800000000005"/>
    <n v="57452.480000000003"/>
    <n v="300021003"/>
    <s v="Electricidad HRV 15 Enero 2020"/>
    <n v="57452.480000000003"/>
    <s v="06.02.2020"/>
    <s v="TRANSFERENCIA"/>
    <m/>
    <s v="HSBC "/>
    <s v="HSBC 004053489092 TP"/>
    <n v="340318590"/>
    <s v="SOLI1103"/>
  </r>
  <r>
    <n v="3403"/>
    <s v="02.01.2020"/>
    <n v="2020"/>
    <d v="2020-01-01T00:00:00"/>
    <n v="31"/>
    <n v="300017003"/>
    <s v="WE"/>
    <n v="81"/>
    <x v="0"/>
    <x v="0"/>
    <x v="0"/>
    <n v="48478"/>
    <s v="MXN"/>
    <n v="48478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8478"/>
    <n v="7756.4800000000005"/>
    <n v="56234.48"/>
    <n v="300021003"/>
    <s v="Electricidad HRV 16 Enero 2020"/>
    <n v="56234.48"/>
    <s v="06.02.2020"/>
    <s v="TRANSFERENCIA"/>
    <m/>
    <s v="HSBC "/>
    <s v="HSBC 004053489092 TP"/>
    <n v="340318590"/>
    <s v="SOLI1103"/>
  </r>
  <r>
    <n v="3403"/>
    <s v="02.01.2020"/>
    <n v="2020"/>
    <d v="2020-01-01T00:00:00"/>
    <n v="33"/>
    <n v="300017003"/>
    <s v="WE"/>
    <n v="81"/>
    <x v="0"/>
    <x v="0"/>
    <x v="0"/>
    <n v="50529"/>
    <s v="MXN"/>
    <n v="50529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50529"/>
    <n v="8084.64"/>
    <n v="58613.64"/>
    <n v="300021003"/>
    <s v="Electricidad HRV 17 Enero 2020"/>
    <n v="58613.64"/>
    <s v="06.02.2020"/>
    <s v="TRANSFERENCIA"/>
    <m/>
    <s v="HSBC "/>
    <s v="HSBC 004053489092 TP"/>
    <n v="340318590"/>
    <s v="SOLI1103"/>
  </r>
  <r>
    <n v="3403"/>
    <s v="02.01.2020"/>
    <n v="2020"/>
    <d v="2020-01-01T00:00:00"/>
    <n v="35"/>
    <n v="300017003"/>
    <s v="WE"/>
    <n v="81"/>
    <x v="0"/>
    <x v="0"/>
    <x v="0"/>
    <n v="48639"/>
    <s v="MXN"/>
    <n v="48639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8639"/>
    <n v="7782.24"/>
    <n v="56421.24"/>
    <n v="300021003"/>
    <s v="Electricidad HRV 18 Enero 2020"/>
    <n v="56421.24"/>
    <s v="06.02.2020"/>
    <s v="TRANSFERENCIA"/>
    <m/>
    <s v="HSBC "/>
    <s v="HSBC 004053489092 TP"/>
    <n v="340318590"/>
    <s v="SOLI1103"/>
  </r>
  <r>
    <n v="3403"/>
    <s v="02.01.2020"/>
    <n v="2020"/>
    <d v="2020-01-01T00:00:00"/>
    <n v="37"/>
    <n v="300017003"/>
    <s v="WE"/>
    <n v="81"/>
    <x v="0"/>
    <x v="0"/>
    <x v="0"/>
    <n v="41415.18"/>
    <s v="MXN"/>
    <n v="41415.18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1415.18"/>
    <n v="6626.4288000000006"/>
    <n v="48041.608800000002"/>
    <n v="300021003"/>
    <s v="Electricidad HRV 19 Enero 2020"/>
    <n v="48041.608800000002"/>
    <s v="06.02.2020"/>
    <s v="TRANSFERENCIA"/>
    <m/>
    <s v="HSBC "/>
    <s v="HSBC 004053489092 TP"/>
    <n v="340318590"/>
    <s v="SOLI1103"/>
  </r>
  <r>
    <n v="3403"/>
    <s v="02.01.2020"/>
    <n v="2020"/>
    <d v="2020-01-01T00:00:00"/>
    <n v="39"/>
    <n v="300017003"/>
    <s v="WE"/>
    <n v="81"/>
    <x v="0"/>
    <x v="0"/>
    <x v="0"/>
    <n v="51467"/>
    <s v="MXN"/>
    <n v="51467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51467"/>
    <n v="8234.7199999999993"/>
    <n v="59701.72"/>
    <n v="300021003"/>
    <s v="Electricidad HRV 20 Enero 2020"/>
    <n v="59701.72"/>
    <s v="06.02.2020"/>
    <s v="TRANSFERENCIA"/>
    <m/>
    <s v="HSBC "/>
    <s v="HSBC 004053489092 TP"/>
    <n v="340318590"/>
    <s v="SOLI1103"/>
  </r>
  <r>
    <n v="3403"/>
    <s v="02.01.2020"/>
    <n v="2020"/>
    <d v="2020-01-01T00:00:00"/>
    <n v="41"/>
    <n v="300017003"/>
    <s v="WE"/>
    <n v="81"/>
    <x v="0"/>
    <x v="0"/>
    <x v="0"/>
    <n v="50536"/>
    <s v="MXN"/>
    <n v="50536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50536"/>
    <n v="8085.76"/>
    <n v="58621.760000000002"/>
    <n v="300021003"/>
    <s v="Electricidad HRV 21 Enero 2020"/>
    <n v="58621.760000000002"/>
    <s v="06.02.2020"/>
    <s v="TRANSFERENCIA"/>
    <m/>
    <s v="HSBC "/>
    <s v="HSBC 004053489092 TP"/>
    <n v="340318590"/>
    <s v="SOLI1103"/>
  </r>
  <r>
    <n v="3403"/>
    <s v="02.01.2020"/>
    <n v="2020"/>
    <d v="2020-01-01T00:00:00"/>
    <n v="43"/>
    <n v="300017003"/>
    <s v="WE"/>
    <n v="81"/>
    <x v="0"/>
    <x v="0"/>
    <x v="0"/>
    <n v="52013"/>
    <s v="MXN"/>
    <n v="52013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52013"/>
    <n v="8322.08"/>
    <n v="60335.08"/>
    <n v="300021003"/>
    <s v="Electricidad HRV 22 Enero 2020"/>
    <n v="60335.08"/>
    <s v="06.02.2020"/>
    <s v="TRANSFERENCIA"/>
    <m/>
    <s v="HSBC "/>
    <s v="HSBC 004053489092 TP"/>
    <n v="340318590"/>
    <s v="SOLI1103"/>
  </r>
  <r>
    <n v="3403"/>
    <s v="02.01.2020"/>
    <n v="2020"/>
    <d v="2020-01-01T00:00:00"/>
    <n v="45"/>
    <n v="300017003"/>
    <s v="WE"/>
    <n v="81"/>
    <x v="0"/>
    <x v="0"/>
    <x v="0"/>
    <n v="50907"/>
    <s v="MXN"/>
    <n v="50907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50907"/>
    <n v="8145.12"/>
    <n v="59052.12"/>
    <n v="300021003"/>
    <s v="Electricidad HRV 23 Enero 2020"/>
    <n v="59052.12"/>
    <s v="06.02.2020"/>
    <s v="TRANSFERENCIA"/>
    <m/>
    <s v="HSBC "/>
    <s v="HSBC 004053489092 TP"/>
    <n v="340318590"/>
    <s v="SOLI1103"/>
  </r>
  <r>
    <n v="3403"/>
    <s v="02.01.2020"/>
    <n v="2020"/>
    <d v="2020-01-01T00:00:00"/>
    <n v="47"/>
    <n v="300017003"/>
    <s v="WE"/>
    <n v="81"/>
    <x v="0"/>
    <x v="0"/>
    <x v="0"/>
    <n v="49682"/>
    <s v="MXN"/>
    <n v="49682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9682"/>
    <n v="7949.12"/>
    <n v="57631.12"/>
    <n v="300021003"/>
    <s v="Electricidad HRV 24 Enero 2020"/>
    <n v="57631.12"/>
    <s v="06.02.2020"/>
    <s v="TRANSFERENCIA"/>
    <m/>
    <s v="HSBC "/>
    <s v="HSBC 004053489092 TP"/>
    <n v="340318590"/>
    <s v="SOLI1103"/>
  </r>
  <r>
    <n v="3403"/>
    <s v="02.01.2020"/>
    <n v="2020"/>
    <d v="2020-01-01T00:00:00"/>
    <n v="49"/>
    <n v="300017003"/>
    <s v="WE"/>
    <n v="81"/>
    <x v="0"/>
    <x v="0"/>
    <x v="0"/>
    <n v="48859"/>
    <s v="MXN"/>
    <n v="48859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8859"/>
    <n v="7817.4400000000005"/>
    <n v="56676.44"/>
    <n v="300021003"/>
    <s v="Electricidad HRV 25 Enero 2020"/>
    <n v="56676.44"/>
    <s v="06.02.2020"/>
    <s v="TRANSFERENCIA"/>
    <m/>
    <s v="HSBC "/>
    <s v="HSBC 004053489092 TP"/>
    <n v="340318590"/>
    <s v="SOLI1103"/>
  </r>
  <r>
    <n v="3403"/>
    <s v="02.01.2020"/>
    <n v="2020"/>
    <d v="2020-01-01T00:00:00"/>
    <n v="51"/>
    <n v="300017003"/>
    <s v="WE"/>
    <n v="81"/>
    <x v="0"/>
    <x v="0"/>
    <x v="0"/>
    <n v="47477"/>
    <s v="MXN"/>
    <n v="47477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7477"/>
    <n v="7596.32"/>
    <n v="55073.32"/>
    <n v="300021003"/>
    <s v="Electricidad HRV 26 Enero 2020"/>
    <n v="55073.32"/>
    <s v="06.02.2020"/>
    <s v="TRANSFERENCIA"/>
    <m/>
    <s v="HSBC "/>
    <s v="HSBC 004053489092 TP"/>
    <n v="340318590"/>
    <s v="SOLI1103"/>
  </r>
  <r>
    <n v="3403"/>
    <s v="02.01.2020"/>
    <n v="2020"/>
    <d v="2020-01-01T00:00:00"/>
    <n v="53"/>
    <n v="300017003"/>
    <s v="WE"/>
    <n v="81"/>
    <x v="0"/>
    <x v="0"/>
    <x v="0"/>
    <n v="44789"/>
    <s v="MXN"/>
    <n v="44789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4789"/>
    <n v="7166.24"/>
    <n v="51955.24"/>
    <n v="300021003"/>
    <s v="Electricidad HRV 27 Enero 2020"/>
    <n v="51955.24"/>
    <s v="06.02.2020"/>
    <s v="TRANSFERENCIA"/>
    <m/>
    <s v="HSBC "/>
    <s v="HSBC 004053489092 TP"/>
    <n v="340318590"/>
    <s v="SOLI1103"/>
  </r>
  <r>
    <n v="3403"/>
    <s v="02.01.2020"/>
    <n v="2020"/>
    <d v="2020-01-01T00:00:00"/>
    <n v="55"/>
    <n v="300017003"/>
    <s v="WE"/>
    <n v="81"/>
    <x v="0"/>
    <x v="0"/>
    <x v="0"/>
    <n v="50207"/>
    <s v="MXN"/>
    <n v="50207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50207"/>
    <n v="8033.12"/>
    <n v="58240.12"/>
    <n v="300021003"/>
    <s v="Electricidad HRV 28 Enero 2020"/>
    <n v="58240.12"/>
    <s v="06.02.2020"/>
    <s v="TRANSFERENCIA"/>
    <m/>
    <s v="HSBC "/>
    <s v="HSBC 004053489092 TP"/>
    <n v="340318590"/>
    <s v="SOLI1103"/>
  </r>
  <r>
    <n v="3403"/>
    <s v="02.01.2020"/>
    <n v="2020"/>
    <d v="2020-01-01T00:00:00"/>
    <n v="57"/>
    <n v="300017003"/>
    <s v="WE"/>
    <n v="81"/>
    <x v="0"/>
    <x v="0"/>
    <x v="0"/>
    <n v="47148"/>
    <s v="MXN"/>
    <n v="47148"/>
    <x v="0"/>
    <x v="0"/>
    <m/>
    <s v="AC3BF6C0-9B0A-4192-9B59-D7ECB6359DA3"/>
    <s v="CSS160330CP7"/>
    <n v="107211"/>
    <s v="CFE SUMINISTRADOR DE SERVICIOS"/>
    <m/>
    <m/>
    <s v="30.01.2020"/>
    <n v="4501228713"/>
    <n v="20200102"/>
    <n v="47148"/>
    <n v="7543.68"/>
    <n v="54691.68"/>
    <n v="300021003"/>
    <s v="Electricidad HRV 29 Enero 2020"/>
    <n v="54691.68"/>
    <s v="06.02.2020"/>
    <s v="TRANSFERENCIA"/>
    <m/>
    <s v="HSBC "/>
    <s v="HSBC 004053489092 TP"/>
    <n v="340318590"/>
    <s v="SOLI1103"/>
  </r>
  <r>
    <n v="3409"/>
    <s v="31.01.2020"/>
    <n v="2020"/>
    <d v="2020-01-01T00:00:00"/>
    <n v="1"/>
    <n v="900012074"/>
    <s v="WE"/>
    <n v="81"/>
    <x v="5"/>
    <x v="0"/>
    <x v="5"/>
    <n v="11263.92"/>
    <s v="MXN"/>
    <n v="11263.92"/>
    <x v="0"/>
    <x v="0"/>
    <m/>
    <s v="1D14D50A-F84B-47F4-8163-7461C7C813C2"/>
    <s v="SII890619AD1"/>
    <n v="108911"/>
    <s v="SPECTRADYNE INTERNATIONAL INC"/>
    <m/>
    <m/>
    <s v="03.02.2020"/>
    <s v="A12291"/>
    <n v="4501222440"/>
    <n v="11263.92"/>
    <n v="1802.2272"/>
    <n v="13066.147199999999"/>
    <n v="900012504"/>
    <s v="publicidad enero 2020"/>
    <n v="13066.147199999999"/>
    <s v="10.02.2020"/>
    <n v="900013573"/>
    <m/>
    <s v="HSBC "/>
    <s v="HSBC 004053489092 TP"/>
    <n v="340921790"/>
    <s v="JQUITERIO"/>
  </r>
  <r>
    <n v="3409"/>
    <s v="16.01.2020"/>
    <n v="2020"/>
    <d v="2020-01-01T00:00:00"/>
    <n v="1"/>
    <n v="900005466"/>
    <s v="WE"/>
    <n v="81"/>
    <x v="5"/>
    <x v="0"/>
    <x v="5"/>
    <n v="4000"/>
    <s v="MXN"/>
    <n v="4000"/>
    <x v="0"/>
    <x v="0"/>
    <m/>
    <s v="FD389128-8ECC-494C-A614-7E66BF89AD6A"/>
    <s v="AAAA651027HJ5"/>
    <n v="108892"/>
    <s v="ALANIZ AGUILAR ARMANDO"/>
    <m/>
    <m/>
    <s v="16.01.2020"/>
    <n v="26"/>
    <n v="4501217009"/>
    <n v="4000"/>
    <n v="640"/>
    <n v="4640"/>
    <n v="900005477"/>
    <s v="SERV IMPRESION TARJETAS CONTACTO HUESPED"/>
    <n v="4640"/>
    <s v="09.03.2020"/>
    <s v="TRANSFERENCIA"/>
    <m/>
    <s v="HSBC "/>
    <s v="HSBC 004053489092 TP"/>
    <n v="340921790"/>
    <s v="SOLI3409"/>
  </r>
  <r>
    <n v="3409"/>
    <s v="22.01.2020"/>
    <n v="2020"/>
    <d v="2020-01-01T00:00:00"/>
    <n v="1"/>
    <n v="900007648"/>
    <s v="WE"/>
    <n v="81"/>
    <x v="5"/>
    <x v="0"/>
    <x v="5"/>
    <n v="24437.5"/>
    <s v="MXN"/>
    <n v="24437.5"/>
    <x v="0"/>
    <x v="0"/>
    <m/>
    <s v="A0C3E6C7-7D66-42BD-8844-81B9B20ABA85"/>
    <s v="PCU100511DQA"/>
    <n v="801012"/>
    <s v="PLEAMAR CULTURAL S DE RL DE CV"/>
    <m/>
    <s v="PCU100511DQA"/>
    <s v="22.01.2020"/>
    <n v="3105"/>
    <m/>
    <n v="24437.5"/>
    <n v="3910"/>
    <n v="28347.5"/>
    <n v="900008080"/>
    <s v="REVISTA TENDENCIA ENERO"/>
    <n v="28347.5"/>
    <s v="10.02.2020"/>
    <s v="TRANSFERENCIA"/>
    <n v="900013610"/>
    <s v="BBVA"/>
    <s v="BBVAB 00188039070 TP"/>
    <n v="340921790"/>
    <s v="SOLI3409"/>
  </r>
  <r>
    <n v="3407"/>
    <s v="23.01.2020"/>
    <n v="2020"/>
    <d v="2020-01-01T00:00:00"/>
    <n v="1"/>
    <n v="700025857"/>
    <s v="WE"/>
    <n v="81"/>
    <x v="5"/>
    <x v="0"/>
    <x v="5"/>
    <n v="35988.22"/>
    <s v="MXN"/>
    <n v="35988.22"/>
    <x v="0"/>
    <x v="0"/>
    <m/>
    <s v="C0BF83A2-75DF-4F3A-B81E-BAFF64E1BA15"/>
    <s v="SII890619AD1"/>
    <n v="108911"/>
    <s v="SPECTRADYNE INTERNATIONAL INC"/>
    <m/>
    <m/>
    <s v="23.01.2020"/>
    <s v="A12292"/>
    <n v="4501225955"/>
    <n v="35988.22"/>
    <n v="5758.1152000000002"/>
    <n v="41746.335200000001"/>
    <n v="700025953"/>
    <s v="SPECTRADYNE INTERNATIONAL ENERO"/>
    <n v="41746.335200000001"/>
    <s v="25.02.2020"/>
    <n v="700074889"/>
    <m/>
    <s v="HSBC "/>
    <s v="HSBC 004053489092 TP"/>
    <n v="340746390"/>
    <s v="SOLI3407"/>
  </r>
  <r>
    <n v="3401"/>
    <s v="22.01.2020"/>
    <n v="2020"/>
    <d v="2020-01-01T00:00:00"/>
    <n v="1"/>
    <n v="100020878"/>
    <s v="WE"/>
    <n v="81"/>
    <x v="0"/>
    <x v="0"/>
    <x v="0"/>
    <n v="50484"/>
    <s v="MXN"/>
    <n v="50484"/>
    <x v="0"/>
    <x v="0"/>
    <m/>
    <s v="27DFA65C-1D63-41B7-9350-ADC68088A10C"/>
    <s v="CSS160330CP7"/>
    <n v="107211"/>
    <s v="CFE SUMINISTRADOR DE SERVICIOS"/>
    <m/>
    <m/>
    <s v="22.01.2020"/>
    <n v="4501216248"/>
    <s v="WH000533227437"/>
    <n v="50484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7"/>
    <s v="22.01.2020"/>
    <n v="2020"/>
    <d v="2020-01-01T00:00:00"/>
    <n v="1"/>
    <n v="700024313"/>
    <s v="WE"/>
    <n v="81"/>
    <x v="2"/>
    <x v="0"/>
    <x v="2"/>
    <n v="4392.03"/>
    <s v="USD"/>
    <n v="82010.179999999993"/>
    <x v="0"/>
    <x v="0"/>
    <m/>
    <s v="N/A Registro proveedor extranjero"/>
    <n v="593383972"/>
    <n v="600226"/>
    <s v="HARD ROCK CAFE INTERNATIONAL INC."/>
    <m/>
    <m/>
    <s v="22.01.2020"/>
    <s v="5000120M"/>
    <n v="20200122"/>
    <n v="4392.03"/>
    <n v="0"/>
    <n v="4392.03"/>
    <n v="700025998"/>
    <s v="Fee Memorabilia Ene 2020"/>
    <n v="3513.6239999999998"/>
    <s v="02.06.2020"/>
    <s v="TRANSFERENCIA"/>
    <n v="700367854"/>
    <s v="BOFA"/>
    <s v="BofA RCD 89805242886"/>
    <n v="340721790"/>
    <s v="CGUTIERREZ"/>
  </r>
  <r>
    <n v="3406"/>
    <s v="22.01.2020"/>
    <n v="2020"/>
    <d v="2020-01-01T00:00:00"/>
    <n v="1"/>
    <n v="600021195"/>
    <s v="WE"/>
    <n v="81"/>
    <x v="3"/>
    <x v="0"/>
    <x v="3"/>
    <n v="40000"/>
    <s v="MXN"/>
    <n v="40000"/>
    <x v="0"/>
    <x v="0"/>
    <m/>
    <s v="2609603E-AC7F-4924-A0F0-6686F735ECE6"/>
    <s v="PERX770225UA2"/>
    <n v="108547"/>
    <s v="PEREZ STONE RODRIGUEZ XAVIER AARON"/>
    <m/>
    <m/>
    <s v="22.01.2020"/>
    <n v="172"/>
    <n v="4501224385"/>
    <n v="40000"/>
    <n v="6400"/>
    <n v="46400"/>
    <n v="600025816"/>
    <s v="Pago de asesoria Xavier Pérez Enero"/>
    <n v="46400"/>
    <s v="31.01.2020"/>
    <s v="TRANSFERENCIA"/>
    <m/>
    <s v="HSBC "/>
    <s v="HSBC 004053489092 TP"/>
    <n v="340612490"/>
    <s v="SOLIUNICO"/>
  </r>
  <r>
    <n v="3402"/>
    <s v="25.01.2020"/>
    <n v="2020"/>
    <d v="2020-01-01T00:00:00"/>
    <n v="1"/>
    <n v="200076710"/>
    <s v="WE"/>
    <n v="81"/>
    <x v="2"/>
    <x v="0"/>
    <x v="2"/>
    <n v="160576.13"/>
    <s v="USD"/>
    <n v="3019120.28"/>
    <x v="0"/>
    <x v="0"/>
    <m/>
    <s v="N/A Registro proveedor extranjero"/>
    <s v="XEXX0101010"/>
    <n v="101128"/>
    <s v="HARD ROCK LIMITED."/>
    <m/>
    <m/>
    <s v="25.01.2020"/>
    <s v="4181219R"/>
    <n v="20200125"/>
    <n v="160576.13"/>
    <n v="0"/>
    <n v="160576.13"/>
    <n v="200076714"/>
    <s v="HARD ROCK LIMITE LICENSE FESS DIC19"/>
    <n v="145978.29999999999"/>
    <s v="05.02.2020"/>
    <s v="TRANSFERENCIA"/>
    <m/>
    <s v="BOFA"/>
    <s v="BofA RCD 89805242886"/>
    <n v="340221790"/>
    <s v="MCONTRERAS"/>
  </r>
  <r>
    <n v="3402"/>
    <s v="25.01.2020"/>
    <n v="2020"/>
    <d v="2020-01-01T00:00:00"/>
    <n v="1"/>
    <n v="200076711"/>
    <s v="WE"/>
    <n v="81"/>
    <x v="2"/>
    <x v="0"/>
    <x v="2"/>
    <n v="12021.37"/>
    <s v="USD"/>
    <n v="226023.39"/>
    <x v="0"/>
    <x v="0"/>
    <m/>
    <s v="N/A Registro proveedor extranjero"/>
    <s v="XEXX0101010"/>
    <n v="101128"/>
    <s v="HARD ROCK LIMITED."/>
    <m/>
    <m/>
    <s v="25.01.2020"/>
    <s v="4181219R"/>
    <n v="20200125"/>
    <n v="12021.37"/>
    <n v="0"/>
    <n v="12021.37"/>
    <n v="200076714"/>
    <s v="RETAIL FEES  DIC19"/>
    <n v="10928.518181818181"/>
    <s v="05.02.2020"/>
    <s v="TRANSFERENCIA"/>
    <m/>
    <s v="BOFA"/>
    <s v="BofA RCD 89805242886"/>
    <n v="340268190"/>
    <s v="MCONTRERAS"/>
  </r>
  <r>
    <n v="3402"/>
    <s v="25.01.2020"/>
    <n v="2020"/>
    <d v="2020-01-01T00:00:00"/>
    <n v="1"/>
    <n v="200076712"/>
    <s v="WE"/>
    <n v="81"/>
    <x v="2"/>
    <x v="0"/>
    <x v="2"/>
    <n v="51255.14"/>
    <s v="USD"/>
    <n v="963688.89"/>
    <x v="0"/>
    <x v="0"/>
    <m/>
    <s v="N/A Registro proveedor extranjero"/>
    <s v="XEXX0101010"/>
    <n v="101128"/>
    <s v="HARD ROCK LIMITED."/>
    <m/>
    <m/>
    <s v="25.01.2020"/>
    <s v="4181219R"/>
    <n v="20200125"/>
    <n v="51255.14"/>
    <n v="0"/>
    <n v="51255.14"/>
    <n v="200076714"/>
    <s v="MARKETING FEES  DIC19"/>
    <n v="46595.58181818181"/>
    <s v="05.02.2020"/>
    <s v="TRANSFERENCIA"/>
    <m/>
    <s v="BOFA"/>
    <s v="BofA RCD 89805242886"/>
    <n v="340221790"/>
    <s v="MCONTRERAS"/>
  </r>
  <r>
    <n v="3401"/>
    <s v="25.01.2020"/>
    <n v="2020"/>
    <d v="2020-01-01T00:00:00"/>
    <n v="1"/>
    <n v="100024953"/>
    <s v="WE"/>
    <n v="81"/>
    <x v="0"/>
    <x v="0"/>
    <x v="0"/>
    <n v="40950"/>
    <s v="MXN"/>
    <n v="40950"/>
    <x v="0"/>
    <x v="0"/>
    <m/>
    <s v="27DFA65C-1D63-41B7-9350-ADC68088A10C"/>
    <s v="CSS160330CP7"/>
    <n v="107211"/>
    <s v="CFE SUMINISTRADOR DE SERVICIOS"/>
    <m/>
    <m/>
    <s v="25.01.2020"/>
    <n v="4501216248"/>
    <s v="WH000533227437"/>
    <n v="40950"/>
    <m/>
    <m/>
    <n v="100036889"/>
    <s v="CONSUMO ENERGIA ENERO 2020"/>
    <m/>
    <s v="06.02.2020"/>
    <s v="TRANSFERENCIA"/>
    <m/>
    <s v="HSBC "/>
    <s v="HSBC 004053489092 TP"/>
    <n v="340118590"/>
    <s v="MANTTO_MEX"/>
  </r>
  <r>
    <n v="3401"/>
    <s v="25.01.2020"/>
    <n v="2020"/>
    <d v="2020-01-01T00:00:00"/>
    <n v="1"/>
    <n v="100025051"/>
    <s v="WE"/>
    <n v="81"/>
    <x v="6"/>
    <x v="0"/>
    <x v="6"/>
    <n v="1421.09"/>
    <s v="USD"/>
    <n v="26719.05"/>
    <x v="0"/>
    <x v="0"/>
    <m/>
    <s v="N/A Registro proveedor extranjero"/>
    <n v="593416526"/>
    <n v="602304"/>
    <s v="VIZERGY."/>
    <m/>
    <m/>
    <s v="25.01.2020"/>
    <s v="SIN044089"/>
    <n v="20200125"/>
    <n v="1421.09"/>
    <n v="0"/>
    <n v="1421.09"/>
    <n v="100026717"/>
    <s v="PAGO MENSUALIDAD HOSTING ENERO"/>
    <n v="1421.09"/>
    <s v="25.02.2020"/>
    <s v="TRANSFERENCIA"/>
    <n v="100063849"/>
    <s v="BOFA"/>
    <s v="BofA RCD 89805242886"/>
    <n v="340121790"/>
    <s v="SOLI1101"/>
  </r>
  <r>
    <n v="3402"/>
    <s v="25.01.2020"/>
    <n v="2020"/>
    <d v="2020-01-01T00:00:00"/>
    <n v="1"/>
    <n v="200076900"/>
    <s v="WE"/>
    <n v="81"/>
    <x v="0"/>
    <x v="0"/>
    <x v="0"/>
    <n v="1715.03"/>
    <s v="MXN"/>
    <n v="1715.03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715.03"/>
    <n v="274.40480000000002"/>
    <n v="1989.4348"/>
    <n v="200127172"/>
    <s v="Consumo CFE Casa Club 01.01.2020"/>
    <n v="1989.4348"/>
    <s v="10.02.2020"/>
    <s v="TRANSFERENCIA"/>
    <m/>
    <s v="HSBC "/>
    <s v="HSBC 004053489092 TP"/>
    <n v="340255290"/>
    <s v="SOLI1102"/>
  </r>
  <r>
    <n v="3402"/>
    <s v="25.01.2020"/>
    <n v="2020"/>
    <d v="2020-01-01T00:00:00"/>
    <n v="3"/>
    <n v="200076900"/>
    <s v="WE"/>
    <n v="81"/>
    <x v="0"/>
    <x v="0"/>
    <x v="0"/>
    <n v="1365.06"/>
    <s v="MXN"/>
    <n v="1365.06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365.06"/>
    <n v="218.40959999999998"/>
    <n v="1583.4695999999999"/>
    <n v="200127172"/>
    <s v="Consumo CFE Casa Club 02.01.2020"/>
    <n v="1583.4695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5"/>
    <n v="200076900"/>
    <s v="WE"/>
    <n v="81"/>
    <x v="0"/>
    <x v="0"/>
    <x v="0"/>
    <n v="1715.03"/>
    <s v="MXN"/>
    <n v="1715.03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715.03"/>
    <n v="274.40480000000002"/>
    <n v="1989.4348"/>
    <n v="200127172"/>
    <s v="Consumo CFE Casa Club 03.01.2020"/>
    <n v="1989.4348"/>
    <s v="10.02.2020"/>
    <s v="TRANSFERENCIA"/>
    <m/>
    <s v="HSBC "/>
    <s v="HSBC 004053489092 TP"/>
    <n v="340255290"/>
    <s v="SOLI1102"/>
  </r>
  <r>
    <n v="3402"/>
    <s v="25.01.2020"/>
    <n v="2020"/>
    <d v="2020-01-01T00:00:00"/>
    <n v="7"/>
    <n v="200076900"/>
    <s v="WE"/>
    <n v="81"/>
    <x v="0"/>
    <x v="0"/>
    <x v="0"/>
    <n v="2310.02"/>
    <s v="MXN"/>
    <n v="2310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310.02"/>
    <n v="369.60320000000002"/>
    <n v="2679.6232"/>
    <n v="200127172"/>
    <s v="Consumo CFE Casa Club 04.01.2020"/>
    <n v="2679.6232"/>
    <s v="10.02.2020"/>
    <s v="TRANSFERENCIA"/>
    <m/>
    <s v="HSBC "/>
    <s v="HSBC 004053489092 TP"/>
    <n v="340255290"/>
    <s v="SOLI1102"/>
  </r>
  <r>
    <n v="3402"/>
    <s v="25.01.2020"/>
    <n v="2020"/>
    <d v="2020-01-01T00:00:00"/>
    <n v="9"/>
    <n v="200076900"/>
    <s v="WE"/>
    <n v="81"/>
    <x v="0"/>
    <x v="0"/>
    <x v="0"/>
    <n v="350.05"/>
    <s v="MXN"/>
    <n v="350.05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05.01.2020"/>
    <n v="406.05799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11"/>
    <n v="200076900"/>
    <s v="WE"/>
    <n v="81"/>
    <x v="0"/>
    <x v="0"/>
    <x v="0"/>
    <n v="2730.06"/>
    <s v="MXN"/>
    <n v="2730.06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730.06"/>
    <n v="436.80959999999999"/>
    <n v="3166.8696"/>
    <n v="200127172"/>
    <s v="Consumo CFE Casa Club 06.01.2020"/>
    <n v="3166.8696"/>
    <s v="10.02.2020"/>
    <s v="TRANSFERENCIA"/>
    <m/>
    <s v="HSBC "/>
    <s v="HSBC 004053489092 TP"/>
    <n v="340255290"/>
    <s v="SOLI1102"/>
  </r>
  <r>
    <n v="3402"/>
    <s v="25.01.2020"/>
    <n v="2020"/>
    <d v="2020-01-01T00:00:00"/>
    <n v="13"/>
    <n v="200076900"/>
    <s v="WE"/>
    <n v="81"/>
    <x v="0"/>
    <x v="0"/>
    <x v="0"/>
    <n v="175.05"/>
    <s v="MXN"/>
    <n v="175.05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75.05"/>
    <n v="28.008000000000003"/>
    <n v="203.05800000000002"/>
    <n v="200127172"/>
    <s v="Consumo CFE Casa Club 07.01.2020"/>
    <n v="203.05800000000002"/>
    <s v="10.02.2020"/>
    <s v="TRANSFERENCIA"/>
    <m/>
    <s v="HSBC "/>
    <s v="HSBC 004053489092 TP"/>
    <n v="340255290"/>
    <s v="SOLI1102"/>
  </r>
  <r>
    <n v="3402"/>
    <s v="25.01.2020"/>
    <n v="2020"/>
    <d v="2020-01-01T00:00:00"/>
    <n v="15"/>
    <n v="200076900"/>
    <s v="WE"/>
    <n v="81"/>
    <x v="0"/>
    <x v="0"/>
    <x v="0"/>
    <n v="350.05"/>
    <s v="MXN"/>
    <n v="350.05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08.01.2020"/>
    <n v="406.05799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17"/>
    <n v="200076900"/>
    <s v="WE"/>
    <n v="81"/>
    <x v="0"/>
    <x v="0"/>
    <x v="0"/>
    <n v="3500"/>
    <s v="MXN"/>
    <n v="3500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500"/>
    <n v="560"/>
    <n v="4060"/>
    <n v="200127172"/>
    <s v="Consumo CFE Casa Club 09.01.2020"/>
    <n v="4060"/>
    <s v="10.02.2020"/>
    <s v="TRANSFERENCIA"/>
    <m/>
    <s v="HSBC "/>
    <s v="HSBC 004053489092 TP"/>
    <n v="340255290"/>
    <s v="SOLI1102"/>
  </r>
  <r>
    <n v="3402"/>
    <s v="25.01.2020"/>
    <n v="2020"/>
    <d v="2020-01-01T00:00:00"/>
    <n v="19"/>
    <n v="200076900"/>
    <s v="WE"/>
    <n v="81"/>
    <x v="0"/>
    <x v="0"/>
    <x v="0"/>
    <n v="350.05"/>
    <s v="MXN"/>
    <n v="350.05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10.01.2020"/>
    <n v="406.05799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21"/>
    <n v="200076900"/>
    <s v="WE"/>
    <n v="81"/>
    <x v="0"/>
    <x v="0"/>
    <x v="0"/>
    <n v="350.05"/>
    <s v="MXN"/>
    <n v="350.05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11.01.2020"/>
    <n v="406.05799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23"/>
    <n v="200076900"/>
    <s v="WE"/>
    <n v="81"/>
    <x v="0"/>
    <x v="0"/>
    <x v="0"/>
    <n v="1540.03"/>
    <s v="MXN"/>
    <n v="1540.03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540.03"/>
    <n v="246.40479999999999"/>
    <n v="1786.4348"/>
    <n v="200127172"/>
    <s v="Consumo CFE Casa Club 12.01.2020"/>
    <n v="1786.4348"/>
    <s v="10.02.2020"/>
    <s v="TRANSFERENCIA"/>
    <m/>
    <s v="HSBC "/>
    <s v="HSBC 004053489092 TP"/>
    <n v="340255290"/>
    <s v="SOLI1102"/>
  </r>
  <r>
    <n v="3402"/>
    <s v="25.01.2020"/>
    <n v="2020"/>
    <d v="2020-01-01T00:00:00"/>
    <n v="25"/>
    <n v="200076900"/>
    <s v="WE"/>
    <n v="81"/>
    <x v="0"/>
    <x v="0"/>
    <x v="0"/>
    <n v="2905.03"/>
    <s v="MXN"/>
    <n v="2905.03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905.03"/>
    <n v="464.80480000000006"/>
    <n v="3369.8348000000001"/>
    <n v="200127172"/>
    <s v="Consumo CFE Casa Club 13.01.2020"/>
    <n v="3369.8348000000001"/>
    <s v="10.02.2020"/>
    <s v="TRANSFERENCIA"/>
    <m/>
    <s v="HSBC "/>
    <s v="HSBC 004053489092 TP"/>
    <n v="340255290"/>
    <s v="SOLI1102"/>
  </r>
  <r>
    <n v="3402"/>
    <s v="25.01.2020"/>
    <n v="2020"/>
    <d v="2020-01-01T00:00:00"/>
    <n v="27"/>
    <n v="200076900"/>
    <s v="WE"/>
    <n v="81"/>
    <x v="0"/>
    <x v="0"/>
    <x v="0"/>
    <n v="2310.02"/>
    <s v="MXN"/>
    <n v="2310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310.02"/>
    <n v="369.60320000000002"/>
    <n v="2679.6232"/>
    <n v="200127172"/>
    <s v="Consumo CFE Casa Club 14.01.2020"/>
    <n v="2679.6232"/>
    <s v="10.02.2020"/>
    <s v="TRANSFERENCIA"/>
    <m/>
    <s v="HSBC "/>
    <s v="HSBC 004053489092 TP"/>
    <n v="340255290"/>
    <s v="SOLI1102"/>
  </r>
  <r>
    <n v="3402"/>
    <s v="25.01.2020"/>
    <n v="2020"/>
    <d v="2020-01-01T00:00:00"/>
    <n v="29"/>
    <n v="200076900"/>
    <s v="WE"/>
    <n v="81"/>
    <x v="0"/>
    <x v="0"/>
    <x v="0"/>
    <n v="1715.03"/>
    <s v="MXN"/>
    <n v="1715.03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715.03"/>
    <n v="274.40480000000002"/>
    <n v="1989.4348"/>
    <n v="200127172"/>
    <s v="Consumo CFE Casa Club 15.01.2020"/>
    <n v="1989.4348"/>
    <s v="10.02.2020"/>
    <s v="TRANSFERENCIA"/>
    <m/>
    <s v="HSBC "/>
    <s v="HSBC 004053489092 TP"/>
    <n v="340255290"/>
    <s v="SOLI1102"/>
  </r>
  <r>
    <n v="3402"/>
    <s v="25.01.2020"/>
    <n v="2020"/>
    <d v="2020-01-01T00:00:00"/>
    <n v="31"/>
    <n v="200076900"/>
    <s v="WE"/>
    <n v="81"/>
    <x v="0"/>
    <x v="0"/>
    <x v="0"/>
    <n v="350.05"/>
    <s v="MXN"/>
    <n v="350.05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16.01.2020"/>
    <n v="406.05799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33"/>
    <n v="200076900"/>
    <s v="WE"/>
    <n v="81"/>
    <x v="0"/>
    <x v="0"/>
    <x v="0"/>
    <n v="2135.02"/>
    <s v="MXN"/>
    <n v="2135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135.02"/>
    <n v="341.60320000000002"/>
    <n v="2476.6232"/>
    <n v="200127172"/>
    <s v="Consumo CFE Casa Club 17.01.2020"/>
    <n v="2476.6232"/>
    <s v="10.02.2020"/>
    <s v="TRANSFERENCIA"/>
    <m/>
    <s v="HSBC "/>
    <s v="HSBC 004053489092 TP"/>
    <n v="340255290"/>
    <s v="SOLI1102"/>
  </r>
  <r>
    <n v="3402"/>
    <s v="25.01.2020"/>
    <n v="2020"/>
    <d v="2020-01-01T00:00:00"/>
    <n v="35"/>
    <n v="200076900"/>
    <s v="WE"/>
    <n v="81"/>
    <x v="0"/>
    <x v="0"/>
    <x v="0"/>
    <n v="1715.03"/>
    <s v="MXN"/>
    <n v="1715.03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715.03"/>
    <n v="274.40480000000002"/>
    <n v="1989.4348"/>
    <n v="200127172"/>
    <s v="Consumo CFE Casa Club 18.01.2020"/>
    <n v="1989.4348"/>
    <s v="10.02.2020"/>
    <s v="TRANSFERENCIA"/>
    <m/>
    <s v="HSBC "/>
    <s v="HSBC 004053489092 TP"/>
    <n v="340255290"/>
    <s v="SOLI1102"/>
  </r>
  <r>
    <n v="3402"/>
    <s v="25.01.2020"/>
    <n v="2020"/>
    <d v="2020-01-01T00:00:00"/>
    <n v="37"/>
    <n v="200076900"/>
    <s v="WE"/>
    <n v="81"/>
    <x v="0"/>
    <x v="0"/>
    <x v="0"/>
    <n v="350.05"/>
    <s v="MXN"/>
    <n v="350.05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19.01.2020"/>
    <n v="406.05799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39"/>
    <n v="200076900"/>
    <s v="WE"/>
    <n v="81"/>
    <x v="0"/>
    <x v="0"/>
    <x v="0"/>
    <n v="2730.06"/>
    <s v="MXN"/>
    <n v="2730.06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730.06"/>
    <n v="436.80959999999999"/>
    <n v="3166.8696"/>
    <n v="200127172"/>
    <s v="Consumo CFE Casa Club 20.01.2020"/>
    <n v="3166.8696"/>
    <s v="10.02.2020"/>
    <s v="TRANSFERENCIA"/>
    <m/>
    <s v="HSBC "/>
    <s v="HSBC 004053489092 TP"/>
    <n v="340255290"/>
    <s v="SOLI1102"/>
  </r>
  <r>
    <n v="3402"/>
    <s v="25.01.2020"/>
    <n v="2020"/>
    <d v="2020-01-01T00:00:00"/>
    <n v="41"/>
    <n v="200076900"/>
    <s v="WE"/>
    <n v="81"/>
    <x v="0"/>
    <x v="0"/>
    <x v="0"/>
    <n v="2310.02"/>
    <s v="MXN"/>
    <n v="2310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310.02"/>
    <n v="369.60320000000002"/>
    <n v="2679.6232"/>
    <n v="200127172"/>
    <s v="Consumo CFE Casa Club 21.01.2020"/>
    <n v="2679.6232"/>
    <s v="10.02.2020"/>
    <s v="TRANSFERENCIA"/>
    <m/>
    <s v="HSBC "/>
    <s v="HSBC 004053489092 TP"/>
    <n v="340255290"/>
    <s v="SOLI1102"/>
  </r>
  <r>
    <n v="3402"/>
    <s v="25.01.2020"/>
    <n v="2020"/>
    <d v="2020-01-01T00:00:00"/>
    <n v="43"/>
    <n v="200076900"/>
    <s v="WE"/>
    <n v="81"/>
    <x v="0"/>
    <x v="0"/>
    <x v="0"/>
    <n v="175.05"/>
    <s v="MXN"/>
    <n v="175.05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75.05"/>
    <n v="28.008000000000003"/>
    <n v="203.05800000000002"/>
    <n v="200127172"/>
    <s v="Consumo CFE Casa Club 22.01.2020"/>
    <n v="203.05800000000002"/>
    <s v="10.02.2020"/>
    <s v="TRANSFERENCIA"/>
    <m/>
    <s v="HSBC "/>
    <s v="HSBC 004053489092 TP"/>
    <n v="340255290"/>
    <s v="SOLI1102"/>
  </r>
  <r>
    <n v="3402"/>
    <s v="25.01.2020"/>
    <n v="2020"/>
    <d v="2020-01-01T00:00:00"/>
    <n v="45"/>
    <n v="200076900"/>
    <s v="WE"/>
    <n v="81"/>
    <x v="0"/>
    <x v="0"/>
    <x v="0"/>
    <n v="350.05"/>
    <s v="MXN"/>
    <n v="350.05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50.05"/>
    <n v="56.008000000000003"/>
    <n v="406.05799999999999"/>
    <n v="200127172"/>
    <s v="Consumo CFE Casa Club 23.01.2020"/>
    <n v="406.05799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47"/>
    <n v="200076900"/>
    <s v="WE"/>
    <n v="81"/>
    <x v="0"/>
    <x v="0"/>
    <x v="0"/>
    <n v="1540.03"/>
    <s v="MXN"/>
    <n v="1540.03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540.03"/>
    <n v="246.40479999999999"/>
    <n v="1786.4348"/>
    <n v="200127172"/>
    <s v="Consumo CFE Casa Club 24.01.2020"/>
    <n v="1786.4348"/>
    <s v="10.02.2020"/>
    <s v="TRANSFERENCIA"/>
    <m/>
    <s v="HSBC "/>
    <s v="HSBC 004053489092 TP"/>
    <n v="340255290"/>
    <s v="SOLI1102"/>
  </r>
  <r>
    <n v="3402"/>
    <s v="25.01.2020"/>
    <n v="2020"/>
    <d v="2020-01-01T00:00:00"/>
    <n v="49"/>
    <n v="200076900"/>
    <s v="WE"/>
    <n v="81"/>
    <x v="0"/>
    <x v="0"/>
    <x v="0"/>
    <n v="2310.02"/>
    <s v="MXN"/>
    <n v="2310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310.02"/>
    <n v="369.60320000000002"/>
    <n v="2679.6232"/>
    <n v="200127172"/>
    <s v="Consumo CFE Casa Club 25.01.2020"/>
    <n v="2679.6232"/>
    <s v="10.02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04"/>
    <s v="WE"/>
    <n v="81"/>
    <x v="0"/>
    <x v="0"/>
    <x v="0"/>
    <n v="800.05"/>
    <s v="MXN"/>
    <n v="800.05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800.05"/>
    <n v="128.00799999999998"/>
    <n v="928.05799999999999"/>
    <n v="200127172"/>
    <s v="Consumo CFE Lago Riego 01.01.2020"/>
    <n v="928.05799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3"/>
    <n v="200076904"/>
    <s v="WE"/>
    <n v="81"/>
    <x v="0"/>
    <x v="0"/>
    <x v="0"/>
    <n v="312.06"/>
    <s v="MXN"/>
    <n v="312.06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12.06"/>
    <n v="49.929600000000001"/>
    <n v="361.9896"/>
    <n v="200127172"/>
    <s v="Consumo CFE Lago Riego 02.01.2020"/>
    <n v="361.9896"/>
    <s v="10.02.2020"/>
    <s v="TRANSFERENCIA"/>
    <m/>
    <s v="HSBC "/>
    <s v="HSBC 004053489092 TP"/>
    <n v="340255290"/>
    <s v="SOLI1102"/>
  </r>
  <r>
    <n v="3402"/>
    <s v="25.01.2020"/>
    <n v="2020"/>
    <d v="2020-01-01T00:00:00"/>
    <n v="5"/>
    <n v="200076904"/>
    <s v="WE"/>
    <n v="81"/>
    <x v="0"/>
    <x v="0"/>
    <x v="0"/>
    <n v="2896.02"/>
    <s v="MXN"/>
    <n v="2896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896.02"/>
    <n v="463.36320000000001"/>
    <n v="3359.3832000000002"/>
    <n v="200127172"/>
    <s v="Consumo CFE Lago Riego 03.01.2020"/>
    <n v="3359.3832000000002"/>
    <s v="10.02.2020"/>
    <s v="TRANSFERENCIA"/>
    <m/>
    <s v="HSBC "/>
    <s v="HSBC 004053489092 TP"/>
    <n v="340255290"/>
    <s v="SOLI1102"/>
  </r>
  <r>
    <n v="3402"/>
    <s v="25.01.2020"/>
    <n v="2020"/>
    <d v="2020-01-01T00:00:00"/>
    <n v="7"/>
    <n v="200076904"/>
    <s v="WE"/>
    <n v="81"/>
    <x v="0"/>
    <x v="0"/>
    <x v="0"/>
    <n v="1648.02"/>
    <s v="MXN"/>
    <n v="1648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648.02"/>
    <n v="263.6832"/>
    <n v="1911.7031999999999"/>
    <n v="200127172"/>
    <s v="Consumo CFE Lago Riego 04.01.2020"/>
    <n v="1911.7031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9"/>
    <n v="200076904"/>
    <s v="WE"/>
    <n v="81"/>
    <x v="0"/>
    <x v="0"/>
    <x v="0"/>
    <n v="712.03"/>
    <s v="MXN"/>
    <n v="712.03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712.03"/>
    <n v="113.9248"/>
    <n v="825.95479999999998"/>
    <n v="200127172"/>
    <s v="Consumo CFE Lago Riego 05.01.2020"/>
    <n v="825.95479999999998"/>
    <s v="10.02.2020"/>
    <s v="TRANSFERENCIA"/>
    <m/>
    <s v="HSBC "/>
    <s v="HSBC 004053489092 TP"/>
    <n v="340255290"/>
    <s v="SOLI1102"/>
  </r>
  <r>
    <n v="3402"/>
    <s v="25.01.2020"/>
    <n v="2020"/>
    <d v="2020-01-01T00:00:00"/>
    <n v="11"/>
    <n v="200076904"/>
    <s v="WE"/>
    <n v="81"/>
    <x v="0"/>
    <x v="0"/>
    <x v="0"/>
    <n v="1024.03"/>
    <s v="MXN"/>
    <n v="1024.03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024.03"/>
    <n v="163.84479999999999"/>
    <n v="1187.8748000000001"/>
    <n v="200127172"/>
    <s v="Consumo CFE Lago Riego 06.01.2020"/>
    <n v="1187.8748000000001"/>
    <s v="10.02.2020"/>
    <s v="TRANSFERENCIA"/>
    <m/>
    <s v="HSBC "/>
    <s v="HSBC 004053489092 TP"/>
    <n v="340255290"/>
    <s v="SOLI1102"/>
  </r>
  <r>
    <n v="3402"/>
    <s v="25.01.2020"/>
    <n v="2020"/>
    <d v="2020-01-01T00:00:00"/>
    <n v="13"/>
    <n v="200076904"/>
    <s v="WE"/>
    <n v="81"/>
    <x v="0"/>
    <x v="0"/>
    <x v="0"/>
    <n v="1600.05"/>
    <s v="MXN"/>
    <n v="1600.05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600.05"/>
    <n v="256.00799999999998"/>
    <n v="1856.058"/>
    <n v="200127172"/>
    <s v="Consumo CFE Lago Riego 07.01.2020"/>
    <n v="1856.058"/>
    <s v="10.02.2020"/>
    <s v="TRANSFERENCIA"/>
    <m/>
    <s v="HSBC "/>
    <s v="HSBC 004053489092 TP"/>
    <n v="340255290"/>
    <s v="SOLI1102"/>
  </r>
  <r>
    <n v="3402"/>
    <s v="25.01.2020"/>
    <n v="2020"/>
    <d v="2020-01-01T00:00:00"/>
    <n v="15"/>
    <n v="200076904"/>
    <s v="WE"/>
    <n v="81"/>
    <x v="0"/>
    <x v="0"/>
    <x v="0"/>
    <n v="1248.02"/>
    <s v="MXN"/>
    <n v="1248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248.02"/>
    <n v="199.6832"/>
    <n v="1447.7031999999999"/>
    <n v="200127172"/>
    <s v="Consumo CFE Lago Riego 08.01.2020"/>
    <n v="1447.7031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17"/>
    <n v="200076904"/>
    <s v="WE"/>
    <n v="81"/>
    <x v="0"/>
    <x v="0"/>
    <x v="0"/>
    <n v="2360"/>
    <s v="MXN"/>
    <n v="2360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360"/>
    <n v="377.6"/>
    <n v="2737.6"/>
    <n v="200127172"/>
    <s v="Consumo CFE Lago Riego 09.01.2020"/>
    <n v="2737.6"/>
    <s v="10.02.2020"/>
    <s v="TRANSFERENCIA"/>
    <m/>
    <s v="HSBC "/>
    <s v="HSBC 004053489092 TP"/>
    <n v="340255290"/>
    <s v="SOLI1102"/>
  </r>
  <r>
    <n v="3402"/>
    <s v="25.01.2020"/>
    <n v="2020"/>
    <d v="2020-01-01T00:00:00"/>
    <n v="19"/>
    <n v="200076904"/>
    <s v="WE"/>
    <n v="81"/>
    <x v="0"/>
    <x v="0"/>
    <x v="0"/>
    <n v="1648.02"/>
    <s v="MXN"/>
    <n v="1648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648.02"/>
    <n v="263.6832"/>
    <n v="1911.7031999999999"/>
    <n v="200127172"/>
    <s v="Consumo CFE Lago Riego 10.01.2020"/>
    <n v="1911.7031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21"/>
    <n v="200076904"/>
    <s v="WE"/>
    <n v="81"/>
    <x v="0"/>
    <x v="0"/>
    <x v="0"/>
    <n v="1200.05"/>
    <s v="MXN"/>
    <n v="1200.05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200.05"/>
    <n v="192.00800000000001"/>
    <n v="1392.058"/>
    <n v="200127172"/>
    <s v="Consumo CFE Lago Riego 11.01.2020"/>
    <n v="1392.058"/>
    <s v="10.02.2020"/>
    <s v="TRANSFERENCIA"/>
    <m/>
    <s v="HSBC "/>
    <s v="HSBC 004053489092 TP"/>
    <n v="340255290"/>
    <s v="SOLI1102"/>
  </r>
  <r>
    <n v="3402"/>
    <s v="25.01.2020"/>
    <n v="2020"/>
    <d v="2020-01-01T00:00:00"/>
    <n v="23"/>
    <n v="200076904"/>
    <s v="WE"/>
    <n v="81"/>
    <x v="0"/>
    <x v="0"/>
    <x v="0"/>
    <n v="1112.03"/>
    <s v="MXN"/>
    <n v="1112.03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112.03"/>
    <n v="177.9248"/>
    <n v="1289.9548"/>
    <n v="200127172"/>
    <s v="Consumo CFE Lago Riego 12.01.2020"/>
    <n v="1289.9548"/>
    <s v="10.02.2020"/>
    <s v="TRANSFERENCIA"/>
    <m/>
    <s v="HSBC "/>
    <s v="HSBC 004053489092 TP"/>
    <n v="340255290"/>
    <s v="SOLI1102"/>
  </r>
  <r>
    <n v="3402"/>
    <s v="25.01.2020"/>
    <n v="2020"/>
    <d v="2020-01-01T00:00:00"/>
    <n v="25"/>
    <n v="200076904"/>
    <s v="WE"/>
    <n v="81"/>
    <x v="0"/>
    <x v="0"/>
    <x v="0"/>
    <n v="1024.03"/>
    <s v="MXN"/>
    <n v="1024.03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024.03"/>
    <n v="163.84479999999999"/>
    <n v="1187.8748000000001"/>
    <n v="200127172"/>
    <s v="Consumo CFE Lago Riego 13.01.2020"/>
    <n v="1187.8748000000001"/>
    <s v="10.02.2020"/>
    <s v="TRANSFERENCIA"/>
    <m/>
    <s v="HSBC "/>
    <s v="HSBC 004053489092 TP"/>
    <n v="340255290"/>
    <s v="SOLI1102"/>
  </r>
  <r>
    <n v="3402"/>
    <s v="25.01.2020"/>
    <n v="2020"/>
    <d v="2020-01-01T00:00:00"/>
    <n v="27"/>
    <n v="200076904"/>
    <s v="WE"/>
    <n v="81"/>
    <x v="0"/>
    <x v="0"/>
    <x v="0"/>
    <n v="2360"/>
    <s v="MXN"/>
    <n v="2360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360"/>
    <n v="377.6"/>
    <n v="2737.6"/>
    <n v="200127172"/>
    <s v="Consumo CFE Lago Riego 14.01.2020"/>
    <n v="2737.6"/>
    <s v="10.02.2020"/>
    <s v="TRANSFERENCIA"/>
    <m/>
    <s v="HSBC "/>
    <s v="HSBC 004053489092 TP"/>
    <n v="340255290"/>
    <s v="SOLI1102"/>
  </r>
  <r>
    <n v="3402"/>
    <s v="25.01.2020"/>
    <n v="2020"/>
    <d v="2020-01-01T00:00:00"/>
    <n v="29"/>
    <n v="200076904"/>
    <s v="WE"/>
    <n v="81"/>
    <x v="0"/>
    <x v="0"/>
    <x v="0"/>
    <n v="2896.02"/>
    <s v="MXN"/>
    <n v="2896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896.02"/>
    <n v="463.36320000000001"/>
    <n v="3359.3832000000002"/>
    <n v="200127172"/>
    <s v="Consumo CFE Lago Riego 15.01.2020"/>
    <n v="3359.3832000000002"/>
    <s v="10.02.2020"/>
    <s v="TRANSFERENCIA"/>
    <m/>
    <s v="HSBC "/>
    <s v="HSBC 004053489092 TP"/>
    <n v="340255290"/>
    <s v="SOLI1102"/>
  </r>
  <r>
    <n v="3402"/>
    <s v="25.01.2020"/>
    <n v="2020"/>
    <d v="2020-01-01T00:00:00"/>
    <n v="31"/>
    <n v="200076904"/>
    <s v="WE"/>
    <n v="81"/>
    <x v="0"/>
    <x v="0"/>
    <x v="0"/>
    <n v="1648.02"/>
    <s v="MXN"/>
    <n v="1648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648.02"/>
    <n v="263.6832"/>
    <n v="1911.7031999999999"/>
    <n v="200127172"/>
    <s v="Consumo CFE Lago Riego 16.01.2020"/>
    <n v="1911.7031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33"/>
    <n v="200076904"/>
    <s v="WE"/>
    <n v="81"/>
    <x v="0"/>
    <x v="0"/>
    <x v="0"/>
    <n v="2760"/>
    <s v="MXN"/>
    <n v="2760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760"/>
    <n v="441.6"/>
    <n v="3201.6"/>
    <n v="200127172"/>
    <s v="Consumo CFE Lago Riego 17.01.2020"/>
    <n v="3201.6"/>
    <s v="10.02.2020"/>
    <s v="TRANSFERENCIA"/>
    <m/>
    <s v="HSBC "/>
    <s v="HSBC 004053489092 TP"/>
    <n v="340255290"/>
    <s v="SOLI1102"/>
  </r>
  <r>
    <n v="3402"/>
    <s v="25.01.2020"/>
    <n v="2020"/>
    <d v="2020-01-01T00:00:00"/>
    <n v="35"/>
    <n v="200076904"/>
    <s v="WE"/>
    <n v="81"/>
    <x v="0"/>
    <x v="0"/>
    <x v="0"/>
    <n v="2048.02"/>
    <s v="MXN"/>
    <n v="2048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048.02"/>
    <n v="327.6832"/>
    <n v="2375.7031999999999"/>
    <n v="200127172"/>
    <s v="Consumo CFE Lago Riego 18.01.2020"/>
    <n v="2375.7031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37"/>
    <n v="200076904"/>
    <s v="WE"/>
    <n v="81"/>
    <x v="0"/>
    <x v="0"/>
    <x v="0"/>
    <n v="712.03"/>
    <s v="MXN"/>
    <n v="712.03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712.03"/>
    <n v="113.9248"/>
    <n v="825.95479999999998"/>
    <n v="200127172"/>
    <s v="Consumo CFE Lago Riego 19.01.2020"/>
    <n v="825.95479999999998"/>
    <s v="10.02.2020"/>
    <s v="TRANSFERENCIA"/>
    <m/>
    <s v="HSBC "/>
    <s v="HSBC 004053489092 TP"/>
    <n v="340255290"/>
    <s v="SOLI1102"/>
  </r>
  <r>
    <n v="3402"/>
    <s v="25.01.2020"/>
    <n v="2020"/>
    <d v="2020-01-01T00:00:00"/>
    <n v="39"/>
    <n v="200076904"/>
    <s v="WE"/>
    <n v="81"/>
    <x v="0"/>
    <x v="0"/>
    <x v="0"/>
    <n v="1024.03"/>
    <s v="MXN"/>
    <n v="1024.03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024.03"/>
    <n v="163.84479999999999"/>
    <n v="1187.8748000000001"/>
    <n v="200127172"/>
    <s v="Consumo CFE Lago Riego 20.01.2020"/>
    <n v="1187.8748000000001"/>
    <s v="10.02.2020"/>
    <s v="TRANSFERENCIA"/>
    <m/>
    <s v="HSBC "/>
    <s v="HSBC 004053489092 TP"/>
    <n v="340255290"/>
    <s v="SOLI1102"/>
  </r>
  <r>
    <n v="3402"/>
    <s v="25.01.2020"/>
    <n v="2020"/>
    <d v="2020-01-01T00:00:00"/>
    <n v="41"/>
    <n v="200076904"/>
    <s v="WE"/>
    <n v="81"/>
    <x v="0"/>
    <x v="0"/>
    <x v="0"/>
    <n v="2048.02"/>
    <s v="MXN"/>
    <n v="2048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048.02"/>
    <n v="327.6832"/>
    <n v="2375.7031999999999"/>
    <n v="200127172"/>
    <s v="Consumo CFE Lago Riego 21.01.2020"/>
    <n v="2375.7031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43"/>
    <n v="200076904"/>
    <s v="WE"/>
    <n v="81"/>
    <x v="0"/>
    <x v="0"/>
    <x v="0"/>
    <n v="1960"/>
    <s v="MXN"/>
    <n v="1960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1960"/>
    <n v="313.60000000000002"/>
    <n v="2273.6"/>
    <n v="200127172"/>
    <s v="Consumo CFE Lago Riego 22.01.2020"/>
    <n v="2273.6"/>
    <s v="10.02.2020"/>
    <s v="TRANSFERENCIA"/>
    <m/>
    <s v="HSBC "/>
    <s v="HSBC 004053489092 TP"/>
    <n v="340255290"/>
    <s v="SOLI1102"/>
  </r>
  <r>
    <n v="3402"/>
    <s v="25.01.2020"/>
    <n v="2020"/>
    <d v="2020-01-01T00:00:00"/>
    <n v="45"/>
    <n v="200076904"/>
    <s v="WE"/>
    <n v="81"/>
    <x v="0"/>
    <x v="0"/>
    <x v="0"/>
    <n v="3248.02"/>
    <s v="MXN"/>
    <n v="3248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248.02"/>
    <n v="519.68320000000006"/>
    <n v="3767.7031999999999"/>
    <n v="200127172"/>
    <s v="Consumo CFE Lago Riego 23.01.2020"/>
    <n v="3767.7031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47"/>
    <n v="200076904"/>
    <s v="WE"/>
    <n v="81"/>
    <x v="0"/>
    <x v="0"/>
    <x v="0"/>
    <n v="2048.02"/>
    <s v="MXN"/>
    <n v="2048.02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048.02"/>
    <n v="327.6832"/>
    <n v="2375.7031999999999"/>
    <n v="200127172"/>
    <s v="Consumo CFE Lago Riego 24.01.2020"/>
    <n v="2375.7031999999999"/>
    <s v="10.02.2020"/>
    <s v="TRANSFERENCIA"/>
    <m/>
    <s v="HSBC "/>
    <s v="HSBC 004053489092 TP"/>
    <n v="340255290"/>
    <s v="SOLI1102"/>
  </r>
  <r>
    <n v="3402"/>
    <s v="25.01.2020"/>
    <n v="2020"/>
    <d v="2020-01-01T00:00:00"/>
    <n v="49"/>
    <n v="200076904"/>
    <s v="WE"/>
    <n v="81"/>
    <x v="0"/>
    <x v="0"/>
    <x v="0"/>
    <n v="2760"/>
    <s v="MXN"/>
    <n v="2760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2760"/>
    <n v="441.6"/>
    <n v="3201.6"/>
    <n v="200127172"/>
    <s v="Consumo CFE Lago Riego 25.01.2020"/>
    <n v="3201.6"/>
    <s v="10.02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05"/>
    <s v="WE"/>
    <n v="81"/>
    <x v="0"/>
    <x v="0"/>
    <x v="0"/>
    <n v="304"/>
    <s v="MXN"/>
    <n v="3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01.01.2020"/>
    <n v="352.64"/>
    <s v="10.02.2020"/>
    <s v="TRANSFERENCIA"/>
    <m/>
    <s v="HSBC "/>
    <s v="HSBC 004053489092 TP"/>
    <n v="340255290"/>
    <s v="SOLI1102"/>
  </r>
  <r>
    <n v="3402"/>
    <s v="25.01.2020"/>
    <n v="2020"/>
    <d v="2020-01-01T00:00:00"/>
    <n v="3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02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5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03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7"/>
    <n v="200076905"/>
    <s v="WE"/>
    <n v="81"/>
    <x v="0"/>
    <x v="0"/>
    <x v="0"/>
    <n v="304"/>
    <s v="MXN"/>
    <n v="3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04.01.2020"/>
    <n v="352.64"/>
    <s v="10.02.2020"/>
    <s v="TRANSFERENCIA"/>
    <m/>
    <s v="HSBC "/>
    <s v="HSBC 004053489092 TP"/>
    <n v="340255290"/>
    <s v="SOLI1102"/>
  </r>
  <r>
    <n v="3402"/>
    <s v="25.01.2020"/>
    <n v="2020"/>
    <d v="2020-01-01T00:00:00"/>
    <n v="9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05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11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06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13"/>
    <n v="200076905"/>
    <s v="WE"/>
    <n v="81"/>
    <x v="0"/>
    <x v="0"/>
    <x v="0"/>
    <n v="304"/>
    <s v="MXN"/>
    <n v="3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07.01.2020"/>
    <n v="352.64"/>
    <s v="10.02.2020"/>
    <s v="TRANSFERENCIA"/>
    <m/>
    <s v="HSBC "/>
    <s v="HSBC 004053489092 TP"/>
    <n v="340255290"/>
    <s v="SOLI1102"/>
  </r>
  <r>
    <n v="3402"/>
    <s v="25.01.2020"/>
    <n v="2020"/>
    <d v="2020-01-01T00:00:00"/>
    <n v="15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08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17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09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19"/>
    <n v="200076905"/>
    <s v="WE"/>
    <n v="81"/>
    <x v="0"/>
    <x v="0"/>
    <x v="0"/>
    <n v="304"/>
    <s v="MXN"/>
    <n v="3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10.01.2020"/>
    <n v="352.64"/>
    <s v="10.02.2020"/>
    <s v="TRANSFERENCIA"/>
    <m/>
    <s v="HSBC "/>
    <s v="HSBC 004053489092 TP"/>
    <n v="340255290"/>
    <s v="SOLI1102"/>
  </r>
  <r>
    <n v="3402"/>
    <s v="25.01.2020"/>
    <n v="2020"/>
    <d v="2020-01-01T00:00:00"/>
    <n v="21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11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23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12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25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13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27"/>
    <n v="200076905"/>
    <s v="WE"/>
    <n v="81"/>
    <x v="0"/>
    <x v="0"/>
    <x v="0"/>
    <n v="304"/>
    <s v="MXN"/>
    <n v="3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14.01.2020"/>
    <n v="352.64"/>
    <s v="10.02.2020"/>
    <s v="TRANSFERENCIA"/>
    <m/>
    <s v="HSBC "/>
    <s v="HSBC 004053489092 TP"/>
    <n v="340255290"/>
    <s v="SOLI1102"/>
  </r>
  <r>
    <n v="3402"/>
    <s v="25.01.2020"/>
    <n v="2020"/>
    <d v="2020-01-01T00:00:00"/>
    <n v="29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15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31"/>
    <n v="200076905"/>
    <s v="WE"/>
    <n v="81"/>
    <x v="0"/>
    <x v="0"/>
    <x v="0"/>
    <n v="304"/>
    <s v="MXN"/>
    <n v="3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16.01.2020"/>
    <n v="352.64"/>
    <s v="10.02.2020"/>
    <s v="TRANSFERENCIA"/>
    <m/>
    <s v="HSBC "/>
    <s v="HSBC 004053489092 TP"/>
    <n v="340255290"/>
    <s v="SOLI1102"/>
  </r>
  <r>
    <n v="3402"/>
    <s v="25.01.2020"/>
    <n v="2020"/>
    <d v="2020-01-01T00:00:00"/>
    <n v="33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17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35"/>
    <n v="200076905"/>
    <s v="WE"/>
    <n v="81"/>
    <x v="0"/>
    <x v="0"/>
    <x v="0"/>
    <n v="304"/>
    <s v="MXN"/>
    <n v="3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18.01.2020"/>
    <n v="352.64"/>
    <s v="10.02.2020"/>
    <s v="TRANSFERENCIA"/>
    <m/>
    <s v="HSBC "/>
    <s v="HSBC 004053489092 TP"/>
    <n v="340255290"/>
    <s v="SOLI1102"/>
  </r>
  <r>
    <n v="3402"/>
    <s v="25.01.2020"/>
    <n v="2020"/>
    <d v="2020-01-01T00:00:00"/>
    <n v="37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19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39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20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41"/>
    <n v="200076905"/>
    <s v="WE"/>
    <n v="81"/>
    <x v="0"/>
    <x v="0"/>
    <x v="0"/>
    <n v="304"/>
    <s v="MXN"/>
    <n v="3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21.01.2020"/>
    <n v="352.64"/>
    <s v="10.02.2020"/>
    <s v="TRANSFERENCIA"/>
    <m/>
    <s v="HSBC "/>
    <s v="HSBC 004053489092 TP"/>
    <n v="340255290"/>
    <s v="SOLI1102"/>
  </r>
  <r>
    <n v="3402"/>
    <s v="25.01.2020"/>
    <n v="2020"/>
    <d v="2020-01-01T00:00:00"/>
    <n v="43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22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45"/>
    <n v="200076905"/>
    <s v="WE"/>
    <n v="81"/>
    <x v="0"/>
    <x v="0"/>
    <x v="0"/>
    <n v="304"/>
    <s v="MXN"/>
    <n v="3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304"/>
    <n v="48.64"/>
    <n v="352.64"/>
    <n v="200127172"/>
    <s v="Consumo CFE Taller Mantto 23.01.2020"/>
    <n v="352.64"/>
    <s v="10.02.2020"/>
    <s v="TRANSFERENCIA"/>
    <m/>
    <s v="HSBC "/>
    <s v="HSBC 004053489092 TP"/>
    <n v="340255290"/>
    <s v="SOLI1102"/>
  </r>
  <r>
    <n v="3402"/>
    <s v="25.01.2020"/>
    <n v="2020"/>
    <d v="2020-01-01T00:00:00"/>
    <n v="47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24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49"/>
    <n v="200076905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25.01.2020"/>
    <n v="4501226797"/>
    <n v="20200125"/>
    <n v="0.04"/>
    <n v="6.4000000000000003E-3"/>
    <n v="4.6400000000000004E-2"/>
    <n v="200127172"/>
    <s v="Consumo CFE Taller Mantto 25.01.2020"/>
    <n v="4.6400000000000004E-2"/>
    <s v="10.02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06"/>
    <s v="WE"/>
    <n v="81"/>
    <x v="0"/>
    <x v="0"/>
    <x v="0"/>
    <n v="121.6"/>
    <s v="MXN"/>
    <n v="121.6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21.6"/>
    <n v="19.456"/>
    <n v="141.05599999999998"/>
    <n v="200211626"/>
    <s v="Consumo CFE Hoyo 2  01.01.2020"/>
    <n v="141.05599999999998"/>
    <s v="10.03.2020"/>
    <s v="TRANSFERENCIA"/>
    <m/>
    <s v="HSBC "/>
    <s v="HSBC 004053489092 TP"/>
    <n v="340255290"/>
    <s v="SOLI1102"/>
  </r>
  <r>
    <n v="3402"/>
    <s v="25.01.2020"/>
    <n v="2020"/>
    <d v="2020-01-01T00:00:00"/>
    <n v="3"/>
    <n v="200076906"/>
    <s v="WE"/>
    <n v="81"/>
    <x v="0"/>
    <x v="0"/>
    <x v="0"/>
    <n v="125.4"/>
    <s v="MXN"/>
    <n v="125.4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25.4"/>
    <n v="20.064"/>
    <n v="145.464"/>
    <n v="200211626"/>
    <s v="Consumo CFE Hoyo 2  02.01.2020"/>
    <n v="145.464"/>
    <s v="10.03.2020"/>
    <s v="TRANSFERENCIA"/>
    <m/>
    <s v="HSBC "/>
    <s v="HSBC 004053489092 TP"/>
    <n v="340255290"/>
    <s v="SOLI1102"/>
  </r>
  <r>
    <n v="3402"/>
    <s v="25.01.2020"/>
    <n v="2020"/>
    <d v="2020-01-01T00:00:00"/>
    <n v="5"/>
    <n v="200076906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03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7"/>
    <n v="200076906"/>
    <s v="WE"/>
    <n v="81"/>
    <x v="0"/>
    <x v="0"/>
    <x v="0"/>
    <n v="110.2"/>
    <s v="MXN"/>
    <n v="110.2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0.2"/>
    <n v="17.632000000000001"/>
    <n v="127.83200000000001"/>
    <n v="200211626"/>
    <s v="Consumo CFE Hoyo 2  04.01.2020"/>
    <n v="127.83200000000001"/>
    <s v="10.03.2020"/>
    <s v="TRANSFERENCIA"/>
    <m/>
    <s v="HSBC "/>
    <s v="HSBC 004053489092 TP"/>
    <n v="340255290"/>
    <s v="SOLI1102"/>
  </r>
  <r>
    <n v="3402"/>
    <s v="25.01.2020"/>
    <n v="2020"/>
    <d v="2020-01-01T00:00:00"/>
    <n v="9"/>
    <n v="200076906"/>
    <s v="WE"/>
    <n v="81"/>
    <x v="0"/>
    <x v="0"/>
    <x v="0"/>
    <n v="110.2"/>
    <s v="MXN"/>
    <n v="110.2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0.2"/>
    <n v="17.632000000000001"/>
    <n v="127.83200000000001"/>
    <n v="200211626"/>
    <s v="Consumo CFE Hoyo 2  05.01.2020"/>
    <n v="127.83200000000001"/>
    <s v="10.03.2020"/>
    <s v="TRANSFERENCIA"/>
    <m/>
    <s v="HSBC "/>
    <s v="HSBC 004053489092 TP"/>
    <n v="340255290"/>
    <s v="SOLI1102"/>
  </r>
  <r>
    <n v="3402"/>
    <s v="25.01.2020"/>
    <n v="2020"/>
    <d v="2020-01-01T00:00:00"/>
    <n v="11"/>
    <n v="200076906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06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13"/>
    <n v="200076906"/>
    <s v="WE"/>
    <n v="81"/>
    <x v="0"/>
    <x v="0"/>
    <x v="0"/>
    <n v="125.4"/>
    <s v="MXN"/>
    <n v="125.4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25.4"/>
    <n v="20.064"/>
    <n v="145.464"/>
    <n v="200211626"/>
    <s v="Consumo CFE Hoyo 2  07.01.2020"/>
    <n v="145.464"/>
    <s v="10.03.2020"/>
    <s v="TRANSFERENCIA"/>
    <m/>
    <s v="HSBC "/>
    <s v="HSBC 004053489092 TP"/>
    <n v="340255290"/>
    <s v="SOLI1102"/>
  </r>
  <r>
    <n v="3402"/>
    <s v="25.01.2020"/>
    <n v="2020"/>
    <d v="2020-01-01T00:00:00"/>
    <n v="15"/>
    <n v="200076906"/>
    <s v="WE"/>
    <n v="81"/>
    <x v="0"/>
    <x v="0"/>
    <x v="0"/>
    <n v="106.4"/>
    <s v="MXN"/>
    <n v="106.4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06.4"/>
    <n v="17.024000000000001"/>
    <n v="123.42400000000001"/>
    <n v="200211626"/>
    <s v="Consumo CFE Hoyo 2  08.01.2020"/>
    <n v="123.42400000000001"/>
    <s v="10.03.2020"/>
    <s v="TRANSFERENCIA"/>
    <m/>
    <s v="HSBC "/>
    <s v="HSBC 004053489092 TP"/>
    <n v="340255290"/>
    <s v="SOLI1102"/>
  </r>
  <r>
    <n v="3402"/>
    <s v="25.01.2020"/>
    <n v="2020"/>
    <d v="2020-01-01T00:00:00"/>
    <n v="17"/>
    <n v="200076906"/>
    <s v="WE"/>
    <n v="81"/>
    <x v="0"/>
    <x v="0"/>
    <x v="0"/>
    <n v="110.2"/>
    <s v="MXN"/>
    <n v="110.2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0.2"/>
    <n v="17.632000000000001"/>
    <n v="127.83200000000001"/>
    <n v="200211626"/>
    <s v="Consumo CFE Hoyo 2  09.01.2020"/>
    <n v="127.83200000000001"/>
    <s v="10.03.2020"/>
    <s v="TRANSFERENCIA"/>
    <m/>
    <s v="HSBC "/>
    <s v="HSBC 004053489092 TP"/>
    <n v="340255290"/>
    <s v="SOLI1102"/>
  </r>
  <r>
    <n v="3402"/>
    <s v="25.01.2020"/>
    <n v="2020"/>
    <d v="2020-01-01T00:00:00"/>
    <n v="19"/>
    <n v="200076906"/>
    <s v="WE"/>
    <n v="81"/>
    <x v="0"/>
    <x v="0"/>
    <x v="0"/>
    <n v="121.6"/>
    <s v="MXN"/>
    <n v="121.6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21.6"/>
    <n v="19.456"/>
    <n v="141.05599999999998"/>
    <n v="200211626"/>
    <s v="Consumo CFE Hoyo 2  10.01.2020"/>
    <n v="141.05599999999998"/>
    <s v="10.03.2020"/>
    <s v="TRANSFERENCIA"/>
    <m/>
    <s v="HSBC "/>
    <s v="HSBC 004053489092 TP"/>
    <n v="340255290"/>
    <s v="SOLI1102"/>
  </r>
  <r>
    <n v="3402"/>
    <s v="25.01.2020"/>
    <n v="2020"/>
    <d v="2020-01-01T00:00:00"/>
    <n v="21"/>
    <n v="200076906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1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25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2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3"/>
    <n v="200076925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2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5"/>
    <n v="200076925"/>
    <s v="WE"/>
    <n v="81"/>
    <x v="0"/>
    <x v="0"/>
    <x v="0"/>
    <n v="114"/>
    <s v="MXN"/>
    <n v="114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3.01.2020"/>
    <n v="132.24"/>
    <s v="10.03.2020"/>
    <s v="TRANSFERENCIA"/>
    <m/>
    <s v="HSBC "/>
    <s v="HSBC 004053489092 TP"/>
    <n v="340255290"/>
    <s v="SOLI1102"/>
  </r>
  <r>
    <n v="3402"/>
    <s v="25.01.2020"/>
    <n v="2020"/>
    <d v="2020-01-01T00:00:00"/>
    <n v="7"/>
    <n v="200076925"/>
    <s v="WE"/>
    <n v="81"/>
    <x v="0"/>
    <x v="0"/>
    <x v="0"/>
    <n v="114"/>
    <s v="MXN"/>
    <n v="114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4.01.2020"/>
    <n v="132.24"/>
    <s v="10.03.2020"/>
    <s v="TRANSFERENCIA"/>
    <m/>
    <s v="HSBC "/>
    <s v="HSBC 004053489092 TP"/>
    <n v="340255290"/>
    <s v="SOLI1102"/>
  </r>
  <r>
    <n v="3402"/>
    <s v="25.01.2020"/>
    <n v="2020"/>
    <d v="2020-01-01T00:00:00"/>
    <n v="9"/>
    <n v="200076925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5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26"/>
    <s v="WE"/>
    <n v="9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2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27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3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28"/>
    <s v="WE"/>
    <n v="91"/>
    <x v="0"/>
    <x v="0"/>
    <x v="0"/>
    <n v="114"/>
    <s v="MXN"/>
    <n v="114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3.01.2020"/>
    <n v="132.24"/>
    <s v="10.03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29"/>
    <s v="WE"/>
    <n v="81"/>
    <x v="0"/>
    <x v="0"/>
    <x v="0"/>
    <n v="114"/>
    <s v="MXN"/>
    <n v="114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4.01.2020"/>
    <n v="132.24"/>
    <s v="10.03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30"/>
    <s v="WE"/>
    <n v="91"/>
    <x v="0"/>
    <x v="0"/>
    <x v="0"/>
    <n v="114"/>
    <s v="MXN"/>
    <n v="114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4.01.2020"/>
    <n v="132.24"/>
    <s v="10.03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31"/>
    <s v="WE"/>
    <n v="81"/>
    <x v="0"/>
    <x v="0"/>
    <x v="0"/>
    <n v="114"/>
    <s v="MXN"/>
    <n v="114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5.01.2020"/>
    <n v="132.24"/>
    <s v="10.03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32"/>
    <s v="WE"/>
    <n v="9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5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33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16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34"/>
    <s v="WE"/>
    <n v="81"/>
    <x v="0"/>
    <x v="0"/>
    <x v="0"/>
    <n v="110.2"/>
    <s v="MXN"/>
    <n v="110.2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0.2"/>
    <n v="17.632000000000001"/>
    <n v="127.83200000000001"/>
    <n v="200211626"/>
    <s v="Consumo CFE Hoyo 2  17.01.2020"/>
    <n v="127.83200000000001"/>
    <s v="10.03.2020"/>
    <s v="TRANSFERENCIA"/>
    <m/>
    <s v="HSBC "/>
    <s v="HSBC 004053489092 TP"/>
    <n v="340255290"/>
    <s v="SOLI1102"/>
  </r>
  <r>
    <n v="3402"/>
    <s v="25.01.2020"/>
    <n v="2020"/>
    <d v="2020-01-01T00:00:00"/>
    <n v="3"/>
    <n v="200076934"/>
    <s v="WE"/>
    <n v="81"/>
    <x v="0"/>
    <x v="0"/>
    <x v="0"/>
    <n v="121.6"/>
    <s v="MXN"/>
    <n v="121.6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21.6"/>
    <n v="19.456"/>
    <n v="141.05599999999998"/>
    <n v="200211626"/>
    <s v="Consumo CFE Hoyo 2  18.01.2020"/>
    <n v="141.05599999999998"/>
    <s v="10.03.2020"/>
    <s v="TRANSFERENCIA"/>
    <m/>
    <s v="HSBC "/>
    <s v="HSBC 004053489092 TP"/>
    <n v="340255290"/>
    <s v="SOLI1102"/>
  </r>
  <r>
    <n v="3402"/>
    <s v="25.01.2020"/>
    <n v="2020"/>
    <d v="2020-01-01T00:00:00"/>
    <n v="5"/>
    <n v="200076934"/>
    <s v="WE"/>
    <n v="81"/>
    <x v="0"/>
    <x v="0"/>
    <x v="0"/>
    <n v="114"/>
    <s v="MXN"/>
    <n v="114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19.01.2020"/>
    <n v="132.24"/>
    <s v="10.03.2020"/>
    <s v="TRANSFERENCIA"/>
    <m/>
    <s v="HSBC "/>
    <s v="HSBC 004053489092 TP"/>
    <n v="340255290"/>
    <s v="SOLI1102"/>
  </r>
  <r>
    <n v="3402"/>
    <s v="25.01.2020"/>
    <n v="2020"/>
    <d v="2020-01-01T00:00:00"/>
    <n v="7"/>
    <n v="200076934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20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9"/>
    <n v="200076934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21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11"/>
    <n v="200076934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22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36"/>
    <s v="WE"/>
    <n v="81"/>
    <x v="0"/>
    <x v="0"/>
    <x v="0"/>
    <n v="114"/>
    <s v="MXN"/>
    <n v="114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4"/>
    <n v="18.240000000000002"/>
    <n v="132.24"/>
    <n v="200211626"/>
    <s v="Consumo CFE Hoyo 2  23.01.2020"/>
    <n v="132.24"/>
    <s v="10.03.2020"/>
    <s v="TRANSFERENCIA"/>
    <m/>
    <s v="HSBC "/>
    <s v="HSBC 004053489092 TP"/>
    <n v="340255290"/>
    <s v="SOLI1102"/>
  </r>
  <r>
    <n v="3402"/>
    <s v="25.01.2020"/>
    <n v="2020"/>
    <d v="2020-01-01T00:00:00"/>
    <n v="3"/>
    <n v="200076936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24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5"/>
    <n v="200076936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17.8"/>
    <n v="18.847999999999999"/>
    <n v="136.648"/>
    <n v="200211626"/>
    <s v="Consumo CFE Hoyo 2  25.01.2020"/>
    <n v="136.648"/>
    <s v="10.03.2020"/>
    <s v="TRANSFERENCIA"/>
    <m/>
    <s v="HSBC "/>
    <s v="HSBC 004053489092 TP"/>
    <n v="340255290"/>
    <s v="SOLI1102"/>
  </r>
  <r>
    <n v="3402"/>
    <s v="25.01.2020"/>
    <n v="2020"/>
    <d v="2020-01-01T00:00:00"/>
    <n v="1"/>
    <n v="200076937"/>
    <s v="WE"/>
    <n v="81"/>
    <x v="0"/>
    <x v="0"/>
    <x v="0"/>
    <n v="9"/>
    <s v="MXN"/>
    <n v="9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9"/>
    <n v="1.44"/>
    <n v="10.44"/>
    <n v="200211626"/>
    <s v="Consumo CFE Hoyo 5  01.01.2020"/>
    <n v="10.44"/>
    <s v="10.03.2020"/>
    <s v="TRANSFERENCIA"/>
    <m/>
    <s v="HSBC "/>
    <s v="HSBC 004053489092 TP"/>
    <n v="340255290"/>
    <s v="SOLI1102"/>
  </r>
  <r>
    <n v="3402"/>
    <s v="25.01.2020"/>
    <n v="2020"/>
    <d v="2020-01-01T00:00:00"/>
    <n v="3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02.01.2020"/>
    <n v="5.8000000000000003E-2"/>
    <s v="10.03.2020"/>
    <s v="TRANSFERENCIA"/>
    <m/>
    <s v="HSBC "/>
    <s v="HSBC 004053489092 TP"/>
    <n v="340255290"/>
    <s v="SOLI1102"/>
  </r>
  <r>
    <n v="3402"/>
    <s v="25.01.2020"/>
    <n v="2020"/>
    <d v="2020-01-01T00:00:00"/>
    <n v="5"/>
    <n v="200076937"/>
    <s v="WE"/>
    <n v="81"/>
    <x v="0"/>
    <x v="0"/>
    <x v="0"/>
    <n v="31.5"/>
    <s v="MXN"/>
    <n v="31.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31.5"/>
    <n v="5.04"/>
    <n v="36.54"/>
    <n v="200211626"/>
    <s v="Consumo CFE Hoyo 5  03.01.2020"/>
    <n v="36.54"/>
    <s v="10.03.2020"/>
    <s v="TRANSFERENCIA"/>
    <m/>
    <s v="HSBC "/>
    <s v="HSBC 004053489092 TP"/>
    <n v="340255290"/>
    <s v="SOLI1102"/>
  </r>
  <r>
    <n v="3402"/>
    <s v="25.01.2020"/>
    <n v="2020"/>
    <d v="2020-01-01T00:00:00"/>
    <n v="7"/>
    <n v="200076937"/>
    <s v="WE"/>
    <n v="81"/>
    <x v="0"/>
    <x v="0"/>
    <x v="0"/>
    <n v="31.5"/>
    <s v="MXN"/>
    <n v="31.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31.5"/>
    <n v="5.04"/>
    <n v="36.54"/>
    <n v="200211626"/>
    <s v="Consumo CFE Hoyo 5  04.01.2020"/>
    <n v="36.54"/>
    <s v="10.03.2020"/>
    <s v="TRANSFERENCIA"/>
    <m/>
    <s v="HSBC "/>
    <s v="HSBC 004053489092 TP"/>
    <n v="340255290"/>
    <s v="SOLI1102"/>
  </r>
  <r>
    <n v="3402"/>
    <s v="25.01.2020"/>
    <n v="2020"/>
    <d v="2020-01-01T00:00:00"/>
    <n v="9"/>
    <n v="200076937"/>
    <s v="WE"/>
    <n v="81"/>
    <x v="0"/>
    <x v="0"/>
    <x v="0"/>
    <n v="13.5"/>
    <s v="MXN"/>
    <n v="13.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13.5"/>
    <n v="2.16"/>
    <n v="15.66"/>
    <n v="200211626"/>
    <s v="Consumo CFE Hoyo 5  05.01.2020"/>
    <n v="15.66"/>
    <s v="10.03.2020"/>
    <s v="TRANSFERENCIA"/>
    <m/>
    <s v="HSBC "/>
    <s v="HSBC 004053489092 TP"/>
    <n v="340255290"/>
    <s v="SOLI1102"/>
  </r>
  <r>
    <n v="3402"/>
    <s v="25.01.2020"/>
    <n v="2020"/>
    <d v="2020-01-01T00:00:00"/>
    <n v="11"/>
    <n v="200076937"/>
    <s v="WE"/>
    <n v="81"/>
    <x v="0"/>
    <x v="0"/>
    <x v="0"/>
    <n v="9"/>
    <s v="MXN"/>
    <n v="9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9"/>
    <n v="1.44"/>
    <n v="10.44"/>
    <n v="200211626"/>
    <s v="Consumo CFE Hoyo 5  06.01.2020"/>
    <n v="10.44"/>
    <s v="10.03.2020"/>
    <s v="TRANSFERENCIA"/>
    <m/>
    <s v="HSBC "/>
    <s v="HSBC 004053489092 TP"/>
    <n v="340255290"/>
    <s v="SOLI1102"/>
  </r>
  <r>
    <n v="3402"/>
    <s v="25.01.2020"/>
    <n v="2020"/>
    <d v="2020-01-01T00:00:00"/>
    <n v="13"/>
    <n v="200076937"/>
    <s v="WE"/>
    <n v="81"/>
    <x v="0"/>
    <x v="0"/>
    <x v="0"/>
    <n v="4.5"/>
    <s v="MXN"/>
    <n v="4.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4.5"/>
    <n v="0.72"/>
    <n v="5.22"/>
    <n v="200211626"/>
    <s v="Consumo CFE Hoyo 5  07.01.2020"/>
    <n v="5.22"/>
    <s v="10.03.2020"/>
    <s v="TRANSFERENCIA"/>
    <m/>
    <s v="HSBC "/>
    <s v="HSBC 004053489092 TP"/>
    <n v="340255290"/>
    <s v="SOLI1102"/>
  </r>
  <r>
    <n v="3402"/>
    <s v="25.01.2020"/>
    <n v="2020"/>
    <d v="2020-01-01T00:00:00"/>
    <n v="15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08.01.2020"/>
    <n v="5.8000000000000003E-2"/>
    <s v="10.03.2020"/>
    <s v="TRANSFERENCIA"/>
    <m/>
    <s v="HSBC "/>
    <s v="HSBC 004053489092 TP"/>
    <n v="340255290"/>
    <s v="SOLI1102"/>
  </r>
  <r>
    <n v="3402"/>
    <s v="25.01.2020"/>
    <n v="2020"/>
    <d v="2020-01-01T00:00:00"/>
    <n v="17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09.01.2020"/>
    <n v="5.8000000000000003E-2"/>
    <s v="10.03.2020"/>
    <s v="TRANSFERENCIA"/>
    <m/>
    <s v="HSBC "/>
    <s v="HSBC 004053489092 TP"/>
    <n v="340255290"/>
    <s v="SOLI1102"/>
  </r>
  <r>
    <n v="3402"/>
    <s v="25.01.2020"/>
    <n v="2020"/>
    <d v="2020-01-01T00:00:00"/>
    <n v="19"/>
    <n v="200076937"/>
    <s v="WE"/>
    <n v="81"/>
    <x v="0"/>
    <x v="0"/>
    <x v="0"/>
    <n v="4.5"/>
    <s v="MXN"/>
    <n v="4.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4.5"/>
    <n v="0.72"/>
    <n v="5.22"/>
    <n v="200211626"/>
    <s v="Consumo CFE Hoyo 5  10.01.2020"/>
    <n v="5.22"/>
    <s v="10.03.2020"/>
    <s v="TRANSFERENCIA"/>
    <m/>
    <s v="HSBC "/>
    <s v="HSBC 004053489092 TP"/>
    <n v="340255290"/>
    <s v="SOLI1102"/>
  </r>
  <r>
    <n v="3402"/>
    <s v="25.01.2020"/>
    <n v="2020"/>
    <d v="2020-01-01T00:00:00"/>
    <n v="21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1.01.2020"/>
    <n v="5.8000000000000003E-2"/>
    <s v="10.03.2020"/>
    <s v="TRANSFERENCIA"/>
    <m/>
    <s v="HSBC "/>
    <s v="HSBC 004053489092 TP"/>
    <n v="340255290"/>
    <s v="SOLI1102"/>
  </r>
  <r>
    <n v="3402"/>
    <s v="25.01.2020"/>
    <n v="2020"/>
    <d v="2020-01-01T00:00:00"/>
    <n v="23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2.01.2020"/>
    <n v="5.8000000000000003E-2"/>
    <s v="10.03.2020"/>
    <s v="TRANSFERENCIA"/>
    <m/>
    <s v="HSBC "/>
    <s v="HSBC 004053489092 TP"/>
    <n v="340255290"/>
    <s v="SOLI1102"/>
  </r>
  <r>
    <n v="3402"/>
    <s v="25.01.2020"/>
    <n v="2020"/>
    <d v="2020-01-01T00:00:00"/>
    <n v="25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3.01.2020"/>
    <n v="5.8000000000000003E-2"/>
    <s v="10.03.2020"/>
    <s v="TRANSFERENCIA"/>
    <m/>
    <s v="HSBC "/>
    <s v="HSBC 004053489092 TP"/>
    <n v="340255290"/>
    <s v="SOLI1102"/>
  </r>
  <r>
    <n v="3402"/>
    <s v="25.01.2020"/>
    <n v="2020"/>
    <d v="2020-01-01T00:00:00"/>
    <n v="27"/>
    <n v="200076937"/>
    <s v="WE"/>
    <n v="81"/>
    <x v="0"/>
    <x v="0"/>
    <x v="0"/>
    <n v="4.5"/>
    <s v="MXN"/>
    <n v="4.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4.5"/>
    <n v="0.72"/>
    <n v="5.22"/>
    <n v="200211626"/>
    <s v="Consumo CFE Hoyo 5  14.01.2020"/>
    <n v="5.22"/>
    <s v="10.03.2020"/>
    <s v="TRANSFERENCIA"/>
    <m/>
    <s v="HSBC "/>
    <s v="HSBC 004053489092 TP"/>
    <n v="340255290"/>
    <s v="SOLI1102"/>
  </r>
  <r>
    <n v="3402"/>
    <s v="25.01.2020"/>
    <n v="2020"/>
    <d v="2020-01-01T00:00:00"/>
    <n v="29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5.01.2020"/>
    <n v="5.8000000000000003E-2"/>
    <s v="10.03.2020"/>
    <s v="TRANSFERENCIA"/>
    <m/>
    <s v="HSBC "/>
    <s v="HSBC 004053489092 TP"/>
    <n v="340255290"/>
    <s v="SOLI1102"/>
  </r>
  <r>
    <n v="3402"/>
    <s v="25.01.2020"/>
    <n v="2020"/>
    <d v="2020-01-01T00:00:00"/>
    <n v="31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6.01.2020"/>
    <n v="5.8000000000000003E-2"/>
    <s v="10.03.2020"/>
    <s v="TRANSFERENCIA"/>
    <m/>
    <s v="HSBC "/>
    <s v="HSBC 004053489092 TP"/>
    <n v="340255290"/>
    <s v="SOLI1102"/>
  </r>
  <r>
    <n v="3402"/>
    <s v="25.01.2020"/>
    <n v="2020"/>
    <d v="2020-01-01T00:00:00"/>
    <n v="33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7.01.2020"/>
    <n v="5.8000000000000003E-2"/>
    <s v="10.03.2020"/>
    <s v="TRANSFERENCIA"/>
    <m/>
    <s v="HSBC "/>
    <s v="HSBC 004053489092 TP"/>
    <n v="340255290"/>
    <s v="SOLI1102"/>
  </r>
  <r>
    <n v="3402"/>
    <s v="25.01.2020"/>
    <n v="2020"/>
    <d v="2020-01-01T00:00:00"/>
    <n v="35"/>
    <n v="200076937"/>
    <s v="WE"/>
    <n v="81"/>
    <x v="0"/>
    <x v="0"/>
    <x v="0"/>
    <n v="4.5"/>
    <s v="MXN"/>
    <n v="4.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4.5"/>
    <n v="0.72"/>
    <n v="5.22"/>
    <n v="200211626"/>
    <s v="Consumo CFE Hoyo 5  18.01.2020"/>
    <n v="5.22"/>
    <s v="10.03.2020"/>
    <s v="TRANSFERENCIA"/>
    <m/>
    <s v="HSBC "/>
    <s v="HSBC 004053489092 TP"/>
    <n v="340255290"/>
    <s v="SOLI1102"/>
  </r>
  <r>
    <n v="3402"/>
    <s v="25.01.2020"/>
    <n v="2020"/>
    <d v="2020-01-01T00:00:00"/>
    <n v="37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19.01.2020"/>
    <n v="5.8000000000000003E-2"/>
    <s v="10.03.2020"/>
    <s v="TRANSFERENCIA"/>
    <m/>
    <s v="HSBC "/>
    <s v="HSBC 004053489092 TP"/>
    <n v="340255290"/>
    <s v="SOLI1102"/>
  </r>
  <r>
    <n v="3402"/>
    <s v="25.01.2020"/>
    <n v="2020"/>
    <d v="2020-01-01T00:00:00"/>
    <n v="39"/>
    <n v="200076937"/>
    <s v="WE"/>
    <n v="81"/>
    <x v="0"/>
    <x v="0"/>
    <x v="0"/>
    <n v="4.5"/>
    <s v="MXN"/>
    <n v="4.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4.5"/>
    <n v="0.72"/>
    <n v="5.22"/>
    <n v="200211626"/>
    <s v="Consumo CFE Hoyo 5  20.01.2020"/>
    <n v="5.22"/>
    <s v="10.03.2020"/>
    <s v="TRANSFERENCIA"/>
    <m/>
    <s v="HSBC "/>
    <s v="HSBC 004053489092 TP"/>
    <n v="340255290"/>
    <s v="SOLI1102"/>
  </r>
  <r>
    <n v="3402"/>
    <s v="25.01.2020"/>
    <n v="2020"/>
    <d v="2020-01-01T00:00:00"/>
    <n v="41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21.01.2020"/>
    <n v="5.8000000000000003E-2"/>
    <s v="10.03.2020"/>
    <s v="TRANSFERENCIA"/>
    <m/>
    <s v="HSBC "/>
    <s v="HSBC 004053489092 TP"/>
    <n v="340255290"/>
    <s v="SOLI1102"/>
  </r>
  <r>
    <n v="3402"/>
    <s v="25.01.2020"/>
    <n v="2020"/>
    <d v="2020-01-01T00:00:00"/>
    <n v="43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22.01.2020"/>
    <n v="5.8000000000000003E-2"/>
    <s v="10.03.2020"/>
    <s v="TRANSFERENCIA"/>
    <m/>
    <s v="HSBC "/>
    <s v="HSBC 004053489092 TP"/>
    <n v="340255290"/>
    <s v="SOLI1102"/>
  </r>
  <r>
    <n v="3402"/>
    <s v="25.01.2020"/>
    <n v="2020"/>
    <d v="2020-01-01T00:00:00"/>
    <n v="45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23.01.2020"/>
    <n v="5.8000000000000003E-2"/>
    <s v="10.03.2020"/>
    <s v="TRANSFERENCIA"/>
    <m/>
    <s v="HSBC "/>
    <s v="HSBC 004053489092 TP"/>
    <n v="340255290"/>
    <s v="SOLI1102"/>
  </r>
  <r>
    <n v="3402"/>
    <s v="25.01.2020"/>
    <n v="2020"/>
    <d v="2020-01-01T00:00:00"/>
    <n v="47"/>
    <n v="200076937"/>
    <s v="WE"/>
    <n v="81"/>
    <x v="0"/>
    <x v="0"/>
    <x v="0"/>
    <n v="4.5"/>
    <s v="MXN"/>
    <n v="4.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4.5"/>
    <n v="0.72"/>
    <n v="5.22"/>
    <n v="200211626"/>
    <s v="Consumo CFE Hoyo 5  24.01.2020"/>
    <n v="5.22"/>
    <s v="10.03.2020"/>
    <s v="TRANSFERENCIA"/>
    <m/>
    <s v="HSBC "/>
    <s v="HSBC 004053489092 TP"/>
    <n v="340255290"/>
    <s v="SOLI1102"/>
  </r>
  <r>
    <n v="3402"/>
    <s v="25.01.2020"/>
    <n v="2020"/>
    <d v="2020-01-01T00:00:00"/>
    <n v="49"/>
    <n v="200076937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25.01.2020"/>
    <n v="4501226813"/>
    <n v="20200125"/>
    <n v="0.05"/>
    <n v="8.0000000000000002E-3"/>
    <n v="5.8000000000000003E-2"/>
    <n v="200211626"/>
    <s v="Consumo CFE Hoyo 5  25.01.2020"/>
    <n v="5.8000000000000003E-2"/>
    <s v="10.03.2020"/>
    <s v="TRANSFERENCIA"/>
    <m/>
    <s v="HSBC "/>
    <s v="HSBC 004053489092 TP"/>
    <n v="340255290"/>
    <s v="SOLI1102"/>
  </r>
  <r>
    <n v="3409"/>
    <s v="20.01.2020"/>
    <n v="2020"/>
    <d v="2020-01-01T00:00:00"/>
    <n v="3"/>
    <n v="900006650"/>
    <s v="WE"/>
    <n v="81"/>
    <x v="2"/>
    <x v="0"/>
    <x v="2"/>
    <n v="38735.589999999997"/>
    <s v="USD"/>
    <n v="727957.94"/>
    <x v="0"/>
    <x v="0"/>
    <m/>
    <s v="N/A Registro proveedor extranjero"/>
    <n v="270972527"/>
    <n v="200497"/>
    <s v="NOBU HOSPITALITY LLC"/>
    <m/>
    <m/>
    <s v="20.01.2020"/>
    <s v="INVOICE 1219"/>
    <s v="2019 A"/>
    <n v="38735.589999999997"/>
    <n v="0"/>
    <n v="38735.589999999997"/>
    <n v="900006711"/>
    <s v="FEE DICIEMBRE NOBU"/>
    <n v="38735.589999999997"/>
    <s v="05.11.2020"/>
    <s v="TRANSFERENCIA"/>
    <n v="900203553"/>
    <s v="BOFA"/>
    <s v="BofA RCD 89805242886"/>
    <n v="340981990"/>
    <s v="SOLI3409"/>
  </r>
  <r>
    <n v="3401"/>
    <s v="20.01.2020"/>
    <n v="2020"/>
    <d v="2020-01-01T00:00:00"/>
    <n v="1"/>
    <n v="100019743"/>
    <s v="WE"/>
    <n v="81"/>
    <x v="1"/>
    <x v="0"/>
    <x v="1"/>
    <n v="624616.09"/>
    <s v="MXN"/>
    <n v="624616.09"/>
    <x v="0"/>
    <x v="0"/>
    <m/>
    <s v="N/A Registro proveedor extranjero"/>
    <s v="NL805734958B01"/>
    <n v="600271"/>
    <s v="BOOKING COM BV"/>
    <m/>
    <m/>
    <s v="20.01.2020"/>
    <n v="1548693071"/>
    <n v="20200120"/>
    <n v="624616.09"/>
    <n v="0"/>
    <n v="624616.09"/>
    <n v="100021561"/>
    <s v="Comisión por reservas de booking 12/19"/>
    <n v="624616.09"/>
    <s v="27.01.2020"/>
    <s v="TRANSFERENCIA"/>
    <n v="100023220"/>
    <s v="BBVA"/>
    <s v="BBVAB 00188039070 TP"/>
    <n v="340121790"/>
    <s v="SOLI1101"/>
  </r>
  <r>
    <n v="3401"/>
    <s v="20.01.2020"/>
    <n v="2020"/>
    <d v="2020-01-01T00:00:00"/>
    <n v="1"/>
    <n v="100019746"/>
    <s v="WE"/>
    <n v="81"/>
    <x v="1"/>
    <x v="0"/>
    <x v="1"/>
    <n v="13470.26"/>
    <s v="MXN"/>
    <n v="13470.26"/>
    <x v="0"/>
    <x v="0"/>
    <m/>
    <s v="1C202592-1C6A-4582-8415-38C00D3EE135"/>
    <m/>
    <n v="800407"/>
    <s v="RIVERA SALAZAR REBECA"/>
    <m/>
    <m/>
    <s v="20.01.2020"/>
    <s v="A336"/>
    <n v="20200120"/>
    <n v="13470.26"/>
    <n v="2155.2416000000003"/>
    <n v="15625.5016"/>
    <n v="100021585"/>
    <s v="COMISION POR RESERVAS RIVERA VIAJES 2019"/>
    <n v="15625.5016"/>
    <s v="25.02.2020"/>
    <s v="TRANSFERENCIA"/>
    <n v="100058969"/>
    <m/>
    <s v="BBVA"/>
    <n v="340121790"/>
    <s v="SOLI1101"/>
  </r>
  <r>
    <n v="3403"/>
    <s v="20.01.2020"/>
    <n v="2020"/>
    <d v="2020-01-01T00:00:00"/>
    <n v="1"/>
    <n v="300010941"/>
    <s v="WE"/>
    <n v="81"/>
    <x v="6"/>
    <x v="0"/>
    <x v="6"/>
    <n v="1371.47"/>
    <s v="USD"/>
    <n v="25774.04"/>
    <x v="0"/>
    <x v="0"/>
    <m/>
    <s v="N/A Registro proveedor extranjero"/>
    <n v="593416526"/>
    <n v="602304"/>
    <s v="VIZERGY."/>
    <m/>
    <m/>
    <s v="20.01.2020"/>
    <s v="SIN044082"/>
    <n v="20200120"/>
    <n v="1371.47"/>
    <n v="0"/>
    <n v="1371.47"/>
    <n v="300018510"/>
    <s v="MENSUALIDAD HOSTING SITIO WEB ENE 2020"/>
    <n v="1371.47"/>
    <s v="26.02.2020"/>
    <s v="TRANSFERENCIA"/>
    <n v="300041199"/>
    <s v="BOFA"/>
    <s v="BofA RCD 89805242886"/>
    <n v="340321790"/>
    <s v="SOLI1103"/>
  </r>
  <r>
    <n v="3401"/>
    <s v="20.01.2020"/>
    <n v="2020"/>
    <d v="2020-01-01T00:00:00"/>
    <n v="1"/>
    <n v="100019477"/>
    <s v="WE"/>
    <n v="81"/>
    <x v="0"/>
    <x v="0"/>
    <x v="0"/>
    <n v="50848"/>
    <s v="MXN"/>
    <n v="50848"/>
    <x v="0"/>
    <x v="0"/>
    <m/>
    <s v="27DFA65C-1D63-41B7-9350-ADC68088A10C"/>
    <s v="CSS160330CP7"/>
    <n v="107211"/>
    <s v="CFE SUMINISTRADOR DE SERVICIOS"/>
    <m/>
    <m/>
    <s v="20.01.2020"/>
    <n v="4501216248"/>
    <s v="WH000533227437"/>
    <n v="50848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20.01.2020"/>
    <n v="2020"/>
    <d v="2020-01-01T00:00:00"/>
    <n v="1"/>
    <n v="100019478"/>
    <s v="WE"/>
    <n v="81"/>
    <x v="0"/>
    <x v="0"/>
    <x v="0"/>
    <n v="42672"/>
    <s v="MXN"/>
    <n v="42672"/>
    <x v="0"/>
    <x v="0"/>
    <m/>
    <s v="27DFA65C-1D63-41B7-9350-ADC68088A10C"/>
    <s v="CSS160330CP7"/>
    <n v="107211"/>
    <s v="CFE SUMINISTRADOR DE SERVICIOS"/>
    <m/>
    <m/>
    <s v="20.01.2020"/>
    <n v="4501216248"/>
    <s v="WH000533227437"/>
    <n v="42672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20.01.2020"/>
    <n v="2020"/>
    <d v="2020-01-01T00:00:00"/>
    <n v="1"/>
    <n v="100019480"/>
    <s v="WE"/>
    <n v="81"/>
    <x v="0"/>
    <x v="0"/>
    <x v="0"/>
    <n v="54936"/>
    <s v="MXN"/>
    <n v="54936"/>
    <x v="0"/>
    <x v="0"/>
    <m/>
    <s v="27DFA65C-1D63-41B7-9350-ADC68088A10C"/>
    <s v="CSS160330CP7"/>
    <n v="107211"/>
    <s v="CFE SUMINISTRADOR DE SERVICIOS"/>
    <m/>
    <m/>
    <s v="20.01.2020"/>
    <n v="4501216248"/>
    <s v="WH000533227437"/>
    <n v="54936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6"/>
    <s v="20.01.2020"/>
    <n v="2020"/>
    <d v="2020-01-01T00:00:00"/>
    <n v="1"/>
    <n v="600018996"/>
    <s v="WE"/>
    <n v="81"/>
    <x v="1"/>
    <x v="0"/>
    <x v="1"/>
    <n v="18186"/>
    <s v="USD"/>
    <n v="341769.5"/>
    <x v="0"/>
    <x v="0"/>
    <m/>
    <s v="N/A Registro proveedor extranjero"/>
    <n v="183439718"/>
    <n v="800875"/>
    <s v="LHW Services GmbH"/>
    <m/>
    <m/>
    <s v="20.01.2020"/>
    <s v="TH051069"/>
    <n v="4501222975"/>
    <n v="18186"/>
    <n v="0"/>
    <n v="18186"/>
    <n v="600025891"/>
    <s v="3% Revenue Diciembre 2019"/>
    <n v="18186"/>
    <s v="11.02.2020"/>
    <s v="TRANSFERENCIA"/>
    <n v="600040070"/>
    <s v="BOFA"/>
    <s v="BofA RCD 89805242886"/>
    <n v="340621790"/>
    <s v="SOLIUNICO"/>
  </r>
  <r>
    <n v="3403"/>
    <s v="20.01.2020"/>
    <n v="2020"/>
    <d v="2020-01-01T00:00:00"/>
    <n v="1"/>
    <n v="300011122"/>
    <s v="WE"/>
    <n v="81"/>
    <x v="2"/>
    <x v="0"/>
    <x v="2"/>
    <n v="4529.8900000000003"/>
    <s v="USD"/>
    <n v="85130.22"/>
    <x v="0"/>
    <x v="0"/>
    <m/>
    <s v="N/A Registro proveedor extranjero"/>
    <n v="593383972"/>
    <n v="600226"/>
    <s v="HARD ROCK CAFE INTERNATIONAL INC."/>
    <m/>
    <m/>
    <s v="20.01.2020"/>
    <n v="4501224049"/>
    <s v="4170120M"/>
    <n v="4529.8900000000003"/>
    <n v="0"/>
    <n v="4529.8900000000003"/>
    <n v="300012072"/>
    <s v="FEES HARD ROCK- MEMORABILIA ENE 2020"/>
    <n v="3623.9120000000003"/>
    <s v="02.06.2020"/>
    <s v="TRANSFERENCIA"/>
    <n v="300238841"/>
    <s v="BOFA"/>
    <s v="BofA RCD 89805242886"/>
    <n v="340321790"/>
    <s v="ERAMOS"/>
  </r>
  <r>
    <n v="3406"/>
    <s v="20.01.2020"/>
    <n v="2020"/>
    <d v="2020-01-01T00:00:00"/>
    <n v="1"/>
    <n v="600019090"/>
    <s v="WE"/>
    <n v="81"/>
    <x v="7"/>
    <x v="0"/>
    <x v="7"/>
    <n v="380"/>
    <s v="USD"/>
    <n v="7141.34"/>
    <x v="0"/>
    <x v="0"/>
    <m/>
    <s v="N/A Registro proveedor extranjero"/>
    <n v="453325398"/>
    <n v="101653"/>
    <s v="BOOKER SOFTWARE INC"/>
    <m/>
    <m/>
    <s v="20.01.2020"/>
    <s v="120106-008E"/>
    <n v="20200120"/>
    <n v="380"/>
    <n v="0"/>
    <n v="380"/>
    <n v="600025900"/>
    <s v="PAGO SABE BOOKER ENERO 2020"/>
    <n v="380"/>
    <s v="11.02.2020"/>
    <s v="TRANSFERENCIA"/>
    <n v="600040066"/>
    <s v="BOFA"/>
    <s v="BofA RCD 89805242886"/>
    <n v="340615190"/>
    <s v="SOLIUNICO"/>
  </r>
  <r>
    <n v="3403"/>
    <s v="20.01.2020"/>
    <n v="2020"/>
    <d v="2020-01-01T00:00:00"/>
    <n v="1"/>
    <n v="300011135"/>
    <s v="WE"/>
    <n v="81"/>
    <x v="2"/>
    <x v="0"/>
    <x v="2"/>
    <n v="6703.01"/>
    <s v="USD"/>
    <n v="125969.67"/>
    <x v="0"/>
    <x v="0"/>
    <m/>
    <s v="N/A Registro proveedor extranjero"/>
    <n v="593383972"/>
    <n v="600226"/>
    <s v="HARD ROCK CAFE INTERNATIONAL INC."/>
    <m/>
    <m/>
    <s v="20.01.2020"/>
    <n v="4501222799"/>
    <s v="4171219CRS"/>
    <n v="6703.01"/>
    <n v="0"/>
    <n v="6703.01"/>
    <n v="300018477"/>
    <s v="FEES - Reservation Fee Services"/>
    <n v="5362.4080000000004"/>
    <s v="02.06.2020"/>
    <s v="TRANSFERENCIA"/>
    <n v="300238841"/>
    <s v="BOFA"/>
    <s v="BofA RCD 89805242886"/>
    <n v="340321790"/>
    <s v="ERAMOS"/>
  </r>
  <r>
    <n v="3403"/>
    <s v="20.01.2020"/>
    <n v="2020"/>
    <d v="2020-01-01T00:00:00"/>
    <n v="1"/>
    <n v="300011153"/>
    <s v="WE"/>
    <n v="81"/>
    <x v="7"/>
    <x v="0"/>
    <x v="7"/>
    <n v="20629.82"/>
    <s v="MXN"/>
    <n v="20629.82"/>
    <x v="0"/>
    <x v="0"/>
    <m/>
    <s v="78777681-43A2-4A7B-93F0-D36EE16806DC"/>
    <s v="EDD190321786"/>
    <n v="109480"/>
    <s v="ESTRATEGIAS DIGITALES PARA EL"/>
    <m/>
    <m/>
    <s v="20.01.2020"/>
    <s v="A103"/>
    <n v="4501216760"/>
    <n v="20629.82"/>
    <n v="3300.7712000000001"/>
    <n v="23930.591199999999"/>
    <n v="300011714"/>
    <s v="Licencia Adobe Cloud"/>
    <n v="23930.591199999999"/>
    <s v="10.02.2020"/>
    <s v="TRANSFERENCIA"/>
    <n v="300022039"/>
    <s v="BBVA"/>
    <s v="BBVAB 00188039070 TP"/>
    <n v="340325790"/>
    <s v="SOLI1103"/>
  </r>
  <r>
    <n v="3402"/>
    <s v="16.01.2020"/>
    <n v="2020"/>
    <d v="2020-01-01T00:00:00"/>
    <n v="1"/>
    <n v="200042522"/>
    <s v="WE"/>
    <n v="81"/>
    <x v="3"/>
    <x v="0"/>
    <x v="3"/>
    <n v="4875"/>
    <s v="MXN"/>
    <n v="4875"/>
    <x v="0"/>
    <x v="0"/>
    <m/>
    <s v="26D48181-4C07-4148-B3BB-B2C5ABE8D829"/>
    <m/>
    <n v="101476"/>
    <s v="ESTRADA RODRIGUEZ RAFAEL"/>
    <m/>
    <m/>
    <s v="16.01.2020"/>
    <s v="D127"/>
    <n v="20200116"/>
    <n v="4875"/>
    <n v="780"/>
    <n v="5655"/>
    <n v="200047512"/>
    <s v="PAGO TEMAZCAL 23 DIC-7 ENERO"/>
    <n v="5655"/>
    <s v="31.01.2020"/>
    <s v="TRANSFERENCIA"/>
    <n v="200102219"/>
    <s v="BBVA"/>
    <s v="BBVAB 00188039070 TP"/>
    <n v="340253290"/>
    <s v="SOLI1102"/>
  </r>
  <r>
    <n v="3407"/>
    <s v="16.01.2020"/>
    <n v="2020"/>
    <d v="2020-01-01T00:00:00"/>
    <n v="1"/>
    <n v="700016216"/>
    <s v="WE"/>
    <n v="81"/>
    <x v="6"/>
    <x v="0"/>
    <x v="6"/>
    <n v="881.15"/>
    <s v="USD"/>
    <n v="16576.189999999999"/>
    <x v="0"/>
    <x v="0"/>
    <m/>
    <s v="N/A Registro proveedor extranjero"/>
    <n v="593416526"/>
    <n v="602304"/>
    <s v="VIZERGY."/>
    <m/>
    <m/>
    <s v="16.01.2020"/>
    <s v="SIN043630"/>
    <n v="20200116"/>
    <n v="881.15"/>
    <n v="0"/>
    <n v="881.15"/>
    <n v="700016468"/>
    <s v="MENSUALIDADES HOSTING ENERO"/>
    <n v="881.15"/>
    <s v="25.02.2020"/>
    <s v="TRANSFERENCIA"/>
    <n v="700076457"/>
    <s v="BOFA"/>
    <s v="BofA RCD 89805242886"/>
    <n v="340721790"/>
    <s v="SOLI3407"/>
  </r>
  <r>
    <n v="3400"/>
    <s v="16.01.2020"/>
    <n v="2020"/>
    <d v="2020-01-01T00:00:00"/>
    <n v="1"/>
    <n v="100004815"/>
    <s v="WE"/>
    <n v="81"/>
    <x v="7"/>
    <x v="0"/>
    <x v="7"/>
    <n v="760"/>
    <s v="USD"/>
    <n v="14297.12"/>
    <x v="0"/>
    <x v="0"/>
    <m/>
    <s v="N/A Registro proveedor extranjero"/>
    <n v="453325398"/>
    <n v="101653"/>
    <s v="BOOKER SOFTWARE INC"/>
    <m/>
    <m/>
    <s v="16.01.2020"/>
    <s v="120106 004E"/>
    <n v="20200116"/>
    <n v="760"/>
    <n v="0"/>
    <n v="760"/>
    <n v="100014789"/>
    <s v="Factura Booker Spa Enero 2020"/>
    <n v="760"/>
    <s v="06.05.2020"/>
    <s v="TRANSFERENCIA"/>
    <n v="100168494"/>
    <s v="BOFA"/>
    <s v="BofA RCD 89805242886"/>
    <n v="340099350"/>
    <s v="SOLI1100"/>
  </r>
  <r>
    <n v="3400"/>
    <s v="16.01.2020"/>
    <n v="2020"/>
    <d v="2020-01-01T00:00:00"/>
    <n v="1"/>
    <n v="100004816"/>
    <s v="WE"/>
    <n v="81"/>
    <x v="7"/>
    <x v="0"/>
    <x v="7"/>
    <n v="400"/>
    <s v="USD"/>
    <n v="7524.8"/>
    <x v="0"/>
    <x v="0"/>
    <m/>
    <s v="N/A Registro proveedor extranjero"/>
    <n v="453325398"/>
    <n v="101653"/>
    <s v="BOOKER SOFTWARE INC"/>
    <m/>
    <m/>
    <s v="16.01.2020"/>
    <s v="120106 005E"/>
    <n v="20200116"/>
    <n v="400"/>
    <n v="0"/>
    <n v="400"/>
    <n v="100014790"/>
    <s v="Factura Booker SABE Enero 2020"/>
    <n v="400"/>
    <s v="25.02.2020"/>
    <s v="TRANSFERENCIA"/>
    <n v="100019945"/>
    <s v="BOFA"/>
    <s v="BofA RCD 89805242886"/>
    <n v="340099350"/>
    <s v="SOLI1100"/>
  </r>
  <r>
    <n v="3401"/>
    <s v="16.01.2020"/>
    <n v="2020"/>
    <d v="2020-01-01T00:00:00"/>
    <n v="1"/>
    <n v="100015703"/>
    <s v="WE"/>
    <n v="81"/>
    <x v="0"/>
    <x v="0"/>
    <x v="0"/>
    <n v="50484"/>
    <s v="MXN"/>
    <n v="50484"/>
    <x v="0"/>
    <x v="0"/>
    <m/>
    <s v="27DFA65C-1D63-41B7-9350-ADC68088A10C"/>
    <s v="CSS160330CP7"/>
    <n v="107211"/>
    <s v="CFE SUMINISTRADOR DE SERVICIOS"/>
    <m/>
    <m/>
    <s v="16.01.2020"/>
    <n v="4501216248"/>
    <s v="WH000533227437"/>
    <n v="50484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3"/>
    <s v="16.01.2020"/>
    <n v="2020"/>
    <d v="2020-01-01T00:00:00"/>
    <n v="1"/>
    <n v="300008809"/>
    <s v="WE"/>
    <n v="81"/>
    <x v="7"/>
    <x v="0"/>
    <x v="7"/>
    <n v="237.5"/>
    <s v="USD"/>
    <n v="4467.8500000000004"/>
    <x v="0"/>
    <x v="0"/>
    <m/>
    <s v="N/A Registro proveedor extranjero"/>
    <n v="453325398"/>
    <n v="101653"/>
    <s v="BOOKER SOFTWARE INC"/>
    <m/>
    <m/>
    <s v="16.01.2020"/>
    <s v="120106-009E"/>
    <n v="20200116"/>
    <n v="237.5"/>
    <n v="0"/>
    <n v="237.5"/>
    <n v="300008820"/>
    <s v="PAGO BOOKER SABE ENE 2020"/>
    <n v="237.5"/>
    <s v="06.05.2020"/>
    <s v="TRANSFERENCIA"/>
    <n v="300231884"/>
    <s v="BOFA"/>
    <s v="BofA RCD 89805242886"/>
    <n v="340315190"/>
    <s v="SOLI1103"/>
  </r>
  <r>
    <n v="3401"/>
    <s v="07.01.2020"/>
    <n v="2020"/>
    <d v="2020-01-01T00:00:00"/>
    <n v="1"/>
    <n v="100005690"/>
    <s v="WE"/>
    <n v="81"/>
    <x v="7"/>
    <x v="0"/>
    <x v="7"/>
    <n v="380"/>
    <s v="USD"/>
    <n v="7169.57"/>
    <x v="0"/>
    <x v="0"/>
    <m/>
    <s v="N/A Registro proveedor extranjero"/>
    <n v="453325398"/>
    <n v="101653"/>
    <s v="BOOKER SOFTWARE INC"/>
    <m/>
    <m/>
    <s v="07.01.2020"/>
    <s v="120106-003E"/>
    <s v="120106-003E"/>
    <n v="380"/>
    <n v="0"/>
    <n v="380"/>
    <n v="100006710"/>
    <s v="Booker Spa Enero"/>
    <n v="380"/>
    <s v="11.02.2020"/>
    <s v="TRANSFERENCIA"/>
    <n v="100049136"/>
    <s v="BOFA"/>
    <s v="BofA RCD 89805242886"/>
    <n v="340153290"/>
    <s v="SOLI1101"/>
  </r>
  <r>
    <n v="3401"/>
    <s v="07.01.2020"/>
    <n v="2020"/>
    <d v="2020-01-01T00:00:00"/>
    <n v="1"/>
    <n v="100005696"/>
    <s v="WE"/>
    <n v="81"/>
    <x v="7"/>
    <x v="0"/>
    <x v="7"/>
    <n v="380"/>
    <s v="USD"/>
    <n v="7169.57"/>
    <x v="0"/>
    <x v="0"/>
    <m/>
    <s v="N/A Registro proveedor extranjero"/>
    <n v="453325398"/>
    <n v="101653"/>
    <s v="BOOKER SOFTWARE INC"/>
    <m/>
    <m/>
    <s v="07.01.2020"/>
    <s v="120106-003E"/>
    <s v="120106-003E"/>
    <n v="380"/>
    <n v="0"/>
    <n v="380"/>
    <n v="100006710"/>
    <s v="Booker Sabe Enero"/>
    <n v="380"/>
    <s v="11.02.2020"/>
    <s v="TRANSFERENCIA"/>
    <n v="100049136"/>
    <s v="BOFA"/>
    <s v="BofA RCD 89805242886"/>
    <n v="340115190"/>
    <s v="SOLI1101"/>
  </r>
  <r>
    <n v="3409"/>
    <s v="07.01.2020"/>
    <n v="2020"/>
    <d v="2020-01-01T00:00:00"/>
    <n v="1"/>
    <n v="900002227"/>
    <s v="WE"/>
    <n v="81"/>
    <x v="7"/>
    <x v="0"/>
    <x v="7"/>
    <n v="18560"/>
    <s v="MXN"/>
    <n v="18560"/>
    <x v="0"/>
    <x v="0"/>
    <m/>
    <s v="5F35ABD6-4979-4799-9455-F7BD488C7DD3"/>
    <s v="TSU900615F63"/>
    <n v="100730"/>
    <s v="TELEMATICA DEL SURESTE SA DE CV"/>
    <m/>
    <m/>
    <s v="07.01.2020"/>
    <n v="2966"/>
    <n v="20200107"/>
    <n v="18560"/>
    <n v="2969.6"/>
    <n v="21529.599999999999"/>
    <n v="900002230"/>
    <s v="SERV. DE TARIFICADOR NOBU 2019"/>
    <n v="21529.599999999999"/>
    <s v="10.02.2020"/>
    <s v="TRANSFERENCIA"/>
    <m/>
    <s v="BBVA"/>
    <s v="BBVAB 00188039070 TP"/>
    <n v="340914190"/>
    <s v="SOLI3409"/>
  </r>
  <r>
    <n v="3407"/>
    <s v="07.01.2020"/>
    <n v="2020"/>
    <d v="2020-01-01T00:00:00"/>
    <n v="1"/>
    <n v="700006688"/>
    <s v="WE"/>
    <n v="81"/>
    <x v="7"/>
    <x v="0"/>
    <x v="7"/>
    <n v="18560.099999999999"/>
    <s v="MXN"/>
    <n v="18560.099999999999"/>
    <x v="0"/>
    <x v="0"/>
    <m/>
    <s v="B562D4C7-2655-4767-9B8F-E5A011BEBE75"/>
    <s v="TSU900615F63"/>
    <n v="100730"/>
    <s v="TELEMATICA DEL SURESTE SA DE CV"/>
    <m/>
    <m/>
    <s v="07.01.2020"/>
    <n v="2965"/>
    <n v="20200107"/>
    <n v="18560.099999999999"/>
    <n v="2969.616"/>
    <n v="21529.716"/>
    <n v="700006703"/>
    <s v="SERV. DE TARIFICADOR HR 2020 Anual"/>
    <n v="21529.716"/>
    <s v="10.02.2020"/>
    <s v="TRANSFERENCIA"/>
    <m/>
    <s v="BBVA"/>
    <s v="BBVAB 00188039070 TP"/>
    <n v="340714190"/>
    <s v="SOLI3407"/>
  </r>
  <r>
    <n v="3409"/>
    <s v="01.01.2020"/>
    <n v="2020"/>
    <d v="2020-01-01T00:00:00"/>
    <n v="1"/>
    <n v="900011624"/>
    <s v="WE"/>
    <n v="81"/>
    <x v="1"/>
    <x v="0"/>
    <x v="1"/>
    <n v="2197.4899999999998"/>
    <s v="USD"/>
    <n v="41472.57"/>
    <x v="0"/>
    <x v="0"/>
    <m/>
    <s v="N/A Registro proveedor extranjero"/>
    <n v="752738581"/>
    <n v="602358"/>
    <s v="PEGASUS BUSINESS INTELLIGENCE"/>
    <m/>
    <m/>
    <s v="01.02.2020"/>
    <n v="2282587"/>
    <n v="20200101"/>
    <n v="2197.4899999999998"/>
    <n v="0"/>
    <n v="2197.4899999999998"/>
    <n v="900012547"/>
    <s v="Pegasus Invoice 2282587"/>
    <n v="2197.4899999999998"/>
    <s v="10.02.2020"/>
    <s v="TRANSFERENCIA"/>
    <n v="900014325"/>
    <s v="BOFA"/>
    <s v="BofA RCD 89805242886"/>
    <n v="340921790"/>
    <s v="SOLI3409"/>
  </r>
  <r>
    <n v="3401"/>
    <s v="21.01.2020"/>
    <n v="2020"/>
    <d v="2020-01-01T00:00:00"/>
    <n v="1"/>
    <n v="100020667"/>
    <s v="WE"/>
    <n v="81"/>
    <x v="2"/>
    <x v="0"/>
    <x v="2"/>
    <n v="56196.65"/>
    <s v="USD"/>
    <n v="1053057.79"/>
    <x v="0"/>
    <x v="0"/>
    <m/>
    <s v="N/A Registro proveedor extranjero"/>
    <s v="XEXX0101010"/>
    <n v="101128"/>
    <s v="HARD ROCK LIMITED."/>
    <m/>
    <m/>
    <s v="16.01.2020"/>
    <s v="4161219R"/>
    <s v="4161219R"/>
    <n v="56196.65"/>
    <n v="0"/>
    <n v="56196.65"/>
    <n v="100020671"/>
    <s v="REGALIAS MARKETING 1%"/>
    <n v="44957.32"/>
    <s v="05.02.2020"/>
    <s v="TRANSFERENCIA"/>
    <n v="100036040"/>
    <s v="BOFA"/>
    <s v="BofA RCD 89805242886"/>
    <n v="340121790"/>
    <s v="CXP2"/>
  </r>
  <r>
    <n v="3407"/>
    <s v="13.01.2020"/>
    <n v="2020"/>
    <d v="2020-01-01T00:00:00"/>
    <n v="1"/>
    <n v="700013609"/>
    <s v="WE"/>
    <n v="81"/>
    <x v="3"/>
    <x v="0"/>
    <x v="3"/>
    <n v="26223.79"/>
    <s v="MXN"/>
    <n v="26223.79"/>
    <x v="0"/>
    <x v="0"/>
    <m/>
    <s v="24E4F123-800C-4E2D-99F4-6FF25AC947FE"/>
    <s v="GOCF680717UJ8"/>
    <n v="606740"/>
    <s v="GONZALEZ RUBIO CERECER FERNANDO"/>
    <m/>
    <m/>
    <s v="13.01.2020"/>
    <n v="1756"/>
    <n v="20200113"/>
    <n v="26223.79"/>
    <n v="4195.8064000000004"/>
    <n v="30419.596400000002"/>
    <n v="700013823"/>
    <s v="Honorarios Notario Fe de Hechos"/>
    <n v="30419.596400000002"/>
    <s v="14.01.2020"/>
    <s v="TRANSFERENCIA"/>
    <n v="700013830"/>
    <s v="BBVA"/>
    <s v="BBVAB 00188039070 TP"/>
    <n v="340727190"/>
    <s v="CGUTIERREZ"/>
  </r>
  <r>
    <n v="3401"/>
    <s v="31.01.2020"/>
    <n v="2020"/>
    <d v="2020-01-01T00:00:00"/>
    <n v="1"/>
    <n v="100033013"/>
    <s v="WE"/>
    <n v="81"/>
    <x v="1"/>
    <x v="0"/>
    <x v="1"/>
    <n v="1380"/>
    <s v="USD"/>
    <n v="25815.25"/>
    <x v="0"/>
    <x v="0"/>
    <m/>
    <s v="36213BE5-FBD1-493D-A25C-44B853DC9D6E"/>
    <s v="RCI930401GV1"/>
    <n v="600623"/>
    <s v="RESORT CONDOMINIUMS INTERNATIONAL"/>
    <m/>
    <m/>
    <s v="01.02.2020"/>
    <s v="RCI-52959"/>
    <n v="20200131"/>
    <n v="1380"/>
    <n v="220.8"/>
    <n v="1600.8"/>
    <n v="700013824"/>
    <s v="COMISIONES RCI DICIEMBRE 2020"/>
    <n v="1600.8"/>
    <s v="14.01.2020"/>
    <s v="TRANSFERENCIA"/>
    <n v="100354698"/>
    <s v="BOFA"/>
    <s v="BofA RCD 89805242886"/>
    <n v="340121790"/>
    <s v="SOLI1101"/>
  </r>
  <r>
    <n v="3409"/>
    <s v="09.01.2020"/>
    <n v="2020"/>
    <d v="2020-01-01T00:00:00"/>
    <n v="1"/>
    <n v="900003117"/>
    <s v="WE"/>
    <n v="81"/>
    <x v="7"/>
    <x v="0"/>
    <x v="7"/>
    <n v="380"/>
    <s v="USD"/>
    <n v="7176.38"/>
    <x v="0"/>
    <x v="0"/>
    <m/>
    <s v="N/A Registro proveedor extranjero"/>
    <n v="453325398"/>
    <n v="101653"/>
    <s v="BOOKER SOFTWARE INC"/>
    <m/>
    <m/>
    <s v="09.01.2020"/>
    <s v="120106-001E"/>
    <n v="20200109"/>
    <n v="380"/>
    <n v="0"/>
    <n v="380"/>
    <n v="900004280"/>
    <s v="SPA BOOKER ENE 2020 SABE"/>
    <n v="380"/>
    <s v="25.02.2020"/>
    <s v="TRANSFERENCIA"/>
    <n v="900022470"/>
    <s v="BOFA"/>
    <s v="BofA RCD 89805242886"/>
    <n v="340915190"/>
    <s v="SOLI3409"/>
  </r>
  <r>
    <n v="3409"/>
    <s v="09.01.2020"/>
    <n v="2020"/>
    <d v="2020-01-01T00:00:00"/>
    <n v="1"/>
    <n v="900003116"/>
    <s v="WE"/>
    <n v="81"/>
    <x v="7"/>
    <x v="0"/>
    <x v="7"/>
    <n v="380"/>
    <s v="USD"/>
    <n v="7176.38"/>
    <x v="0"/>
    <x v="0"/>
    <m/>
    <s v="N/A Registro proveedor extranjero"/>
    <n v="453325398"/>
    <n v="101653"/>
    <s v="BOOKER SOFTWARE INC"/>
    <m/>
    <m/>
    <s v="09.01.2020"/>
    <s v="120106-001E"/>
    <n v="20200109"/>
    <n v="380"/>
    <n v="0"/>
    <n v="380"/>
    <n v="900004280"/>
    <s v="SPA BOOKER ENE 2020 SPA"/>
    <n v="380"/>
    <s v="25.02.2020"/>
    <s v="TRANSFERENCIA"/>
    <n v="900022470"/>
    <s v="BOFA"/>
    <s v="BofA RCD 89805242886"/>
    <n v="340953290"/>
    <s v="SOLI3409"/>
  </r>
  <r>
    <n v="3406"/>
    <s v="09.01.2020"/>
    <n v="2020"/>
    <d v="2020-01-01T00:00:00"/>
    <n v="1"/>
    <n v="600006441"/>
    <s v="WE"/>
    <n v="81"/>
    <x v="1"/>
    <x v="0"/>
    <x v="1"/>
    <n v="70"/>
    <s v="USD"/>
    <n v="1321.96"/>
    <x v="0"/>
    <x v="0"/>
    <m/>
    <s v="N/A Registro proveedor extranjero"/>
    <s v="DE114222813"/>
    <n v="606043"/>
    <s v="AVEN HOSPITALITY SOLUTIONS GMBH"/>
    <m/>
    <m/>
    <s v="09.01.2020"/>
    <n v="90365486"/>
    <n v="20200109"/>
    <n v="70"/>
    <n v="0"/>
    <n v="70"/>
    <n v="600006527"/>
    <s v="COMISION FEE SABRE DICIEMBRE 2019"/>
    <n v="70"/>
    <s v="24.01.2020"/>
    <s v="TRANSFERENCIA"/>
    <n v="600023636"/>
    <s v="BOFA"/>
    <s v="BofA RCD 89805242886"/>
    <n v="340621790"/>
    <s v="MFRUCTUOSO"/>
  </r>
  <r>
    <n v="3406"/>
    <s v="09.01.2020"/>
    <n v="2020"/>
    <d v="2020-01-01T00:00:00"/>
    <n v="1"/>
    <n v="600006442"/>
    <s v="WE"/>
    <n v="81"/>
    <x v="1"/>
    <x v="0"/>
    <x v="1"/>
    <n v="70"/>
    <s v="USD"/>
    <n v="1321.96"/>
    <x v="0"/>
    <x v="0"/>
    <m/>
    <s v="N/A Registro proveedor extranjero"/>
    <s v="DE114222813"/>
    <n v="606043"/>
    <s v="AVEN HOSPITALITY SOLUTIONS GMBH"/>
    <m/>
    <m/>
    <s v="09.01.2020"/>
    <n v="90364403"/>
    <n v="20200109"/>
    <n v="70"/>
    <n v="0"/>
    <n v="70"/>
    <n v="600006522"/>
    <s v="COMISION FEE SABRE NOVIEMBRE 2019"/>
    <n v="70"/>
    <s v="24.01.2020"/>
    <s v="TRANSFERENCIA"/>
    <n v="600023636"/>
    <s v="BOFA"/>
    <s v="BofA RCD 89805242886"/>
    <n v="340621790"/>
    <s v="MFRUCTUOSO"/>
  </r>
  <r>
    <n v="3407"/>
    <s v="09.01.2020"/>
    <n v="2020"/>
    <d v="2020-01-01T00:00:00"/>
    <n v="1"/>
    <n v="700009994"/>
    <s v="WE"/>
    <n v="81"/>
    <x v="1"/>
    <x v="0"/>
    <x v="1"/>
    <n v="3301.54"/>
    <s v="USD"/>
    <n v="62350.239999999998"/>
    <x v="0"/>
    <x v="0"/>
    <m/>
    <s v="N/A Registro proveedor extranjero"/>
    <n v="752738581"/>
    <n v="602358"/>
    <s v="PEGASUS BUSINESS INTELLIGENCE"/>
    <m/>
    <m/>
    <s v="09.01.2020"/>
    <n v="2263212"/>
    <n v="20200109"/>
    <n v="3301.54"/>
    <n v="0"/>
    <n v="3301.54"/>
    <n v="700012257"/>
    <s v="COMISIONES PEGASUS CYCLE END 01.11.2020"/>
    <n v="3301.54"/>
    <s v="14.01.2020"/>
    <s v="TRANSFERENCIA"/>
    <n v="700014540"/>
    <s v="BOFA"/>
    <s v="BofA RCD 89805242886"/>
    <n v="340721790"/>
    <s v="SOLI3407"/>
  </r>
  <r>
    <n v="3407"/>
    <s v="09.01.2020"/>
    <n v="2020"/>
    <d v="2020-01-01T00:00:00"/>
    <n v="1"/>
    <n v="700009999"/>
    <s v="WE"/>
    <n v="81"/>
    <x v="1"/>
    <x v="0"/>
    <x v="1"/>
    <n v="6414.8"/>
    <s v="USD"/>
    <n v="121144.78"/>
    <x v="0"/>
    <x v="0"/>
    <m/>
    <s v="N/A Registro proveedor extranjero"/>
    <n v="364415727"/>
    <n v="800423"/>
    <s v="TRAVELZOO INC"/>
    <m/>
    <m/>
    <s v="09.01.2020"/>
    <s v="HC-36709-R1"/>
    <n v="20200109"/>
    <n v="6414.8"/>
    <n v="0"/>
    <n v="121144.78"/>
    <n v="700012264"/>
    <s v="COMISIONES TRAVELZOO DICIEMBRE 2019"/>
    <n v="121144.78"/>
    <s v="24.01.2020"/>
    <s v="TRANSFERENCIA"/>
    <n v="700027333"/>
    <s v="BOFA"/>
    <s v="BofA RCD 89805242886"/>
    <n v="340721790"/>
    <s v="SOLI3407"/>
  </r>
  <r>
    <n v="3403"/>
    <s v="09.01.2020"/>
    <n v="2020"/>
    <d v="2020-01-01T00:00:00"/>
    <n v="1"/>
    <n v="300004961"/>
    <s v="WE"/>
    <n v="81"/>
    <x v="7"/>
    <x v="0"/>
    <x v="7"/>
    <n v="237.5"/>
    <s v="USD"/>
    <n v="4485.24"/>
    <x v="0"/>
    <x v="0"/>
    <m/>
    <s v="N/A Registro proveedor extranjero"/>
    <n v="453325398"/>
    <n v="101653"/>
    <s v="BOOKER SOFTWARE INC"/>
    <m/>
    <m/>
    <s v="09.01.2020"/>
    <s v="120106-009E"/>
    <n v="20200109"/>
    <n v="237.5"/>
    <n v="0"/>
    <n v="237.5"/>
    <n v="300008820"/>
    <s v="Mtto Licencias Enero spa 2020"/>
    <n v="237.5"/>
    <s v="06.05.2020"/>
    <s v="TRANSFERENCIA"/>
    <n v="300231884"/>
    <s v="BOFA"/>
    <s v="BofA RCD 89805242886"/>
    <n v="340353290"/>
    <s v="SOLI1103"/>
  </r>
  <r>
    <n v="3407"/>
    <s v="09.01.2020"/>
    <n v="2020"/>
    <d v="2020-01-01T00:00:00"/>
    <n v="1"/>
    <n v="700010043"/>
    <s v="WE"/>
    <n v="81"/>
    <x v="7"/>
    <x v="0"/>
    <x v="7"/>
    <n v="6000"/>
    <s v="MXN"/>
    <n v="6000"/>
    <x v="0"/>
    <x v="0"/>
    <m/>
    <s v="3B695B50-5E72-4694-A414-A15872640A7E"/>
    <s v="EOA190326GN3"/>
    <n v="109452"/>
    <s v="EJECUCION DE OPERACIONES ADMINISTRA"/>
    <m/>
    <m/>
    <s v="09.01.2020"/>
    <n v="466"/>
    <n v="4501207040"/>
    <n v="6000"/>
    <n v="960"/>
    <n v="6960"/>
    <n v="700015417"/>
    <s v="Licencia IAuditor Anual Enero 2020"/>
    <n v="6960"/>
    <s v="10.02.2020"/>
    <s v="TRANSFERENCIA"/>
    <n v="700045701"/>
    <s v="BBVA"/>
    <s v="BBVAB 00188039070 TP"/>
    <n v="340725490"/>
    <s v="SOLI3407"/>
  </r>
  <r>
    <n v="3407"/>
    <s v="09.01.2020"/>
    <n v="2020"/>
    <d v="2020-01-01T00:00:00"/>
    <n v="1"/>
    <n v="700010044"/>
    <s v="WE"/>
    <n v="81"/>
    <x v="7"/>
    <x v="0"/>
    <x v="7"/>
    <n v="6000"/>
    <s v="MXN"/>
    <n v="6000"/>
    <x v="0"/>
    <x v="0"/>
    <m/>
    <s v="3B695B50-5E72-4694-A414-A15872640A7E"/>
    <s v="EOA190326GN3"/>
    <n v="109452"/>
    <s v="EJECUCION DE OPERACIONES ADMINISTRA"/>
    <m/>
    <m/>
    <s v="09.01.2020"/>
    <n v="466"/>
    <n v="4501207040"/>
    <n v="6000"/>
    <n v="960"/>
    <n v="6960"/>
    <n v="700015417"/>
    <s v="Licencia IAuditor Anual Enero 2020"/>
    <n v="6960"/>
    <s v="10.02.2020"/>
    <s v="TRANSFERENCIA"/>
    <n v="700045701"/>
    <s v="BBVA"/>
    <s v="BBVAB 00188039070 TP"/>
    <n v="340725190"/>
    <s v="SOLI3407"/>
  </r>
  <r>
    <n v="3403"/>
    <s v="14.01.2020"/>
    <n v="2020"/>
    <d v="2020-01-01T00:00:00"/>
    <n v="1"/>
    <n v="300007738"/>
    <s v="WE"/>
    <n v="81"/>
    <x v="1"/>
    <x v="0"/>
    <x v="1"/>
    <n v="161502.39999999999"/>
    <s v="MXN"/>
    <n v="161502.39999999999"/>
    <x v="0"/>
    <x v="0"/>
    <m/>
    <s v="N/A Registro proveedor extranjero"/>
    <s v="NL805734958B01"/>
    <n v="600271"/>
    <s v="BOOKING COM BV"/>
    <m/>
    <m/>
    <s v="14.01.2020"/>
    <n v="1548691574"/>
    <n v="4501217918"/>
    <n v="161502.39999999999"/>
    <n v="0"/>
    <n v="161502.39999999999"/>
    <n v="300007791"/>
    <s v="Travel Agent Commissions - Booking Dicie"/>
    <n v="300007791"/>
    <s v="21.01.2020"/>
    <s v="TRANSFERENCIA"/>
    <n v="300011043"/>
    <s v="BBVA"/>
    <s v="BBVAB 00188039070 TP"/>
    <n v="340321990"/>
    <s v="DRUBIO"/>
  </r>
  <r>
    <n v="3403"/>
    <s v="14.01.2020"/>
    <n v="2020"/>
    <d v="2020-01-01T00:00:00"/>
    <n v="1"/>
    <n v="300007740"/>
    <s v="WE"/>
    <n v="81"/>
    <x v="1"/>
    <x v="0"/>
    <x v="1"/>
    <n v="1542.84"/>
    <s v="USD"/>
    <n v="28964.04"/>
    <x v="0"/>
    <x v="0"/>
    <m/>
    <s v="N/A Registro proveedor extranjero"/>
    <n v="752738581"/>
    <n v="602358"/>
    <s v="PEGASUS BUSINESS INTELLIGENCE"/>
    <m/>
    <m/>
    <s v="14.01.2020"/>
    <n v="2273654"/>
    <n v="20200114"/>
    <n v="1542.84"/>
    <n v="0"/>
    <n v="1542.84"/>
    <n v="300007788"/>
    <s v="Travel Agent Commissions - pegasus Cycle"/>
    <n v="1542.84"/>
    <s v="21.01.2020"/>
    <s v="TRANSFERENCIA"/>
    <n v="300011529"/>
    <s v="BOFA"/>
    <s v="BofA RCD 89805242886"/>
    <n v="340321990"/>
    <s v="DRUBIO"/>
  </r>
  <r>
    <n v="3402"/>
    <s v="14.01.2020"/>
    <n v="2020"/>
    <d v="2020-01-01T00:00:00"/>
    <n v="1"/>
    <n v="200038408"/>
    <s v="WE"/>
    <n v="81"/>
    <x v="3"/>
    <x v="0"/>
    <x v="3"/>
    <n v="64800"/>
    <s v="MXN"/>
    <n v="64800"/>
    <x v="0"/>
    <x v="0"/>
    <m/>
    <s v="0472D662-5FA5-4962-8F66-65F27DDF1400"/>
    <s v="GIS170615IK5"/>
    <n v="109766"/>
    <s v="GRUPO IM DEL SURESTE S DE RL DE CV"/>
    <m/>
    <m/>
    <s v="14.01.2020"/>
    <n v="5023"/>
    <n v="20200114"/>
    <n v="64800"/>
    <n v="10368"/>
    <n v="75168"/>
    <n v="200038491"/>
    <s v="SEGURIDAD EXTERNA ACCESO PRINCIPAL/SERVI"/>
    <n v="75168"/>
    <s v="15.01.2020"/>
    <s v="TRANSFERENCIA"/>
    <n v="200038700"/>
    <s v="BBVA"/>
    <s v="BBVAB 00188039070 TP"/>
    <n v="340225290"/>
    <s v="SOLI1102"/>
  </r>
  <r>
    <n v="3401"/>
    <s v="14.01.2020"/>
    <n v="2020"/>
    <d v="2020-01-01T00:00:00"/>
    <n v="1"/>
    <n v="100013915"/>
    <s v="WE"/>
    <n v="81"/>
    <x v="0"/>
    <x v="0"/>
    <x v="0"/>
    <n v="50484"/>
    <s v="MXN"/>
    <n v="50484"/>
    <x v="0"/>
    <x v="0"/>
    <m/>
    <s v="27DFA65C-1D63-41B7-9350-ADC68088A10C"/>
    <s v="CSS160330CP7"/>
    <n v="107211"/>
    <s v="CFE SUMINISTRADOR DE SERVICIOS"/>
    <m/>
    <m/>
    <s v="14.01.2020"/>
    <n v="4501216248"/>
    <s v="WH000533227437"/>
    <n v="50484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7"/>
    <s v="14.01.2020"/>
    <n v="2020"/>
    <d v="2020-01-01T00:00:00"/>
    <n v="1"/>
    <n v="700014636"/>
    <s v="WE"/>
    <n v="81"/>
    <x v="7"/>
    <x v="0"/>
    <x v="7"/>
    <n v="12540"/>
    <s v="USD"/>
    <n v="235415.93"/>
    <x v="0"/>
    <x v="0"/>
    <m/>
    <s v="A727F241-CFD1-4366-924E-C2F4CC4A1ABB"/>
    <s v="GAN090121MN4"/>
    <n v="109733"/>
    <s v="GRUPO DE ACTUACIONES NOVEDOSAS EN T"/>
    <m/>
    <m/>
    <s v="14.01.2020"/>
    <n v="1059"/>
    <n v="1059"/>
    <n v="12540"/>
    <n v="2006.4"/>
    <n v="14546.4"/>
    <n v="700014679"/>
    <s v="LICENCIAMIENTO PALO ALTO ANUAL"/>
    <n v="14546.4"/>
    <s v="11.02.2020"/>
    <s v="TRANSFERENCIA"/>
    <n v="700052487"/>
    <s v="BOFA"/>
    <s v="BofA RCD 89805242886"/>
    <n v="340746390"/>
    <s v="SOLI3407"/>
  </r>
  <r>
    <n v="3407"/>
    <s v="06.01.2020"/>
    <n v="2020"/>
    <d v="2020-01-01T00:00:00"/>
    <n v="1"/>
    <n v="700009890"/>
    <s v="WE"/>
    <n v="81"/>
    <x v="7"/>
    <x v="0"/>
    <x v="7"/>
    <n v="380"/>
    <s v="USD"/>
    <n v="7175.05"/>
    <x v="0"/>
    <x v="0"/>
    <m/>
    <s v="N/A Registro proveedor extranjero"/>
    <n v="453325398"/>
    <n v="101653"/>
    <s v="BOOKER SOFTWARE INC"/>
    <m/>
    <m/>
    <s v="09.01.2020"/>
    <s v="120106-002E"/>
    <n v="20200106"/>
    <n v="380"/>
    <n v="0"/>
    <n v="380"/>
    <n v="700013889"/>
    <s v="mensualidad spabooker spa mes enero"/>
    <n v="380"/>
    <s v="23.01.2020"/>
    <s v="TRANSFERENCIA"/>
    <n v="700025837"/>
    <s v="BOFA"/>
    <s v="BofA RCD 89805242886"/>
    <n v="340753290"/>
    <s v="SOLI3407"/>
  </r>
  <r>
    <n v="3407"/>
    <s v="06.01.2020"/>
    <n v="2020"/>
    <d v="2020-01-01T00:00:00"/>
    <n v="1"/>
    <n v="700009894"/>
    <s v="WE"/>
    <n v="81"/>
    <x v="7"/>
    <x v="0"/>
    <x v="7"/>
    <n v="380"/>
    <s v="USD"/>
    <n v="7175.05"/>
    <x v="0"/>
    <x v="0"/>
    <m/>
    <s v="N/A Registro proveedor extranjero"/>
    <n v="453325398"/>
    <n v="101653"/>
    <s v="BOOKER SOFTWARE INC"/>
    <m/>
    <m/>
    <s v="09.01.2020"/>
    <s v="120106-002E"/>
    <n v="20200106"/>
    <n v="380"/>
    <n v="0"/>
    <n v="380"/>
    <n v="700013889"/>
    <s v="mensualidad spabooker posh enero"/>
    <n v="380"/>
    <s v="23.01.2020"/>
    <s v="TRANSFERENCIA"/>
    <n v="700025837"/>
    <s v="BOFA"/>
    <s v="BofA RCD 89805242886"/>
    <n v="340753290"/>
    <s v="SOLI3407"/>
  </r>
  <r>
    <n v="3406"/>
    <s v="13.01.2020"/>
    <n v="2020"/>
    <d v="2020-01-01T00:00:00"/>
    <n v="1"/>
    <n v="600009544"/>
    <s v="WE"/>
    <n v="81"/>
    <x v="1"/>
    <x v="0"/>
    <x v="1"/>
    <n v="750.69"/>
    <s v="USD"/>
    <n v="14146.98"/>
    <x v="0"/>
    <x v="0"/>
    <m/>
    <s v="9DF3470E-A6CA-4028-8C55-6605A3C31DC5"/>
    <s v="VMA9610235I3"/>
    <n v="606057"/>
    <s v="VIAJES MEXICO CON AMISTAD SA DE CV"/>
    <m/>
    <m/>
    <s v="13.01.2020"/>
    <s v="AA2156"/>
    <n v="20200113"/>
    <n v="750.69"/>
    <n v="120.11040000000001"/>
    <n v="870.80040000000008"/>
    <n v="600012066"/>
    <s v="COMISION VIAJES AMISTAD S.A DE C.V"/>
    <n v="870.80040000000008"/>
    <s v="24.01.2020"/>
    <s v="TRANSFERENCIA"/>
    <n v="600023637"/>
    <s v="BOFA"/>
    <s v="BofA RCD 89805242886"/>
    <n v="340621790"/>
    <s v="MAESCALANTE"/>
  </r>
  <r>
    <n v="3401"/>
    <s v="13.01.2020"/>
    <n v="2020"/>
    <d v="2020-01-01T00:00:00"/>
    <n v="1"/>
    <n v="100012773"/>
    <s v="WE"/>
    <n v="81"/>
    <x v="0"/>
    <x v="0"/>
    <x v="0"/>
    <n v="52892"/>
    <s v="MXN"/>
    <n v="52892"/>
    <x v="0"/>
    <x v="0"/>
    <m/>
    <s v="27DFA65C-1D63-41B7-9350-ADC68088A10C"/>
    <s v="CSS160330CP7"/>
    <n v="107211"/>
    <s v="CFE SUMINISTRADOR DE SERVICIOS"/>
    <m/>
    <m/>
    <s v="13.01.2020"/>
    <n v="4501216248"/>
    <s v="WH000533227437"/>
    <n v="52892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13.01.2020"/>
    <n v="2020"/>
    <d v="2020-01-01T00:00:00"/>
    <n v="1"/>
    <n v="100012774"/>
    <s v="WE"/>
    <n v="81"/>
    <x v="0"/>
    <x v="0"/>
    <x v="0"/>
    <n v="45668"/>
    <s v="MXN"/>
    <n v="45668"/>
    <x v="0"/>
    <x v="0"/>
    <m/>
    <s v="27DFA65C-1D63-41B7-9350-ADC68088A10C"/>
    <s v="CSS160330CP7"/>
    <n v="107211"/>
    <s v="CFE SUMINISTRADOR DE SERVICIOS"/>
    <m/>
    <m/>
    <s v="13.01.2020"/>
    <n v="4501216248"/>
    <s v="WH000533227437"/>
    <n v="45668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13.01.2020"/>
    <n v="2020"/>
    <d v="2020-01-01T00:00:00"/>
    <n v="1"/>
    <n v="100012775"/>
    <s v="WE"/>
    <n v="81"/>
    <x v="0"/>
    <x v="0"/>
    <x v="0"/>
    <n v="59976"/>
    <s v="MXN"/>
    <n v="59976"/>
    <x v="0"/>
    <x v="0"/>
    <m/>
    <s v="27DFA65C-1D63-41B7-9350-ADC68088A10C"/>
    <s v="CSS160330CP7"/>
    <n v="107211"/>
    <s v="CFE SUMINISTRADOR DE SERVICIOS"/>
    <m/>
    <m/>
    <s v="13.01.2020"/>
    <n v="4501216248"/>
    <s v="WH000533227437"/>
    <n v="59976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7"/>
    <s v="13.01.2020"/>
    <n v="2020"/>
    <d v="2020-01-01T00:00:00"/>
    <n v="1"/>
    <n v="700013610"/>
    <s v="WE"/>
    <n v="81"/>
    <x v="3"/>
    <x v="0"/>
    <x v="3"/>
    <n v="62937.09"/>
    <s v="MXN"/>
    <n v="62937.09"/>
    <x v="0"/>
    <x v="0"/>
    <m/>
    <s v="49A2F67A-B248-458F-B444-16E57BF9DFCA"/>
    <s v="GOCF680717UJ8"/>
    <n v="606740"/>
    <s v="GONZALEZ RUBIO CERECER FERNANDO"/>
    <m/>
    <m/>
    <s v="13.01.2020"/>
    <n v="1757"/>
    <n v="20200113"/>
    <n v="62937.09"/>
    <n v="10069.9344"/>
    <n v="73007.024399999995"/>
    <n v="700013824"/>
    <s v="Honorarios Notario Fe de Hechos"/>
    <n v="73007.024399999995"/>
    <s v="14.01.2020"/>
    <s v="TRANSFERENCIA"/>
    <n v="700013830"/>
    <s v="BBVA"/>
    <s v="BBVAB 00188039070 TP"/>
    <n v="340727190"/>
    <s v="CGUTIERREZ"/>
  </r>
  <r>
    <n v="3406"/>
    <s v="13.01.2020"/>
    <n v="2020"/>
    <d v="2020-01-01T00:00:00"/>
    <n v="1"/>
    <n v="600009663"/>
    <s v="WE"/>
    <n v="81"/>
    <x v="1"/>
    <x v="0"/>
    <x v="1"/>
    <n v="3724.53"/>
    <s v="USD"/>
    <n v="70189.89"/>
    <x v="0"/>
    <x v="0"/>
    <m/>
    <s v="N/A Registro proveedor extranjero"/>
    <n v="752738581"/>
    <n v="602358"/>
    <s v="PEGASUS BUSINESS INTELLIGENCE"/>
    <m/>
    <m/>
    <s v="13.01.2020"/>
    <n v="2273650"/>
    <n v="20200113"/>
    <n v="3724.53"/>
    <n v="0"/>
    <n v="3724.53"/>
    <n v="600012067"/>
    <s v="COMISIONES ONIX CYCLE 01.18.20"/>
    <n v="3724.53"/>
    <s v="14.01.2020"/>
    <s v="TRANSFERENCIA"/>
    <n v="600019585"/>
    <s v="BOFA"/>
    <s v="BofA RCD 89805242886"/>
    <n v="340621790"/>
    <s v="MFRUCTUOSO"/>
  </r>
  <r>
    <n v="3409"/>
    <s v="13.01.2020"/>
    <n v="2020"/>
    <d v="2020-01-01T00:00:00"/>
    <n v="1"/>
    <n v="900004368"/>
    <s v="WE"/>
    <n v="81"/>
    <x v="1"/>
    <x v="0"/>
    <x v="1"/>
    <n v="439552.69"/>
    <s v="MXN"/>
    <n v="439552.69"/>
    <x v="0"/>
    <x v="0"/>
    <m/>
    <s v="N/A Registro proveedor extranjero"/>
    <s v="NL805734958B01"/>
    <n v="600271"/>
    <s v="BOOKING COM BV"/>
    <m/>
    <m/>
    <s v="13.01.2020"/>
    <n v="1548802047"/>
    <n v="20200113"/>
    <n v="439552.69"/>
    <n v="0"/>
    <n v="439552.69"/>
    <n v="900004785"/>
    <s v="Comisiones Booking Diciembre 1548802047"/>
    <n v="439552.69"/>
    <s v="21.01.2020"/>
    <s v="TRANSFERENCIA"/>
    <n v="900006694"/>
    <s v="BBVA"/>
    <s v="BBVAB 00188039070 TP"/>
    <n v="340921790"/>
    <s v="SOLI3409"/>
  </r>
  <r>
    <n v="3401"/>
    <s v="31.01.2020"/>
    <n v="2020"/>
    <d v="2020-01-01T00:00:00"/>
    <n v="1"/>
    <n v="100031639"/>
    <s v="WE"/>
    <n v="81"/>
    <x v="3"/>
    <x v="0"/>
    <x v="3"/>
    <n v="11000"/>
    <s v="MXN"/>
    <n v="11000"/>
    <x v="0"/>
    <x v="0"/>
    <m/>
    <s v="A08E437C-1871-4025-9B62-68E8EE96DACD"/>
    <s v="BPA070914HH6"/>
    <n v="201195"/>
    <s v="BUCAZA PROYECTOS ARQUITECTONICOS"/>
    <m/>
    <m/>
    <s v="31.01.2020"/>
    <n v="4501218465"/>
    <n v="300"/>
    <n v="11000"/>
    <n v="1760"/>
    <n v="12760"/>
    <n v="100102074"/>
    <s v="HONORARIOS DE PROFESION"/>
    <n v="12760"/>
    <s v="08.10.2020"/>
    <s v="TRANSFERENCIA"/>
    <n v="100463413"/>
    <s v="BBVA"/>
    <s v="BBVAB 00188039070 TP"/>
    <n v="340117690"/>
    <s v="MANTTO_MEX"/>
  </r>
  <r>
    <n v="3401"/>
    <s v="31.01.2020"/>
    <n v="2020"/>
    <d v="2020-01-01T00:00:00"/>
    <n v="1"/>
    <n v="100031651"/>
    <s v="WE"/>
    <n v="81"/>
    <x v="3"/>
    <x v="0"/>
    <x v="3"/>
    <n v="30000"/>
    <s v="MXN"/>
    <n v="30000"/>
    <x v="0"/>
    <x v="0"/>
    <m/>
    <s v="CBC3C3E3-8EA8-437A-A7B7-B7194E3D3BFB"/>
    <s v="CEQ120418PE2"/>
    <n v="107358"/>
    <s v="CULTURA ENERGETICA DE QUINTANA ROO"/>
    <m/>
    <m/>
    <s v="31.01.2020"/>
    <n v="4501183949"/>
    <s v="A1847"/>
    <n v="30000"/>
    <n v="4800"/>
    <n v="34800"/>
    <n v="100058738"/>
    <s v="HONORARIOS DE PROFESION"/>
    <n v="34800"/>
    <s v="08.09.2020"/>
    <s v="TRANSFERENCIA"/>
    <n v="100432718"/>
    <s v="BBVA"/>
    <s v="BBVAB 00188039070 TP"/>
    <n v="340117690"/>
    <s v="MANTTO_MEX"/>
  </r>
  <r>
    <n v="3403"/>
    <s v="31.01.2020"/>
    <n v="2020"/>
    <d v="2020-01-01T00:00:00"/>
    <n v="1"/>
    <n v="300017598"/>
    <s v="WE"/>
    <n v="81"/>
    <x v="0"/>
    <x v="0"/>
    <x v="0"/>
    <n v="48695"/>
    <s v="MXN"/>
    <n v="48695"/>
    <x v="0"/>
    <x v="0"/>
    <m/>
    <s v="AC3BF6C0-9B0A-4192-9B59-D7ECB6359DA3"/>
    <s v="CSS160330CP7"/>
    <n v="107211"/>
    <s v="CFE SUMINISTRADOR DE SERVICIOS"/>
    <m/>
    <m/>
    <s v="31.01.2020"/>
    <n v="4501228713"/>
    <n v="20200131"/>
    <n v="48695"/>
    <n v="7791.2"/>
    <n v="56486.2"/>
    <n v="300021003"/>
    <s v="Electricidad HRV 30 Enero 2020"/>
    <n v="56486.2"/>
    <s v="06.02.2020"/>
    <s v="TRANSFERENCIA"/>
    <n v="300021371"/>
    <s v="HSBC "/>
    <s v="HSBC 004053489092 TP"/>
    <n v="340318590"/>
    <s v="SOLI1103"/>
  </r>
  <r>
    <n v="3402"/>
    <s v="31.01.2020"/>
    <n v="2020"/>
    <d v="2020-01-01T00:00:00"/>
    <n v="1"/>
    <n v="200108558"/>
    <s v="WE"/>
    <n v="81"/>
    <x v="0"/>
    <x v="0"/>
    <x v="0"/>
    <n v="350.05"/>
    <s v="MXN"/>
    <n v="350.05"/>
    <x v="0"/>
    <x v="0"/>
    <m/>
    <s v="3BC7123B-A28D-4298-B452-687E6C8B15BB"/>
    <s v="CSS160330CP7"/>
    <n v="107211"/>
    <s v="CFE SUMINISTRADOR DE SERVICIOS"/>
    <m/>
    <m/>
    <s v="31.01.2020"/>
    <n v="4501226797"/>
    <n v="20200131"/>
    <n v="350.05"/>
    <n v="56.008000000000003"/>
    <n v="406.05799999999999"/>
    <n v="200127172"/>
    <s v="Consumo CFE Casa Club 28.01.2020"/>
    <n v="406.05799999999999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3"/>
    <n v="200108558"/>
    <s v="WE"/>
    <n v="81"/>
    <x v="0"/>
    <x v="0"/>
    <x v="0"/>
    <n v="2310.02"/>
    <s v="MXN"/>
    <n v="2310.02"/>
    <x v="0"/>
    <x v="0"/>
    <m/>
    <s v="3BC7123B-A28D-4298-B452-687E6C8B15BB"/>
    <s v="CSS160330CP7"/>
    <n v="107211"/>
    <s v="CFE SUMINISTRADOR DE SERVICIOS"/>
    <m/>
    <m/>
    <s v="31.01.2020"/>
    <n v="4501226797"/>
    <n v="20200131"/>
    <n v="2310.02"/>
    <n v="369.60320000000002"/>
    <n v="2679.6232"/>
    <n v="200127172"/>
    <s v="Consumo CFE Casa Club 29.01.2020"/>
    <n v="2679.6232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5"/>
    <n v="200108558"/>
    <s v="WE"/>
    <n v="81"/>
    <x v="0"/>
    <x v="0"/>
    <x v="0"/>
    <n v="1540.03"/>
    <s v="MXN"/>
    <n v="1540.03"/>
    <x v="0"/>
    <x v="0"/>
    <m/>
    <s v="3BC7123B-A28D-4298-B452-687E6C8B15BB"/>
    <s v="CSS160330CP7"/>
    <n v="107211"/>
    <s v="CFE SUMINISTRADOR DE SERVICIOS"/>
    <m/>
    <m/>
    <s v="31.01.2020"/>
    <n v="4501226797"/>
    <n v="20200131"/>
    <n v="1540.03"/>
    <n v="246.40479999999999"/>
    <n v="1786.4348"/>
    <n v="200127172"/>
    <s v="Consumo CFE Casa Club 30.01.2020"/>
    <n v="1786.4348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7"/>
    <n v="200108558"/>
    <s v="WE"/>
    <n v="81"/>
    <x v="0"/>
    <x v="0"/>
    <x v="0"/>
    <n v="350.05"/>
    <s v="MXN"/>
    <n v="350.05"/>
    <x v="0"/>
    <x v="0"/>
    <m/>
    <s v="3BC7123B-A28D-4298-B452-687E6C8B15BB"/>
    <s v="CSS160330CP7"/>
    <n v="107211"/>
    <s v="CFE SUMINISTRADOR DE SERVICIOS"/>
    <m/>
    <m/>
    <s v="31.01.2020"/>
    <n v="4501226797"/>
    <n v="20200131"/>
    <n v="350.05"/>
    <n v="56.008000000000003"/>
    <n v="406.05799999999999"/>
    <n v="200127172"/>
    <s v="Consumo CFE Casa Club 31.01.2020"/>
    <n v="406.05799999999999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1"/>
    <n v="200108560"/>
    <s v="WE"/>
    <n v="81"/>
    <x v="0"/>
    <x v="0"/>
    <x v="0"/>
    <n v="3608"/>
    <s v="MXN"/>
    <n v="3608"/>
    <x v="0"/>
    <x v="0"/>
    <m/>
    <s v="3BC7123B-A28D-4298-B452-687E6C8B15BB"/>
    <s v="CSS160330CP7"/>
    <n v="107211"/>
    <s v="CFE SUMINISTRADOR DE SERVICIOS"/>
    <m/>
    <m/>
    <s v="31.01.2020"/>
    <n v="4501226797"/>
    <n v="20200131"/>
    <n v="3608"/>
    <n v="577.28"/>
    <n v="4185.28"/>
    <n v="200127172"/>
    <s v="Consumo CFE Lago Riego 28.01.2020"/>
    <n v="4185.28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3"/>
    <n v="200108560"/>
    <s v="WE"/>
    <n v="81"/>
    <x v="0"/>
    <x v="0"/>
    <x v="0"/>
    <n v="1600.05"/>
    <s v="MXN"/>
    <n v="1600.05"/>
    <x v="0"/>
    <x v="0"/>
    <m/>
    <s v="3BC7123B-A28D-4298-B452-687E6C8B15BB"/>
    <s v="CSS160330CP7"/>
    <n v="107211"/>
    <s v="CFE SUMINISTRADOR DE SERVICIOS"/>
    <m/>
    <m/>
    <s v="31.01.2020"/>
    <n v="4501226797"/>
    <n v="20200131"/>
    <n v="1600.05"/>
    <n v="256.00799999999998"/>
    <n v="1856.058"/>
    <n v="200127172"/>
    <s v="Consumo CFE Lago Riego 29.01.2020"/>
    <n v="1856.058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5"/>
    <n v="200108560"/>
    <s v="WE"/>
    <n v="81"/>
    <x v="0"/>
    <x v="0"/>
    <x v="0"/>
    <n v="0.08"/>
    <s v="MXN"/>
    <n v="0.08"/>
    <x v="0"/>
    <x v="0"/>
    <m/>
    <s v="3BC7123B-A28D-4298-B452-687E6C8B15BB"/>
    <s v="CSS160330CP7"/>
    <n v="107211"/>
    <s v="CFE SUMINISTRADOR DE SERVICIOS"/>
    <m/>
    <m/>
    <s v="31.01.2020"/>
    <n v="4501226797"/>
    <n v="20200131"/>
    <n v="0.08"/>
    <n v="1.2800000000000001E-2"/>
    <n v="9.2800000000000007E-2"/>
    <n v="200127172"/>
    <s v="Consumo CFE Lago Riego 30.01.2020"/>
    <n v="9.2800000000000007E-2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7"/>
    <n v="200108560"/>
    <s v="WE"/>
    <n v="81"/>
    <x v="0"/>
    <x v="0"/>
    <x v="0"/>
    <n v="1512.03"/>
    <s v="MXN"/>
    <n v="1512.03"/>
    <x v="0"/>
    <x v="0"/>
    <m/>
    <s v="3BC7123B-A28D-4298-B452-687E6C8B15BB"/>
    <s v="CSS160330CP7"/>
    <n v="107211"/>
    <s v="CFE SUMINISTRADOR DE SERVICIOS"/>
    <m/>
    <m/>
    <s v="31.01.2020"/>
    <n v="4501226797"/>
    <n v="20200131"/>
    <n v="1512.03"/>
    <n v="241.9248"/>
    <n v="1753.9548"/>
    <n v="200127172"/>
    <s v="Consumo CFE Lago Riego 31.01.2020"/>
    <n v="1753.9548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1"/>
    <n v="200108562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31.01.2020"/>
    <n v="4501226797"/>
    <n v="20200131"/>
    <n v="0.04"/>
    <n v="6.4000000000000003E-3"/>
    <n v="4.6400000000000004E-2"/>
    <n v="200127172"/>
    <s v="Consumo CFE Taller Mantto 28.01.2020"/>
    <n v="4.6400000000000004E-2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3"/>
    <n v="200108562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31.01.2020"/>
    <n v="4501226797"/>
    <n v="20200131"/>
    <n v="0.04"/>
    <n v="6.4000000000000003E-3"/>
    <n v="4.6400000000000004E-2"/>
    <n v="200127172"/>
    <s v="Consumo CFE Taller Mantto 29.01.2020"/>
    <n v="4.6400000000000004E-2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5"/>
    <n v="200108562"/>
    <s v="WE"/>
    <n v="81"/>
    <x v="0"/>
    <x v="0"/>
    <x v="0"/>
    <n v="304"/>
    <s v="MXN"/>
    <n v="304"/>
    <x v="0"/>
    <x v="0"/>
    <m/>
    <s v="3BC7123B-A28D-4298-B452-687E6C8B15BB"/>
    <s v="CSS160330CP7"/>
    <n v="107211"/>
    <s v="CFE SUMINISTRADOR DE SERVICIOS"/>
    <m/>
    <m/>
    <s v="31.01.2020"/>
    <n v="4501226797"/>
    <n v="20200131"/>
    <n v="304"/>
    <n v="48.64"/>
    <n v="352.64"/>
    <n v="200127172"/>
    <s v="Consumo CFE Taller Mantto 30.01.2020"/>
    <n v="352.64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7"/>
    <n v="200108562"/>
    <s v="WE"/>
    <n v="81"/>
    <x v="0"/>
    <x v="0"/>
    <x v="0"/>
    <n v="0.04"/>
    <s v="MXN"/>
    <n v="0.04"/>
    <x v="0"/>
    <x v="0"/>
    <m/>
    <s v="3BC7123B-A28D-4298-B452-687E6C8B15BB"/>
    <s v="CSS160330CP7"/>
    <n v="107211"/>
    <s v="CFE SUMINISTRADOR DE SERVICIOS"/>
    <m/>
    <m/>
    <s v="31.01.2020"/>
    <n v="4501226797"/>
    <n v="20200131"/>
    <n v="0.04"/>
    <n v="6.4000000000000003E-3"/>
    <n v="4.6400000000000004E-2"/>
    <n v="200127172"/>
    <s v="Consumo CFE Taller Mantto 31.01.2020"/>
    <n v="4.6400000000000004E-2"/>
    <s v="10.02.2020"/>
    <s v="TRANSFERENCIA"/>
    <n v="200130320"/>
    <s v="HSBC "/>
    <s v="HSBC 004053489092 TP"/>
    <n v="340255290"/>
    <s v="SOLI1102"/>
  </r>
  <r>
    <n v="3402"/>
    <s v="31.01.2020"/>
    <n v="2020"/>
    <d v="2020-01-01T00:00:00"/>
    <n v="1"/>
    <n v="200108566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31.01.2020"/>
    <n v="4501226813"/>
    <n v="20200131"/>
    <n v="117.8"/>
    <n v="18.847999999999999"/>
    <n v="136.648"/>
    <n v="200211626"/>
    <s v="Consumo CFE Hoyo 2  28.01.2020"/>
    <n v="136.648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3"/>
    <n v="200108566"/>
    <s v="WE"/>
    <n v="81"/>
    <x v="0"/>
    <x v="0"/>
    <x v="0"/>
    <n v="114"/>
    <s v="MXN"/>
    <n v="114"/>
    <x v="0"/>
    <x v="0"/>
    <m/>
    <s v="9020593F-B07D-45F6-B3AA-D39CF7A80117"/>
    <s v="CSS160330CP7"/>
    <n v="107211"/>
    <s v="CFE SUMINISTRADOR DE SERVICIOS"/>
    <m/>
    <m/>
    <s v="31.01.2020"/>
    <n v="4501226813"/>
    <n v="20200131"/>
    <n v="114"/>
    <n v="18.240000000000002"/>
    <n v="132.24"/>
    <n v="200211626"/>
    <s v="Consumo CFE Hoyo 2  29.01.2020"/>
    <n v="132.24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5"/>
    <n v="200108566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31.01.2020"/>
    <n v="4501226813"/>
    <n v="20200131"/>
    <n v="117.8"/>
    <n v="18.847999999999999"/>
    <n v="136.648"/>
    <n v="200211626"/>
    <s v="Consumo CFE Hoyo 2  30.01.2020"/>
    <n v="136.648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7"/>
    <n v="200108566"/>
    <s v="WE"/>
    <n v="81"/>
    <x v="0"/>
    <x v="0"/>
    <x v="0"/>
    <n v="117.8"/>
    <s v="MXN"/>
    <n v="117.8"/>
    <x v="0"/>
    <x v="0"/>
    <m/>
    <s v="9020593F-B07D-45F6-B3AA-D39CF7A80117"/>
    <s v="CSS160330CP7"/>
    <n v="107211"/>
    <s v="CFE SUMINISTRADOR DE SERVICIOS"/>
    <m/>
    <m/>
    <s v="31.01.2020"/>
    <n v="4501226813"/>
    <n v="20200131"/>
    <n v="117.8"/>
    <n v="18.847999999999999"/>
    <n v="136.648"/>
    <n v="200211626"/>
    <s v="Consumo CFE Hoyo 2  31.01.2020"/>
    <n v="136.648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1"/>
    <n v="200108570"/>
    <s v="WE"/>
    <n v="81"/>
    <x v="0"/>
    <x v="0"/>
    <x v="0"/>
    <n v="4.5"/>
    <s v="MXN"/>
    <n v="4.5"/>
    <x v="0"/>
    <x v="0"/>
    <m/>
    <s v="9020593F-B07D-45F6-B3AA-D39CF7A80117"/>
    <s v="CSS160330CP7"/>
    <n v="107211"/>
    <s v="CFE SUMINISTRADOR DE SERVICIOS"/>
    <m/>
    <m/>
    <s v="31.01.2020"/>
    <n v="4501226813"/>
    <n v="20200131"/>
    <n v="4.5"/>
    <n v="0.72"/>
    <n v="5.22"/>
    <n v="200211626"/>
    <s v="Consumo CFE Hoyo 5  28.01.2020"/>
    <n v="5.22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3"/>
    <n v="200108570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31.01.2020"/>
    <n v="4501226813"/>
    <n v="20200131"/>
    <n v="0.05"/>
    <n v="8.0000000000000002E-3"/>
    <n v="5.8000000000000003E-2"/>
    <n v="200211626"/>
    <s v="Consumo CFE Hoyo 5  29.01.2020"/>
    <n v="5.8000000000000003E-2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5"/>
    <n v="200108570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31.01.2020"/>
    <n v="4501226813"/>
    <n v="20200131"/>
    <n v="0.05"/>
    <n v="8.0000000000000002E-3"/>
    <n v="5.8000000000000003E-2"/>
    <n v="200211626"/>
    <s v="Consumo CFE Hoyo 5  30.01.2020"/>
    <n v="5.8000000000000003E-2"/>
    <s v="10.03.2020"/>
    <s v="TRANSFERENCIA"/>
    <n v="200225788"/>
    <s v="HSBC "/>
    <s v="HSBC 004053489092 TP"/>
    <n v="340255290"/>
    <s v="SOLI1102"/>
  </r>
  <r>
    <n v="3402"/>
    <s v="31.01.2020"/>
    <n v="2020"/>
    <d v="2020-01-01T00:00:00"/>
    <n v="7"/>
    <n v="200108570"/>
    <s v="WE"/>
    <n v="81"/>
    <x v="0"/>
    <x v="0"/>
    <x v="0"/>
    <n v="0.05"/>
    <s v="MXN"/>
    <n v="0.05"/>
    <x v="0"/>
    <x v="0"/>
    <m/>
    <s v="9020593F-B07D-45F6-B3AA-D39CF7A80117"/>
    <s v="CSS160330CP7"/>
    <n v="107211"/>
    <s v="CFE SUMINISTRADOR DE SERVICIOS"/>
    <m/>
    <m/>
    <s v="31.01.2020"/>
    <n v="4501226813"/>
    <n v="20200131"/>
    <n v="0.05"/>
    <n v="8.0000000000000002E-3"/>
    <n v="5.8000000000000003E-2"/>
    <n v="200211626"/>
    <s v="Consumo CFE Hoyo 5  31.01.2020"/>
    <n v="5.8000000000000003E-2"/>
    <s v="10.03.2020"/>
    <s v="TRANSFERENCIA"/>
    <n v="200225788"/>
    <s v="HSBC "/>
    <s v="HSBC 004053489092 TP"/>
    <n v="340255290"/>
    <s v="SOLI1102"/>
  </r>
  <r>
    <n v="3407"/>
    <s v="31.01.2020"/>
    <n v="2020"/>
    <d v="2020-01-01T00:00:00"/>
    <n v="1"/>
    <n v="700039122"/>
    <s v="WE"/>
    <n v="81"/>
    <x v="2"/>
    <x v="0"/>
    <x v="2"/>
    <n v="4392.03"/>
    <s v="USD"/>
    <n v="82160.39"/>
    <x v="0"/>
    <x v="0"/>
    <m/>
    <s v="N/A Registro proveedor extranjero"/>
    <n v="593383972"/>
    <n v="600226"/>
    <s v="HARD ROCK CAFE INTERNATIONAL INC."/>
    <m/>
    <m/>
    <s v="31.01.2020"/>
    <s v="5001219M"/>
    <n v="20200131"/>
    <n v="4392.03"/>
    <n v="0"/>
    <n v="4392.03"/>
    <n v="700039314"/>
    <s v="Memorabilia Dic 2019"/>
    <n v="3513.6239999999998"/>
    <s v="02.06.2020"/>
    <s v="TRANSFERENCIA"/>
    <n v="700367854"/>
    <s v="BOFA"/>
    <s v="BofA RCD 89805242886"/>
    <n v="340721790"/>
    <s v="CGUTIERREZ"/>
  </r>
  <r>
    <n v="3403"/>
    <s v="31.01.2020"/>
    <n v="2020"/>
    <d v="2020-01-01T00:00:00"/>
    <n v="1"/>
    <n v="300018471"/>
    <s v="WE"/>
    <n v="81"/>
    <x v="0"/>
    <x v="0"/>
    <x v="0"/>
    <n v="44864"/>
    <s v="MXN"/>
    <n v="44864"/>
    <x v="0"/>
    <x v="0"/>
    <m/>
    <s v="AC3BF6C0-9B0A-4192-9B59-D7ECB6359DA3"/>
    <s v="CSS160330CP7"/>
    <n v="107211"/>
    <s v="CFE SUMINISTRADOR DE SERVICIOS"/>
    <m/>
    <m/>
    <s v="01.02.2020"/>
    <n v="450122871"/>
    <n v="20200131"/>
    <n v="44864"/>
    <n v="7178.24"/>
    <n v="52042.239999999998"/>
    <n v="300021003"/>
    <s v="Electricidad HRV 31 Enero 2020"/>
    <n v="52042.239999999998"/>
    <s v="06.02.2020"/>
    <s v="TRANSFERENCIA"/>
    <n v="300021371"/>
    <s v="HSBC "/>
    <s v="HSBC 004053489092 TP"/>
    <n v="340318590"/>
    <s v="SOLI1103"/>
  </r>
  <r>
    <n v="3401"/>
    <s v="31.01.2020"/>
    <n v="2020"/>
    <d v="2020-01-01T00:00:00"/>
    <n v="1"/>
    <n v="100033012"/>
    <s v="WE"/>
    <n v="81"/>
    <x v="1"/>
    <x v="0"/>
    <x v="1"/>
    <n v="60964.53"/>
    <s v="MXN"/>
    <n v="60964.53"/>
    <x v="0"/>
    <x v="0"/>
    <m/>
    <s v="F5E46C2D-21FE-4D5D-ADD7-14B8337F8774"/>
    <s v="RCI930401GV1"/>
    <n v="600623"/>
    <s v="RESORT CONDOMINIUMS INTERNATIONAL"/>
    <m/>
    <m/>
    <s v="01.02.2020"/>
    <s v="RCI-53063"/>
    <n v="20200131"/>
    <n v="60964.53"/>
    <n v="9754.3248000000003"/>
    <n v="70718.854800000001"/>
    <n v="100033764"/>
    <s v="COMISIONES RCI PRECOBROS ENE 2020"/>
    <n v="70718.854800000001"/>
    <s v="06.03.2020"/>
    <s v="TRANSFERENCIA"/>
    <n v="100078328"/>
    <s v="BBVA"/>
    <s v="BBVAB 00188039070 TP"/>
    <m/>
    <m/>
  </r>
  <r>
    <n v="3402"/>
    <s v="31.01.2020"/>
    <n v="2020"/>
    <d v="2020-01-01T00:00:00"/>
    <n v="1"/>
    <n v="200122809"/>
    <s v="WE"/>
    <n v="81"/>
    <x v="0"/>
    <x v="0"/>
    <x v="0"/>
    <n v="1863389.4"/>
    <s v="MXN"/>
    <n v="1863389.4"/>
    <x v="0"/>
    <x v="0"/>
    <m/>
    <s v="B36F144B-FEAA-423B-A586-88467135EEF1"/>
    <s v="CSS160330CP7"/>
    <n v="107211"/>
    <s v="CFE SUMINISTRADOR DE SERVICIOS"/>
    <m/>
    <m/>
    <s v="03.02.2020"/>
    <n v="4501229349"/>
    <n v="20200131"/>
    <n v="1863389.4"/>
    <n v="298142.304"/>
    <n v="2161531.7039999999"/>
    <n v="200124384"/>
    <s v="LUZ MES DE ENERO"/>
    <n v="2161531.7039999999"/>
    <s v="06.02.2020"/>
    <s v="TRANSFERENCIA"/>
    <n v="200127161"/>
    <s v="HSBC "/>
    <s v="HSBC 004053489092 TP"/>
    <n v="340218590"/>
    <s v="RMARRUFO"/>
  </r>
  <r>
    <n v="3401"/>
    <s v="31.01.2020"/>
    <n v="2020"/>
    <d v="2020-01-01T00:00:00"/>
    <n v="1"/>
    <n v="100035056"/>
    <s v="WE"/>
    <n v="81"/>
    <x v="0"/>
    <x v="0"/>
    <x v="0"/>
    <n v="891114"/>
    <s v="MXN"/>
    <n v="891114"/>
    <x v="0"/>
    <x v="0"/>
    <m/>
    <s v="27DFA65C-1D63-41B7-9350-ADC68088A10C"/>
    <s v="CSS160330CP7"/>
    <n v="107211"/>
    <s v="CFE SUMINISTRADOR DE SERVICIOS"/>
    <m/>
    <m/>
    <s v="04.02.2020"/>
    <n v="4501216248"/>
    <s v="WH000533227437"/>
    <n v="891114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31.01.2020"/>
    <n v="2020"/>
    <d v="2020-01-01T00:00:00"/>
    <n v="1"/>
    <n v="100035057"/>
    <s v="WE"/>
    <n v="81"/>
    <x v="0"/>
    <x v="0"/>
    <x v="0"/>
    <n v="115331"/>
    <s v="MXN"/>
    <n v="115331"/>
    <x v="0"/>
    <x v="0"/>
    <m/>
    <s v="27DFA65C-1D63-41B7-9350-ADC68088A10C"/>
    <s v="CSS160330CP7"/>
    <n v="107211"/>
    <s v="CFE SUMINISTRADOR DE SERVICIOS"/>
    <m/>
    <m/>
    <s v="04.02.2020"/>
    <n v="4501216248"/>
    <s v="WH000533227437"/>
    <n v="115331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31.01.2020"/>
    <n v="2020"/>
    <d v="2020-01-01T00:00:00"/>
    <n v="1"/>
    <n v="100035058"/>
    <s v="WE"/>
    <n v="91"/>
    <x v="0"/>
    <x v="0"/>
    <x v="0"/>
    <n v="891114"/>
    <s v="MXN"/>
    <n v="891114"/>
    <x v="0"/>
    <x v="0"/>
    <m/>
    <s v="27DFA65C-1D63-41B7-9350-ADC68088A10C"/>
    <s v="CSS160330CP7"/>
    <n v="107211"/>
    <s v="CFE SUMINISTRADOR DE SERVICIOS"/>
    <m/>
    <m/>
    <s v="04.02.2020"/>
    <n v="4501216248"/>
    <s v="WH000533227437"/>
    <n v="891114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1"/>
    <s v="31.01.2020"/>
    <n v="2020"/>
    <d v="2020-01-01T00:00:00"/>
    <n v="1"/>
    <n v="100035059"/>
    <s v="WE"/>
    <n v="91"/>
    <x v="0"/>
    <x v="0"/>
    <x v="0"/>
    <n v="115331"/>
    <s v="MXN"/>
    <n v="115331"/>
    <x v="0"/>
    <x v="0"/>
    <m/>
    <s v="27DFA65C-1D63-41B7-9350-ADC68088A10C"/>
    <s v="CSS160330CP7"/>
    <n v="107211"/>
    <s v="CFE SUMINISTRADOR DE SERVICIOS"/>
    <m/>
    <m/>
    <s v="04.02.2020"/>
    <n v="4501216248"/>
    <s v="WH000533227437"/>
    <n v="115331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3"/>
    <s v="31.01.2020"/>
    <n v="2020"/>
    <d v="2020-01-01T00:00:00"/>
    <n v="1"/>
    <n v="300020325"/>
    <s v="WE"/>
    <n v="81"/>
    <x v="2"/>
    <x v="0"/>
    <x v="2"/>
    <n v="7570"/>
    <s v="USD"/>
    <n v="141609.72"/>
    <x v="0"/>
    <x v="0"/>
    <m/>
    <s v="N/A Registro proveedor extranjero"/>
    <s v="XEXX0101010"/>
    <n v="101128"/>
    <s v="HARD ROCK LIMITED."/>
    <m/>
    <m/>
    <s v="04.02.2020"/>
    <s v="4501232157-3"/>
    <n v="20200131"/>
    <n v="7570"/>
    <n v="0"/>
    <n v="7570"/>
    <n v="300034130"/>
    <s v="FEES HARD ROCK-STORE FEE"/>
    <n v="6881.8181818181811"/>
    <s v="02.06.2020"/>
    <s v="TRANSFERENCIA"/>
    <n v="300238840"/>
    <s v="BOFA"/>
    <s v="BofA RCD 89805242886"/>
    <n v="340368190"/>
    <s v="ERAMOS"/>
  </r>
  <r>
    <n v="3403"/>
    <s v="31.01.2020"/>
    <n v="2020"/>
    <d v="2020-01-01T00:00:00"/>
    <n v="1"/>
    <n v="300020326"/>
    <s v="WE"/>
    <n v="81"/>
    <x v="2"/>
    <x v="0"/>
    <x v="2"/>
    <n v="34433"/>
    <s v="USD"/>
    <n v="644127.80000000005"/>
    <x v="0"/>
    <x v="0"/>
    <m/>
    <s v="N/A Registro proveedor extranjero"/>
    <s v="XEXX0101010"/>
    <n v="101128"/>
    <s v="HARD ROCK LIMITED."/>
    <m/>
    <m/>
    <s v="04.02.2020"/>
    <s v="4501232157-2"/>
    <n v="20200131"/>
    <n v="34433"/>
    <n v="0"/>
    <n v="34433"/>
    <n v="300034130"/>
    <s v="FEES HARD ROCK- MARKETING FEE"/>
    <n v="31302.727272727268"/>
    <s v="02.06.2020"/>
    <s v="TRANSFERENCIA"/>
    <n v="300238840"/>
    <s v="BOFA"/>
    <s v="BofA RCD 89805242886"/>
    <n v="340321790"/>
    <s v="ERAMOS"/>
  </r>
  <r>
    <n v="3403"/>
    <s v="31.01.2020"/>
    <n v="2020"/>
    <d v="2020-01-01T00:00:00"/>
    <n v="1"/>
    <n v="300020327"/>
    <s v="WE"/>
    <n v="81"/>
    <x v="2"/>
    <x v="0"/>
    <x v="2"/>
    <n v="103298"/>
    <s v="USD"/>
    <n v="1932364.7"/>
    <x v="0"/>
    <x v="0"/>
    <m/>
    <s v="N/A Registro proveedor extranjero"/>
    <s v="XEXX0101010"/>
    <n v="101128"/>
    <s v="HARD ROCK LIMITED."/>
    <m/>
    <m/>
    <s v="04.02.2020"/>
    <n v="4501232157"/>
    <n v="20200131"/>
    <n v="103298"/>
    <n v="0"/>
    <n v="103298"/>
    <n v="300034130"/>
    <s v="FEES HARD ROCK- LICENSE FEE"/>
    <n v="93907.272727272721"/>
    <s v="02.06.2020"/>
    <s v="TRANSFERENCIA"/>
    <n v="300238840"/>
    <s v="BOFA"/>
    <s v="BofA RCD 89805242886"/>
    <n v="340321790"/>
    <s v="ERAMOS"/>
  </r>
  <r>
    <n v="3409"/>
    <s v="31.01.2020"/>
    <n v="2020"/>
    <d v="2020-01-01T00:00:00"/>
    <n v="1"/>
    <n v="900012437"/>
    <s v="WE"/>
    <n v="81"/>
    <x v="1"/>
    <x v="0"/>
    <x v="1"/>
    <n v="7396.76"/>
    <s v="USD"/>
    <n v="138368.97"/>
    <x v="0"/>
    <x v="0"/>
    <m/>
    <s v="N/A Registro proveedor extranjero"/>
    <n v="752738581"/>
    <n v="602358"/>
    <s v="PEGASUS BUSINESS INTELLIGENCE"/>
    <m/>
    <m/>
    <s v="04.02.2020"/>
    <n v="2292346"/>
    <n v="20200131"/>
    <n v="7396.76"/>
    <n v="0"/>
    <n v="7396.76"/>
    <n v="900012515"/>
    <s v="Pegasus  Invoice 292346"/>
    <n v="7396.76"/>
    <s v="10.02.2020"/>
    <s v="TRANSFERENCIA"/>
    <n v="900014325"/>
    <s v="BOFA"/>
    <s v="BofA RCD 89805242886"/>
    <n v="340921790"/>
    <s v="JQUITERIO"/>
  </r>
  <r>
    <n v="3409"/>
    <s v="31.01.2020"/>
    <n v="2020"/>
    <d v="2020-01-01T00:00:00"/>
    <n v="1"/>
    <n v="900012438"/>
    <s v="WE"/>
    <n v="81"/>
    <x v="1"/>
    <x v="0"/>
    <x v="1"/>
    <n v="662.59"/>
    <s v="USD"/>
    <n v="12394.87"/>
    <x v="0"/>
    <x v="0"/>
    <m/>
    <s v="N/A Registro proveedor extranjero"/>
    <n v="270671211"/>
    <n v="801030"/>
    <s v="ITG TRAVEL AGENCY LLC"/>
    <m/>
    <m/>
    <s v="04.02.2020"/>
    <n v="360"/>
    <n v="20200131"/>
    <n v="662.59"/>
    <n v="0"/>
    <n v="662.59"/>
    <n v="900012521"/>
    <s v="ITG - Travel Agency LLC"/>
    <n v="662.59"/>
    <s v="25.02.2020"/>
    <s v="TRANSFERENCIA"/>
    <n v="900022505"/>
    <s v="BOFA"/>
    <s v="BofA RCD 89805242886"/>
    <n v="340921790"/>
    <s v="JQUITERIO"/>
  </r>
  <r>
    <n v="3403"/>
    <s v="31.01.2020"/>
    <n v="2020"/>
    <d v="2020-01-01T00:00:00"/>
    <n v="1"/>
    <n v="300020411"/>
    <s v="WE"/>
    <n v="91"/>
    <x v="0"/>
    <x v="0"/>
    <x v="0"/>
    <n v="44864"/>
    <s v="MXN"/>
    <n v="44864"/>
    <x v="0"/>
    <x v="0"/>
    <m/>
    <s v="AC3BF6C0-9B0A-4192-9B59-D7ECB6359DA3"/>
    <s v="CSS160330CP7"/>
    <n v="107211"/>
    <s v="CFE SUMINISTRADOR DE SERVICIOS"/>
    <m/>
    <m/>
    <s v="04.02.2020"/>
    <n v="450122871"/>
    <n v="20200131"/>
    <n v="44864"/>
    <n v="7178.24"/>
    <n v="52042.239999999998"/>
    <n v="300021003"/>
    <s v="Electricidad HRV 31 Enero 2020"/>
    <n v="52042.239999999998"/>
    <s v="06.02.2020"/>
    <s v="TRANSFERENCIA"/>
    <n v="300021371"/>
    <s v="HSBC "/>
    <s v="HSBC 004053489092 TP"/>
    <n v="340318590"/>
    <s v="SOLI1103"/>
  </r>
  <r>
    <n v="3403"/>
    <s v="31.01.2020"/>
    <n v="2020"/>
    <d v="2020-01-01T00:00:00"/>
    <n v="1"/>
    <n v="300020412"/>
    <s v="WE"/>
    <n v="81"/>
    <x v="0"/>
    <x v="0"/>
    <x v="0"/>
    <n v="10382.41"/>
    <s v="MXN"/>
    <n v="10382.41"/>
    <x v="0"/>
    <x v="0"/>
    <m/>
    <s v="AC3BF6C0-9B0A-4192-9B59-D7ECB6359DA3"/>
    <s v="CSS160330CP7"/>
    <n v="107211"/>
    <s v="CFE SUMINISTRADOR DE SERVICIOS"/>
    <m/>
    <m/>
    <s v="04.02.2020"/>
    <n v="4501228713"/>
    <n v="20200131"/>
    <n v="10382.41"/>
    <n v="1661.1856"/>
    <n v="12043.595600000001"/>
    <n v="300021003"/>
    <s v="Electricidad HRV 31 Enero 2020"/>
    <n v="12043.595600000001"/>
    <s v="06.02.2020"/>
    <s v="TRANSFERENCIA"/>
    <n v="300021371"/>
    <s v="HSBC "/>
    <s v="HSBC 004053489092 TP"/>
    <n v="340318590"/>
    <s v="SOLI1103"/>
  </r>
  <r>
    <n v="3406"/>
    <s v="08.01.2020"/>
    <n v="2020"/>
    <d v="2020-01-01T00:00:00"/>
    <n v="1"/>
    <n v="600005645"/>
    <s v="WE"/>
    <n v="81"/>
    <x v="1"/>
    <x v="0"/>
    <x v="1"/>
    <n v="163846.28"/>
    <s v="MXN"/>
    <n v="163846.28"/>
    <x v="0"/>
    <x v="0"/>
    <m/>
    <s v="N/A Registro proveedor extranjero"/>
    <s v="NL805734958B01"/>
    <n v="600271"/>
    <s v="BOOKING COM BV"/>
    <m/>
    <m/>
    <s v="08.01.2020"/>
    <n v="1548756279"/>
    <n v="20200108"/>
    <n v="163846.28"/>
    <n v="0"/>
    <n v="163846.28"/>
    <n v="600006359"/>
    <s v="COMISIONES BOOKING DICIEMBRE 2019"/>
    <n v="163846.28"/>
    <s v="21.01.2020"/>
    <s v="TRANSFERENCIA"/>
    <n v="600019044"/>
    <s v="BBVA"/>
    <s v="BBVAB 00188039070 TP"/>
    <n v="340621790"/>
    <s v="MFRUCTUOSO"/>
  </r>
  <r>
    <n v="3402"/>
    <s v="08.01.2020"/>
    <n v="2020"/>
    <d v="2020-01-01T00:00:00"/>
    <n v="1"/>
    <n v="200021514"/>
    <s v="WE"/>
    <n v="81"/>
    <x v="7"/>
    <x v="0"/>
    <x v="7"/>
    <n v="760"/>
    <s v="USD"/>
    <n v="14308.52"/>
    <x v="0"/>
    <x v="0"/>
    <m/>
    <s v="N/A Registro proveedor extranjero"/>
    <n v="453325398"/>
    <n v="101653"/>
    <s v="BOOKER SOFTWARE INC"/>
    <m/>
    <m/>
    <s v="08.01.2020"/>
    <s v="120106-006E"/>
    <n v="20200108"/>
    <n v="760"/>
    <n v="0"/>
    <n v="760"/>
    <n v="200027809"/>
    <s v="PAGO SPA BOOKER ENERO"/>
    <n v="760"/>
    <s v="11.02.2020"/>
    <s v="TRANSFERENCIA"/>
    <n v="200150427"/>
    <s v="BOFA"/>
    <s v="BofA RCD 89805242886"/>
    <n v="340253290"/>
    <s v="SOLI1102"/>
  </r>
  <r>
    <n v="3409"/>
    <s v="08.01.2020"/>
    <n v="2020"/>
    <d v="2020-01-01T00:00:00"/>
    <n v="1"/>
    <n v="900002503"/>
    <s v="WE"/>
    <n v="81"/>
    <x v="1"/>
    <x v="0"/>
    <x v="1"/>
    <n v="2392"/>
    <s v="USD"/>
    <n v="45034.18"/>
    <x v="0"/>
    <x v="0"/>
    <m/>
    <s v="N/A Registro proveedor extranjero"/>
    <n v="364415727"/>
    <n v="800423"/>
    <s v="TRAVELZOO INC"/>
    <m/>
    <m/>
    <s v="08.01.2020"/>
    <s v="HC-36746-R1"/>
    <n v="20200108"/>
    <n v="2392"/>
    <n v="0"/>
    <n v="45034.18"/>
    <n v="200027802"/>
    <s v="TravelZoo Diciembre 2019"/>
    <n v="45034.18"/>
    <s v="24.01.2020"/>
    <s v="TRANSFERENCIA"/>
    <n v="900008380"/>
    <s v="BOFA"/>
    <s v="BofA RCD 89805242886"/>
    <n v="340921790"/>
    <s v="SOLI3409"/>
  </r>
  <r>
    <n v="3406"/>
    <s v="08.01.2020"/>
    <n v="2020"/>
    <d v="2020-01-01T00:00:00"/>
    <n v="1"/>
    <n v="600005812"/>
    <s v="WE"/>
    <n v="81"/>
    <x v="7"/>
    <x v="0"/>
    <x v="7"/>
    <n v="380"/>
    <s v="USD"/>
    <n v="7154.26"/>
    <x v="0"/>
    <x v="0"/>
    <m/>
    <s v="N/A Registro proveedor extranjero"/>
    <n v="453325398"/>
    <n v="101653"/>
    <s v="BOOKER SOFTWARE INC"/>
    <m/>
    <m/>
    <s v="08.01.2020"/>
    <s v="120106-008E"/>
    <n v="20200108"/>
    <n v="380"/>
    <n v="0"/>
    <n v="380"/>
    <n v="600025900"/>
    <s v="PAGO SPA BOOKER ENE 2020"/>
    <n v="380"/>
    <s v="11.02.2020"/>
    <s v="TRANSFERENCIA"/>
    <n v="600040066"/>
    <s v="BOFA"/>
    <s v="BofA RCD 89805242886"/>
    <n v="340653290"/>
    <s v="SOLIUNICO"/>
  </r>
  <r>
    <n v="3406"/>
    <s v="08.01.2020"/>
    <n v="2020"/>
    <d v="2020-01-01T00:00:00"/>
    <n v="1"/>
    <n v="600005815"/>
    <s v="WE"/>
    <n v="81"/>
    <x v="7"/>
    <x v="0"/>
    <x v="7"/>
    <n v="20.14"/>
    <s v="USD"/>
    <n v="379.18"/>
    <x v="0"/>
    <x v="0"/>
    <m/>
    <s v="N/A Registro proveedor extranjero"/>
    <n v="453325398"/>
    <n v="101653"/>
    <s v="BOOKER SOFTWARE INC"/>
    <m/>
    <m/>
    <s v="08.01.2020"/>
    <s v="120106-008E"/>
    <n v="20200108"/>
    <n v="20.14"/>
    <n v="0"/>
    <n v="20.14"/>
    <n v="600025900"/>
    <s v="PAGO SABE BOOKER 2020"/>
    <n v="20.14"/>
    <s v="11.02.2020"/>
    <s v="TRANSFERENCIA"/>
    <n v="600040066"/>
    <s v="BOFA"/>
    <s v="BofA RCD 89805242886"/>
    <n v="340615190"/>
    <s v="SOLIUNICO"/>
  </r>
  <r>
    <n v="3402"/>
    <s v="08.01.2020"/>
    <n v="2020"/>
    <d v="2020-01-01T00:00:00"/>
    <n v="1"/>
    <n v="200021798"/>
    <s v="WE"/>
    <n v="81"/>
    <x v="7"/>
    <x v="0"/>
    <x v="7"/>
    <n v="665"/>
    <s v="USD"/>
    <n v="12519.96"/>
    <x v="0"/>
    <x v="0"/>
    <m/>
    <s v="N/A Registro proveedor extranjero"/>
    <n v="453325398"/>
    <n v="101653"/>
    <s v="BOOKER SOFTWARE INC"/>
    <m/>
    <m/>
    <s v="08.01.2020"/>
    <s v="120106-007E"/>
    <n v="20200108"/>
    <n v="665"/>
    <n v="0"/>
    <n v="665"/>
    <n v="200027802"/>
    <s v="Mtto Licencias Booker SABE Enero 2020"/>
    <n v="665"/>
    <s v="11.02.2020"/>
    <s v="TRANSFERENCIA"/>
    <n v="200150427"/>
    <s v="BOFA"/>
    <s v="BofA RCD 89805242886"/>
    <n v="340215190"/>
    <s v="SOLI1102"/>
  </r>
  <r>
    <n v="3402"/>
    <s v="10.01.2020"/>
    <n v="2020"/>
    <d v="2020-01-01T00:00:00"/>
    <n v="1"/>
    <n v="200027806"/>
    <s v="WE"/>
    <n v="81"/>
    <x v="1"/>
    <x v="0"/>
    <x v="1"/>
    <n v="210431.03"/>
    <s v="MXN"/>
    <n v="210431.03"/>
    <x v="0"/>
    <x v="0"/>
    <m/>
    <s v="N/A Registro proveedor extranjero"/>
    <s v="NL805734958B01"/>
    <n v="600271"/>
    <s v="BOOKING COM BV"/>
    <m/>
    <m/>
    <s v="10.01.2020"/>
    <n v="1548705238"/>
    <n v="20200110"/>
    <n v="210431.03"/>
    <n v="0"/>
    <n v="210431.03"/>
    <n v="200035338"/>
    <s v="COMISIONES BOOKING DIC 2019- HACIENDA"/>
    <n v="210431.03"/>
    <s v="21.01.2020"/>
    <s v="TRANSFERENCIA"/>
    <n v="200057427"/>
    <s v="BBVA"/>
    <s v="BBVAB 00188039070 TP"/>
    <n v="340221990"/>
    <s v="AINGRESOSCG"/>
  </r>
  <r>
    <n v="3402"/>
    <s v="10.01.2020"/>
    <n v="2020"/>
    <d v="2020-01-01T00:00:00"/>
    <n v="1"/>
    <n v="200027812"/>
    <s v="WE"/>
    <n v="81"/>
    <x v="1"/>
    <x v="0"/>
    <x v="1"/>
    <n v="27954.36"/>
    <s v="MXN"/>
    <n v="27954.36"/>
    <x v="0"/>
    <x v="0"/>
    <m/>
    <s v="N/A Registro proveedor extranjero"/>
    <s v="NL805734958B01"/>
    <n v="600271"/>
    <s v="BOOKING COM BV"/>
    <m/>
    <m/>
    <s v="10.01.2020"/>
    <n v="1548693032"/>
    <n v="20200110"/>
    <n v="27954.36"/>
    <n v="0"/>
    <n v="27954.36"/>
    <n v="200035334"/>
    <s v="COMISIONES BOOKING DIC 2019- HEAVEN"/>
    <n v="27954.36"/>
    <s v="21.01.2020"/>
    <s v="TRANSFERENCIA"/>
    <n v="200057427"/>
    <s v="BBVA"/>
    <s v="BBVAB 00188039070 TP"/>
    <n v="340221990"/>
    <s v="AINGRESOSCG"/>
  </r>
  <r>
    <n v="3401"/>
    <s v="10.01.2020"/>
    <n v="2020"/>
    <d v="2020-01-01T00:00:00"/>
    <n v="1"/>
    <n v="100009515"/>
    <s v="WE"/>
    <n v="81"/>
    <x v="0"/>
    <x v="0"/>
    <x v="0"/>
    <n v="53480"/>
    <s v="MXN"/>
    <n v="53480"/>
    <x v="0"/>
    <x v="0"/>
    <m/>
    <s v="27DFA65C-1D63-41B7-9350-ADC68088A10C"/>
    <s v="CSS160330CP7"/>
    <n v="107211"/>
    <s v="CFE SUMINISTRADOR DE SERVICIOS"/>
    <m/>
    <m/>
    <s v="10.01.2020"/>
    <n v="4501216248"/>
    <s v="WH000533227437"/>
    <n v="53480"/>
    <m/>
    <m/>
    <n v="100036889"/>
    <s v="CONSUMO ENERGIA ENERO 2020"/>
    <m/>
    <s v="06.02.2020"/>
    <s v="TRANSFERENCIA"/>
    <n v="100036917"/>
    <s v="HSBC "/>
    <s v="HSBC 004053489092 TP"/>
    <n v="340118590"/>
    <s v="MANTTO_MEX"/>
  </r>
  <r>
    <n v="3407"/>
    <s v="10.01.2020"/>
    <n v="2020"/>
    <d v="2020-01-01T00:00:00"/>
    <n v="1"/>
    <n v="700010842"/>
    <s v="WE"/>
    <n v="81"/>
    <x v="1"/>
    <x v="0"/>
    <x v="1"/>
    <n v="201928.89"/>
    <s v="MXN"/>
    <n v="201928.89"/>
    <x v="0"/>
    <x v="0"/>
    <m/>
    <s v="N/A Registro proveedor extranjero"/>
    <s v="NL805734958B01"/>
    <n v="600271"/>
    <s v="BOOKING COM BV"/>
    <m/>
    <m/>
    <s v="10.01.2020"/>
    <n v="1548789341"/>
    <n v="20200110"/>
    <n v="201928.89"/>
    <n v="0"/>
    <n v="201928.89"/>
    <n v="700011485"/>
    <s v="COMISION BOOKING DICIEMBRE 2019"/>
    <n v="201928.89"/>
    <s v="21.01.2020"/>
    <s v="TRANSFERENCIA"/>
    <n v="700020940"/>
    <s v="BBVA"/>
    <s v="BBVAB 00188039070 TP"/>
    <n v="340721790"/>
    <s v="SOLI3407"/>
  </r>
  <r>
    <n v="3406"/>
    <s v="10.01.2020"/>
    <n v="2020"/>
    <d v="2020-01-01T00:00:00"/>
    <n v="1"/>
    <n v="600007236"/>
    <s v="WE"/>
    <n v="81"/>
    <x v="7"/>
    <x v="0"/>
    <x v="7"/>
    <n v="157482.49"/>
    <s v="MXN"/>
    <n v="157482.49"/>
    <x v="0"/>
    <x v="0"/>
    <m/>
    <s v="AFA2E399-A9D8-409D-AFB9-BF92C8657AA4"/>
    <m/>
    <n v="105456"/>
    <s v="BAZAN LIRA SAMIR ABINADI"/>
    <m/>
    <m/>
    <s v="10.01.2020"/>
    <s v="OT 80"/>
    <n v="20200110"/>
    <n v="157482.49"/>
    <n v="25197.198399999997"/>
    <n v="182679.68839999998"/>
    <n v="600007266"/>
    <s v="Licencia anual fortinet"/>
    <n v="182679.68839999998"/>
    <s v="25.02.2020"/>
    <s v="TRANSFERENCIA"/>
    <n v="600055348"/>
    <s v="BBVA"/>
    <s v="BBVAB 00188039070 TP"/>
    <n v="340646390"/>
    <s v="SOLIUNICO"/>
  </r>
  <r>
    <n v="3406"/>
    <s v="08.01.2020"/>
    <n v="2020"/>
    <d v="2020-01-01T00:00:00"/>
    <n v="1"/>
    <n v="600015295"/>
    <s v="WE"/>
    <n v="91"/>
    <x v="7"/>
    <x v="0"/>
    <x v="7"/>
    <n v="20.14"/>
    <s v="USD"/>
    <n v="379.18"/>
    <x v="0"/>
    <x v="0"/>
    <m/>
    <s v="N/A Registro proveedor extranjero"/>
    <n v="453325398"/>
    <n v="101653"/>
    <s v="BOOKER SOFTWARE INC"/>
    <m/>
    <m/>
    <s v="17.01.2020"/>
    <s v="120106-008E"/>
    <n v="20200108"/>
    <n v="20.14"/>
    <n v="0"/>
    <n v="20.14"/>
    <n v="600025900"/>
    <s v="PAGO SABE BOOKER 2020"/>
    <n v="20.14"/>
    <s v="11.02.2020"/>
    <s v="TRANSFERENCIA"/>
    <n v="600040066"/>
    <s v="BOFA"/>
    <s v="BofA RCD 89805242886"/>
    <n v="340615190"/>
    <s v="SOLIUNICO"/>
  </r>
  <r>
    <n v="3406"/>
    <s v="08.01.2020"/>
    <n v="2020"/>
    <d v="2020-01-01T00:00:00"/>
    <n v="1"/>
    <n v="600015384"/>
    <s v="WE"/>
    <n v="91"/>
    <x v="7"/>
    <x v="0"/>
    <x v="7"/>
    <n v="380"/>
    <s v="USD"/>
    <n v="7154.26"/>
    <x v="0"/>
    <x v="0"/>
    <m/>
    <s v="N/A Registro proveedor extranjero"/>
    <n v="453325398"/>
    <n v="101653"/>
    <s v="BOOKER SOFTWARE INC"/>
    <m/>
    <m/>
    <s v="17.01.2020"/>
    <s v="120106-008E"/>
    <n v="20200108"/>
    <n v="380"/>
    <n v="0"/>
    <n v="380"/>
    <n v="600025900"/>
    <s v="PAGO SPA BOOKER ENE 2020"/>
    <n v="380"/>
    <s v="11.02.2020"/>
    <s v="TRANSFERENCIA"/>
    <n v="600040066"/>
    <s v="BOFA"/>
    <s v="BofA RCD 89805242886"/>
    <n v="340653290"/>
    <s v="SOLIUNICO"/>
  </r>
  <r>
    <n v="3406"/>
    <s v="08.01.2020"/>
    <n v="2020"/>
    <d v="2020-01-01T00:00:00"/>
    <n v="1"/>
    <n v="600015392"/>
    <s v="WE"/>
    <n v="81"/>
    <x v="7"/>
    <x v="0"/>
    <x v="7"/>
    <n v="380"/>
    <s v="USD"/>
    <n v="7154.26"/>
    <x v="0"/>
    <x v="0"/>
    <m/>
    <s v="N/A Registro proveedor extranjero"/>
    <n v="453325398"/>
    <n v="101653"/>
    <s v="BOOKER SOFTWARE INC"/>
    <m/>
    <m/>
    <s v="17.01.2020"/>
    <s v="120106-008E"/>
    <n v="20200108"/>
    <n v="380"/>
    <n v="0"/>
    <n v="380"/>
    <n v="600025900"/>
    <s v="PAGO SPA BOOKER ENE 2020"/>
    <n v="380"/>
    <s v="11.02.2020"/>
    <s v="TRANSFERENCIA"/>
    <n v="600040066"/>
    <s v="BOFA"/>
    <s v="BofA RCD 89805242886"/>
    <n v="340653290"/>
    <s v="SOLIUNICO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n v="1"/>
    <n v="6100.02"/>
  </r>
  <r>
    <x v="1"/>
    <x v="1"/>
    <n v="349"/>
    <n v="16547319.279999999"/>
  </r>
  <r>
    <x v="2"/>
    <x v="2"/>
    <n v="14"/>
    <n v="828167.54999999993"/>
  </r>
  <r>
    <x v="3"/>
    <x v="3"/>
    <n v="25"/>
    <n v="592656.31000000017"/>
  </r>
  <r>
    <x v="4"/>
    <x v="4"/>
    <n v="3"/>
    <n v="69069.279999999999"/>
  </r>
  <r>
    <x v="5"/>
    <x v="5"/>
    <n v="36"/>
    <n v="3702308.3699999996"/>
  </r>
  <r>
    <x v="6"/>
    <x v="6"/>
    <n v="4"/>
    <n v="75689.64"/>
  </r>
  <r>
    <x v="7"/>
    <x v="7"/>
    <n v="16"/>
    <n v="13970002.479999999"/>
  </r>
  <r>
    <x v="0"/>
    <x v="0"/>
    <n v="7"/>
    <n v="423766.16000000003"/>
  </r>
  <r>
    <x v="1"/>
    <x v="1"/>
    <n v="318"/>
    <n v="25927902.17000002"/>
  </r>
  <r>
    <x v="2"/>
    <x v="2"/>
    <n v="5"/>
    <n v="106050"/>
  </r>
  <r>
    <x v="3"/>
    <x v="3"/>
    <n v="7"/>
    <n v="264382.40999999997"/>
  </r>
  <r>
    <x v="4"/>
    <x v="4"/>
    <n v="2"/>
    <n v="41980.67"/>
  </r>
  <r>
    <x v="5"/>
    <x v="5"/>
    <n v="17"/>
    <n v="1372169.0199999998"/>
  </r>
  <r>
    <x v="6"/>
    <x v="6"/>
    <n v="7"/>
    <n v="87485.14"/>
  </r>
  <r>
    <x v="7"/>
    <x v="7"/>
    <n v="1"/>
    <n v="82566.649999999994"/>
  </r>
  <r>
    <x v="1"/>
    <x v="1"/>
    <n v="293"/>
    <n v="19298279.139999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B75E2-4729-47D4-925C-F17DFB8905A3}" name="TablaDinámica1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4" firstHeaderRow="0" firstDataRow="1" firstDataCol="2"/>
  <pivotFields count="5">
    <pivotField compact="0" outline="0" showAll="0" defaultSubtotal="0"/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1">
        <item x="7"/>
        <item x="6"/>
        <item x="9"/>
        <item x="5"/>
        <item x="2"/>
        <item x="4"/>
        <item x="3"/>
        <item x="8"/>
        <item x="1"/>
        <item x="0"/>
        <item m="1" x="10"/>
      </items>
    </pivotField>
    <pivotField dataField="1" compact="0" outline="0" showAll="0" defaultSubtotal="0"/>
    <pivotField dataField="1" compact="0" outline="0" showAll="0" defaultSubtotal="0"/>
  </pivotFields>
  <rowFields count="2">
    <field x="1"/>
    <field x="2"/>
  </rowFields>
  <rowItems count="11">
    <i>
      <x/>
      <x v="9"/>
    </i>
    <i>
      <x v="1"/>
      <x v="8"/>
    </i>
    <i>
      <x v="2"/>
      <x v="4"/>
    </i>
    <i>
      <x v="3"/>
      <x v="6"/>
    </i>
    <i>
      <x v="4"/>
      <x v="5"/>
    </i>
    <i>
      <x v="5"/>
      <x v="3"/>
    </i>
    <i>
      <x v="6"/>
      <x v="1"/>
    </i>
    <i>
      <x v="7"/>
      <x/>
    </i>
    <i>
      <x v="8"/>
      <x v="7"/>
    </i>
    <i>
      <x v="9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uenta de Moneda" fld="3" baseField="0" baseItem="0"/>
    <dataField name="Suma de Suma de Importe" fld="4" baseField="0" baseItem="0" numFmtId="43"/>
  </dataFields>
  <formats count="1">
    <format dxfId="3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E463F-D039-48AE-BE1B-411EB1F2EA3B}" name="TablaDinámica4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4" firstHeaderRow="0" firstDataRow="1" firstDataCol="2"/>
  <pivotFields count="5">
    <pivotField compact="0" outline="0" showAll="0" defaultSubtotal="0"/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compact="0" outline="0" showAll="0" defaultSubtotal="0">
      <items count="10">
        <item x="7"/>
        <item x="6"/>
        <item x="9"/>
        <item x="5"/>
        <item x="2"/>
        <item x="4"/>
        <item x="3"/>
        <item x="8"/>
        <item x="1"/>
        <item x="0"/>
      </items>
    </pivotField>
    <pivotField dataField="1" compact="0" outline="0" showAll="0" defaultSubtotal="0">
      <items count="89">
        <item x="25"/>
        <item x="41"/>
        <item x="27"/>
        <item x="40"/>
        <item x="35"/>
        <item x="54"/>
        <item x="42"/>
        <item x="29"/>
        <item x="79"/>
        <item x="72"/>
        <item x="37"/>
        <item x="39"/>
        <item x="21"/>
        <item x="48"/>
        <item x="33"/>
        <item x="31"/>
        <item x="12"/>
        <item x="45"/>
        <item x="57"/>
        <item x="30"/>
        <item x="61"/>
        <item x="53"/>
        <item x="15"/>
        <item x="5"/>
        <item x="65"/>
        <item x="17"/>
        <item x="6"/>
        <item x="3"/>
        <item x="85"/>
        <item x="50"/>
        <item x="10"/>
        <item x="47"/>
        <item x="16"/>
        <item x="32"/>
        <item x="8"/>
        <item x="14"/>
        <item x="55"/>
        <item x="1"/>
        <item x="7"/>
        <item x="23"/>
        <item x="68"/>
        <item x="67"/>
        <item x="62"/>
        <item x="69"/>
        <item x="19"/>
        <item x="60"/>
        <item x="75"/>
        <item x="83"/>
        <item x="81"/>
        <item x="78"/>
        <item x="87"/>
        <item x="74"/>
        <item x="80"/>
        <item x="24"/>
        <item x="88"/>
        <item x="44"/>
        <item x="20"/>
        <item x="64"/>
        <item x="51"/>
        <item x="36"/>
        <item x="26"/>
        <item x="34"/>
        <item x="71"/>
        <item x="58"/>
        <item x="11"/>
        <item x="84"/>
        <item x="2"/>
        <item x="28"/>
        <item x="4"/>
        <item x="38"/>
        <item x="66"/>
        <item x="46"/>
        <item x="13"/>
        <item x="77"/>
        <item x="73"/>
        <item x="59"/>
        <item x="18"/>
        <item x="43"/>
        <item x="86"/>
        <item x="9"/>
        <item x="0"/>
        <item x="22"/>
        <item x="52"/>
        <item x="49"/>
        <item x="56"/>
        <item x="63"/>
        <item x="76"/>
        <item x="70"/>
        <item x="82"/>
      </items>
    </pivotField>
    <pivotField dataField="1" compact="0" outline="0" showAll="0" defaultSubtotal="0">
      <items count="120">
        <item x="67"/>
        <item x="30"/>
        <item x="40"/>
        <item x="31"/>
        <item x="66"/>
        <item x="59"/>
        <item x="69"/>
        <item x="51"/>
        <item x="35"/>
        <item x="50"/>
        <item x="46"/>
        <item x="34"/>
        <item x="45"/>
        <item x="20"/>
        <item x="75"/>
        <item x="5"/>
        <item x="63"/>
        <item x="39"/>
        <item x="103"/>
        <item x="48"/>
        <item x="41"/>
        <item x="73"/>
        <item x="115"/>
        <item x="84"/>
        <item x="87"/>
        <item x="47"/>
        <item x="93"/>
        <item x="60"/>
        <item x="65"/>
        <item x="105"/>
        <item x="33"/>
        <item x="0"/>
        <item x="97"/>
        <item x="71"/>
        <item x="10"/>
        <item x="44"/>
        <item x="70"/>
        <item x="15"/>
        <item x="19"/>
        <item x="13"/>
        <item x="79"/>
        <item x="43"/>
        <item x="80"/>
        <item x="81"/>
        <item x="85"/>
        <item x="55"/>
        <item x="89"/>
        <item x="99"/>
        <item x="4"/>
        <item x="91"/>
        <item x="100"/>
        <item x="61"/>
        <item x="3"/>
        <item x="24"/>
        <item x="36"/>
        <item x="104"/>
        <item x="101"/>
        <item x="14"/>
        <item x="90"/>
        <item x="58"/>
        <item x="95"/>
        <item x="1"/>
        <item x="11"/>
        <item x="107"/>
        <item x="110"/>
        <item x="54"/>
        <item x="23"/>
        <item x="21"/>
        <item x="25"/>
        <item x="119"/>
        <item x="42"/>
        <item x="37"/>
        <item x="26"/>
        <item x="83"/>
        <item x="86"/>
        <item x="53"/>
        <item x="77"/>
        <item x="9"/>
        <item x="113"/>
        <item x="109"/>
        <item x="6"/>
        <item x="64"/>
        <item x="7"/>
        <item x="111"/>
        <item x="117"/>
        <item x="57"/>
        <item x="29"/>
        <item x="56"/>
        <item x="52"/>
        <item x="17"/>
        <item x="27"/>
        <item x="94"/>
        <item x="116"/>
        <item x="96"/>
        <item x="68"/>
        <item x="106"/>
        <item x="76"/>
        <item x="49"/>
        <item x="32"/>
        <item x="78"/>
        <item x="22"/>
        <item x="98"/>
        <item x="88"/>
        <item x="38"/>
        <item x="74"/>
        <item x="118"/>
        <item x="62"/>
        <item x="2"/>
        <item x="82"/>
        <item x="72"/>
        <item x="92"/>
        <item x="112"/>
        <item x="16"/>
        <item x="114"/>
        <item x="102"/>
        <item x="12"/>
        <item x="18"/>
        <item x="8"/>
        <item x="28"/>
        <item x="108"/>
      </items>
    </pivotField>
  </pivotFields>
  <rowFields count="2">
    <field x="1"/>
    <field x="2"/>
  </rowFields>
  <rowItems count="11">
    <i>
      <x/>
      <x v="9"/>
    </i>
    <i>
      <x v="1"/>
      <x v="8"/>
    </i>
    <i>
      <x v="2"/>
      <x v="4"/>
    </i>
    <i>
      <x v="3"/>
      <x v="6"/>
    </i>
    <i>
      <x v="4"/>
      <x v="5"/>
    </i>
    <i>
      <x v="5"/>
      <x v="3"/>
    </i>
    <i>
      <x v="6"/>
      <x v="1"/>
    </i>
    <i>
      <x v="7"/>
      <x/>
    </i>
    <i>
      <x v="8"/>
      <x v="7"/>
    </i>
    <i>
      <x v="9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uenta de Mon.local" fld="3" baseField="0" baseItem="0"/>
    <dataField name="Suma de Suma de Impte.ML" fld="4" baseField="0" baseItem="0"/>
  </dataFields>
  <formats count="3">
    <format dxfId="2">
      <pivotArea outline="0" fieldPosition="0">
        <references count="3">
          <reference field="4294967294" count="1" selected="0">
            <x v="1"/>
          </reference>
          <reference field="1" count="0" selected="0"/>
          <reference field="2" count="0" selected="0"/>
        </references>
      </pivotArea>
    </format>
    <format dxfId="1">
      <pivotArea outline="0" fieldPosition="0">
        <references count="3">
          <reference field="4294967294" count="1" selected="0">
            <x v="0"/>
          </reference>
          <reference field="1" count="0" selected="0"/>
          <reference field="2" count="0" selected="0"/>
        </references>
      </pivotArea>
    </format>
    <format dxfId="0">
      <pivotArea field="1" grandRow="1" outline="0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25596-69D2-43E8-AE2B-1E036E1CABC8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14" firstHeaderRow="0" firstDataRow="1" firstDataCol="2"/>
  <pivotFields count="39">
    <pivotField compact="0" outline="0" showAll="0" defaultSubtotal="0"/>
    <pivotField compact="0" outline="0" showAll="0" defaultSubtotal="0"/>
    <pivotField compact="0" outline="0" showAll="0" defaultSubtotal="0"/>
    <pivotField compact="0" numFmtId="1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6"/>
        <item x="4"/>
        <item x="7"/>
        <item x="8"/>
        <item x="9"/>
        <item x="5"/>
        <item x="2"/>
        <item x="3"/>
        <item x="1"/>
      </items>
    </pivotField>
    <pivotField compact="0" outline="0" showAll="0" defaultSubtotal="0"/>
    <pivotField axis="axisRow" compact="0" outline="0" showAll="0" defaultSubtotal="0">
      <items count="10">
        <item x="2"/>
        <item x="5"/>
        <item x="1"/>
        <item x="9"/>
        <item x="4"/>
        <item x="8"/>
        <item x="7"/>
        <item x="3"/>
        <item x="6"/>
        <item x="0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8"/>
    <field x="10"/>
  </rowFields>
  <rowItems count="11">
    <i>
      <x/>
      <x v="9"/>
    </i>
    <i>
      <x v="1"/>
      <x v="8"/>
    </i>
    <i>
      <x v="2"/>
      <x v="4"/>
    </i>
    <i>
      <x v="3"/>
      <x v="6"/>
    </i>
    <i>
      <x v="4"/>
      <x v="5"/>
    </i>
    <i>
      <x v="5"/>
      <x v="3"/>
    </i>
    <i>
      <x v="6"/>
      <x v="1"/>
    </i>
    <i>
      <x v="7"/>
      <x/>
    </i>
    <i>
      <x v="8"/>
      <x v="7"/>
    </i>
    <i>
      <x v="9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Mon.local" fld="14" subtotal="count" baseField="0" baseItem="0"/>
    <dataField name="Suma de Impte.M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5DDC2-4754-4DC1-A984-EE4AA25E8B8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D12" firstHeaderRow="0" firstDataRow="1" firstDataCol="2"/>
  <pivotFields count="39">
    <pivotField compact="0" outline="0" showAll="0" defaultSubtotal="0"/>
    <pivotField compact="0" outline="0" showAll="0" defaultSubtotal="0"/>
    <pivotField compact="0" outline="0" showAll="0" defaultSubtotal="0"/>
    <pivotField compact="0" numFmtId="1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">
        <item x="4"/>
        <item x="0"/>
        <item x="3"/>
        <item x="7"/>
        <item x="6"/>
        <item x="1"/>
        <item x="5"/>
        <item x="2"/>
      </items>
    </pivotField>
    <pivotField compact="0" outline="0" showAll="0" defaultSubtotal="0">
      <items count="1">
        <item x="0"/>
      </items>
    </pivotField>
    <pivotField axis="axisRow" compact="0" outline="0" showAll="0" defaultSubtotal="0">
      <items count="8">
        <item x="5"/>
        <item x="1"/>
        <item x="6"/>
        <item x="0"/>
        <item x="7"/>
        <item x="3"/>
        <item x="2"/>
        <item x="4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8"/>
    <field x="10"/>
  </rowFields>
  <rowItems count="9">
    <i>
      <x/>
      <x v="7"/>
    </i>
    <i>
      <x v="1"/>
      <x v="3"/>
    </i>
    <i>
      <x v="2"/>
      <x v="5"/>
    </i>
    <i>
      <x v="3"/>
      <x v="4"/>
    </i>
    <i>
      <x v="4"/>
      <x v="2"/>
    </i>
    <i>
      <x v="5"/>
      <x v="1"/>
    </i>
    <i>
      <x v="6"/>
      <x/>
    </i>
    <i>
      <x v="7"/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Mon.local" fld="14" subtotal="count" baseField="0" baseItem="0"/>
    <dataField name="Suma de Impte.ML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1E93C-FC84-4FC5-A469-103F65E9F5C8}" name="TablaDinámica5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25:I34" firstHeaderRow="0" firstDataRow="1" firstDataCol="2"/>
  <pivotFields count="4"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compact="0" outline="0" showAll="0" defaultSubtotal="0">
      <items count="8">
        <item x="6"/>
        <item x="5"/>
        <item x="4"/>
        <item x="1"/>
        <item x="3"/>
        <item x="2"/>
        <item x="7"/>
        <item x="0"/>
      </items>
    </pivotField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9">
    <i>
      <x/>
      <x v="7"/>
    </i>
    <i>
      <x v="1"/>
      <x v="3"/>
    </i>
    <i>
      <x v="2"/>
      <x v="5"/>
    </i>
    <i>
      <x v="3"/>
      <x v="4"/>
    </i>
    <i>
      <x v="4"/>
      <x v="2"/>
    </i>
    <i>
      <x v="5"/>
      <x v="1"/>
    </i>
    <i>
      <x v="6"/>
      <x/>
    </i>
    <i>
      <x v="7"/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uenta de Mon.local" fld="2" baseField="0" baseItem="0"/>
    <dataField name="Suma de Suma de Impte.M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E73F5-13FF-46FD-B124-A5285193E15E}" name="Tabla1" displayName="Tabla1" ref="A3:E15" totalsRowShown="0">
  <autoFilter ref="A3:E15" xr:uid="{488E73F5-13FF-46FD-B124-A5285193E15E}"/>
  <tableColumns count="5">
    <tableColumn id="1" xr3:uid="{AB320338-032C-4830-AE1B-A463C7955575}" name="MES"/>
    <tableColumn id="2" xr3:uid="{C55CCF1F-4EA4-477C-99EA-F61478C23AE8}" name="LibrMay"/>
    <tableColumn id="3" xr3:uid="{E5D53C66-5955-49A3-9EB5-C3A9B27F9933}" name="Txt.brv."/>
    <tableColumn id="4" xr3:uid="{7F64079B-8C28-4AD4-9A21-E6C45FDBD115}" name="Cuenta de Mon.local"/>
    <tableColumn id="5" xr3:uid="{5A1AD03D-D68F-4B4A-B3E7-4C43EADDE6B9}" name="Suma de Impte.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1416-C468-4D4C-A1F8-8C7D579AEBB8}">
  <dimension ref="A3:G14"/>
  <sheetViews>
    <sheetView workbookViewId="0">
      <selection activeCell="E3" sqref="E3"/>
    </sheetView>
  </sheetViews>
  <sheetFormatPr baseColWidth="10" defaultRowHeight="14.5" x14ac:dyDescent="0.35"/>
  <cols>
    <col min="1" max="1" width="22.81640625" bestFit="1" customWidth="1"/>
    <col min="2" max="2" width="18.81640625" bestFit="1" customWidth="1"/>
    <col min="3" max="3" width="25.1796875" bestFit="1" customWidth="1"/>
    <col min="4" max="4" width="23.54296875" bestFit="1" customWidth="1"/>
    <col min="5" max="6" width="14.7265625" bestFit="1" customWidth="1"/>
    <col min="7" max="7" width="21.26953125" bestFit="1" customWidth="1"/>
  </cols>
  <sheetData>
    <row r="3" spans="1:7" x14ac:dyDescent="0.35">
      <c r="A3" s="13" t="s">
        <v>8</v>
      </c>
      <c r="B3" s="13" t="s">
        <v>9</v>
      </c>
      <c r="C3" t="s">
        <v>1189</v>
      </c>
      <c r="D3" t="s">
        <v>1190</v>
      </c>
      <c r="E3" s="12" t="s">
        <v>1191</v>
      </c>
      <c r="F3" s="12" t="s">
        <v>1192</v>
      </c>
      <c r="G3" s="12" t="s">
        <v>1193</v>
      </c>
    </row>
    <row r="4" spans="1:7" x14ac:dyDescent="0.35">
      <c r="A4">
        <v>71101060</v>
      </c>
      <c r="B4" t="s">
        <v>30</v>
      </c>
      <c r="C4">
        <v>13391</v>
      </c>
      <c r="D4" s="15">
        <v>35311269.629999958</v>
      </c>
      <c r="E4" s="4">
        <v>29816142.75</v>
      </c>
      <c r="F4" s="4">
        <f>GETPIVOTDATA("Suma de Suma de Importe",$A$3,"LibrMay",71101060,"Txt.brv.","Suminist de Limpieza")-E4</f>
        <v>5495126.879999958</v>
      </c>
      <c r="G4">
        <v>1</v>
      </c>
    </row>
    <row r="5" spans="1:7" x14ac:dyDescent="0.35">
      <c r="A5">
        <v>71102010</v>
      </c>
      <c r="B5" t="s">
        <v>187</v>
      </c>
      <c r="C5">
        <v>691</v>
      </c>
      <c r="D5" s="15">
        <v>51475324.370000012</v>
      </c>
      <c r="E5" s="4">
        <v>39434699.990000002</v>
      </c>
      <c r="F5" s="4">
        <f t="shared" ref="F5:F13" si="0">GETPIVOTDATA("Suma de Suma de Importe",$A$3,"LibrMay",71101060,"Txt.brv.","Suminist de Limpieza")-E5</f>
        <v>-4123430.3600000441</v>
      </c>
    </row>
    <row r="6" spans="1:7" x14ac:dyDescent="0.35">
      <c r="A6">
        <v>71104010</v>
      </c>
      <c r="B6" t="s">
        <v>121</v>
      </c>
      <c r="C6">
        <v>3915</v>
      </c>
      <c r="D6" s="15">
        <v>291784155.25999975</v>
      </c>
      <c r="E6" s="4">
        <v>151615966.56999999</v>
      </c>
      <c r="F6" s="4">
        <f t="shared" si="0"/>
        <v>-116304696.94000003</v>
      </c>
      <c r="G6">
        <v>349</v>
      </c>
    </row>
    <row r="7" spans="1:7" x14ac:dyDescent="0.35">
      <c r="A7">
        <v>71105060</v>
      </c>
      <c r="B7" t="s">
        <v>238</v>
      </c>
      <c r="C7">
        <v>498</v>
      </c>
      <c r="D7" s="15">
        <v>56018956.849999994</v>
      </c>
      <c r="E7" s="4">
        <v>39302659.450000003</v>
      </c>
      <c r="F7" s="4">
        <f t="shared" si="0"/>
        <v>-3991389.820000045</v>
      </c>
      <c r="G7">
        <v>40</v>
      </c>
    </row>
    <row r="8" spans="1:7" x14ac:dyDescent="0.35">
      <c r="A8">
        <v>71105120</v>
      </c>
      <c r="B8" t="s">
        <v>268</v>
      </c>
      <c r="C8">
        <v>8786</v>
      </c>
      <c r="D8" s="15">
        <v>110302961.97999966</v>
      </c>
      <c r="E8" s="4">
        <v>48240937.299999997</v>
      </c>
      <c r="F8" s="4">
        <f t="shared" si="0"/>
        <v>-12929667.670000039</v>
      </c>
      <c r="G8">
        <v>80</v>
      </c>
    </row>
    <row r="9" spans="1:7" x14ac:dyDescent="0.35">
      <c r="A9">
        <v>71105130</v>
      </c>
      <c r="B9" t="s">
        <v>305</v>
      </c>
      <c r="C9">
        <v>580</v>
      </c>
      <c r="D9" s="15">
        <v>37730916.589999996</v>
      </c>
      <c r="E9" s="4">
        <v>29425613.890000001</v>
      </c>
      <c r="F9" s="4">
        <f t="shared" si="0"/>
        <v>5885655.7399999574</v>
      </c>
      <c r="G9">
        <v>3</v>
      </c>
    </row>
    <row r="10" spans="1:7" x14ac:dyDescent="0.35">
      <c r="A10">
        <v>71106040</v>
      </c>
      <c r="B10" t="s">
        <v>125</v>
      </c>
      <c r="C10">
        <v>1003</v>
      </c>
      <c r="D10" s="15">
        <v>133155124.56999999</v>
      </c>
      <c r="E10" s="4">
        <v>74891568.900000006</v>
      </c>
      <c r="F10" s="4">
        <f t="shared" si="0"/>
        <v>-39580299.270000048</v>
      </c>
      <c r="G10">
        <v>70</v>
      </c>
    </row>
    <row r="11" spans="1:7" x14ac:dyDescent="0.35">
      <c r="A11">
        <v>71106100</v>
      </c>
      <c r="B11" t="s">
        <v>97</v>
      </c>
      <c r="C11">
        <v>448</v>
      </c>
      <c r="D11" s="15">
        <v>84978958.699999988</v>
      </c>
      <c r="E11" s="4">
        <v>76396894.659999996</v>
      </c>
      <c r="F11" s="4">
        <f t="shared" si="0"/>
        <v>-41085625.030000038</v>
      </c>
      <c r="G11">
        <v>4</v>
      </c>
    </row>
    <row r="12" spans="1:7" x14ac:dyDescent="0.35">
      <c r="A12">
        <v>71106150</v>
      </c>
      <c r="B12" t="s">
        <v>102</v>
      </c>
      <c r="C12">
        <v>911</v>
      </c>
      <c r="D12" s="15">
        <v>351947624.85000002</v>
      </c>
      <c r="E12" s="4">
        <v>123113256.03</v>
      </c>
      <c r="F12" s="4">
        <f t="shared" si="0"/>
        <v>-87801986.400000036</v>
      </c>
      <c r="G12">
        <v>30</v>
      </c>
    </row>
    <row r="13" spans="1:7" x14ac:dyDescent="0.35">
      <c r="A13">
        <v>74010070</v>
      </c>
      <c r="B13" t="s">
        <v>49</v>
      </c>
      <c r="C13">
        <v>1059</v>
      </c>
      <c r="D13" s="15">
        <v>71476979.699999988</v>
      </c>
      <c r="E13" s="4">
        <v>50034491.659999996</v>
      </c>
      <c r="F13" s="4">
        <f t="shared" si="0"/>
        <v>-14723222.030000038</v>
      </c>
    </row>
    <row r="14" spans="1:7" x14ac:dyDescent="0.35">
      <c r="A14" t="s">
        <v>1186</v>
      </c>
      <c r="C14">
        <v>31282</v>
      </c>
      <c r="D14" s="15">
        <v>1224182272.4999998</v>
      </c>
      <c r="E14" s="16"/>
      <c r="F14" s="16"/>
      <c r="G14" s="16">
        <f>SUM(G4:G13)</f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9438-0A38-43DD-A3F8-1B50D487F3F9}">
  <dimension ref="A1:E15"/>
  <sheetViews>
    <sheetView workbookViewId="0">
      <selection activeCell="E32" sqref="E32"/>
    </sheetView>
  </sheetViews>
  <sheetFormatPr baseColWidth="10" defaultRowHeight="14.5" x14ac:dyDescent="0.35"/>
  <cols>
    <col min="1" max="2" width="11" bestFit="1" customWidth="1"/>
    <col min="3" max="3" width="17.81640625" bestFit="1" customWidth="1"/>
    <col min="4" max="4" width="20.26953125" bestFit="1" customWidth="1"/>
    <col min="5" max="5" width="18.6328125" bestFit="1" customWidth="1"/>
  </cols>
  <sheetData>
    <row r="1" spans="1:5" x14ac:dyDescent="0.35">
      <c r="A1" s="19" t="s">
        <v>1203</v>
      </c>
    </row>
    <row r="3" spans="1:5" x14ac:dyDescent="0.35">
      <c r="A3" t="s">
        <v>1194</v>
      </c>
      <c r="B3" t="s">
        <v>8</v>
      </c>
      <c r="C3" t="s">
        <v>9</v>
      </c>
      <c r="D3" t="s">
        <v>1188</v>
      </c>
      <c r="E3" t="s">
        <v>1187</v>
      </c>
    </row>
    <row r="4" spans="1:5" x14ac:dyDescent="0.35">
      <c r="A4">
        <v>1</v>
      </c>
      <c r="B4">
        <v>71101060</v>
      </c>
      <c r="C4" t="s">
        <v>30</v>
      </c>
      <c r="D4">
        <v>1089</v>
      </c>
      <c r="E4">
        <v>2941220.4800000056</v>
      </c>
    </row>
    <row r="5" spans="1:5" x14ac:dyDescent="0.35">
      <c r="A5">
        <v>12</v>
      </c>
      <c r="B5">
        <v>71101060</v>
      </c>
      <c r="C5" t="s">
        <v>30</v>
      </c>
      <c r="D5">
        <v>1661</v>
      </c>
      <c r="E5">
        <v>5401266.9299999885</v>
      </c>
    </row>
    <row r="6" spans="1:5" x14ac:dyDescent="0.35">
      <c r="A6">
        <v>11</v>
      </c>
      <c r="B6">
        <v>71101060</v>
      </c>
      <c r="C6" t="s">
        <v>30</v>
      </c>
      <c r="D6">
        <v>1590</v>
      </c>
      <c r="E6">
        <v>4409471.769999993</v>
      </c>
    </row>
    <row r="7" spans="1:5" x14ac:dyDescent="0.35">
      <c r="A7">
        <v>10</v>
      </c>
      <c r="B7">
        <v>71101060</v>
      </c>
      <c r="C7" t="s">
        <v>30</v>
      </c>
      <c r="D7">
        <v>1637</v>
      </c>
      <c r="E7">
        <v>4749935.6199999917</v>
      </c>
    </row>
    <row r="8" spans="1:5" x14ac:dyDescent="0.35">
      <c r="A8">
        <v>9</v>
      </c>
      <c r="B8">
        <v>71101060</v>
      </c>
      <c r="C8" t="s">
        <v>30</v>
      </c>
      <c r="D8">
        <v>1387</v>
      </c>
      <c r="E8">
        <v>3593513.4499999913</v>
      </c>
    </row>
    <row r="9" spans="1:5" x14ac:dyDescent="0.35">
      <c r="A9">
        <v>8</v>
      </c>
      <c r="B9">
        <v>71101060</v>
      </c>
      <c r="C9" t="s">
        <v>30</v>
      </c>
      <c r="D9">
        <v>1350</v>
      </c>
      <c r="E9">
        <v>3324875.6499999925</v>
      </c>
    </row>
    <row r="10" spans="1:5" x14ac:dyDescent="0.35">
      <c r="A10">
        <v>7</v>
      </c>
      <c r="B10">
        <v>71101060</v>
      </c>
      <c r="C10" t="s">
        <v>30</v>
      </c>
      <c r="D10">
        <v>1253</v>
      </c>
      <c r="E10">
        <v>2767767.6799999988</v>
      </c>
    </row>
    <row r="11" spans="1:5" x14ac:dyDescent="0.35">
      <c r="A11">
        <v>6</v>
      </c>
      <c r="B11">
        <v>71101060</v>
      </c>
      <c r="C11" t="s">
        <v>30</v>
      </c>
      <c r="D11">
        <v>919</v>
      </c>
      <c r="E11">
        <v>1617949.0399999986</v>
      </c>
    </row>
    <row r="12" spans="1:5" x14ac:dyDescent="0.35">
      <c r="A12">
        <v>5</v>
      </c>
      <c r="B12">
        <v>71101060</v>
      </c>
      <c r="C12" t="s">
        <v>30</v>
      </c>
      <c r="D12">
        <v>326</v>
      </c>
      <c r="E12">
        <v>646724.66000000015</v>
      </c>
    </row>
    <row r="13" spans="1:5" x14ac:dyDescent="0.35">
      <c r="A13">
        <v>4</v>
      </c>
      <c r="B13">
        <v>71101060</v>
      </c>
      <c r="C13" t="s">
        <v>30</v>
      </c>
      <c r="D13">
        <v>192</v>
      </c>
      <c r="E13">
        <v>445731.93</v>
      </c>
    </row>
    <row r="14" spans="1:5" x14ac:dyDescent="0.35">
      <c r="A14">
        <v>2</v>
      </c>
      <c r="B14">
        <v>71101060</v>
      </c>
      <c r="C14" t="s">
        <v>30</v>
      </c>
      <c r="D14">
        <v>1073</v>
      </c>
      <c r="E14">
        <v>3302012.6899999948</v>
      </c>
    </row>
    <row r="15" spans="1:5" x14ac:dyDescent="0.35">
      <c r="A15">
        <v>3</v>
      </c>
      <c r="B15">
        <v>71101060</v>
      </c>
      <c r="C15" t="s">
        <v>30</v>
      </c>
      <c r="D15">
        <v>914</v>
      </c>
      <c r="E15">
        <v>2110799.7300000014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0F8BA-6031-4BA5-B0EF-651A99A35923}">
  <dimension ref="A3:J14"/>
  <sheetViews>
    <sheetView workbookViewId="0">
      <selection activeCell="E31" sqref="E31"/>
    </sheetView>
  </sheetViews>
  <sheetFormatPr baseColWidth="10" defaultRowHeight="14.5" x14ac:dyDescent="0.35"/>
  <cols>
    <col min="1" max="2" width="18.08984375" bestFit="1" customWidth="1"/>
    <col min="3" max="3" width="18.54296875" customWidth="1"/>
    <col min="4" max="4" width="24.81640625" customWidth="1"/>
    <col min="5" max="5" width="14.7265625" bestFit="1" customWidth="1"/>
    <col min="6" max="6" width="14.7265625" customWidth="1"/>
    <col min="7" max="7" width="20.1796875" bestFit="1" customWidth="1"/>
    <col min="8" max="8" width="21.08984375" style="4" bestFit="1" customWidth="1"/>
    <col min="9" max="9" width="10.1796875" customWidth="1"/>
    <col min="10" max="10" width="0" hidden="1" customWidth="1"/>
  </cols>
  <sheetData>
    <row r="3" spans="1:10" x14ac:dyDescent="0.35">
      <c r="A3" s="13" t="s">
        <v>8</v>
      </c>
      <c r="B3" s="13" t="s">
        <v>9</v>
      </c>
      <c r="C3" t="s">
        <v>1195</v>
      </c>
      <c r="D3" t="s">
        <v>1196</v>
      </c>
      <c r="E3" s="12" t="s">
        <v>1198</v>
      </c>
      <c r="F3" s="12" t="s">
        <v>1192</v>
      </c>
      <c r="G3" s="12" t="s">
        <v>1199</v>
      </c>
      <c r="H3" s="12" t="s">
        <v>1200</v>
      </c>
      <c r="I3" s="20" t="s">
        <v>1201</v>
      </c>
      <c r="J3" s="20" t="s">
        <v>1202</v>
      </c>
    </row>
    <row r="4" spans="1:10" x14ac:dyDescent="0.35">
      <c r="A4">
        <v>71101060</v>
      </c>
      <c r="B4" t="s">
        <v>30</v>
      </c>
      <c r="C4" s="22">
        <v>13391</v>
      </c>
      <c r="D4" s="15">
        <v>35311269.629999958</v>
      </c>
      <c r="E4" s="4">
        <v>29816142.75</v>
      </c>
      <c r="F4" s="15">
        <f>GETPIVOTDATA("Suma de Suma de Impte.ML",$A$3,"LibrMay",71101060,"Txt.brv.","Suminist de Limpieza")-E4</f>
        <v>5495126.879999958</v>
      </c>
      <c r="G4" s="22">
        <v>28</v>
      </c>
      <c r="H4" s="4">
        <v>429866.18000000005</v>
      </c>
      <c r="I4" s="24">
        <f>G4/C4*100</f>
        <v>0.20909566126502874</v>
      </c>
      <c r="J4" s="4">
        <f>H4/E4*100</f>
        <v>1.4417229740423083</v>
      </c>
    </row>
    <row r="5" spans="1:10" x14ac:dyDescent="0.35">
      <c r="A5">
        <v>71102010</v>
      </c>
      <c r="B5" t="s">
        <v>187</v>
      </c>
      <c r="C5" s="22">
        <v>691</v>
      </c>
      <c r="D5" s="15">
        <v>51475324.370000012</v>
      </c>
      <c r="E5" s="4">
        <v>39434699</v>
      </c>
      <c r="F5" s="15">
        <f t="shared" ref="F5:F13" si="0">GETPIVOTDATA("Suma de Suma de Impte.ML",$A$3,"LibrMay",71101060,"Txt.brv.","Suminist de Limpieza")-E5</f>
        <v>-4123429.370000042</v>
      </c>
      <c r="G5" s="22"/>
      <c r="I5" s="24">
        <f t="shared" ref="I5:I12" si="1">G5/C5*100</f>
        <v>0</v>
      </c>
      <c r="J5" s="4">
        <f t="shared" ref="J5:J12" si="2">H5/E5*100</f>
        <v>0</v>
      </c>
    </row>
    <row r="6" spans="1:10" x14ac:dyDescent="0.35">
      <c r="A6">
        <v>71104010</v>
      </c>
      <c r="B6" t="s">
        <v>121</v>
      </c>
      <c r="C6" s="22">
        <v>3915</v>
      </c>
      <c r="D6" s="15">
        <v>291784155.25999975</v>
      </c>
      <c r="E6" s="4">
        <v>151615966.56999999</v>
      </c>
      <c r="F6" s="15">
        <f t="shared" si="0"/>
        <v>-116304696.94000003</v>
      </c>
      <c r="G6" s="22">
        <v>960</v>
      </c>
      <c r="H6" s="4">
        <v>61773500.590000018</v>
      </c>
      <c r="I6" s="24">
        <f>G6/C6*100</f>
        <v>24.521072796934863</v>
      </c>
      <c r="J6" s="4">
        <f t="shared" si="2"/>
        <v>40.743400571522024</v>
      </c>
    </row>
    <row r="7" spans="1:10" x14ac:dyDescent="0.35">
      <c r="A7">
        <v>71105060</v>
      </c>
      <c r="B7" t="s">
        <v>238</v>
      </c>
      <c r="C7" s="22">
        <v>498</v>
      </c>
      <c r="D7" s="15">
        <v>56018956.849999994</v>
      </c>
      <c r="E7" s="4">
        <v>39302659.450000003</v>
      </c>
      <c r="F7" s="15">
        <f t="shared" si="0"/>
        <v>-3991389.820000045</v>
      </c>
      <c r="G7" s="22">
        <v>80</v>
      </c>
      <c r="H7" s="4">
        <v>934217.54999999993</v>
      </c>
      <c r="I7" s="24">
        <f t="shared" si="1"/>
        <v>16.064257028112451</v>
      </c>
      <c r="J7" s="4">
        <f t="shared" si="2"/>
        <v>2.3769830415381721</v>
      </c>
    </row>
    <row r="8" spans="1:10" x14ac:dyDescent="0.35">
      <c r="A8">
        <v>71105120</v>
      </c>
      <c r="B8" t="s">
        <v>268</v>
      </c>
      <c r="C8" s="22">
        <v>8786</v>
      </c>
      <c r="D8" s="15">
        <v>110302961.97999966</v>
      </c>
      <c r="E8" s="4">
        <v>48240937.299999997</v>
      </c>
      <c r="F8" s="15">
        <f t="shared" si="0"/>
        <v>-12929667.670000039</v>
      </c>
      <c r="G8" s="22">
        <v>32</v>
      </c>
      <c r="H8" s="4">
        <v>857038.7200000002</v>
      </c>
      <c r="I8" s="24">
        <f t="shared" si="1"/>
        <v>0.36421579786023223</v>
      </c>
      <c r="J8" s="4">
        <f t="shared" si="2"/>
        <v>1.776579743196657</v>
      </c>
    </row>
    <row r="9" spans="1:10" x14ac:dyDescent="0.35">
      <c r="A9">
        <v>71105130</v>
      </c>
      <c r="B9" t="s">
        <v>305</v>
      </c>
      <c r="C9" s="22">
        <v>580</v>
      </c>
      <c r="D9" s="15">
        <v>37730916.589999996</v>
      </c>
      <c r="E9" s="4">
        <v>29425613.890000001</v>
      </c>
      <c r="F9" s="15">
        <f t="shared" si="0"/>
        <v>5885655.7399999574</v>
      </c>
      <c r="G9" s="22">
        <v>5</v>
      </c>
      <c r="H9" s="4">
        <v>111049.95</v>
      </c>
      <c r="I9" s="24">
        <f t="shared" si="1"/>
        <v>0.86206896551724133</v>
      </c>
      <c r="J9" s="4">
        <f t="shared" si="2"/>
        <v>0.37739212651648096</v>
      </c>
    </row>
    <row r="10" spans="1:10" x14ac:dyDescent="0.35">
      <c r="A10">
        <v>71106040</v>
      </c>
      <c r="B10" t="s">
        <v>125</v>
      </c>
      <c r="C10" s="22">
        <v>1003</v>
      </c>
      <c r="D10" s="15">
        <v>133155124.56999999</v>
      </c>
      <c r="E10" s="4">
        <v>74891568.900000006</v>
      </c>
      <c r="F10" s="15">
        <f t="shared" si="0"/>
        <v>-39580299.270000048</v>
      </c>
      <c r="G10" s="22">
        <v>53</v>
      </c>
      <c r="H10" s="4">
        <v>5074477.3899999997</v>
      </c>
      <c r="I10" s="24">
        <f t="shared" si="1"/>
        <v>5.2841475573280157</v>
      </c>
      <c r="J10" s="4">
        <f t="shared" si="2"/>
        <v>6.7757659033365485</v>
      </c>
    </row>
    <row r="11" spans="1:10" x14ac:dyDescent="0.35">
      <c r="A11">
        <v>71106100</v>
      </c>
      <c r="B11" t="s">
        <v>97</v>
      </c>
      <c r="C11" s="22">
        <v>448</v>
      </c>
      <c r="D11" s="15">
        <v>84978958.699999988</v>
      </c>
      <c r="E11" s="4">
        <v>76396894.659999996</v>
      </c>
      <c r="F11" s="15">
        <f t="shared" si="0"/>
        <v>-41085625.030000038</v>
      </c>
      <c r="G11" s="22">
        <v>56</v>
      </c>
      <c r="H11" s="4">
        <v>163174.78</v>
      </c>
      <c r="I11" s="24">
        <f t="shared" si="1"/>
        <v>12.5</v>
      </c>
      <c r="J11" s="4">
        <f t="shared" si="2"/>
        <v>0.2135882364410229</v>
      </c>
    </row>
    <row r="12" spans="1:10" x14ac:dyDescent="0.35">
      <c r="A12">
        <v>71106150</v>
      </c>
      <c r="B12" t="s">
        <v>102</v>
      </c>
      <c r="C12" s="22">
        <v>911</v>
      </c>
      <c r="D12" s="15">
        <v>351947624.85000002</v>
      </c>
      <c r="E12" s="4">
        <v>123113256.03</v>
      </c>
      <c r="F12" s="15">
        <f t="shared" si="0"/>
        <v>-87801986.400000036</v>
      </c>
      <c r="G12" s="22">
        <v>97</v>
      </c>
      <c r="H12" s="4">
        <v>14052569.129999999</v>
      </c>
      <c r="I12" s="24">
        <f t="shared" si="1"/>
        <v>10.647639956092206</v>
      </c>
      <c r="J12" s="4">
        <f t="shared" si="2"/>
        <v>11.414342844263411</v>
      </c>
    </row>
    <row r="13" spans="1:10" x14ac:dyDescent="0.35">
      <c r="A13">
        <v>74010070</v>
      </c>
      <c r="B13" t="s">
        <v>49</v>
      </c>
      <c r="C13" s="22">
        <v>1059</v>
      </c>
      <c r="D13" s="15">
        <v>71476979.699999988</v>
      </c>
      <c r="E13" s="4">
        <v>50034491.659999996</v>
      </c>
      <c r="F13" s="15">
        <f t="shared" si="0"/>
        <v>-14723222.030000038</v>
      </c>
      <c r="J13" s="4"/>
    </row>
    <row r="14" spans="1:10" x14ac:dyDescent="0.35">
      <c r="A14" t="s">
        <v>1186</v>
      </c>
      <c r="C14" s="22">
        <v>31282</v>
      </c>
      <c r="D14">
        <v>1224182272.4999998</v>
      </c>
      <c r="E14" s="17"/>
      <c r="F14" s="17"/>
      <c r="G14" s="23">
        <f>SUM(G4:G13)</f>
        <v>1311</v>
      </c>
      <c r="H14" s="21">
        <f t="shared" ref="H14" si="3">SUM(H4:H13)</f>
        <v>83395894.290000007</v>
      </c>
      <c r="I14" s="16"/>
      <c r="J14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CEF3-2DDC-4FCB-9DA7-8BF818910B57}">
  <sheetPr filterMode="1"/>
  <dimension ref="A3:J123"/>
  <sheetViews>
    <sheetView workbookViewId="0">
      <selection activeCell="F3" sqref="F3:J3"/>
    </sheetView>
  </sheetViews>
  <sheetFormatPr baseColWidth="10" defaultRowHeight="14.5" x14ac:dyDescent="0.35"/>
  <cols>
    <col min="1" max="1" width="21.453125" bestFit="1" customWidth="1"/>
    <col min="2" max="2" width="18.08984375" bestFit="1" customWidth="1"/>
    <col min="3" max="3" width="18" bestFit="1" customWidth="1"/>
    <col min="4" max="4" width="16.36328125" bestFit="1" customWidth="1"/>
    <col min="5" max="5" width="16.36328125" customWidth="1"/>
    <col min="10" max="10" width="16.36328125" style="4" bestFit="1" customWidth="1"/>
  </cols>
  <sheetData>
    <row r="3" spans="1:10" x14ac:dyDescent="0.35">
      <c r="A3" s="13" t="s">
        <v>8</v>
      </c>
      <c r="B3" s="13" t="s">
        <v>9</v>
      </c>
      <c r="C3" t="s">
        <v>1188</v>
      </c>
      <c r="D3" t="s">
        <v>1187</v>
      </c>
      <c r="F3" s="12" t="s">
        <v>1194</v>
      </c>
      <c r="G3" s="12" t="s">
        <v>8</v>
      </c>
      <c r="H3" s="12" t="s">
        <v>9</v>
      </c>
      <c r="I3" s="12" t="s">
        <v>1188</v>
      </c>
      <c r="J3" s="18" t="s">
        <v>1187</v>
      </c>
    </row>
    <row r="4" spans="1:10" hidden="1" x14ac:dyDescent="0.35">
      <c r="A4">
        <v>71101060</v>
      </c>
      <c r="B4" t="s">
        <v>30</v>
      </c>
      <c r="C4">
        <v>1089</v>
      </c>
      <c r="D4">
        <v>2941220.4800000056</v>
      </c>
      <c r="F4">
        <v>1</v>
      </c>
      <c r="G4" s="14">
        <v>71101060</v>
      </c>
      <c r="H4" t="s">
        <v>30</v>
      </c>
      <c r="I4">
        <v>1089</v>
      </c>
      <c r="J4" s="4">
        <v>2941220.4800000056</v>
      </c>
    </row>
    <row r="5" spans="1:10" hidden="1" x14ac:dyDescent="0.35">
      <c r="A5">
        <v>71102010</v>
      </c>
      <c r="B5" t="s">
        <v>187</v>
      </c>
      <c r="C5">
        <v>72</v>
      </c>
      <c r="D5">
        <v>5011754.6799999988</v>
      </c>
      <c r="F5">
        <v>1</v>
      </c>
      <c r="G5" s="14">
        <v>71102010</v>
      </c>
      <c r="H5" t="s">
        <v>187</v>
      </c>
      <c r="I5">
        <v>72</v>
      </c>
      <c r="J5" s="4">
        <v>5011754.6799999988</v>
      </c>
    </row>
    <row r="6" spans="1:10" x14ac:dyDescent="0.35">
      <c r="A6">
        <v>71104010</v>
      </c>
      <c r="B6" t="s">
        <v>121</v>
      </c>
      <c r="C6">
        <v>372</v>
      </c>
      <c r="D6">
        <v>26462990.629999995</v>
      </c>
      <c r="F6">
        <v>1</v>
      </c>
      <c r="G6" s="14">
        <v>71104010</v>
      </c>
      <c r="H6" t="s">
        <v>121</v>
      </c>
      <c r="I6">
        <v>372</v>
      </c>
      <c r="J6" s="4">
        <v>26462990.629999995</v>
      </c>
    </row>
    <row r="7" spans="1:10" hidden="1" x14ac:dyDescent="0.35">
      <c r="A7">
        <v>71105060</v>
      </c>
      <c r="B7" t="s">
        <v>238</v>
      </c>
      <c r="C7">
        <v>58</v>
      </c>
      <c r="D7">
        <v>4479091.6600000011</v>
      </c>
      <c r="F7">
        <v>1</v>
      </c>
      <c r="G7" s="14">
        <v>71105060</v>
      </c>
      <c r="H7" t="s">
        <v>238</v>
      </c>
      <c r="I7">
        <v>58</v>
      </c>
      <c r="J7" s="4">
        <v>4479091.6600000011</v>
      </c>
    </row>
    <row r="8" spans="1:10" hidden="1" x14ac:dyDescent="0.35">
      <c r="A8">
        <v>71105120</v>
      </c>
      <c r="B8" t="s">
        <v>268</v>
      </c>
      <c r="C8">
        <v>546</v>
      </c>
      <c r="D8">
        <v>4257587.1399999978</v>
      </c>
      <c r="F8">
        <v>1</v>
      </c>
      <c r="G8" s="14">
        <v>71105120</v>
      </c>
      <c r="H8" t="s">
        <v>268</v>
      </c>
      <c r="I8">
        <v>546</v>
      </c>
      <c r="J8" s="4">
        <v>4257587.1399999978</v>
      </c>
    </row>
    <row r="9" spans="1:10" hidden="1" x14ac:dyDescent="0.35">
      <c r="A9">
        <v>71105130</v>
      </c>
      <c r="B9" t="s">
        <v>305</v>
      </c>
      <c r="C9">
        <v>52</v>
      </c>
      <c r="D9">
        <v>2170203.2800000003</v>
      </c>
      <c r="F9">
        <v>1</v>
      </c>
      <c r="G9" s="14">
        <v>71105130</v>
      </c>
      <c r="H9" t="s">
        <v>305</v>
      </c>
      <c r="I9">
        <v>52</v>
      </c>
      <c r="J9" s="4">
        <v>2170203.2800000003</v>
      </c>
    </row>
    <row r="10" spans="1:10" hidden="1" x14ac:dyDescent="0.35">
      <c r="A10">
        <v>71106040</v>
      </c>
      <c r="B10" t="s">
        <v>125</v>
      </c>
      <c r="C10">
        <v>57</v>
      </c>
      <c r="D10">
        <v>9727718.3500000015</v>
      </c>
      <c r="F10">
        <v>1</v>
      </c>
      <c r="G10" s="14">
        <v>71106040</v>
      </c>
      <c r="H10" t="s">
        <v>125</v>
      </c>
      <c r="I10">
        <v>57</v>
      </c>
      <c r="J10" s="4">
        <v>9727718.3500000015</v>
      </c>
    </row>
    <row r="11" spans="1:10" hidden="1" x14ac:dyDescent="0.35">
      <c r="A11">
        <v>71106100</v>
      </c>
      <c r="B11" t="s">
        <v>97</v>
      </c>
      <c r="C11">
        <v>52</v>
      </c>
      <c r="D11">
        <v>10065115.84</v>
      </c>
      <c r="F11">
        <v>1</v>
      </c>
      <c r="G11" s="14">
        <v>71106100</v>
      </c>
      <c r="H11" t="s">
        <v>97</v>
      </c>
      <c r="I11">
        <v>52</v>
      </c>
      <c r="J11" s="4">
        <v>10065115.84</v>
      </c>
    </row>
    <row r="12" spans="1:10" hidden="1" x14ac:dyDescent="0.35">
      <c r="A12">
        <v>71106150</v>
      </c>
      <c r="B12" t="s">
        <v>102</v>
      </c>
      <c r="C12">
        <v>77</v>
      </c>
      <c r="D12">
        <v>53319145.520000011</v>
      </c>
      <c r="F12">
        <v>1</v>
      </c>
      <c r="G12" s="14">
        <v>71106150</v>
      </c>
      <c r="H12" t="s">
        <v>102</v>
      </c>
      <c r="I12">
        <v>77</v>
      </c>
      <c r="J12" s="4">
        <v>53319145.520000011</v>
      </c>
    </row>
    <row r="13" spans="1:10" hidden="1" x14ac:dyDescent="0.35">
      <c r="A13">
        <v>74010070</v>
      </c>
      <c r="B13" t="s">
        <v>49</v>
      </c>
      <c r="C13">
        <v>69</v>
      </c>
      <c r="D13">
        <v>8837144.9499999993</v>
      </c>
      <c r="F13">
        <v>1</v>
      </c>
      <c r="G13" s="14">
        <v>74010070</v>
      </c>
      <c r="H13" t="s">
        <v>49</v>
      </c>
      <c r="I13">
        <v>69</v>
      </c>
      <c r="J13" s="4">
        <v>8837144.9499999993</v>
      </c>
    </row>
    <row r="14" spans="1:10" hidden="1" x14ac:dyDescent="0.35">
      <c r="A14" t="s">
        <v>1186</v>
      </c>
      <c r="C14">
        <v>2444</v>
      </c>
      <c r="D14">
        <v>127271972.53000031</v>
      </c>
      <c r="F14">
        <v>2</v>
      </c>
      <c r="G14" s="14">
        <v>71101060</v>
      </c>
      <c r="H14" t="s">
        <v>30</v>
      </c>
      <c r="I14">
        <v>1073</v>
      </c>
      <c r="J14" s="4">
        <v>3302012.6899999948</v>
      </c>
    </row>
    <row r="15" spans="1:10" hidden="1" x14ac:dyDescent="0.35">
      <c r="F15">
        <v>2</v>
      </c>
      <c r="G15" s="14">
        <v>71102010</v>
      </c>
      <c r="H15" t="s">
        <v>187</v>
      </c>
      <c r="I15">
        <v>63</v>
      </c>
      <c r="J15" s="4">
        <v>5022048.1800000016</v>
      </c>
    </row>
    <row r="16" spans="1:10" x14ac:dyDescent="0.35">
      <c r="F16">
        <v>2</v>
      </c>
      <c r="G16" s="14">
        <v>71104010</v>
      </c>
      <c r="H16" t="s">
        <v>121</v>
      </c>
      <c r="I16">
        <v>349</v>
      </c>
      <c r="J16" s="4">
        <v>35184659.720000014</v>
      </c>
    </row>
    <row r="17" spans="6:10" hidden="1" x14ac:dyDescent="0.35">
      <c r="F17">
        <v>2</v>
      </c>
      <c r="G17" s="14">
        <v>71105060</v>
      </c>
      <c r="H17" t="s">
        <v>238</v>
      </c>
      <c r="I17">
        <v>43</v>
      </c>
      <c r="J17" s="4">
        <v>3538925.13</v>
      </c>
    </row>
    <row r="18" spans="6:10" hidden="1" x14ac:dyDescent="0.35">
      <c r="F18">
        <v>2</v>
      </c>
      <c r="G18" s="14">
        <v>71105120</v>
      </c>
      <c r="H18" t="s">
        <v>268</v>
      </c>
      <c r="I18">
        <v>589</v>
      </c>
      <c r="J18" s="4">
        <v>4675775.8599999687</v>
      </c>
    </row>
    <row r="19" spans="6:10" hidden="1" x14ac:dyDescent="0.35">
      <c r="F19">
        <v>2</v>
      </c>
      <c r="G19" s="14">
        <v>71105130</v>
      </c>
      <c r="H19" t="s">
        <v>305</v>
      </c>
      <c r="I19">
        <v>43</v>
      </c>
      <c r="J19" s="4">
        <v>3447391.6099999989</v>
      </c>
    </row>
    <row r="20" spans="6:10" hidden="1" x14ac:dyDescent="0.35">
      <c r="F20">
        <v>2</v>
      </c>
      <c r="G20" s="14">
        <v>71106040</v>
      </c>
      <c r="H20" t="s">
        <v>125</v>
      </c>
      <c r="I20">
        <v>70</v>
      </c>
      <c r="J20" s="4">
        <v>31141685.899999995</v>
      </c>
    </row>
    <row r="21" spans="6:10" hidden="1" x14ac:dyDescent="0.35">
      <c r="F21">
        <v>2</v>
      </c>
      <c r="G21" s="14">
        <v>71106100</v>
      </c>
      <c r="H21" t="s">
        <v>97</v>
      </c>
      <c r="I21">
        <v>51</v>
      </c>
      <c r="J21" s="4">
        <v>11906549.869999999</v>
      </c>
    </row>
    <row r="22" spans="6:10" hidden="1" x14ac:dyDescent="0.35">
      <c r="F22">
        <v>2</v>
      </c>
      <c r="G22" s="14">
        <v>71106150</v>
      </c>
      <c r="H22" t="s">
        <v>102</v>
      </c>
      <c r="I22">
        <v>67</v>
      </c>
      <c r="J22" s="4">
        <v>52766992.579999976</v>
      </c>
    </row>
    <row r="23" spans="6:10" hidden="1" x14ac:dyDescent="0.35">
      <c r="F23">
        <v>2</v>
      </c>
      <c r="G23" s="14">
        <v>74010070</v>
      </c>
      <c r="H23" t="s">
        <v>49</v>
      </c>
      <c r="I23">
        <v>56</v>
      </c>
      <c r="J23" s="4">
        <v>3461457.8399999994</v>
      </c>
    </row>
    <row r="24" spans="6:10" hidden="1" x14ac:dyDescent="0.35">
      <c r="F24">
        <v>3</v>
      </c>
      <c r="G24" s="14">
        <v>71101060</v>
      </c>
      <c r="H24" t="s">
        <v>30</v>
      </c>
      <c r="I24">
        <v>914</v>
      </c>
      <c r="J24" s="4">
        <v>2110799.7300000014</v>
      </c>
    </row>
    <row r="25" spans="6:10" hidden="1" x14ac:dyDescent="0.35">
      <c r="F25">
        <v>3</v>
      </c>
      <c r="G25" s="14">
        <v>71102010</v>
      </c>
      <c r="H25" t="s">
        <v>187</v>
      </c>
      <c r="I25">
        <v>103</v>
      </c>
      <c r="J25" s="4">
        <v>6007473.5600000042</v>
      </c>
    </row>
    <row r="26" spans="6:10" x14ac:dyDescent="0.35">
      <c r="F26">
        <v>3</v>
      </c>
      <c r="G26" s="14">
        <v>71104010</v>
      </c>
      <c r="H26" t="s">
        <v>121</v>
      </c>
      <c r="I26">
        <v>306</v>
      </c>
      <c r="J26" s="4">
        <v>20268465.669999991</v>
      </c>
    </row>
    <row r="27" spans="6:10" hidden="1" x14ac:dyDescent="0.35">
      <c r="F27">
        <v>3</v>
      </c>
      <c r="G27" s="14">
        <v>71105060</v>
      </c>
      <c r="H27" t="s">
        <v>238</v>
      </c>
      <c r="I27">
        <v>39</v>
      </c>
      <c r="J27" s="4">
        <v>5983836.6399999997</v>
      </c>
    </row>
    <row r="28" spans="6:10" hidden="1" x14ac:dyDescent="0.35">
      <c r="F28">
        <v>3</v>
      </c>
      <c r="G28" s="14">
        <v>71105120</v>
      </c>
      <c r="H28" t="s">
        <v>268</v>
      </c>
      <c r="I28">
        <v>1166</v>
      </c>
      <c r="J28" s="4">
        <v>4535163.1499999836</v>
      </c>
    </row>
    <row r="29" spans="6:10" hidden="1" x14ac:dyDescent="0.35">
      <c r="F29">
        <v>3</v>
      </c>
      <c r="G29" s="14">
        <v>71105130</v>
      </c>
      <c r="H29" t="s">
        <v>305</v>
      </c>
      <c r="I29">
        <v>80</v>
      </c>
      <c r="J29" s="4">
        <v>6111724.5399999991</v>
      </c>
    </row>
    <row r="30" spans="6:10" hidden="1" x14ac:dyDescent="0.35">
      <c r="F30">
        <v>3</v>
      </c>
      <c r="G30" s="14">
        <v>71106040</v>
      </c>
      <c r="H30" t="s">
        <v>125</v>
      </c>
      <c r="I30">
        <v>69</v>
      </c>
      <c r="J30" s="4">
        <v>7593485.4300000016</v>
      </c>
    </row>
    <row r="31" spans="6:10" hidden="1" x14ac:dyDescent="0.35">
      <c r="F31">
        <v>3</v>
      </c>
      <c r="G31" s="14">
        <v>71106100</v>
      </c>
      <c r="H31" t="s">
        <v>97</v>
      </c>
      <c r="I31">
        <v>63</v>
      </c>
      <c r="J31" s="4">
        <v>12407398.889999999</v>
      </c>
    </row>
    <row r="32" spans="6:10" hidden="1" x14ac:dyDescent="0.35">
      <c r="F32">
        <v>3</v>
      </c>
      <c r="G32" s="14">
        <v>71106150</v>
      </c>
      <c r="H32" t="s">
        <v>102</v>
      </c>
      <c r="I32">
        <v>77</v>
      </c>
      <c r="J32" s="4">
        <v>55556948.45000001</v>
      </c>
    </row>
    <row r="33" spans="6:10" hidden="1" x14ac:dyDescent="0.35">
      <c r="F33">
        <v>3</v>
      </c>
      <c r="G33" s="14">
        <v>74010070</v>
      </c>
      <c r="H33" t="s">
        <v>49</v>
      </c>
      <c r="I33">
        <v>56</v>
      </c>
      <c r="J33" s="4">
        <v>10970006.15</v>
      </c>
    </row>
    <row r="34" spans="6:10" hidden="1" x14ac:dyDescent="0.35">
      <c r="F34">
        <v>4</v>
      </c>
      <c r="G34" s="14">
        <v>71101060</v>
      </c>
      <c r="H34" t="s">
        <v>30</v>
      </c>
      <c r="I34">
        <v>192</v>
      </c>
      <c r="J34" s="4">
        <v>445731.93</v>
      </c>
    </row>
    <row r="35" spans="6:10" hidden="1" x14ac:dyDescent="0.35">
      <c r="F35">
        <v>4</v>
      </c>
      <c r="G35" s="14">
        <v>71102010</v>
      </c>
      <c r="H35" t="s">
        <v>187</v>
      </c>
      <c r="I35">
        <v>11</v>
      </c>
      <c r="J35" s="4">
        <v>1034461.9900000001</v>
      </c>
    </row>
    <row r="36" spans="6:10" x14ac:dyDescent="0.35">
      <c r="F36">
        <v>4</v>
      </c>
      <c r="G36" s="14">
        <v>71104010</v>
      </c>
      <c r="H36" t="s">
        <v>121</v>
      </c>
      <c r="I36">
        <v>320</v>
      </c>
      <c r="J36" s="4">
        <v>18671503.749999974</v>
      </c>
    </row>
    <row r="37" spans="6:10" hidden="1" x14ac:dyDescent="0.35">
      <c r="F37">
        <v>4</v>
      </c>
      <c r="G37" s="14">
        <v>71105060</v>
      </c>
      <c r="H37" t="s">
        <v>238</v>
      </c>
      <c r="I37">
        <v>20</v>
      </c>
      <c r="J37" s="4">
        <v>2900976.11</v>
      </c>
    </row>
    <row r="38" spans="6:10" hidden="1" x14ac:dyDescent="0.35">
      <c r="F38">
        <v>4</v>
      </c>
      <c r="G38" s="14">
        <v>71105120</v>
      </c>
      <c r="H38" t="s">
        <v>268</v>
      </c>
      <c r="I38">
        <v>473</v>
      </c>
      <c r="J38" s="4">
        <v>1920737.0099999988</v>
      </c>
    </row>
    <row r="39" spans="6:10" hidden="1" x14ac:dyDescent="0.35">
      <c r="F39">
        <v>4</v>
      </c>
      <c r="G39" s="14">
        <v>71105130</v>
      </c>
      <c r="H39" t="s">
        <v>305</v>
      </c>
      <c r="I39">
        <v>30</v>
      </c>
      <c r="J39" s="4">
        <v>1572246.37</v>
      </c>
    </row>
    <row r="40" spans="6:10" hidden="1" x14ac:dyDescent="0.35">
      <c r="F40">
        <v>4</v>
      </c>
      <c r="G40" s="14">
        <v>71106040</v>
      </c>
      <c r="H40" t="s">
        <v>125</v>
      </c>
      <c r="I40">
        <v>46</v>
      </c>
      <c r="J40" s="4">
        <v>4564068.3200000012</v>
      </c>
    </row>
    <row r="41" spans="6:10" hidden="1" x14ac:dyDescent="0.35">
      <c r="F41">
        <v>4</v>
      </c>
      <c r="G41" s="14">
        <v>71106100</v>
      </c>
      <c r="H41" t="s">
        <v>97</v>
      </c>
      <c r="I41">
        <v>42</v>
      </c>
      <c r="J41" s="4">
        <v>7525387.1899999995</v>
      </c>
    </row>
    <row r="42" spans="6:10" hidden="1" x14ac:dyDescent="0.35">
      <c r="F42">
        <v>4</v>
      </c>
      <c r="G42" s="14">
        <v>71106150</v>
      </c>
      <c r="H42" t="s">
        <v>102</v>
      </c>
      <c r="I42">
        <v>68</v>
      </c>
      <c r="J42" s="4">
        <v>23845214.269999996</v>
      </c>
    </row>
    <row r="43" spans="6:10" hidden="1" x14ac:dyDescent="0.35">
      <c r="F43">
        <v>4</v>
      </c>
      <c r="G43" s="14">
        <v>74010070</v>
      </c>
      <c r="H43" t="s">
        <v>49</v>
      </c>
      <c r="I43">
        <v>41</v>
      </c>
      <c r="J43" s="4">
        <v>2190208.7600000002</v>
      </c>
    </row>
    <row r="44" spans="6:10" hidden="1" x14ac:dyDescent="0.35">
      <c r="F44">
        <v>5</v>
      </c>
      <c r="G44" s="14">
        <v>71101060</v>
      </c>
      <c r="H44" t="s">
        <v>30</v>
      </c>
      <c r="I44">
        <v>326</v>
      </c>
      <c r="J44" s="4">
        <v>646724.66000000015</v>
      </c>
    </row>
    <row r="45" spans="6:10" hidden="1" x14ac:dyDescent="0.35">
      <c r="F45">
        <v>5</v>
      </c>
      <c r="G45" s="14">
        <v>71102010</v>
      </c>
      <c r="H45" t="s">
        <v>187</v>
      </c>
      <c r="I45">
        <v>23</v>
      </c>
      <c r="J45" s="4">
        <v>2414671.7499999995</v>
      </c>
    </row>
    <row r="46" spans="6:10" x14ac:dyDescent="0.35">
      <c r="F46">
        <v>5</v>
      </c>
      <c r="G46" s="14">
        <v>71104010</v>
      </c>
      <c r="H46" t="s">
        <v>121</v>
      </c>
      <c r="I46">
        <v>314</v>
      </c>
      <c r="J46" s="4">
        <v>6725341.8399999775</v>
      </c>
    </row>
    <row r="47" spans="6:10" hidden="1" x14ac:dyDescent="0.35">
      <c r="F47">
        <v>5</v>
      </c>
      <c r="G47" s="14">
        <v>71105060</v>
      </c>
      <c r="H47" t="s">
        <v>238</v>
      </c>
      <c r="I47">
        <v>37</v>
      </c>
      <c r="J47" s="4">
        <v>3593178.8000000003</v>
      </c>
    </row>
    <row r="48" spans="6:10" hidden="1" x14ac:dyDescent="0.35">
      <c r="F48">
        <v>5</v>
      </c>
      <c r="G48" s="14">
        <v>71105120</v>
      </c>
      <c r="H48" t="s">
        <v>268</v>
      </c>
      <c r="I48">
        <v>553</v>
      </c>
      <c r="J48" s="4">
        <v>3323839.9199999943</v>
      </c>
    </row>
    <row r="49" spans="6:10" hidden="1" x14ac:dyDescent="0.35">
      <c r="F49">
        <v>5</v>
      </c>
      <c r="G49" s="14">
        <v>71105130</v>
      </c>
      <c r="H49" t="s">
        <v>305</v>
      </c>
      <c r="I49">
        <v>38</v>
      </c>
      <c r="J49" s="4">
        <v>1942676.1000000003</v>
      </c>
    </row>
    <row r="50" spans="6:10" hidden="1" x14ac:dyDescent="0.35">
      <c r="F50">
        <v>5</v>
      </c>
      <c r="G50" s="14">
        <v>71106040</v>
      </c>
      <c r="H50" t="s">
        <v>125</v>
      </c>
      <c r="I50">
        <v>22</v>
      </c>
      <c r="J50" s="4">
        <v>1660288.7099999995</v>
      </c>
    </row>
    <row r="51" spans="6:10" hidden="1" x14ac:dyDescent="0.35">
      <c r="F51">
        <v>5</v>
      </c>
      <c r="G51" s="14">
        <v>71106100</v>
      </c>
      <c r="H51" t="s">
        <v>97</v>
      </c>
      <c r="I51">
        <v>18</v>
      </c>
      <c r="J51" s="4">
        <v>2590070.04</v>
      </c>
    </row>
    <row r="52" spans="6:10" hidden="1" x14ac:dyDescent="0.35">
      <c r="F52">
        <v>5</v>
      </c>
      <c r="G52" s="14">
        <v>71106150</v>
      </c>
      <c r="H52" t="s">
        <v>102</v>
      </c>
      <c r="I52">
        <v>29</v>
      </c>
      <c r="J52" s="4">
        <v>2206127.81</v>
      </c>
    </row>
    <row r="53" spans="6:10" hidden="1" x14ac:dyDescent="0.35">
      <c r="F53">
        <v>5</v>
      </c>
      <c r="G53" s="14">
        <v>74010070</v>
      </c>
      <c r="H53" t="s">
        <v>49</v>
      </c>
      <c r="I53">
        <v>42</v>
      </c>
      <c r="J53" s="4">
        <v>16816538.129999999</v>
      </c>
    </row>
    <row r="54" spans="6:10" hidden="1" x14ac:dyDescent="0.35">
      <c r="F54">
        <v>6</v>
      </c>
      <c r="G54" s="14">
        <v>71101060</v>
      </c>
      <c r="H54" t="s">
        <v>30</v>
      </c>
      <c r="I54">
        <v>919</v>
      </c>
      <c r="J54" s="4">
        <v>1617949.0399999986</v>
      </c>
    </row>
    <row r="55" spans="6:10" hidden="1" x14ac:dyDescent="0.35">
      <c r="F55">
        <v>6</v>
      </c>
      <c r="G55" s="14">
        <v>71102010</v>
      </c>
      <c r="H55" t="s">
        <v>187</v>
      </c>
      <c r="I55">
        <v>46</v>
      </c>
      <c r="J55" s="4">
        <v>1569806.7099999997</v>
      </c>
    </row>
    <row r="56" spans="6:10" x14ac:dyDescent="0.35">
      <c r="F56">
        <v>6</v>
      </c>
      <c r="G56" s="14">
        <v>71104010</v>
      </c>
      <c r="H56" t="s">
        <v>121</v>
      </c>
      <c r="I56">
        <v>295</v>
      </c>
      <c r="J56" s="4">
        <v>11742817.569999995</v>
      </c>
    </row>
    <row r="57" spans="6:10" hidden="1" x14ac:dyDescent="0.35">
      <c r="F57">
        <v>6</v>
      </c>
      <c r="G57" s="14">
        <v>71105060</v>
      </c>
      <c r="H57" t="s">
        <v>238</v>
      </c>
      <c r="I57">
        <v>44</v>
      </c>
      <c r="J57" s="4">
        <v>8473325.629999999</v>
      </c>
    </row>
    <row r="58" spans="6:10" hidden="1" x14ac:dyDescent="0.35">
      <c r="F58">
        <v>6</v>
      </c>
      <c r="G58" s="14">
        <v>71105120</v>
      </c>
      <c r="H58" t="s">
        <v>268</v>
      </c>
      <c r="I58">
        <v>582</v>
      </c>
      <c r="J58" s="4">
        <v>5898235.4799999995</v>
      </c>
    </row>
    <row r="59" spans="6:10" hidden="1" x14ac:dyDescent="0.35">
      <c r="F59">
        <v>6</v>
      </c>
      <c r="G59" s="14">
        <v>71105130</v>
      </c>
      <c r="H59" t="s">
        <v>305</v>
      </c>
      <c r="I59">
        <v>65</v>
      </c>
      <c r="J59" s="4">
        <v>3640644.4599999976</v>
      </c>
    </row>
    <row r="60" spans="6:10" hidden="1" x14ac:dyDescent="0.35">
      <c r="F60">
        <v>6</v>
      </c>
      <c r="G60" s="14">
        <v>71106040</v>
      </c>
      <c r="H60" t="s">
        <v>125</v>
      </c>
      <c r="I60">
        <v>57</v>
      </c>
      <c r="J60" s="4">
        <v>11139535.210000001</v>
      </c>
    </row>
    <row r="61" spans="6:10" hidden="1" x14ac:dyDescent="0.35">
      <c r="F61">
        <v>6</v>
      </c>
      <c r="G61" s="14">
        <v>71106100</v>
      </c>
      <c r="H61" t="s">
        <v>97</v>
      </c>
      <c r="I61">
        <v>30</v>
      </c>
      <c r="J61" s="4">
        <v>10394671.59</v>
      </c>
    </row>
    <row r="62" spans="6:10" hidden="1" x14ac:dyDescent="0.35">
      <c r="F62">
        <v>6</v>
      </c>
      <c r="G62" s="14">
        <v>71106150</v>
      </c>
      <c r="H62" t="s">
        <v>102</v>
      </c>
      <c r="I62">
        <v>40</v>
      </c>
      <c r="J62" s="4">
        <v>4840472.7200000007</v>
      </c>
    </row>
    <row r="63" spans="6:10" hidden="1" x14ac:dyDescent="0.35">
      <c r="F63">
        <v>6</v>
      </c>
      <c r="G63" s="14">
        <v>74010070</v>
      </c>
      <c r="H63" t="s">
        <v>49</v>
      </c>
      <c r="I63">
        <v>56</v>
      </c>
      <c r="J63" s="4">
        <v>1112526.0799999996</v>
      </c>
    </row>
    <row r="64" spans="6:10" hidden="1" x14ac:dyDescent="0.35">
      <c r="F64">
        <v>7</v>
      </c>
      <c r="G64" s="14">
        <v>71101060</v>
      </c>
      <c r="H64" t="s">
        <v>30</v>
      </c>
      <c r="I64">
        <v>1253</v>
      </c>
      <c r="J64" s="4">
        <v>2767767.6799999988</v>
      </c>
    </row>
    <row r="65" spans="6:10" hidden="1" x14ac:dyDescent="0.35">
      <c r="F65">
        <v>7</v>
      </c>
      <c r="G65" s="14">
        <v>71102010</v>
      </c>
      <c r="H65" t="s">
        <v>187</v>
      </c>
      <c r="I65">
        <v>61</v>
      </c>
      <c r="J65" s="4">
        <v>4452743.4299999988</v>
      </c>
    </row>
    <row r="66" spans="6:10" x14ac:dyDescent="0.35">
      <c r="F66">
        <v>7</v>
      </c>
      <c r="G66" s="14">
        <v>71104010</v>
      </c>
      <c r="H66" t="s">
        <v>121</v>
      </c>
      <c r="I66">
        <v>309</v>
      </c>
      <c r="J66" s="4">
        <v>25761413.429999936</v>
      </c>
    </row>
    <row r="67" spans="6:10" hidden="1" x14ac:dyDescent="0.35">
      <c r="F67">
        <v>7</v>
      </c>
      <c r="G67" s="14">
        <v>71105060</v>
      </c>
      <c r="H67" t="s">
        <v>238</v>
      </c>
      <c r="I67">
        <v>37</v>
      </c>
      <c r="J67" s="4">
        <v>2177154.5900000003</v>
      </c>
    </row>
    <row r="68" spans="6:10" hidden="1" x14ac:dyDescent="0.35">
      <c r="F68">
        <v>7</v>
      </c>
      <c r="G68" s="14">
        <v>71105120</v>
      </c>
      <c r="H68" t="s">
        <v>268</v>
      </c>
      <c r="I68">
        <v>1251</v>
      </c>
      <c r="J68" s="4">
        <v>9942964.1800000388</v>
      </c>
    </row>
    <row r="69" spans="6:10" hidden="1" x14ac:dyDescent="0.35">
      <c r="F69">
        <v>7</v>
      </c>
      <c r="G69" s="14">
        <v>71105130</v>
      </c>
      <c r="H69" t="s">
        <v>305</v>
      </c>
      <c r="I69">
        <v>49</v>
      </c>
      <c r="J69" s="4">
        <v>2786854.47</v>
      </c>
    </row>
    <row r="70" spans="6:10" hidden="1" x14ac:dyDescent="0.35">
      <c r="F70">
        <v>7</v>
      </c>
      <c r="G70" s="14">
        <v>71106040</v>
      </c>
      <c r="H70" t="s">
        <v>125</v>
      </c>
      <c r="I70">
        <v>28</v>
      </c>
      <c r="J70" s="4">
        <v>1100930.6100000001</v>
      </c>
    </row>
    <row r="71" spans="6:10" hidden="1" x14ac:dyDescent="0.35">
      <c r="F71">
        <v>7</v>
      </c>
      <c r="G71" s="14">
        <v>71106100</v>
      </c>
      <c r="H71" t="s">
        <v>97</v>
      </c>
      <c r="I71">
        <v>11</v>
      </c>
      <c r="J71" s="4">
        <v>330888.11000000004</v>
      </c>
    </row>
    <row r="72" spans="6:10" hidden="1" x14ac:dyDescent="0.35">
      <c r="F72">
        <v>7</v>
      </c>
      <c r="G72" s="14">
        <v>71106150</v>
      </c>
      <c r="H72" t="s">
        <v>102</v>
      </c>
      <c r="I72">
        <v>71</v>
      </c>
      <c r="J72" s="4">
        <v>13588035.409999995</v>
      </c>
    </row>
    <row r="73" spans="6:10" hidden="1" x14ac:dyDescent="0.35">
      <c r="F73">
        <v>7</v>
      </c>
      <c r="G73" s="14">
        <v>74010070</v>
      </c>
      <c r="H73" t="s">
        <v>49</v>
      </c>
      <c r="I73">
        <v>58</v>
      </c>
      <c r="J73" s="4">
        <v>1148871.0499999991</v>
      </c>
    </row>
    <row r="74" spans="6:10" hidden="1" x14ac:dyDescent="0.35">
      <c r="F74">
        <v>8</v>
      </c>
      <c r="G74" s="14">
        <v>71101060</v>
      </c>
      <c r="H74" t="s">
        <v>30</v>
      </c>
      <c r="I74">
        <v>1350</v>
      </c>
      <c r="J74" s="4">
        <v>3324875.6499999925</v>
      </c>
    </row>
    <row r="75" spans="6:10" hidden="1" x14ac:dyDescent="0.35">
      <c r="F75">
        <v>8</v>
      </c>
      <c r="G75" s="14">
        <v>71102010</v>
      </c>
      <c r="H75" t="s">
        <v>187</v>
      </c>
      <c r="I75">
        <v>45</v>
      </c>
      <c r="J75" s="4">
        <v>3115641.42</v>
      </c>
    </row>
    <row r="76" spans="6:10" x14ac:dyDescent="0.35">
      <c r="F76">
        <v>8</v>
      </c>
      <c r="G76" s="14">
        <v>71104010</v>
      </c>
      <c r="H76" t="s">
        <v>121</v>
      </c>
      <c r="I76">
        <v>341</v>
      </c>
      <c r="J76" s="4">
        <v>28074634.389999971</v>
      </c>
    </row>
    <row r="77" spans="6:10" hidden="1" x14ac:dyDescent="0.35">
      <c r="F77">
        <v>8</v>
      </c>
      <c r="G77" s="14">
        <v>71105060</v>
      </c>
      <c r="H77" t="s">
        <v>238</v>
      </c>
      <c r="I77">
        <v>41</v>
      </c>
      <c r="J77" s="4">
        <v>2416676.09</v>
      </c>
    </row>
    <row r="78" spans="6:10" hidden="1" x14ac:dyDescent="0.35">
      <c r="F78">
        <v>8</v>
      </c>
      <c r="G78" s="14">
        <v>71105120</v>
      </c>
      <c r="H78" t="s">
        <v>268</v>
      </c>
      <c r="I78">
        <v>785</v>
      </c>
      <c r="J78" s="4">
        <v>24374947.159999941</v>
      </c>
    </row>
    <row r="79" spans="6:10" hidden="1" x14ac:dyDescent="0.35">
      <c r="F79">
        <v>8</v>
      </c>
      <c r="G79" s="14">
        <v>71105130</v>
      </c>
      <c r="H79" t="s">
        <v>305</v>
      </c>
      <c r="I79">
        <v>41</v>
      </c>
      <c r="J79" s="4">
        <v>2133853.5399999996</v>
      </c>
    </row>
    <row r="80" spans="6:10" hidden="1" x14ac:dyDescent="0.35">
      <c r="F80">
        <v>8</v>
      </c>
      <c r="G80" s="14">
        <v>71106040</v>
      </c>
      <c r="H80" t="s">
        <v>125</v>
      </c>
      <c r="I80">
        <v>104</v>
      </c>
      <c r="J80" s="4">
        <v>16320322.41</v>
      </c>
    </row>
    <row r="81" spans="6:10" hidden="1" x14ac:dyDescent="0.35">
      <c r="F81">
        <v>8</v>
      </c>
      <c r="G81" s="14">
        <v>71106100</v>
      </c>
      <c r="H81" t="s">
        <v>97</v>
      </c>
      <c r="I81">
        <v>48</v>
      </c>
      <c r="J81" s="4">
        <v>8549089.8099999968</v>
      </c>
    </row>
    <row r="82" spans="6:10" hidden="1" x14ac:dyDescent="0.35">
      <c r="F82">
        <v>8</v>
      </c>
      <c r="G82" s="14">
        <v>71106150</v>
      </c>
      <c r="H82" t="s">
        <v>102</v>
      </c>
      <c r="I82">
        <v>80</v>
      </c>
      <c r="J82" s="4">
        <v>19397545.810000002</v>
      </c>
    </row>
    <row r="83" spans="6:10" hidden="1" x14ac:dyDescent="0.35">
      <c r="F83">
        <v>8</v>
      </c>
      <c r="G83" s="14">
        <v>74010070</v>
      </c>
      <c r="H83" t="s">
        <v>49</v>
      </c>
      <c r="I83">
        <v>90</v>
      </c>
      <c r="J83" s="4">
        <v>3573963.4800000004</v>
      </c>
    </row>
    <row r="84" spans="6:10" hidden="1" x14ac:dyDescent="0.35">
      <c r="F84">
        <v>9</v>
      </c>
      <c r="G84" s="14">
        <v>71101060</v>
      </c>
      <c r="H84" t="s">
        <v>30</v>
      </c>
      <c r="I84">
        <v>1387</v>
      </c>
      <c r="J84" s="4">
        <v>3593513.4499999913</v>
      </c>
    </row>
    <row r="85" spans="6:10" hidden="1" x14ac:dyDescent="0.35">
      <c r="F85">
        <v>9</v>
      </c>
      <c r="G85" s="14">
        <v>71102010</v>
      </c>
      <c r="H85" t="s">
        <v>187</v>
      </c>
      <c r="I85">
        <v>49</v>
      </c>
      <c r="J85" s="4">
        <v>3595426.7600000002</v>
      </c>
    </row>
    <row r="86" spans="6:10" x14ac:dyDescent="0.35">
      <c r="F86">
        <v>9</v>
      </c>
      <c r="G86" s="14">
        <v>71104010</v>
      </c>
      <c r="H86" t="s">
        <v>121</v>
      </c>
      <c r="I86">
        <v>308</v>
      </c>
      <c r="J86" s="4">
        <v>26786910.839999977</v>
      </c>
    </row>
    <row r="87" spans="6:10" hidden="1" x14ac:dyDescent="0.35">
      <c r="F87">
        <v>9</v>
      </c>
      <c r="G87" s="14">
        <v>71105060</v>
      </c>
      <c r="H87" t="s">
        <v>238</v>
      </c>
      <c r="I87">
        <v>54</v>
      </c>
      <c r="J87" s="4">
        <v>8137610.2199999988</v>
      </c>
    </row>
    <row r="88" spans="6:10" hidden="1" x14ac:dyDescent="0.35">
      <c r="F88">
        <v>9</v>
      </c>
      <c r="G88" s="14">
        <v>71105120</v>
      </c>
      <c r="H88" t="s">
        <v>268</v>
      </c>
      <c r="I88">
        <v>571</v>
      </c>
      <c r="J88" s="4">
        <v>2560613.3700000015</v>
      </c>
    </row>
    <row r="89" spans="6:10" hidden="1" x14ac:dyDescent="0.35">
      <c r="F89">
        <v>9</v>
      </c>
      <c r="G89" s="14">
        <v>71105130</v>
      </c>
      <c r="H89" t="s">
        <v>305</v>
      </c>
      <c r="I89">
        <v>40</v>
      </c>
      <c r="J89" s="4">
        <v>3617764.11</v>
      </c>
    </row>
    <row r="90" spans="6:10" hidden="1" x14ac:dyDescent="0.35">
      <c r="F90">
        <v>9</v>
      </c>
      <c r="G90" s="14">
        <v>71106040</v>
      </c>
      <c r="H90" t="s">
        <v>125</v>
      </c>
      <c r="I90">
        <v>89</v>
      </c>
      <c r="J90" s="4">
        <v>8344969.5800000001</v>
      </c>
    </row>
    <row r="91" spans="6:10" hidden="1" x14ac:dyDescent="0.35">
      <c r="F91">
        <v>9</v>
      </c>
      <c r="G91" s="14">
        <v>71106100</v>
      </c>
      <c r="H91" t="s">
        <v>97</v>
      </c>
      <c r="I91">
        <v>23</v>
      </c>
      <c r="J91" s="4">
        <v>2563175.4799999991</v>
      </c>
    </row>
    <row r="92" spans="6:10" hidden="1" x14ac:dyDescent="0.35">
      <c r="F92">
        <v>9</v>
      </c>
      <c r="G92" s="14">
        <v>71106150</v>
      </c>
      <c r="H92" t="s">
        <v>102</v>
      </c>
      <c r="I92">
        <v>85</v>
      </c>
      <c r="J92" s="4">
        <v>22185425.850000009</v>
      </c>
    </row>
    <row r="93" spans="6:10" hidden="1" x14ac:dyDescent="0.35">
      <c r="F93">
        <v>9</v>
      </c>
      <c r="G93" s="14">
        <v>74010070</v>
      </c>
      <c r="H93" t="s">
        <v>49</v>
      </c>
      <c r="I93">
        <v>101</v>
      </c>
      <c r="J93" s="4">
        <v>3701938.0400000005</v>
      </c>
    </row>
    <row r="94" spans="6:10" hidden="1" x14ac:dyDescent="0.35">
      <c r="F94">
        <v>10</v>
      </c>
      <c r="G94" s="14">
        <v>71101060</v>
      </c>
      <c r="H94" t="s">
        <v>30</v>
      </c>
      <c r="I94">
        <v>1637</v>
      </c>
      <c r="J94" s="4">
        <v>4749935.6199999917</v>
      </c>
    </row>
    <row r="95" spans="6:10" hidden="1" x14ac:dyDescent="0.35">
      <c r="F95">
        <v>10</v>
      </c>
      <c r="G95" s="14">
        <v>71102010</v>
      </c>
      <c r="H95" t="s">
        <v>187</v>
      </c>
      <c r="I95">
        <v>52</v>
      </c>
      <c r="J95" s="4">
        <v>4309762.6900000004</v>
      </c>
    </row>
    <row r="96" spans="6:10" x14ac:dyDescent="0.35">
      <c r="F96">
        <v>10</v>
      </c>
      <c r="G96" s="14">
        <v>71104010</v>
      </c>
      <c r="H96" t="s">
        <v>121</v>
      </c>
      <c r="I96">
        <v>329</v>
      </c>
      <c r="J96" s="4">
        <v>28638939.599999987</v>
      </c>
    </row>
    <row r="97" spans="6:10" hidden="1" x14ac:dyDescent="0.35">
      <c r="F97">
        <v>10</v>
      </c>
      <c r="G97" s="14">
        <v>71105060</v>
      </c>
      <c r="H97" t="s">
        <v>238</v>
      </c>
      <c r="I97">
        <v>35</v>
      </c>
      <c r="J97" s="4">
        <v>2642109.0499999993</v>
      </c>
    </row>
    <row r="98" spans="6:10" hidden="1" x14ac:dyDescent="0.35">
      <c r="F98">
        <v>10</v>
      </c>
      <c r="G98" s="14">
        <v>71105120</v>
      </c>
      <c r="H98" t="s">
        <v>268</v>
      </c>
      <c r="I98">
        <v>663</v>
      </c>
      <c r="J98" s="4">
        <v>12521208.759999877</v>
      </c>
    </row>
    <row r="99" spans="6:10" hidden="1" x14ac:dyDescent="0.35">
      <c r="F99">
        <v>10</v>
      </c>
      <c r="G99" s="14">
        <v>71105130</v>
      </c>
      <c r="H99" t="s">
        <v>305</v>
      </c>
      <c r="I99">
        <v>44</v>
      </c>
      <c r="J99" s="4">
        <v>4873043.2799999984</v>
      </c>
    </row>
    <row r="100" spans="6:10" hidden="1" x14ac:dyDescent="0.35">
      <c r="F100">
        <v>10</v>
      </c>
      <c r="G100" s="14">
        <v>71106040</v>
      </c>
      <c r="H100" t="s">
        <v>125</v>
      </c>
      <c r="I100">
        <v>168</v>
      </c>
      <c r="J100" s="4">
        <v>13366995.239999995</v>
      </c>
    </row>
    <row r="101" spans="6:10" hidden="1" x14ac:dyDescent="0.35">
      <c r="F101">
        <v>10</v>
      </c>
      <c r="G101" s="14">
        <v>71106100</v>
      </c>
      <c r="H101" t="s">
        <v>97</v>
      </c>
      <c r="I101">
        <v>39</v>
      </c>
      <c r="J101" s="4">
        <v>3104180.9500000007</v>
      </c>
    </row>
    <row r="102" spans="6:10" hidden="1" x14ac:dyDescent="0.35">
      <c r="F102">
        <v>10</v>
      </c>
      <c r="G102" s="14">
        <v>71106150</v>
      </c>
      <c r="H102" t="s">
        <v>102</v>
      </c>
      <c r="I102">
        <v>71</v>
      </c>
      <c r="J102" s="4">
        <v>20740549.619999997</v>
      </c>
    </row>
    <row r="103" spans="6:10" hidden="1" x14ac:dyDescent="0.35">
      <c r="F103">
        <v>10</v>
      </c>
      <c r="G103" s="14">
        <v>74010070</v>
      </c>
      <c r="H103" t="s">
        <v>49</v>
      </c>
      <c r="I103">
        <v>108</v>
      </c>
      <c r="J103" s="4">
        <v>3892283.8400000003</v>
      </c>
    </row>
    <row r="104" spans="6:10" hidden="1" x14ac:dyDescent="0.35">
      <c r="F104">
        <v>11</v>
      </c>
      <c r="G104" s="14">
        <v>71101060</v>
      </c>
      <c r="H104" t="s">
        <v>30</v>
      </c>
      <c r="I104">
        <v>1590</v>
      </c>
      <c r="J104" s="4">
        <v>4409471.769999993</v>
      </c>
    </row>
    <row r="105" spans="6:10" hidden="1" x14ac:dyDescent="0.35">
      <c r="F105">
        <v>11</v>
      </c>
      <c r="G105" s="14">
        <v>71102010</v>
      </c>
      <c r="H105" t="s">
        <v>187</v>
      </c>
      <c r="I105">
        <v>48</v>
      </c>
      <c r="J105" s="4">
        <v>4661698.5500000017</v>
      </c>
    </row>
    <row r="106" spans="6:10" x14ac:dyDescent="0.35">
      <c r="F106">
        <v>11</v>
      </c>
      <c r="G106" s="14">
        <v>71104010</v>
      </c>
      <c r="H106" t="s">
        <v>121</v>
      </c>
      <c r="I106">
        <v>308</v>
      </c>
      <c r="J106" s="4">
        <v>33337300.829999954</v>
      </c>
    </row>
    <row r="107" spans="6:10" hidden="1" x14ac:dyDescent="0.35">
      <c r="F107">
        <v>11</v>
      </c>
      <c r="G107" s="14">
        <v>71105060</v>
      </c>
      <c r="H107" t="s">
        <v>238</v>
      </c>
      <c r="I107">
        <v>30</v>
      </c>
      <c r="J107" s="4">
        <v>2199524.3400000003</v>
      </c>
    </row>
    <row r="108" spans="6:10" hidden="1" x14ac:dyDescent="0.35">
      <c r="F108">
        <v>11</v>
      </c>
      <c r="G108" s="14">
        <v>71105120</v>
      </c>
      <c r="H108" t="s">
        <v>268</v>
      </c>
      <c r="I108">
        <v>644</v>
      </c>
      <c r="J108" s="4">
        <v>4642267.1800000193</v>
      </c>
    </row>
    <row r="109" spans="6:10" hidden="1" x14ac:dyDescent="0.35">
      <c r="F109">
        <v>11</v>
      </c>
      <c r="G109" s="14">
        <v>71105130</v>
      </c>
      <c r="H109" t="s">
        <v>305</v>
      </c>
      <c r="I109">
        <v>42</v>
      </c>
      <c r="J109" s="4">
        <v>2877314.9200000004</v>
      </c>
    </row>
    <row r="110" spans="6:10" hidden="1" x14ac:dyDescent="0.35">
      <c r="F110">
        <v>11</v>
      </c>
      <c r="G110" s="14">
        <v>71106040</v>
      </c>
      <c r="H110" t="s">
        <v>125</v>
      </c>
      <c r="I110">
        <v>146</v>
      </c>
      <c r="J110" s="4">
        <v>15266781.969999999</v>
      </c>
    </row>
    <row r="111" spans="6:10" hidden="1" x14ac:dyDescent="0.35">
      <c r="F111">
        <v>11</v>
      </c>
      <c r="G111" s="14">
        <v>71106100</v>
      </c>
      <c r="H111" t="s">
        <v>97</v>
      </c>
      <c r="I111">
        <v>34</v>
      </c>
      <c r="J111" s="4">
        <v>5237365.1899999995</v>
      </c>
    </row>
    <row r="112" spans="6:10" hidden="1" x14ac:dyDescent="0.35">
      <c r="F112">
        <v>11</v>
      </c>
      <c r="G112" s="14">
        <v>71106150</v>
      </c>
      <c r="H112" t="s">
        <v>102</v>
      </c>
      <c r="I112">
        <v>181</v>
      </c>
      <c r="J112" s="4">
        <v>58603645.890000001</v>
      </c>
    </row>
    <row r="113" spans="6:10" hidden="1" x14ac:dyDescent="0.35">
      <c r="F113">
        <v>11</v>
      </c>
      <c r="G113" s="14">
        <v>74010070</v>
      </c>
      <c r="H113" t="s">
        <v>49</v>
      </c>
      <c r="I113">
        <v>124</v>
      </c>
      <c r="J113" s="4">
        <v>9539300.1799999978</v>
      </c>
    </row>
    <row r="114" spans="6:10" hidden="1" x14ac:dyDescent="0.35">
      <c r="F114">
        <v>12</v>
      </c>
      <c r="G114" s="14">
        <v>71101060</v>
      </c>
      <c r="H114" t="s">
        <v>30</v>
      </c>
      <c r="I114">
        <v>1661</v>
      </c>
      <c r="J114" s="4">
        <v>5401266.9299999885</v>
      </c>
    </row>
    <row r="115" spans="6:10" hidden="1" x14ac:dyDescent="0.35">
      <c r="F115">
        <v>12</v>
      </c>
      <c r="G115" s="14">
        <v>71102010</v>
      </c>
      <c r="H115" t="s">
        <v>187</v>
      </c>
      <c r="I115">
        <v>118</v>
      </c>
      <c r="J115" s="4">
        <v>10279834.649999997</v>
      </c>
    </row>
    <row r="116" spans="6:10" x14ac:dyDescent="0.35">
      <c r="F116">
        <v>12</v>
      </c>
      <c r="G116" s="14">
        <v>71104010</v>
      </c>
      <c r="H116" t="s">
        <v>121</v>
      </c>
      <c r="I116">
        <v>364</v>
      </c>
      <c r="J116" s="4">
        <v>30129176.989999983</v>
      </c>
    </row>
    <row r="117" spans="6:10" hidden="1" x14ac:dyDescent="0.35">
      <c r="F117">
        <v>12</v>
      </c>
      <c r="G117" s="14">
        <v>71105060</v>
      </c>
      <c r="H117" t="s">
        <v>238</v>
      </c>
      <c r="I117">
        <v>60</v>
      </c>
      <c r="J117" s="4">
        <v>9476548.5899999961</v>
      </c>
    </row>
    <row r="118" spans="6:10" hidden="1" x14ac:dyDescent="0.35">
      <c r="F118">
        <v>12</v>
      </c>
      <c r="G118" s="14">
        <v>71105120</v>
      </c>
      <c r="H118" t="s">
        <v>268</v>
      </c>
      <c r="I118">
        <v>963</v>
      </c>
      <c r="J118" s="4">
        <v>31649622.769999854</v>
      </c>
    </row>
    <row r="119" spans="6:10" hidden="1" x14ac:dyDescent="0.35">
      <c r="F119">
        <v>12</v>
      </c>
      <c r="G119" s="14">
        <v>71105130</v>
      </c>
      <c r="H119" t="s">
        <v>305</v>
      </c>
      <c r="I119">
        <v>56</v>
      </c>
      <c r="J119" s="4">
        <v>2557199.9100000006</v>
      </c>
    </row>
    <row r="120" spans="6:10" hidden="1" x14ac:dyDescent="0.35">
      <c r="F120">
        <v>12</v>
      </c>
      <c r="G120" s="14">
        <v>71106040</v>
      </c>
      <c r="H120" t="s">
        <v>125</v>
      </c>
      <c r="I120">
        <v>147</v>
      </c>
      <c r="J120" s="4">
        <v>12928342.840000002</v>
      </c>
    </row>
    <row r="121" spans="6:10" hidden="1" x14ac:dyDescent="0.35">
      <c r="F121">
        <v>12</v>
      </c>
      <c r="G121" s="14">
        <v>71106100</v>
      </c>
      <c r="H121" t="s">
        <v>97</v>
      </c>
      <c r="I121">
        <v>37</v>
      </c>
      <c r="J121" s="4">
        <v>10305065.739999998</v>
      </c>
    </row>
    <row r="122" spans="6:10" hidden="1" x14ac:dyDescent="0.35">
      <c r="F122">
        <v>12</v>
      </c>
      <c r="G122" s="14">
        <v>71106150</v>
      </c>
      <c r="H122" t="s">
        <v>102</v>
      </c>
      <c r="I122">
        <v>65</v>
      </c>
      <c r="J122" s="4">
        <v>24897520.919999998</v>
      </c>
    </row>
    <row r="123" spans="6:10" hidden="1" x14ac:dyDescent="0.35">
      <c r="F123">
        <v>12</v>
      </c>
      <c r="G123" s="14">
        <v>74010070</v>
      </c>
      <c r="H123" t="s">
        <v>49</v>
      </c>
      <c r="I123">
        <v>258</v>
      </c>
      <c r="J123" s="4">
        <v>6232741.1999999909</v>
      </c>
    </row>
  </sheetData>
  <autoFilter ref="F3:J123" xr:uid="{EDE3CEF3-2DDC-4FCB-9DA7-8BF818910B57}">
    <filterColumn colId="2">
      <filters>
        <filter val="Luz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D3AC-2D36-4FA1-8B0D-8D326172387F}">
  <dimension ref="A1:AM2447"/>
  <sheetViews>
    <sheetView tabSelected="1" workbookViewId="0">
      <pane ySplit="2" topLeftCell="A1810" activePane="bottomLeft" state="frozen"/>
      <selection pane="bottomLeft" activeCell="K1833" sqref="K1833"/>
    </sheetView>
  </sheetViews>
  <sheetFormatPr baseColWidth="10" defaultRowHeight="14.5" x14ac:dyDescent="0.35"/>
  <cols>
    <col min="11" max="11" width="18.90625" bestFit="1" customWidth="1"/>
    <col min="12" max="12" width="12.7265625" style="4" bestFit="1" customWidth="1"/>
    <col min="14" max="14" width="14.7265625" style="4" bestFit="1" customWidth="1"/>
    <col min="18" max="18" width="39.7265625" bestFit="1" customWidth="1"/>
    <col min="19" max="19" width="15.08984375" bestFit="1" customWidth="1"/>
    <col min="21" max="21" width="19.26953125" customWidth="1"/>
    <col min="23" max="23" width="14.1796875" bestFit="1" customWidth="1"/>
    <col min="25" max="25" width="18.81640625" style="8" bestFit="1" customWidth="1"/>
    <col min="26" max="26" width="20.81640625" bestFit="1" customWidth="1"/>
    <col min="27" max="27" width="11.81640625" bestFit="1" customWidth="1"/>
    <col min="28" max="28" width="12" bestFit="1" customWidth="1"/>
    <col min="29" max="29" width="21.453125" style="4" bestFit="1" customWidth="1"/>
    <col min="31" max="31" width="52.26953125" bestFit="1" customWidth="1"/>
    <col min="32" max="32" width="15.453125" style="4" bestFit="1" customWidth="1"/>
    <col min="37" max="37" width="20.26953125" bestFit="1" customWidth="1"/>
    <col min="38" max="38" width="10.453125" bestFit="1" customWidth="1"/>
  </cols>
  <sheetData>
    <row r="1" spans="1:39" ht="20" customHeight="1" x14ac:dyDescent="0.35">
      <c r="N1" s="4">
        <f>SUBTOTAL(9,N3:N2446)</f>
        <v>127271972.52999972</v>
      </c>
    </row>
    <row r="2" spans="1:39" ht="39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17</v>
      </c>
      <c r="K2" t="s">
        <v>9</v>
      </c>
      <c r="L2" s="6" t="s">
        <v>10</v>
      </c>
      <c r="M2" t="s">
        <v>11</v>
      </c>
      <c r="N2" s="4" t="s">
        <v>12</v>
      </c>
      <c r="O2" t="s">
        <v>13</v>
      </c>
      <c r="P2" t="s">
        <v>14</v>
      </c>
      <c r="Q2" t="s">
        <v>15</v>
      </c>
      <c r="R2" s="2" t="s">
        <v>16</v>
      </c>
      <c r="S2" s="2" t="s">
        <v>1110</v>
      </c>
      <c r="T2" s="5" t="s">
        <v>18</v>
      </c>
      <c r="U2" t="s">
        <v>19</v>
      </c>
      <c r="V2" t="s">
        <v>20</v>
      </c>
      <c r="W2" t="s">
        <v>21</v>
      </c>
      <c r="X2" t="s">
        <v>22</v>
      </c>
      <c r="Y2" s="7" t="s">
        <v>23</v>
      </c>
      <c r="Z2" t="s">
        <v>24</v>
      </c>
      <c r="AA2" s="2" t="s">
        <v>1111</v>
      </c>
      <c r="AB2" s="2" t="s">
        <v>1112</v>
      </c>
      <c r="AC2" s="6" t="s">
        <v>1113</v>
      </c>
      <c r="AD2" s="2" t="s">
        <v>1120</v>
      </c>
      <c r="AE2" s="2" t="s">
        <v>25</v>
      </c>
      <c r="AF2" s="6" t="s">
        <v>1116</v>
      </c>
      <c r="AG2" s="2" t="s">
        <v>1114</v>
      </c>
      <c r="AH2" s="2" t="s">
        <v>1115</v>
      </c>
      <c r="AI2" s="2" t="s">
        <v>1117</v>
      </c>
      <c r="AJ2" s="2" t="s">
        <v>1118</v>
      </c>
      <c r="AK2" s="2" t="s">
        <v>1119</v>
      </c>
      <c r="AL2" s="2" t="s">
        <v>26</v>
      </c>
      <c r="AM2" s="2" t="s">
        <v>27</v>
      </c>
    </row>
    <row r="3" spans="1:39" x14ac:dyDescent="0.35">
      <c r="A3">
        <v>3407</v>
      </c>
      <c r="B3" t="s">
        <v>28</v>
      </c>
      <c r="C3">
        <v>2020</v>
      </c>
      <c r="D3" s="1">
        <v>43831</v>
      </c>
      <c r="E3">
        <v>152</v>
      </c>
      <c r="F3">
        <v>700041834</v>
      </c>
      <c r="G3" t="s">
        <v>29</v>
      </c>
      <c r="H3">
        <v>81</v>
      </c>
      <c r="I3">
        <v>71101060</v>
      </c>
      <c r="J3">
        <v>11500010</v>
      </c>
      <c r="K3" t="s">
        <v>30</v>
      </c>
      <c r="L3" s="4">
        <v>295.48</v>
      </c>
      <c r="M3" t="s">
        <v>31</v>
      </c>
      <c r="N3" s="4">
        <v>295.48</v>
      </c>
      <c r="O3" t="s">
        <v>31</v>
      </c>
      <c r="X3" t="s">
        <v>32</v>
      </c>
      <c r="Y3"/>
      <c r="Z3">
        <v>20200131</v>
      </c>
      <c r="AA3">
        <f t="shared" ref="AA3:AA16" si="0">L3</f>
        <v>295.48</v>
      </c>
      <c r="AC3"/>
      <c r="AF3"/>
      <c r="AL3">
        <v>340712790</v>
      </c>
      <c r="AM3" t="s">
        <v>33</v>
      </c>
    </row>
    <row r="4" spans="1:39" x14ac:dyDescent="0.35">
      <c r="A4">
        <v>3407</v>
      </c>
      <c r="B4" t="s">
        <v>28</v>
      </c>
      <c r="C4">
        <v>2020</v>
      </c>
      <c r="D4" s="1">
        <v>43831</v>
      </c>
      <c r="E4">
        <v>154</v>
      </c>
      <c r="F4">
        <v>700041834</v>
      </c>
      <c r="G4" t="s">
        <v>29</v>
      </c>
      <c r="H4">
        <v>81</v>
      </c>
      <c r="I4">
        <v>71101060</v>
      </c>
      <c r="J4">
        <v>11500010</v>
      </c>
      <c r="K4" t="s">
        <v>30</v>
      </c>
      <c r="L4" s="4">
        <v>779</v>
      </c>
      <c r="M4" t="s">
        <v>31</v>
      </c>
      <c r="N4" s="4">
        <v>779</v>
      </c>
      <c r="O4" t="s">
        <v>31</v>
      </c>
      <c r="X4" t="s">
        <v>32</v>
      </c>
      <c r="Y4"/>
      <c r="Z4">
        <v>20200131</v>
      </c>
      <c r="AA4">
        <f t="shared" si="0"/>
        <v>779</v>
      </c>
      <c r="AC4"/>
      <c r="AF4"/>
      <c r="AL4">
        <v>340712790</v>
      </c>
      <c r="AM4" t="s">
        <v>33</v>
      </c>
    </row>
    <row r="5" spans="1:39" x14ac:dyDescent="0.35">
      <c r="A5">
        <v>3407</v>
      </c>
      <c r="B5" t="s">
        <v>28</v>
      </c>
      <c r="C5">
        <v>2020</v>
      </c>
      <c r="D5" s="1">
        <v>43831</v>
      </c>
      <c r="E5">
        <v>194</v>
      </c>
      <c r="F5">
        <v>700041821</v>
      </c>
      <c r="G5" t="s">
        <v>29</v>
      </c>
      <c r="H5">
        <v>81</v>
      </c>
      <c r="I5">
        <v>71101060</v>
      </c>
      <c r="J5">
        <v>11500010</v>
      </c>
      <c r="K5" t="s">
        <v>30</v>
      </c>
      <c r="L5" s="4">
        <v>325</v>
      </c>
      <c r="M5" t="s">
        <v>31</v>
      </c>
      <c r="N5" s="4">
        <v>325</v>
      </c>
      <c r="O5" t="s">
        <v>31</v>
      </c>
      <c r="X5" t="s">
        <v>32</v>
      </c>
      <c r="Y5"/>
      <c r="Z5">
        <v>20200131</v>
      </c>
      <c r="AA5">
        <f t="shared" si="0"/>
        <v>325</v>
      </c>
      <c r="AC5"/>
      <c r="AF5"/>
      <c r="AL5">
        <v>340712590</v>
      </c>
      <c r="AM5" t="s">
        <v>34</v>
      </c>
    </row>
    <row r="6" spans="1:39" x14ac:dyDescent="0.35">
      <c r="A6">
        <v>3407</v>
      </c>
      <c r="B6" t="s">
        <v>28</v>
      </c>
      <c r="C6">
        <v>2020</v>
      </c>
      <c r="D6" s="1">
        <v>43831</v>
      </c>
      <c r="E6">
        <v>196</v>
      </c>
      <c r="F6">
        <v>700041821</v>
      </c>
      <c r="G6" t="s">
        <v>29</v>
      </c>
      <c r="H6">
        <v>81</v>
      </c>
      <c r="I6">
        <v>71101060</v>
      </c>
      <c r="J6">
        <v>11500010</v>
      </c>
      <c r="K6" t="s">
        <v>30</v>
      </c>
      <c r="L6" s="4">
        <v>203.1</v>
      </c>
      <c r="M6" t="s">
        <v>31</v>
      </c>
      <c r="N6" s="4">
        <v>203.1</v>
      </c>
      <c r="O6" t="s">
        <v>31</v>
      </c>
      <c r="X6" t="s">
        <v>32</v>
      </c>
      <c r="Y6"/>
      <c r="Z6">
        <v>20200131</v>
      </c>
      <c r="AA6">
        <f t="shared" si="0"/>
        <v>203.1</v>
      </c>
      <c r="AC6"/>
      <c r="AF6"/>
      <c r="AL6">
        <v>340712590</v>
      </c>
      <c r="AM6" t="s">
        <v>34</v>
      </c>
    </row>
    <row r="7" spans="1:39" x14ac:dyDescent="0.35">
      <c r="A7">
        <v>3407</v>
      </c>
      <c r="B7" t="s">
        <v>28</v>
      </c>
      <c r="C7">
        <v>2020</v>
      </c>
      <c r="D7" s="1">
        <v>43831</v>
      </c>
      <c r="E7">
        <v>198</v>
      </c>
      <c r="F7">
        <v>700041821</v>
      </c>
      <c r="G7" t="s">
        <v>29</v>
      </c>
      <c r="H7">
        <v>81</v>
      </c>
      <c r="I7">
        <v>71101060</v>
      </c>
      <c r="J7">
        <v>11500010</v>
      </c>
      <c r="K7" t="s">
        <v>30</v>
      </c>
      <c r="L7" s="4">
        <v>720</v>
      </c>
      <c r="M7" t="s">
        <v>31</v>
      </c>
      <c r="N7" s="4">
        <v>720</v>
      </c>
      <c r="O7" t="s">
        <v>31</v>
      </c>
      <c r="X7" t="s">
        <v>32</v>
      </c>
      <c r="Y7"/>
      <c r="Z7">
        <v>20200131</v>
      </c>
      <c r="AA7">
        <f t="shared" si="0"/>
        <v>720</v>
      </c>
      <c r="AC7"/>
      <c r="AF7"/>
      <c r="AL7">
        <v>340712590</v>
      </c>
      <c r="AM7" t="s">
        <v>34</v>
      </c>
    </row>
    <row r="8" spans="1:39" x14ac:dyDescent="0.35">
      <c r="A8">
        <v>3407</v>
      </c>
      <c r="B8" t="s">
        <v>28</v>
      </c>
      <c r="C8">
        <v>2020</v>
      </c>
      <c r="D8" s="1">
        <v>43831</v>
      </c>
      <c r="E8">
        <v>206</v>
      </c>
      <c r="F8">
        <v>700041821</v>
      </c>
      <c r="G8" t="s">
        <v>29</v>
      </c>
      <c r="H8">
        <v>81</v>
      </c>
      <c r="I8">
        <v>71101060</v>
      </c>
      <c r="J8">
        <v>11500010</v>
      </c>
      <c r="K8" t="s">
        <v>30</v>
      </c>
      <c r="L8" s="4">
        <v>779</v>
      </c>
      <c r="M8" t="s">
        <v>31</v>
      </c>
      <c r="N8" s="4">
        <v>779</v>
      </c>
      <c r="O8" t="s">
        <v>31</v>
      </c>
      <c r="X8" t="s">
        <v>32</v>
      </c>
      <c r="Y8"/>
      <c r="Z8">
        <v>20200131</v>
      </c>
      <c r="AA8">
        <f t="shared" si="0"/>
        <v>779</v>
      </c>
      <c r="AC8"/>
      <c r="AF8"/>
      <c r="AL8">
        <v>340712590</v>
      </c>
      <c r="AM8" t="s">
        <v>34</v>
      </c>
    </row>
    <row r="9" spans="1:39" x14ac:dyDescent="0.35">
      <c r="A9">
        <v>3407</v>
      </c>
      <c r="B9" t="s">
        <v>28</v>
      </c>
      <c r="C9">
        <v>2020</v>
      </c>
      <c r="D9" s="1">
        <v>43831</v>
      </c>
      <c r="E9">
        <v>150</v>
      </c>
      <c r="F9">
        <v>700041814</v>
      </c>
      <c r="G9" t="s">
        <v>29</v>
      </c>
      <c r="H9">
        <v>81</v>
      </c>
      <c r="I9">
        <v>71101060</v>
      </c>
      <c r="J9">
        <v>11500010</v>
      </c>
      <c r="K9" t="s">
        <v>30</v>
      </c>
      <c r="L9" s="4">
        <v>2481</v>
      </c>
      <c r="M9" t="s">
        <v>31</v>
      </c>
      <c r="N9" s="4">
        <v>2481</v>
      </c>
      <c r="O9" t="s">
        <v>31</v>
      </c>
      <c r="X9" t="s">
        <v>32</v>
      </c>
      <c r="Y9"/>
      <c r="Z9">
        <v>20200131</v>
      </c>
      <c r="AA9">
        <f t="shared" si="0"/>
        <v>2481</v>
      </c>
      <c r="AC9"/>
      <c r="AF9"/>
      <c r="AL9">
        <v>340712590</v>
      </c>
      <c r="AM9" t="s">
        <v>34</v>
      </c>
    </row>
    <row r="10" spans="1:39" x14ac:dyDescent="0.35">
      <c r="A10">
        <v>3407</v>
      </c>
      <c r="B10" t="s">
        <v>28</v>
      </c>
      <c r="C10">
        <v>2020</v>
      </c>
      <c r="D10" s="1">
        <v>43831</v>
      </c>
      <c r="E10">
        <v>154</v>
      </c>
      <c r="F10">
        <v>700041814</v>
      </c>
      <c r="G10" t="s">
        <v>29</v>
      </c>
      <c r="H10">
        <v>81</v>
      </c>
      <c r="I10">
        <v>71101060</v>
      </c>
      <c r="J10">
        <v>11500010</v>
      </c>
      <c r="K10" t="s">
        <v>30</v>
      </c>
      <c r="L10" s="4">
        <v>1300</v>
      </c>
      <c r="M10" t="s">
        <v>31</v>
      </c>
      <c r="N10" s="4">
        <v>1300</v>
      </c>
      <c r="O10" t="s">
        <v>31</v>
      </c>
      <c r="X10" t="s">
        <v>32</v>
      </c>
      <c r="Y10"/>
      <c r="Z10">
        <v>20200131</v>
      </c>
      <c r="AA10">
        <f t="shared" si="0"/>
        <v>1300</v>
      </c>
      <c r="AC10"/>
      <c r="AF10"/>
      <c r="AL10">
        <v>340712590</v>
      </c>
      <c r="AM10" t="s">
        <v>34</v>
      </c>
    </row>
    <row r="11" spans="1:39" x14ac:dyDescent="0.35">
      <c r="A11">
        <v>3407</v>
      </c>
      <c r="B11" t="s">
        <v>28</v>
      </c>
      <c r="C11">
        <v>2020</v>
      </c>
      <c r="D11" s="1">
        <v>43831</v>
      </c>
      <c r="E11">
        <v>220</v>
      </c>
      <c r="F11">
        <v>700041814</v>
      </c>
      <c r="G11" t="s">
        <v>29</v>
      </c>
      <c r="H11">
        <v>81</v>
      </c>
      <c r="I11">
        <v>71101060</v>
      </c>
      <c r="J11">
        <v>11500010</v>
      </c>
      <c r="K11" t="s">
        <v>30</v>
      </c>
      <c r="L11" s="4">
        <v>110.69</v>
      </c>
      <c r="M11" t="s">
        <v>31</v>
      </c>
      <c r="N11" s="4">
        <v>110.69</v>
      </c>
      <c r="O11" t="s">
        <v>31</v>
      </c>
      <c r="X11" t="s">
        <v>32</v>
      </c>
      <c r="Y11"/>
      <c r="Z11">
        <v>20200131</v>
      </c>
      <c r="AA11">
        <f t="shared" si="0"/>
        <v>110.69</v>
      </c>
      <c r="AC11"/>
      <c r="AF11"/>
      <c r="AL11">
        <v>340712590</v>
      </c>
      <c r="AM11" t="s">
        <v>34</v>
      </c>
    </row>
    <row r="12" spans="1:39" x14ac:dyDescent="0.35">
      <c r="A12">
        <v>3407</v>
      </c>
      <c r="B12" t="s">
        <v>28</v>
      </c>
      <c r="C12">
        <v>2020</v>
      </c>
      <c r="D12" s="1">
        <v>43831</v>
      </c>
      <c r="E12">
        <v>222</v>
      </c>
      <c r="F12">
        <v>700041814</v>
      </c>
      <c r="G12" t="s">
        <v>29</v>
      </c>
      <c r="H12">
        <v>81</v>
      </c>
      <c r="I12">
        <v>71101060</v>
      </c>
      <c r="J12">
        <v>11500010</v>
      </c>
      <c r="K12" t="s">
        <v>30</v>
      </c>
      <c r="L12" s="4">
        <v>125</v>
      </c>
      <c r="M12" t="s">
        <v>31</v>
      </c>
      <c r="N12" s="4">
        <v>125</v>
      </c>
      <c r="O12" t="s">
        <v>31</v>
      </c>
      <c r="X12" t="s">
        <v>32</v>
      </c>
      <c r="Y12"/>
      <c r="Z12">
        <v>20200131</v>
      </c>
      <c r="AA12">
        <f t="shared" si="0"/>
        <v>125</v>
      </c>
      <c r="AC12"/>
      <c r="AF12"/>
      <c r="AL12">
        <v>340712590</v>
      </c>
      <c r="AM12" t="s">
        <v>34</v>
      </c>
    </row>
    <row r="13" spans="1:39" x14ac:dyDescent="0.35">
      <c r="A13">
        <v>3407</v>
      </c>
      <c r="B13" t="s">
        <v>28</v>
      </c>
      <c r="C13">
        <v>2020</v>
      </c>
      <c r="D13" s="1">
        <v>43831</v>
      </c>
      <c r="E13">
        <v>224</v>
      </c>
      <c r="F13">
        <v>700041814</v>
      </c>
      <c r="G13" t="s">
        <v>29</v>
      </c>
      <c r="H13">
        <v>81</v>
      </c>
      <c r="I13">
        <v>71101060</v>
      </c>
      <c r="J13">
        <v>11500010</v>
      </c>
      <c r="K13" t="s">
        <v>30</v>
      </c>
      <c r="L13" s="4">
        <v>127.5</v>
      </c>
      <c r="M13" t="s">
        <v>31</v>
      </c>
      <c r="N13" s="4">
        <v>127.5</v>
      </c>
      <c r="O13" t="s">
        <v>31</v>
      </c>
      <c r="X13" t="s">
        <v>32</v>
      </c>
      <c r="Y13"/>
      <c r="Z13">
        <v>20200131</v>
      </c>
      <c r="AA13">
        <f t="shared" si="0"/>
        <v>127.5</v>
      </c>
      <c r="AC13"/>
      <c r="AF13"/>
      <c r="AL13">
        <v>340712590</v>
      </c>
      <c r="AM13" t="s">
        <v>34</v>
      </c>
    </row>
    <row r="14" spans="1:39" x14ac:dyDescent="0.35">
      <c r="A14">
        <v>3407</v>
      </c>
      <c r="B14" t="s">
        <v>28</v>
      </c>
      <c r="C14">
        <v>2020</v>
      </c>
      <c r="D14" s="1">
        <v>43831</v>
      </c>
      <c r="E14">
        <v>226</v>
      </c>
      <c r="F14">
        <v>700041814</v>
      </c>
      <c r="G14" t="s">
        <v>29</v>
      </c>
      <c r="H14">
        <v>81</v>
      </c>
      <c r="I14">
        <v>71101060</v>
      </c>
      <c r="J14">
        <v>11500010</v>
      </c>
      <c r="K14" t="s">
        <v>30</v>
      </c>
      <c r="L14" s="4">
        <v>240</v>
      </c>
      <c r="M14" t="s">
        <v>31</v>
      </c>
      <c r="N14" s="4">
        <v>240</v>
      </c>
      <c r="O14" t="s">
        <v>31</v>
      </c>
      <c r="X14" t="s">
        <v>32</v>
      </c>
      <c r="Y14"/>
      <c r="Z14">
        <v>20200131</v>
      </c>
      <c r="AA14">
        <f t="shared" si="0"/>
        <v>240</v>
      </c>
      <c r="AC14"/>
      <c r="AF14"/>
      <c r="AL14">
        <v>340712590</v>
      </c>
      <c r="AM14" t="s">
        <v>34</v>
      </c>
    </row>
    <row r="15" spans="1:39" x14ac:dyDescent="0.35">
      <c r="A15">
        <v>3406</v>
      </c>
      <c r="B15" t="s">
        <v>28</v>
      </c>
      <c r="C15">
        <v>2020</v>
      </c>
      <c r="D15" s="1">
        <v>43831</v>
      </c>
      <c r="E15">
        <v>352</v>
      </c>
      <c r="F15">
        <v>600031593</v>
      </c>
      <c r="G15" t="s">
        <v>29</v>
      </c>
      <c r="H15">
        <v>81</v>
      </c>
      <c r="I15">
        <v>71101060</v>
      </c>
      <c r="J15">
        <v>11500010</v>
      </c>
      <c r="K15" t="s">
        <v>30</v>
      </c>
      <c r="L15" s="4">
        <v>1093.3399999999999</v>
      </c>
      <c r="M15" t="s">
        <v>31</v>
      </c>
      <c r="N15" s="4">
        <v>1093.3399999999999</v>
      </c>
      <c r="O15" t="s">
        <v>31</v>
      </c>
      <c r="X15" t="s">
        <v>35</v>
      </c>
      <c r="Y15"/>
      <c r="Z15">
        <v>20200131</v>
      </c>
      <c r="AA15">
        <f t="shared" si="0"/>
        <v>1093.3399999999999</v>
      </c>
      <c r="AC15"/>
      <c r="AF15"/>
      <c r="AL15">
        <v>340612790</v>
      </c>
      <c r="AM15" t="s">
        <v>36</v>
      </c>
    </row>
    <row r="16" spans="1:39" x14ac:dyDescent="0.35">
      <c r="A16">
        <v>3406</v>
      </c>
      <c r="B16" t="s">
        <v>28</v>
      </c>
      <c r="C16">
        <v>2020</v>
      </c>
      <c r="D16" s="1">
        <v>43831</v>
      </c>
      <c r="E16">
        <v>368</v>
      </c>
      <c r="F16">
        <v>600031593</v>
      </c>
      <c r="G16" t="s">
        <v>29</v>
      </c>
      <c r="H16">
        <v>81</v>
      </c>
      <c r="I16">
        <v>71101060</v>
      </c>
      <c r="J16">
        <v>11500010</v>
      </c>
      <c r="K16" t="s">
        <v>30</v>
      </c>
      <c r="L16" s="4">
        <v>428</v>
      </c>
      <c r="M16" t="s">
        <v>31</v>
      </c>
      <c r="N16" s="4">
        <v>428</v>
      </c>
      <c r="O16" t="s">
        <v>31</v>
      </c>
      <c r="X16" t="s">
        <v>35</v>
      </c>
      <c r="Y16"/>
      <c r="Z16">
        <v>20200131</v>
      </c>
      <c r="AA16">
        <f t="shared" si="0"/>
        <v>428</v>
      </c>
      <c r="AC16"/>
      <c r="AF16"/>
      <c r="AL16">
        <v>340612790</v>
      </c>
      <c r="AM16" t="s">
        <v>36</v>
      </c>
    </row>
    <row r="17" spans="1:39" x14ac:dyDescent="0.35">
      <c r="A17">
        <v>3401</v>
      </c>
      <c r="B17" t="s">
        <v>28</v>
      </c>
      <c r="C17">
        <v>2020</v>
      </c>
      <c r="D17" s="1">
        <v>43831</v>
      </c>
      <c r="E17">
        <v>164</v>
      </c>
      <c r="F17">
        <v>100031793</v>
      </c>
      <c r="G17" t="s">
        <v>29</v>
      </c>
      <c r="H17">
        <v>81</v>
      </c>
      <c r="I17">
        <v>71101060</v>
      </c>
      <c r="J17">
        <v>11500010</v>
      </c>
      <c r="K17" t="s">
        <v>30</v>
      </c>
      <c r="L17" s="4">
        <v>4708</v>
      </c>
      <c r="M17" t="s">
        <v>31</v>
      </c>
      <c r="N17" s="4">
        <v>4708</v>
      </c>
      <c r="O17" t="s">
        <v>31</v>
      </c>
      <c r="X17" t="s">
        <v>28</v>
      </c>
      <c r="Y17"/>
      <c r="Z17">
        <v>20200131</v>
      </c>
      <c r="AA17">
        <f>L17</f>
        <v>4708</v>
      </c>
      <c r="AC17"/>
      <c r="AF17"/>
      <c r="AL17">
        <v>340112490</v>
      </c>
      <c r="AM17" t="s">
        <v>37</v>
      </c>
    </row>
    <row r="18" spans="1:39" x14ac:dyDescent="0.35">
      <c r="A18">
        <v>3401</v>
      </c>
      <c r="B18" t="s">
        <v>28</v>
      </c>
      <c r="C18">
        <v>2020</v>
      </c>
      <c r="D18" s="1">
        <v>43831</v>
      </c>
      <c r="E18">
        <v>182</v>
      </c>
      <c r="F18">
        <v>100031793</v>
      </c>
      <c r="G18" t="s">
        <v>29</v>
      </c>
      <c r="H18">
        <v>81</v>
      </c>
      <c r="I18">
        <v>71101060</v>
      </c>
      <c r="J18">
        <v>11500010</v>
      </c>
      <c r="K18" t="s">
        <v>30</v>
      </c>
      <c r="L18" s="4">
        <v>2194.4699999999998</v>
      </c>
      <c r="M18" t="s">
        <v>31</v>
      </c>
      <c r="N18" s="4">
        <v>2194.4699999999998</v>
      </c>
      <c r="O18" t="s">
        <v>31</v>
      </c>
      <c r="X18" t="s">
        <v>28</v>
      </c>
      <c r="Y18"/>
      <c r="Z18">
        <v>20200131</v>
      </c>
      <c r="AA18">
        <f t="shared" ref="AA18:AA81" si="1">L18</f>
        <v>2194.4699999999998</v>
      </c>
      <c r="AC18"/>
      <c r="AF18"/>
      <c r="AL18">
        <v>340112490</v>
      </c>
      <c r="AM18" t="s">
        <v>37</v>
      </c>
    </row>
    <row r="19" spans="1:39" x14ac:dyDescent="0.35">
      <c r="A19">
        <v>3407</v>
      </c>
      <c r="B19" t="s">
        <v>28</v>
      </c>
      <c r="C19">
        <v>2020</v>
      </c>
      <c r="D19" s="1">
        <v>43831</v>
      </c>
      <c r="E19">
        <v>276</v>
      </c>
      <c r="F19">
        <v>700041825</v>
      </c>
      <c r="G19" t="s">
        <v>29</v>
      </c>
      <c r="H19">
        <v>81</v>
      </c>
      <c r="I19">
        <v>71101060</v>
      </c>
      <c r="J19">
        <v>11500050</v>
      </c>
      <c r="K19" t="s">
        <v>30</v>
      </c>
      <c r="L19" s="4">
        <v>14320</v>
      </c>
      <c r="M19" t="s">
        <v>31</v>
      </c>
      <c r="N19" s="4">
        <v>14320</v>
      </c>
      <c r="O19" t="s">
        <v>31</v>
      </c>
      <c r="X19" t="s">
        <v>32</v>
      </c>
      <c r="Y19"/>
      <c r="Z19">
        <v>20200131</v>
      </c>
      <c r="AA19">
        <f t="shared" si="1"/>
        <v>14320</v>
      </c>
      <c r="AC19"/>
      <c r="AF19"/>
      <c r="AL19">
        <v>340717690</v>
      </c>
      <c r="AM19" t="s">
        <v>33</v>
      </c>
    </row>
    <row r="20" spans="1:39" x14ac:dyDescent="0.35">
      <c r="A20">
        <v>3407</v>
      </c>
      <c r="B20" t="s">
        <v>28</v>
      </c>
      <c r="C20">
        <v>2020</v>
      </c>
      <c r="D20" s="1">
        <v>43831</v>
      </c>
      <c r="E20">
        <v>278</v>
      </c>
      <c r="F20">
        <v>700041825</v>
      </c>
      <c r="G20" t="s">
        <v>29</v>
      </c>
      <c r="H20">
        <v>81</v>
      </c>
      <c r="I20">
        <v>71101060</v>
      </c>
      <c r="J20">
        <v>11500050</v>
      </c>
      <c r="K20" t="s">
        <v>30</v>
      </c>
      <c r="L20" s="4">
        <v>680</v>
      </c>
      <c r="M20" t="s">
        <v>31</v>
      </c>
      <c r="N20" s="4">
        <v>680</v>
      </c>
      <c r="O20" t="s">
        <v>31</v>
      </c>
      <c r="X20" t="s">
        <v>32</v>
      </c>
      <c r="Y20"/>
      <c r="Z20">
        <v>20200131</v>
      </c>
      <c r="AA20">
        <f t="shared" si="1"/>
        <v>680</v>
      </c>
      <c r="AC20"/>
      <c r="AF20"/>
      <c r="AL20">
        <v>340717690</v>
      </c>
      <c r="AM20" t="s">
        <v>33</v>
      </c>
    </row>
    <row r="21" spans="1:39" x14ac:dyDescent="0.35">
      <c r="A21">
        <v>3407</v>
      </c>
      <c r="B21" t="s">
        <v>28</v>
      </c>
      <c r="C21">
        <v>2020</v>
      </c>
      <c r="D21" s="1">
        <v>43831</v>
      </c>
      <c r="E21">
        <v>280</v>
      </c>
      <c r="F21">
        <v>700041825</v>
      </c>
      <c r="G21" t="s">
        <v>29</v>
      </c>
      <c r="H21">
        <v>81</v>
      </c>
      <c r="I21">
        <v>71101060</v>
      </c>
      <c r="J21">
        <v>11500050</v>
      </c>
      <c r="K21" t="s">
        <v>30</v>
      </c>
      <c r="L21" s="4">
        <v>680</v>
      </c>
      <c r="M21" t="s">
        <v>31</v>
      </c>
      <c r="N21" s="4">
        <v>680</v>
      </c>
      <c r="O21" t="s">
        <v>31</v>
      </c>
      <c r="X21" t="s">
        <v>32</v>
      </c>
      <c r="Y21"/>
      <c r="Z21">
        <v>20200131</v>
      </c>
      <c r="AA21">
        <f t="shared" si="1"/>
        <v>680</v>
      </c>
      <c r="AC21"/>
      <c r="AF21"/>
      <c r="AL21">
        <v>340717690</v>
      </c>
      <c r="AM21" t="s">
        <v>33</v>
      </c>
    </row>
    <row r="22" spans="1:39" x14ac:dyDescent="0.35">
      <c r="A22">
        <v>3407</v>
      </c>
      <c r="B22" t="s">
        <v>28</v>
      </c>
      <c r="C22">
        <v>2020</v>
      </c>
      <c r="D22" s="1">
        <v>43831</v>
      </c>
      <c r="E22">
        <v>288</v>
      </c>
      <c r="F22">
        <v>700041825</v>
      </c>
      <c r="G22" t="s">
        <v>29</v>
      </c>
      <c r="H22">
        <v>81</v>
      </c>
      <c r="I22">
        <v>71101060</v>
      </c>
      <c r="J22">
        <v>11500050</v>
      </c>
      <c r="K22" t="s">
        <v>30</v>
      </c>
      <c r="L22" s="4">
        <v>1015.74</v>
      </c>
      <c r="M22" t="s">
        <v>31</v>
      </c>
      <c r="N22" s="4">
        <v>1015.74</v>
      </c>
      <c r="O22" t="s">
        <v>31</v>
      </c>
      <c r="X22" t="s">
        <v>32</v>
      </c>
      <c r="Y22"/>
      <c r="Z22">
        <v>20200131</v>
      </c>
      <c r="AA22">
        <f t="shared" si="1"/>
        <v>1015.74</v>
      </c>
      <c r="AC22"/>
      <c r="AF22"/>
      <c r="AL22">
        <v>340717690</v>
      </c>
      <c r="AM22" t="s">
        <v>33</v>
      </c>
    </row>
    <row r="23" spans="1:39" x14ac:dyDescent="0.35">
      <c r="A23">
        <v>3407</v>
      </c>
      <c r="B23" t="s">
        <v>28</v>
      </c>
      <c r="C23">
        <v>2020</v>
      </c>
      <c r="D23" s="1">
        <v>43831</v>
      </c>
      <c r="E23">
        <v>290</v>
      </c>
      <c r="F23">
        <v>700041825</v>
      </c>
      <c r="G23" t="s">
        <v>29</v>
      </c>
      <c r="H23">
        <v>81</v>
      </c>
      <c r="I23">
        <v>71101060</v>
      </c>
      <c r="J23">
        <v>11500050</v>
      </c>
      <c r="K23" t="s">
        <v>30</v>
      </c>
      <c r="L23" s="4">
        <v>2712.64</v>
      </c>
      <c r="M23" t="s">
        <v>31</v>
      </c>
      <c r="N23" s="4">
        <v>2712.64</v>
      </c>
      <c r="O23" t="s">
        <v>31</v>
      </c>
      <c r="X23" t="s">
        <v>32</v>
      </c>
      <c r="Y23"/>
      <c r="Z23">
        <v>20200131</v>
      </c>
      <c r="AA23">
        <f t="shared" si="1"/>
        <v>2712.64</v>
      </c>
      <c r="AC23"/>
      <c r="AF23"/>
      <c r="AL23">
        <v>340717690</v>
      </c>
      <c r="AM23" t="s">
        <v>33</v>
      </c>
    </row>
    <row r="24" spans="1:39" x14ac:dyDescent="0.35">
      <c r="A24">
        <v>3407</v>
      </c>
      <c r="B24" t="s">
        <v>28</v>
      </c>
      <c r="C24">
        <v>2020</v>
      </c>
      <c r="D24" s="1">
        <v>43831</v>
      </c>
      <c r="E24">
        <v>294</v>
      </c>
      <c r="F24">
        <v>700041825</v>
      </c>
      <c r="G24" t="s">
        <v>29</v>
      </c>
      <c r="H24">
        <v>81</v>
      </c>
      <c r="I24">
        <v>71101060</v>
      </c>
      <c r="J24">
        <v>11500050</v>
      </c>
      <c r="K24" t="s">
        <v>30</v>
      </c>
      <c r="L24" s="4">
        <v>54.81</v>
      </c>
      <c r="M24" t="s">
        <v>31</v>
      </c>
      <c r="N24" s="4">
        <v>54.81</v>
      </c>
      <c r="O24" t="s">
        <v>31</v>
      </c>
      <c r="X24" t="s">
        <v>32</v>
      </c>
      <c r="Y24"/>
      <c r="Z24">
        <v>20200131</v>
      </c>
      <c r="AA24">
        <f t="shared" si="1"/>
        <v>54.81</v>
      </c>
      <c r="AC24"/>
      <c r="AF24"/>
      <c r="AL24">
        <v>340717690</v>
      </c>
      <c r="AM24" t="s">
        <v>33</v>
      </c>
    </row>
    <row r="25" spans="1:39" x14ac:dyDescent="0.35">
      <c r="A25">
        <v>3402</v>
      </c>
      <c r="B25" t="s">
        <v>28</v>
      </c>
      <c r="C25">
        <v>2020</v>
      </c>
      <c r="D25" s="1">
        <v>43831</v>
      </c>
      <c r="E25">
        <v>132</v>
      </c>
      <c r="F25">
        <v>200114473</v>
      </c>
      <c r="G25" t="s">
        <v>29</v>
      </c>
      <c r="H25">
        <v>81</v>
      </c>
      <c r="I25">
        <v>71101060</v>
      </c>
      <c r="J25">
        <v>11500010</v>
      </c>
      <c r="K25" t="s">
        <v>30</v>
      </c>
      <c r="L25" s="4">
        <v>1284</v>
      </c>
      <c r="M25" t="s">
        <v>31</v>
      </c>
      <c r="N25" s="4">
        <v>1284</v>
      </c>
      <c r="O25" t="s">
        <v>31</v>
      </c>
      <c r="X25" t="s">
        <v>35</v>
      </c>
      <c r="Y25"/>
      <c r="Z25">
        <v>20200131</v>
      </c>
      <c r="AA25">
        <f t="shared" si="1"/>
        <v>1284</v>
      </c>
      <c r="AC25"/>
      <c r="AF25"/>
      <c r="AL25">
        <v>340212790</v>
      </c>
      <c r="AM25" t="s">
        <v>38</v>
      </c>
    </row>
    <row r="26" spans="1:39" x14ac:dyDescent="0.35">
      <c r="A26">
        <v>3402</v>
      </c>
      <c r="B26" t="s">
        <v>28</v>
      </c>
      <c r="C26">
        <v>2020</v>
      </c>
      <c r="D26" s="1">
        <v>43831</v>
      </c>
      <c r="E26">
        <v>142</v>
      </c>
      <c r="F26">
        <v>200114473</v>
      </c>
      <c r="G26" t="s">
        <v>29</v>
      </c>
      <c r="H26">
        <v>81</v>
      </c>
      <c r="I26">
        <v>71101060</v>
      </c>
      <c r="J26">
        <v>11500010</v>
      </c>
      <c r="K26" t="s">
        <v>30</v>
      </c>
      <c r="L26" s="4">
        <v>520.29999999999995</v>
      </c>
      <c r="M26" t="s">
        <v>31</v>
      </c>
      <c r="N26" s="4">
        <v>520.29999999999995</v>
      </c>
      <c r="O26" t="s">
        <v>31</v>
      </c>
      <c r="X26" t="s">
        <v>35</v>
      </c>
      <c r="Y26"/>
      <c r="Z26">
        <v>20200131</v>
      </c>
      <c r="AA26">
        <f t="shared" si="1"/>
        <v>520.29999999999995</v>
      </c>
      <c r="AC26"/>
      <c r="AF26"/>
      <c r="AL26">
        <v>340212790</v>
      </c>
      <c r="AM26" t="s">
        <v>38</v>
      </c>
    </row>
    <row r="27" spans="1:39" x14ac:dyDescent="0.35">
      <c r="A27">
        <v>3402</v>
      </c>
      <c r="B27" t="s">
        <v>28</v>
      </c>
      <c r="C27">
        <v>2020</v>
      </c>
      <c r="D27" s="1">
        <v>43831</v>
      </c>
      <c r="E27">
        <v>144</v>
      </c>
      <c r="F27">
        <v>200114473</v>
      </c>
      <c r="G27" t="s">
        <v>29</v>
      </c>
      <c r="H27">
        <v>81</v>
      </c>
      <c r="I27">
        <v>71101060</v>
      </c>
      <c r="J27">
        <v>11500010</v>
      </c>
      <c r="K27" t="s">
        <v>30</v>
      </c>
      <c r="L27" s="4">
        <v>370</v>
      </c>
      <c r="M27" t="s">
        <v>31</v>
      </c>
      <c r="N27" s="4">
        <v>370</v>
      </c>
      <c r="O27" t="s">
        <v>31</v>
      </c>
      <c r="X27" t="s">
        <v>35</v>
      </c>
      <c r="Y27"/>
      <c r="Z27">
        <v>20200131</v>
      </c>
      <c r="AA27">
        <f t="shared" si="1"/>
        <v>370</v>
      </c>
      <c r="AC27"/>
      <c r="AF27"/>
      <c r="AL27">
        <v>340212790</v>
      </c>
      <c r="AM27" t="s">
        <v>38</v>
      </c>
    </row>
    <row r="28" spans="1:39" x14ac:dyDescent="0.35">
      <c r="A28">
        <v>3402</v>
      </c>
      <c r="B28" t="s">
        <v>28</v>
      </c>
      <c r="C28">
        <v>2020</v>
      </c>
      <c r="D28" s="1">
        <v>43831</v>
      </c>
      <c r="E28">
        <v>146</v>
      </c>
      <c r="F28">
        <v>200114473</v>
      </c>
      <c r="G28" t="s">
        <v>29</v>
      </c>
      <c r="H28">
        <v>81</v>
      </c>
      <c r="I28">
        <v>71101060</v>
      </c>
      <c r="J28">
        <v>11500010</v>
      </c>
      <c r="K28" t="s">
        <v>30</v>
      </c>
      <c r="L28" s="4">
        <v>413.44</v>
      </c>
      <c r="M28" t="s">
        <v>31</v>
      </c>
      <c r="N28" s="4">
        <v>413.44</v>
      </c>
      <c r="O28" t="s">
        <v>31</v>
      </c>
      <c r="X28" t="s">
        <v>35</v>
      </c>
      <c r="Y28"/>
      <c r="Z28">
        <v>20200131</v>
      </c>
      <c r="AA28">
        <f t="shared" si="1"/>
        <v>413.44</v>
      </c>
      <c r="AC28"/>
      <c r="AF28"/>
      <c r="AL28">
        <v>340212790</v>
      </c>
      <c r="AM28" t="s">
        <v>38</v>
      </c>
    </row>
    <row r="29" spans="1:39" x14ac:dyDescent="0.35">
      <c r="A29">
        <v>3402</v>
      </c>
      <c r="B29" t="s">
        <v>28</v>
      </c>
      <c r="C29">
        <v>2020</v>
      </c>
      <c r="D29" s="1">
        <v>43831</v>
      </c>
      <c r="E29">
        <v>148</v>
      </c>
      <c r="F29">
        <v>200114473</v>
      </c>
      <c r="G29" t="s">
        <v>29</v>
      </c>
      <c r="H29">
        <v>81</v>
      </c>
      <c r="I29">
        <v>71101060</v>
      </c>
      <c r="J29">
        <v>11500010</v>
      </c>
      <c r="K29" t="s">
        <v>30</v>
      </c>
      <c r="L29" s="4">
        <v>612</v>
      </c>
      <c r="M29" t="s">
        <v>31</v>
      </c>
      <c r="N29" s="4">
        <v>612</v>
      </c>
      <c r="O29" t="s">
        <v>31</v>
      </c>
      <c r="X29" t="s">
        <v>35</v>
      </c>
      <c r="Y29"/>
      <c r="Z29">
        <v>20200131</v>
      </c>
      <c r="AA29">
        <f t="shared" si="1"/>
        <v>612</v>
      </c>
      <c r="AC29"/>
      <c r="AF29"/>
      <c r="AL29">
        <v>340212790</v>
      </c>
      <c r="AM29" t="s">
        <v>38</v>
      </c>
    </row>
    <row r="30" spans="1:39" x14ac:dyDescent="0.35">
      <c r="A30">
        <v>3402</v>
      </c>
      <c r="B30" t="s">
        <v>28</v>
      </c>
      <c r="C30">
        <v>2020</v>
      </c>
      <c r="D30" s="1">
        <v>43831</v>
      </c>
      <c r="E30">
        <v>152</v>
      </c>
      <c r="F30">
        <v>200114473</v>
      </c>
      <c r="G30" t="s">
        <v>29</v>
      </c>
      <c r="H30">
        <v>81</v>
      </c>
      <c r="I30">
        <v>71101060</v>
      </c>
      <c r="J30">
        <v>11500010</v>
      </c>
      <c r="K30" t="s">
        <v>30</v>
      </c>
      <c r="L30" s="4">
        <v>1867.76</v>
      </c>
      <c r="M30" t="s">
        <v>31</v>
      </c>
      <c r="N30" s="4">
        <v>1867.76</v>
      </c>
      <c r="O30" t="s">
        <v>31</v>
      </c>
      <c r="X30" t="s">
        <v>35</v>
      </c>
      <c r="Y30"/>
      <c r="Z30">
        <v>20200131</v>
      </c>
      <c r="AA30">
        <f t="shared" si="1"/>
        <v>1867.76</v>
      </c>
      <c r="AC30"/>
      <c r="AF30"/>
      <c r="AL30">
        <v>340212790</v>
      </c>
      <c r="AM30" t="s">
        <v>38</v>
      </c>
    </row>
    <row r="31" spans="1:39" x14ac:dyDescent="0.35">
      <c r="A31">
        <v>3402</v>
      </c>
      <c r="B31" t="s">
        <v>28</v>
      </c>
      <c r="C31">
        <v>2020</v>
      </c>
      <c r="D31" s="1">
        <v>43831</v>
      </c>
      <c r="E31">
        <v>168</v>
      </c>
      <c r="F31">
        <v>200114473</v>
      </c>
      <c r="G31" t="s">
        <v>29</v>
      </c>
      <c r="H31">
        <v>81</v>
      </c>
      <c r="I31">
        <v>71101060</v>
      </c>
      <c r="J31">
        <v>11500010</v>
      </c>
      <c r="K31" t="s">
        <v>30</v>
      </c>
      <c r="L31" s="4">
        <v>5466.7</v>
      </c>
      <c r="M31" t="s">
        <v>31</v>
      </c>
      <c r="N31" s="4">
        <v>5466.7</v>
      </c>
      <c r="O31" t="s">
        <v>31</v>
      </c>
      <c r="X31" t="s">
        <v>35</v>
      </c>
      <c r="Y31"/>
      <c r="Z31">
        <v>20200131</v>
      </c>
      <c r="AA31">
        <f t="shared" si="1"/>
        <v>5466.7</v>
      </c>
      <c r="AC31"/>
      <c r="AF31"/>
      <c r="AL31">
        <v>340212790</v>
      </c>
      <c r="AM31" t="s">
        <v>38</v>
      </c>
    </row>
    <row r="32" spans="1:39" x14ac:dyDescent="0.35">
      <c r="A32">
        <v>3401</v>
      </c>
      <c r="B32" t="s">
        <v>28</v>
      </c>
      <c r="C32">
        <v>2020</v>
      </c>
      <c r="D32" s="1">
        <v>43831</v>
      </c>
      <c r="E32">
        <v>126</v>
      </c>
      <c r="F32">
        <v>100031796</v>
      </c>
      <c r="G32" t="s">
        <v>29</v>
      </c>
      <c r="H32">
        <v>81</v>
      </c>
      <c r="I32">
        <v>71101060</v>
      </c>
      <c r="J32">
        <v>11500040</v>
      </c>
      <c r="K32" t="s">
        <v>30</v>
      </c>
      <c r="L32" s="4">
        <v>428</v>
      </c>
      <c r="M32" t="s">
        <v>31</v>
      </c>
      <c r="N32" s="4">
        <v>428</v>
      </c>
      <c r="O32" t="s">
        <v>31</v>
      </c>
      <c r="X32" t="s">
        <v>28</v>
      </c>
      <c r="Y32"/>
      <c r="Z32">
        <v>20200131</v>
      </c>
      <c r="AA32">
        <f t="shared" si="1"/>
        <v>428</v>
      </c>
      <c r="AC32"/>
      <c r="AF32"/>
      <c r="AL32">
        <v>340112790</v>
      </c>
      <c r="AM32" t="s">
        <v>37</v>
      </c>
    </row>
    <row r="33" spans="1:39" x14ac:dyDescent="0.35">
      <c r="A33">
        <v>3401</v>
      </c>
      <c r="B33" t="s">
        <v>28</v>
      </c>
      <c r="C33">
        <v>2020</v>
      </c>
      <c r="D33" s="1">
        <v>43831</v>
      </c>
      <c r="E33">
        <v>130</v>
      </c>
      <c r="F33">
        <v>100031796</v>
      </c>
      <c r="G33" t="s">
        <v>29</v>
      </c>
      <c r="H33">
        <v>81</v>
      </c>
      <c r="I33">
        <v>71101060</v>
      </c>
      <c r="J33">
        <v>11500040</v>
      </c>
      <c r="K33" t="s">
        <v>30</v>
      </c>
      <c r="L33" s="4">
        <v>112.7</v>
      </c>
      <c r="M33" t="s">
        <v>31</v>
      </c>
      <c r="N33" s="4">
        <v>112.7</v>
      </c>
      <c r="O33" t="s">
        <v>31</v>
      </c>
      <c r="X33" t="s">
        <v>28</v>
      </c>
      <c r="Y33"/>
      <c r="Z33">
        <v>20200131</v>
      </c>
      <c r="AA33">
        <f t="shared" si="1"/>
        <v>112.7</v>
      </c>
      <c r="AC33"/>
      <c r="AF33"/>
      <c r="AL33">
        <v>340112790</v>
      </c>
      <c r="AM33" t="s">
        <v>37</v>
      </c>
    </row>
    <row r="34" spans="1:39" x14ac:dyDescent="0.35">
      <c r="A34">
        <v>3401</v>
      </c>
      <c r="B34" t="s">
        <v>28</v>
      </c>
      <c r="C34">
        <v>2020</v>
      </c>
      <c r="D34" s="1">
        <v>43831</v>
      </c>
      <c r="E34">
        <v>146</v>
      </c>
      <c r="F34">
        <v>100031796</v>
      </c>
      <c r="G34" t="s">
        <v>29</v>
      </c>
      <c r="H34">
        <v>81</v>
      </c>
      <c r="I34">
        <v>71101060</v>
      </c>
      <c r="J34">
        <v>11500040</v>
      </c>
      <c r="K34" t="s">
        <v>30</v>
      </c>
      <c r="L34" s="4">
        <v>5466.7</v>
      </c>
      <c r="M34" t="s">
        <v>31</v>
      </c>
      <c r="N34" s="4">
        <v>5466.7</v>
      </c>
      <c r="O34" t="s">
        <v>31</v>
      </c>
      <c r="X34" t="s">
        <v>28</v>
      </c>
      <c r="Y34"/>
      <c r="Z34">
        <v>20200131</v>
      </c>
      <c r="AA34">
        <f t="shared" si="1"/>
        <v>5466.7</v>
      </c>
      <c r="AC34"/>
      <c r="AF34"/>
      <c r="AL34">
        <v>340112790</v>
      </c>
      <c r="AM34" t="s">
        <v>37</v>
      </c>
    </row>
    <row r="35" spans="1:39" x14ac:dyDescent="0.35">
      <c r="A35">
        <v>3401</v>
      </c>
      <c r="B35" t="s">
        <v>28</v>
      </c>
      <c r="C35">
        <v>2020</v>
      </c>
      <c r="D35" s="1">
        <v>43831</v>
      </c>
      <c r="E35">
        <v>148</v>
      </c>
      <c r="F35">
        <v>100031796</v>
      </c>
      <c r="G35" t="s">
        <v>29</v>
      </c>
      <c r="H35">
        <v>81</v>
      </c>
      <c r="I35">
        <v>71101060</v>
      </c>
      <c r="J35">
        <v>11500040</v>
      </c>
      <c r="K35" t="s">
        <v>30</v>
      </c>
      <c r="L35" s="4">
        <v>1933.33</v>
      </c>
      <c r="M35" t="s">
        <v>31</v>
      </c>
      <c r="N35" s="4">
        <v>1933.33</v>
      </c>
      <c r="O35" t="s">
        <v>31</v>
      </c>
      <c r="X35" t="s">
        <v>28</v>
      </c>
      <c r="Y35"/>
      <c r="Z35">
        <v>20200131</v>
      </c>
      <c r="AA35">
        <f t="shared" si="1"/>
        <v>1933.33</v>
      </c>
      <c r="AC35"/>
      <c r="AF35"/>
      <c r="AL35">
        <v>340112790</v>
      </c>
      <c r="AM35" t="s">
        <v>37</v>
      </c>
    </row>
    <row r="36" spans="1:39" x14ac:dyDescent="0.35">
      <c r="A36">
        <v>3407</v>
      </c>
      <c r="B36" t="s">
        <v>28</v>
      </c>
      <c r="C36">
        <v>2020</v>
      </c>
      <c r="D36" s="1">
        <v>43831</v>
      </c>
      <c r="E36">
        <v>118</v>
      </c>
      <c r="F36">
        <v>700041806</v>
      </c>
      <c r="G36" t="s">
        <v>29</v>
      </c>
      <c r="H36">
        <v>81</v>
      </c>
      <c r="I36">
        <v>71101060</v>
      </c>
      <c r="J36">
        <v>11500010</v>
      </c>
      <c r="K36" t="s">
        <v>30</v>
      </c>
      <c r="L36" s="4">
        <v>100</v>
      </c>
      <c r="M36" t="s">
        <v>31</v>
      </c>
      <c r="N36" s="4">
        <v>100</v>
      </c>
      <c r="O36" t="s">
        <v>31</v>
      </c>
      <c r="X36" t="s">
        <v>32</v>
      </c>
      <c r="Y36"/>
      <c r="Z36">
        <v>20200131</v>
      </c>
      <c r="AA36">
        <f t="shared" si="1"/>
        <v>100</v>
      </c>
      <c r="AC36"/>
      <c r="AF36"/>
      <c r="AL36">
        <v>340712690</v>
      </c>
      <c r="AM36" t="s">
        <v>33</v>
      </c>
    </row>
    <row r="37" spans="1:39" x14ac:dyDescent="0.35">
      <c r="A37">
        <v>3407</v>
      </c>
      <c r="B37" t="s">
        <v>28</v>
      </c>
      <c r="C37">
        <v>2020</v>
      </c>
      <c r="D37" s="1">
        <v>43831</v>
      </c>
      <c r="E37">
        <v>126</v>
      </c>
      <c r="F37">
        <v>700041806</v>
      </c>
      <c r="G37" t="s">
        <v>29</v>
      </c>
      <c r="H37">
        <v>81</v>
      </c>
      <c r="I37">
        <v>71101060</v>
      </c>
      <c r="J37">
        <v>11500010</v>
      </c>
      <c r="K37" t="s">
        <v>30</v>
      </c>
      <c r="L37" s="4">
        <v>229.5</v>
      </c>
      <c r="M37" t="s">
        <v>31</v>
      </c>
      <c r="N37" s="4">
        <v>229.5</v>
      </c>
      <c r="O37" t="s">
        <v>31</v>
      </c>
      <c r="X37" t="s">
        <v>32</v>
      </c>
      <c r="Y37"/>
      <c r="Z37">
        <v>20200131</v>
      </c>
      <c r="AA37">
        <f t="shared" si="1"/>
        <v>229.5</v>
      </c>
      <c r="AC37"/>
      <c r="AF37"/>
      <c r="AL37">
        <v>340712690</v>
      </c>
      <c r="AM37" t="s">
        <v>33</v>
      </c>
    </row>
    <row r="38" spans="1:39" x14ac:dyDescent="0.35">
      <c r="A38">
        <v>3403</v>
      </c>
      <c r="B38" t="s">
        <v>39</v>
      </c>
      <c r="C38">
        <v>2020</v>
      </c>
      <c r="D38" s="1">
        <v>43831</v>
      </c>
      <c r="E38">
        <v>4</v>
      </c>
      <c r="F38">
        <v>300007983</v>
      </c>
      <c r="G38" t="s">
        <v>29</v>
      </c>
      <c r="H38">
        <v>81</v>
      </c>
      <c r="I38">
        <v>71101060</v>
      </c>
      <c r="J38">
        <v>11500050</v>
      </c>
      <c r="K38" t="s">
        <v>30</v>
      </c>
      <c r="L38" s="4">
        <v>3444.75</v>
      </c>
      <c r="M38" t="s">
        <v>31</v>
      </c>
      <c r="N38" s="4">
        <v>3444.75</v>
      </c>
      <c r="O38" t="s">
        <v>31</v>
      </c>
      <c r="X38" t="s">
        <v>39</v>
      </c>
      <c r="Y38"/>
      <c r="Z38">
        <v>20200115</v>
      </c>
      <c r="AA38">
        <f t="shared" si="1"/>
        <v>3444.75</v>
      </c>
      <c r="AC38"/>
      <c r="AF38"/>
      <c r="AL38">
        <v>340317690</v>
      </c>
      <c r="AM38" t="s">
        <v>40</v>
      </c>
    </row>
    <row r="39" spans="1:39" x14ac:dyDescent="0.35">
      <c r="A39">
        <v>3403</v>
      </c>
      <c r="B39" t="s">
        <v>39</v>
      </c>
      <c r="C39">
        <v>2020</v>
      </c>
      <c r="D39" s="1">
        <v>43831</v>
      </c>
      <c r="E39">
        <v>6</v>
      </c>
      <c r="F39">
        <v>300007983</v>
      </c>
      <c r="G39" t="s">
        <v>29</v>
      </c>
      <c r="H39">
        <v>81</v>
      </c>
      <c r="I39">
        <v>71101060</v>
      </c>
      <c r="J39">
        <v>11500050</v>
      </c>
      <c r="K39" t="s">
        <v>30</v>
      </c>
      <c r="L39" s="4">
        <v>9188</v>
      </c>
      <c r="M39" t="s">
        <v>31</v>
      </c>
      <c r="N39" s="4">
        <v>9188</v>
      </c>
      <c r="O39" t="s">
        <v>31</v>
      </c>
      <c r="X39" t="s">
        <v>39</v>
      </c>
      <c r="Y39"/>
      <c r="Z39">
        <v>20200115</v>
      </c>
      <c r="AA39">
        <f t="shared" si="1"/>
        <v>9188</v>
      </c>
      <c r="AC39"/>
      <c r="AF39"/>
      <c r="AL39">
        <v>340317690</v>
      </c>
      <c r="AM39" t="s">
        <v>40</v>
      </c>
    </row>
    <row r="40" spans="1:39" x14ac:dyDescent="0.35">
      <c r="A40">
        <v>3407</v>
      </c>
      <c r="B40" t="s">
        <v>28</v>
      </c>
      <c r="C40">
        <v>2020</v>
      </c>
      <c r="D40" s="1">
        <v>43831</v>
      </c>
      <c r="E40">
        <v>110</v>
      </c>
      <c r="F40">
        <v>700041835</v>
      </c>
      <c r="G40" t="s">
        <v>29</v>
      </c>
      <c r="H40">
        <v>81</v>
      </c>
      <c r="I40">
        <v>71101060</v>
      </c>
      <c r="J40">
        <v>11500010</v>
      </c>
      <c r="K40" t="s">
        <v>30</v>
      </c>
      <c r="L40" s="4">
        <v>127.5</v>
      </c>
      <c r="M40" t="s">
        <v>31</v>
      </c>
      <c r="N40" s="4">
        <v>127.5</v>
      </c>
      <c r="O40" t="s">
        <v>31</v>
      </c>
      <c r="X40" t="s">
        <v>32</v>
      </c>
      <c r="Y40"/>
      <c r="Z40">
        <v>20200131</v>
      </c>
      <c r="AA40">
        <f t="shared" si="1"/>
        <v>127.5</v>
      </c>
      <c r="AC40"/>
      <c r="AF40"/>
      <c r="AL40">
        <v>340713090</v>
      </c>
      <c r="AM40" t="s">
        <v>33</v>
      </c>
    </row>
    <row r="41" spans="1:39" x14ac:dyDescent="0.35">
      <c r="A41">
        <v>3407</v>
      </c>
      <c r="B41" t="s">
        <v>28</v>
      </c>
      <c r="C41">
        <v>2020</v>
      </c>
      <c r="D41" s="1">
        <v>43831</v>
      </c>
      <c r="E41">
        <v>112</v>
      </c>
      <c r="F41">
        <v>700041835</v>
      </c>
      <c r="G41" t="s">
        <v>29</v>
      </c>
      <c r="H41">
        <v>81</v>
      </c>
      <c r="I41">
        <v>71101060</v>
      </c>
      <c r="J41">
        <v>11500010</v>
      </c>
      <c r="K41" t="s">
        <v>30</v>
      </c>
      <c r="L41" s="4">
        <v>120</v>
      </c>
      <c r="M41" t="s">
        <v>31</v>
      </c>
      <c r="N41" s="4">
        <v>120</v>
      </c>
      <c r="O41" t="s">
        <v>31</v>
      </c>
      <c r="X41" t="s">
        <v>32</v>
      </c>
      <c r="Y41"/>
      <c r="Z41">
        <v>20200131</v>
      </c>
      <c r="AA41">
        <f t="shared" si="1"/>
        <v>120</v>
      </c>
      <c r="AC41"/>
      <c r="AF41"/>
      <c r="AL41">
        <v>340713090</v>
      </c>
      <c r="AM41" t="s">
        <v>33</v>
      </c>
    </row>
    <row r="42" spans="1:39" x14ac:dyDescent="0.35">
      <c r="A42">
        <v>3407</v>
      </c>
      <c r="B42" t="s">
        <v>28</v>
      </c>
      <c r="C42">
        <v>2020</v>
      </c>
      <c r="D42" s="1">
        <v>43831</v>
      </c>
      <c r="E42">
        <v>120</v>
      </c>
      <c r="F42">
        <v>700041835</v>
      </c>
      <c r="G42" t="s">
        <v>29</v>
      </c>
      <c r="H42">
        <v>81</v>
      </c>
      <c r="I42">
        <v>71101060</v>
      </c>
      <c r="J42">
        <v>11500010</v>
      </c>
      <c r="K42" t="s">
        <v>30</v>
      </c>
      <c r="L42" s="4">
        <v>2600</v>
      </c>
      <c r="M42" t="s">
        <v>31</v>
      </c>
      <c r="N42" s="4">
        <v>2600</v>
      </c>
      <c r="O42" t="s">
        <v>31</v>
      </c>
      <c r="X42" t="s">
        <v>32</v>
      </c>
      <c r="Y42"/>
      <c r="Z42">
        <v>20200131</v>
      </c>
      <c r="AA42">
        <f t="shared" si="1"/>
        <v>2600</v>
      </c>
      <c r="AC42"/>
      <c r="AF42"/>
      <c r="AL42">
        <v>340713090</v>
      </c>
      <c r="AM42" t="s">
        <v>33</v>
      </c>
    </row>
    <row r="43" spans="1:39" x14ac:dyDescent="0.35">
      <c r="A43">
        <v>3407</v>
      </c>
      <c r="B43" t="s">
        <v>28</v>
      </c>
      <c r="C43">
        <v>2020</v>
      </c>
      <c r="D43" s="1">
        <v>43831</v>
      </c>
      <c r="E43">
        <v>122</v>
      </c>
      <c r="F43">
        <v>700041755</v>
      </c>
      <c r="G43" t="s">
        <v>29</v>
      </c>
      <c r="H43">
        <v>81</v>
      </c>
      <c r="I43">
        <v>71101060</v>
      </c>
      <c r="J43">
        <v>11500070</v>
      </c>
      <c r="K43" t="s">
        <v>30</v>
      </c>
      <c r="L43" s="4">
        <v>928.56</v>
      </c>
      <c r="M43" t="s">
        <v>31</v>
      </c>
      <c r="N43" s="4">
        <v>928.56</v>
      </c>
      <c r="O43" t="s">
        <v>31</v>
      </c>
      <c r="X43" t="s">
        <v>32</v>
      </c>
      <c r="Y43"/>
      <c r="Z43">
        <v>20200131</v>
      </c>
      <c r="AA43">
        <f t="shared" si="1"/>
        <v>928.56</v>
      </c>
      <c r="AC43"/>
      <c r="AF43"/>
      <c r="AL43">
        <v>340753290</v>
      </c>
      <c r="AM43" t="s">
        <v>34</v>
      </c>
    </row>
    <row r="44" spans="1:39" x14ac:dyDescent="0.35">
      <c r="A44">
        <v>3407</v>
      </c>
      <c r="B44" t="s">
        <v>28</v>
      </c>
      <c r="C44">
        <v>2020</v>
      </c>
      <c r="D44" s="1">
        <v>43831</v>
      </c>
      <c r="E44">
        <v>194</v>
      </c>
      <c r="F44">
        <v>700041755</v>
      </c>
      <c r="G44" t="s">
        <v>29</v>
      </c>
      <c r="H44">
        <v>81</v>
      </c>
      <c r="I44">
        <v>71101060</v>
      </c>
      <c r="J44">
        <v>11500070</v>
      </c>
      <c r="K44" t="s">
        <v>30</v>
      </c>
      <c r="L44" s="4">
        <v>727.51</v>
      </c>
      <c r="M44" t="s">
        <v>31</v>
      </c>
      <c r="N44" s="4">
        <v>727.51</v>
      </c>
      <c r="O44" t="s">
        <v>31</v>
      </c>
      <c r="X44" t="s">
        <v>32</v>
      </c>
      <c r="Y44"/>
      <c r="Z44">
        <v>20200131</v>
      </c>
      <c r="AA44">
        <f t="shared" si="1"/>
        <v>727.51</v>
      </c>
      <c r="AC44"/>
      <c r="AF44"/>
      <c r="AL44">
        <v>340753290</v>
      </c>
      <c r="AM44" t="s">
        <v>34</v>
      </c>
    </row>
    <row r="45" spans="1:39" x14ac:dyDescent="0.35">
      <c r="A45">
        <v>3407</v>
      </c>
      <c r="B45" t="s">
        <v>28</v>
      </c>
      <c r="C45">
        <v>2020</v>
      </c>
      <c r="D45" s="1">
        <v>43831</v>
      </c>
      <c r="E45">
        <v>196</v>
      </c>
      <c r="F45">
        <v>700041755</v>
      </c>
      <c r="G45" t="s">
        <v>29</v>
      </c>
      <c r="H45">
        <v>81</v>
      </c>
      <c r="I45">
        <v>71101060</v>
      </c>
      <c r="J45">
        <v>11500070</v>
      </c>
      <c r="K45" t="s">
        <v>30</v>
      </c>
      <c r="L45" s="4">
        <v>573.61</v>
      </c>
      <c r="M45" t="s">
        <v>31</v>
      </c>
      <c r="N45" s="4">
        <v>573.61</v>
      </c>
      <c r="O45" t="s">
        <v>31</v>
      </c>
      <c r="X45" t="s">
        <v>32</v>
      </c>
      <c r="Y45"/>
      <c r="Z45">
        <v>20200131</v>
      </c>
      <c r="AA45">
        <f t="shared" si="1"/>
        <v>573.61</v>
      </c>
      <c r="AC45"/>
      <c r="AF45"/>
      <c r="AL45">
        <v>340753290</v>
      </c>
      <c r="AM45" t="s">
        <v>34</v>
      </c>
    </row>
    <row r="46" spans="1:39" x14ac:dyDescent="0.35">
      <c r="A46">
        <v>3407</v>
      </c>
      <c r="B46" t="s">
        <v>28</v>
      </c>
      <c r="C46">
        <v>2020</v>
      </c>
      <c r="D46" s="1">
        <v>43831</v>
      </c>
      <c r="E46">
        <v>198</v>
      </c>
      <c r="F46">
        <v>700041755</v>
      </c>
      <c r="G46" t="s">
        <v>29</v>
      </c>
      <c r="H46">
        <v>81</v>
      </c>
      <c r="I46">
        <v>71101060</v>
      </c>
      <c r="J46">
        <v>11500070</v>
      </c>
      <c r="K46" t="s">
        <v>30</v>
      </c>
      <c r="L46" s="4">
        <v>277.82</v>
      </c>
      <c r="M46" t="s">
        <v>31</v>
      </c>
      <c r="N46" s="4">
        <v>277.82</v>
      </c>
      <c r="O46" t="s">
        <v>31</v>
      </c>
      <c r="X46" t="s">
        <v>32</v>
      </c>
      <c r="Y46"/>
      <c r="Z46">
        <v>20200131</v>
      </c>
      <c r="AA46">
        <f t="shared" si="1"/>
        <v>277.82</v>
      </c>
      <c r="AC46"/>
      <c r="AF46"/>
      <c r="AL46">
        <v>340753290</v>
      </c>
      <c r="AM46" t="s">
        <v>34</v>
      </c>
    </row>
    <row r="47" spans="1:39" x14ac:dyDescent="0.35">
      <c r="A47">
        <v>3407</v>
      </c>
      <c r="B47" t="s">
        <v>28</v>
      </c>
      <c r="C47">
        <v>2020</v>
      </c>
      <c r="D47" s="1">
        <v>43831</v>
      </c>
      <c r="E47">
        <v>118</v>
      </c>
      <c r="F47">
        <v>700041837</v>
      </c>
      <c r="G47" t="s">
        <v>29</v>
      </c>
      <c r="H47">
        <v>81</v>
      </c>
      <c r="I47">
        <v>71101060</v>
      </c>
      <c r="J47">
        <v>11500010</v>
      </c>
      <c r="K47" t="s">
        <v>30</v>
      </c>
      <c r="L47" s="4">
        <v>1240.5</v>
      </c>
      <c r="M47" t="s">
        <v>31</v>
      </c>
      <c r="N47" s="4">
        <v>1240.5</v>
      </c>
      <c r="O47" t="s">
        <v>31</v>
      </c>
      <c r="X47" t="s">
        <v>32</v>
      </c>
      <c r="Y47"/>
      <c r="Z47">
        <v>20200131</v>
      </c>
      <c r="AA47">
        <f t="shared" si="1"/>
        <v>1240.5</v>
      </c>
      <c r="AC47"/>
      <c r="AF47"/>
      <c r="AL47">
        <v>340712590</v>
      </c>
      <c r="AM47" t="s">
        <v>34</v>
      </c>
    </row>
    <row r="48" spans="1:39" x14ac:dyDescent="0.35">
      <c r="A48">
        <v>3402</v>
      </c>
      <c r="B48" t="s">
        <v>28</v>
      </c>
      <c r="C48">
        <v>2020</v>
      </c>
      <c r="D48" s="1">
        <v>43831</v>
      </c>
      <c r="E48">
        <v>110</v>
      </c>
      <c r="F48">
        <v>200114657</v>
      </c>
      <c r="G48" t="s">
        <v>29</v>
      </c>
      <c r="H48">
        <v>81</v>
      </c>
      <c r="I48">
        <v>71101060</v>
      </c>
      <c r="J48">
        <v>11500020</v>
      </c>
      <c r="K48" t="s">
        <v>30</v>
      </c>
      <c r="L48" s="4">
        <v>5466.7</v>
      </c>
      <c r="M48" t="s">
        <v>31</v>
      </c>
      <c r="N48" s="4">
        <v>5466.7</v>
      </c>
      <c r="O48" t="s">
        <v>31</v>
      </c>
      <c r="X48" t="s">
        <v>35</v>
      </c>
      <c r="Y48"/>
      <c r="Z48">
        <v>20200131</v>
      </c>
      <c r="AA48">
        <f t="shared" si="1"/>
        <v>5466.7</v>
      </c>
      <c r="AC48"/>
      <c r="AF48"/>
      <c r="AL48">
        <v>340212390</v>
      </c>
      <c r="AM48" t="s">
        <v>41</v>
      </c>
    </row>
    <row r="49" spans="1:39" x14ac:dyDescent="0.35">
      <c r="A49">
        <v>3402</v>
      </c>
      <c r="B49" t="s">
        <v>28</v>
      </c>
      <c r="C49">
        <v>2020</v>
      </c>
      <c r="D49" s="1">
        <v>43831</v>
      </c>
      <c r="E49">
        <v>170</v>
      </c>
      <c r="F49">
        <v>200114657</v>
      </c>
      <c r="G49" t="s">
        <v>29</v>
      </c>
      <c r="H49">
        <v>81</v>
      </c>
      <c r="I49">
        <v>71101060</v>
      </c>
      <c r="J49">
        <v>11500020</v>
      </c>
      <c r="K49" t="s">
        <v>30</v>
      </c>
      <c r="L49" s="4">
        <v>214</v>
      </c>
      <c r="M49" t="s">
        <v>31</v>
      </c>
      <c r="N49" s="4">
        <v>214</v>
      </c>
      <c r="O49" t="s">
        <v>31</v>
      </c>
      <c r="X49" t="s">
        <v>35</v>
      </c>
      <c r="Y49"/>
      <c r="Z49">
        <v>20200131</v>
      </c>
      <c r="AA49">
        <f t="shared" si="1"/>
        <v>214</v>
      </c>
      <c r="AC49"/>
      <c r="AF49"/>
      <c r="AL49">
        <v>340212390</v>
      </c>
      <c r="AM49" t="s">
        <v>41</v>
      </c>
    </row>
    <row r="50" spans="1:39" x14ac:dyDescent="0.35">
      <c r="A50">
        <v>3407</v>
      </c>
      <c r="B50" t="s">
        <v>28</v>
      </c>
      <c r="C50">
        <v>2020</v>
      </c>
      <c r="D50" s="1">
        <v>43831</v>
      </c>
      <c r="E50">
        <v>118</v>
      </c>
      <c r="F50">
        <v>700041003</v>
      </c>
      <c r="G50" t="s">
        <v>29</v>
      </c>
      <c r="H50">
        <v>81</v>
      </c>
      <c r="I50">
        <v>71101060</v>
      </c>
      <c r="J50">
        <v>11500010</v>
      </c>
      <c r="K50" t="s">
        <v>30</v>
      </c>
      <c r="L50" s="4">
        <v>1300</v>
      </c>
      <c r="M50" t="s">
        <v>31</v>
      </c>
      <c r="N50" s="4">
        <v>1300</v>
      </c>
      <c r="O50" t="s">
        <v>31</v>
      </c>
      <c r="X50" t="s">
        <v>35</v>
      </c>
      <c r="Y50"/>
      <c r="Z50">
        <v>20200131</v>
      </c>
      <c r="AA50">
        <f t="shared" si="1"/>
        <v>1300</v>
      </c>
      <c r="AC50"/>
      <c r="AF50"/>
      <c r="AL50">
        <v>340712990</v>
      </c>
      <c r="AM50" t="s">
        <v>33</v>
      </c>
    </row>
    <row r="51" spans="1:39" x14ac:dyDescent="0.35">
      <c r="A51">
        <v>3407</v>
      </c>
      <c r="B51" t="s">
        <v>28</v>
      </c>
      <c r="C51">
        <v>2020</v>
      </c>
      <c r="D51" s="1">
        <v>43831</v>
      </c>
      <c r="E51">
        <v>4</v>
      </c>
      <c r="F51">
        <v>700041812</v>
      </c>
      <c r="G51" t="s">
        <v>29</v>
      </c>
      <c r="H51">
        <v>81</v>
      </c>
      <c r="I51">
        <v>71101060</v>
      </c>
      <c r="J51">
        <v>11500010</v>
      </c>
      <c r="K51" t="s">
        <v>30</v>
      </c>
      <c r="L51" s="4">
        <v>613.48</v>
      </c>
      <c r="M51" t="s">
        <v>31</v>
      </c>
      <c r="N51" s="4">
        <v>613.48</v>
      </c>
      <c r="O51" t="s">
        <v>31</v>
      </c>
      <c r="X51" t="s">
        <v>32</v>
      </c>
      <c r="Y51"/>
      <c r="Z51">
        <v>20200131</v>
      </c>
      <c r="AA51">
        <f t="shared" si="1"/>
        <v>613.48</v>
      </c>
      <c r="AC51"/>
      <c r="AF51"/>
      <c r="AL51">
        <v>340712490</v>
      </c>
      <c r="AM51" t="s">
        <v>34</v>
      </c>
    </row>
    <row r="52" spans="1:39" x14ac:dyDescent="0.35">
      <c r="A52">
        <v>3407</v>
      </c>
      <c r="B52" t="s">
        <v>28</v>
      </c>
      <c r="C52">
        <v>2020</v>
      </c>
      <c r="D52" s="1">
        <v>43831</v>
      </c>
      <c r="E52">
        <v>6</v>
      </c>
      <c r="F52">
        <v>700041812</v>
      </c>
      <c r="G52" t="s">
        <v>29</v>
      </c>
      <c r="H52">
        <v>81</v>
      </c>
      <c r="I52">
        <v>71101060</v>
      </c>
      <c r="J52">
        <v>11500010</v>
      </c>
      <c r="K52" t="s">
        <v>30</v>
      </c>
      <c r="L52" s="4">
        <v>1300</v>
      </c>
      <c r="M52" t="s">
        <v>31</v>
      </c>
      <c r="N52" s="4">
        <v>1300</v>
      </c>
      <c r="O52" t="s">
        <v>31</v>
      </c>
      <c r="X52" t="s">
        <v>32</v>
      </c>
      <c r="Y52"/>
      <c r="Z52">
        <v>20200131</v>
      </c>
      <c r="AA52">
        <f t="shared" si="1"/>
        <v>1300</v>
      </c>
      <c r="AC52"/>
      <c r="AF52"/>
      <c r="AL52">
        <v>340712490</v>
      </c>
      <c r="AM52" t="s">
        <v>34</v>
      </c>
    </row>
    <row r="53" spans="1:39" x14ac:dyDescent="0.35">
      <c r="A53">
        <v>3407</v>
      </c>
      <c r="B53" t="s">
        <v>28</v>
      </c>
      <c r="C53">
        <v>2020</v>
      </c>
      <c r="D53" s="1">
        <v>43831</v>
      </c>
      <c r="E53">
        <v>14</v>
      </c>
      <c r="F53">
        <v>700041812</v>
      </c>
      <c r="G53" t="s">
        <v>29</v>
      </c>
      <c r="H53">
        <v>81</v>
      </c>
      <c r="I53">
        <v>71101060</v>
      </c>
      <c r="J53">
        <v>11500010</v>
      </c>
      <c r="K53" t="s">
        <v>30</v>
      </c>
      <c r="L53" s="4">
        <v>275</v>
      </c>
      <c r="M53" t="s">
        <v>31</v>
      </c>
      <c r="N53" s="4">
        <v>275</v>
      </c>
      <c r="O53" t="s">
        <v>31</v>
      </c>
      <c r="X53" t="s">
        <v>32</v>
      </c>
      <c r="Y53"/>
      <c r="Z53">
        <v>20200131</v>
      </c>
      <c r="AA53">
        <f t="shared" si="1"/>
        <v>275</v>
      </c>
      <c r="AC53"/>
      <c r="AF53"/>
      <c r="AL53">
        <v>340712490</v>
      </c>
      <c r="AM53" t="s">
        <v>34</v>
      </c>
    </row>
    <row r="54" spans="1:39" x14ac:dyDescent="0.35">
      <c r="A54">
        <v>3402</v>
      </c>
      <c r="B54" t="s">
        <v>28</v>
      </c>
      <c r="C54">
        <v>2020</v>
      </c>
      <c r="D54" s="1">
        <v>43831</v>
      </c>
      <c r="E54">
        <v>8</v>
      </c>
      <c r="F54">
        <v>200114673</v>
      </c>
      <c r="G54" t="s">
        <v>29</v>
      </c>
      <c r="H54">
        <v>81</v>
      </c>
      <c r="I54">
        <v>71101060</v>
      </c>
      <c r="J54">
        <v>11500060</v>
      </c>
      <c r="K54" t="s">
        <v>30</v>
      </c>
      <c r="L54" s="4">
        <v>20694.48</v>
      </c>
      <c r="M54" t="s">
        <v>31</v>
      </c>
      <c r="N54" s="4">
        <v>20694.48</v>
      </c>
      <c r="O54" t="s">
        <v>31</v>
      </c>
      <c r="X54" t="s">
        <v>35</v>
      </c>
      <c r="Y54"/>
      <c r="Z54">
        <v>20200131</v>
      </c>
      <c r="AA54">
        <f t="shared" si="1"/>
        <v>20694.48</v>
      </c>
      <c r="AC54"/>
      <c r="AF54"/>
      <c r="AL54">
        <v>340210490</v>
      </c>
      <c r="AM54" t="s">
        <v>42</v>
      </c>
    </row>
    <row r="55" spans="1:39" x14ac:dyDescent="0.35">
      <c r="A55">
        <v>3402</v>
      </c>
      <c r="B55" t="s">
        <v>28</v>
      </c>
      <c r="C55">
        <v>2020</v>
      </c>
      <c r="D55" s="1">
        <v>43831</v>
      </c>
      <c r="E55">
        <v>14</v>
      </c>
      <c r="F55">
        <v>200114673</v>
      </c>
      <c r="G55" t="s">
        <v>29</v>
      </c>
      <c r="H55">
        <v>81</v>
      </c>
      <c r="I55">
        <v>71101060</v>
      </c>
      <c r="J55">
        <v>11500060</v>
      </c>
      <c r="K55" t="s">
        <v>30</v>
      </c>
      <c r="L55" s="4">
        <v>701.06</v>
      </c>
      <c r="M55" t="s">
        <v>31</v>
      </c>
      <c r="N55" s="4">
        <v>701.06</v>
      </c>
      <c r="O55" t="s">
        <v>31</v>
      </c>
      <c r="X55" t="s">
        <v>35</v>
      </c>
      <c r="Y55"/>
      <c r="Z55">
        <v>20200131</v>
      </c>
      <c r="AA55">
        <f t="shared" si="1"/>
        <v>701.06</v>
      </c>
      <c r="AC55"/>
      <c r="AF55"/>
      <c r="AL55">
        <v>340210490</v>
      </c>
      <c r="AM55" t="s">
        <v>42</v>
      </c>
    </row>
    <row r="56" spans="1:39" x14ac:dyDescent="0.35">
      <c r="A56">
        <v>3402</v>
      </c>
      <c r="B56" t="s">
        <v>28</v>
      </c>
      <c r="C56">
        <v>2020</v>
      </c>
      <c r="D56" s="1">
        <v>43831</v>
      </c>
      <c r="E56">
        <v>16</v>
      </c>
      <c r="F56">
        <v>200114673</v>
      </c>
      <c r="G56" t="s">
        <v>29</v>
      </c>
      <c r="H56">
        <v>81</v>
      </c>
      <c r="I56">
        <v>71101060</v>
      </c>
      <c r="J56">
        <v>11500060</v>
      </c>
      <c r="K56" t="s">
        <v>30</v>
      </c>
      <c r="L56" s="4">
        <v>879.42</v>
      </c>
      <c r="M56" t="s">
        <v>31</v>
      </c>
      <c r="N56" s="4">
        <v>879.42</v>
      </c>
      <c r="O56" t="s">
        <v>31</v>
      </c>
      <c r="X56" t="s">
        <v>35</v>
      </c>
      <c r="Y56"/>
      <c r="Z56">
        <v>20200131</v>
      </c>
      <c r="AA56">
        <f t="shared" si="1"/>
        <v>879.42</v>
      </c>
      <c r="AC56"/>
      <c r="AF56"/>
      <c r="AL56">
        <v>340210490</v>
      </c>
      <c r="AM56" t="s">
        <v>42</v>
      </c>
    </row>
    <row r="57" spans="1:39" x14ac:dyDescent="0.35">
      <c r="A57">
        <v>3402</v>
      </c>
      <c r="B57" t="s">
        <v>28</v>
      </c>
      <c r="C57">
        <v>2020</v>
      </c>
      <c r="D57" s="1">
        <v>43831</v>
      </c>
      <c r="E57">
        <v>24</v>
      </c>
      <c r="F57">
        <v>200114673</v>
      </c>
      <c r="G57" t="s">
        <v>29</v>
      </c>
      <c r="H57">
        <v>81</v>
      </c>
      <c r="I57">
        <v>71101060</v>
      </c>
      <c r="J57">
        <v>11500060</v>
      </c>
      <c r="K57" t="s">
        <v>30</v>
      </c>
      <c r="L57" s="4">
        <v>1762.8</v>
      </c>
      <c r="M57" t="s">
        <v>31</v>
      </c>
      <c r="N57" s="4">
        <v>1762.8</v>
      </c>
      <c r="O57" t="s">
        <v>31</v>
      </c>
      <c r="X57" t="s">
        <v>35</v>
      </c>
      <c r="Y57"/>
      <c r="Z57">
        <v>20200131</v>
      </c>
      <c r="AA57">
        <f t="shared" si="1"/>
        <v>1762.8</v>
      </c>
      <c r="AC57"/>
      <c r="AF57"/>
      <c r="AL57">
        <v>340210490</v>
      </c>
      <c r="AM57" t="s">
        <v>42</v>
      </c>
    </row>
    <row r="58" spans="1:39" x14ac:dyDescent="0.35">
      <c r="A58">
        <v>3402</v>
      </c>
      <c r="B58" t="s">
        <v>28</v>
      </c>
      <c r="C58">
        <v>2020</v>
      </c>
      <c r="D58" s="1">
        <v>43831</v>
      </c>
      <c r="E58">
        <v>36</v>
      </c>
      <c r="F58">
        <v>200114673</v>
      </c>
      <c r="G58" t="s">
        <v>29</v>
      </c>
      <c r="H58">
        <v>81</v>
      </c>
      <c r="I58">
        <v>71101060</v>
      </c>
      <c r="J58">
        <v>11500060</v>
      </c>
      <c r="K58" t="s">
        <v>30</v>
      </c>
      <c r="L58" s="4">
        <v>810</v>
      </c>
      <c r="M58" t="s">
        <v>31</v>
      </c>
      <c r="N58" s="4">
        <v>810</v>
      </c>
      <c r="O58" t="s">
        <v>31</v>
      </c>
      <c r="X58" t="s">
        <v>35</v>
      </c>
      <c r="Y58"/>
      <c r="Z58">
        <v>20200131</v>
      </c>
      <c r="AA58">
        <f t="shared" si="1"/>
        <v>810</v>
      </c>
      <c r="AC58"/>
      <c r="AF58"/>
      <c r="AL58">
        <v>340210490</v>
      </c>
      <c r="AM58" t="s">
        <v>42</v>
      </c>
    </row>
    <row r="59" spans="1:39" x14ac:dyDescent="0.35">
      <c r="A59">
        <v>3402</v>
      </c>
      <c r="B59" t="s">
        <v>28</v>
      </c>
      <c r="C59">
        <v>2020</v>
      </c>
      <c r="D59" s="1">
        <v>43831</v>
      </c>
      <c r="E59">
        <v>38</v>
      </c>
      <c r="F59">
        <v>200114673</v>
      </c>
      <c r="G59" t="s">
        <v>29</v>
      </c>
      <c r="H59">
        <v>81</v>
      </c>
      <c r="I59">
        <v>71101060</v>
      </c>
      <c r="J59">
        <v>11500060</v>
      </c>
      <c r="K59" t="s">
        <v>30</v>
      </c>
      <c r="L59" s="4">
        <v>810</v>
      </c>
      <c r="M59" t="s">
        <v>31</v>
      </c>
      <c r="N59" s="4">
        <v>810</v>
      </c>
      <c r="O59" t="s">
        <v>31</v>
      </c>
      <c r="X59" t="s">
        <v>35</v>
      </c>
      <c r="Y59"/>
      <c r="Z59">
        <v>20200131</v>
      </c>
      <c r="AA59">
        <f t="shared" si="1"/>
        <v>810</v>
      </c>
      <c r="AC59"/>
      <c r="AF59"/>
      <c r="AL59">
        <v>340210490</v>
      </c>
      <c r="AM59" t="s">
        <v>42</v>
      </c>
    </row>
    <row r="60" spans="1:39" x14ac:dyDescent="0.35">
      <c r="A60">
        <v>3402</v>
      </c>
      <c r="B60" t="s">
        <v>28</v>
      </c>
      <c r="C60">
        <v>2020</v>
      </c>
      <c r="D60" s="1">
        <v>43831</v>
      </c>
      <c r="E60">
        <v>40</v>
      </c>
      <c r="F60">
        <v>200114673</v>
      </c>
      <c r="G60" t="s">
        <v>29</v>
      </c>
      <c r="H60">
        <v>81</v>
      </c>
      <c r="I60">
        <v>71101060</v>
      </c>
      <c r="J60">
        <v>11500060</v>
      </c>
      <c r="K60" t="s">
        <v>30</v>
      </c>
      <c r="L60" s="4">
        <v>788.96</v>
      </c>
      <c r="M60" t="s">
        <v>31</v>
      </c>
      <c r="N60" s="4">
        <v>788.96</v>
      </c>
      <c r="O60" t="s">
        <v>31</v>
      </c>
      <c r="X60" t="s">
        <v>35</v>
      </c>
      <c r="Y60"/>
      <c r="Z60">
        <v>20200131</v>
      </c>
      <c r="AA60">
        <f t="shared" si="1"/>
        <v>788.96</v>
      </c>
      <c r="AC60"/>
      <c r="AF60"/>
      <c r="AL60">
        <v>340210490</v>
      </c>
      <c r="AM60" t="s">
        <v>42</v>
      </c>
    </row>
    <row r="61" spans="1:39" x14ac:dyDescent="0.35">
      <c r="A61">
        <v>3402</v>
      </c>
      <c r="B61" t="s">
        <v>28</v>
      </c>
      <c r="C61">
        <v>2020</v>
      </c>
      <c r="D61" s="1">
        <v>43831</v>
      </c>
      <c r="E61">
        <v>42</v>
      </c>
      <c r="F61">
        <v>200114673</v>
      </c>
      <c r="G61" t="s">
        <v>29</v>
      </c>
      <c r="H61">
        <v>81</v>
      </c>
      <c r="I61">
        <v>71101060</v>
      </c>
      <c r="J61">
        <v>11500060</v>
      </c>
      <c r="K61" t="s">
        <v>30</v>
      </c>
      <c r="L61" s="4">
        <v>5071.5</v>
      </c>
      <c r="M61" t="s">
        <v>31</v>
      </c>
      <c r="N61" s="4">
        <v>5071.5</v>
      </c>
      <c r="O61" t="s">
        <v>31</v>
      </c>
      <c r="X61" t="s">
        <v>35</v>
      </c>
      <c r="Y61"/>
      <c r="Z61">
        <v>20200131</v>
      </c>
      <c r="AA61">
        <f t="shared" si="1"/>
        <v>5071.5</v>
      </c>
      <c r="AC61"/>
      <c r="AF61"/>
      <c r="AL61">
        <v>340210490</v>
      </c>
      <c r="AM61" t="s">
        <v>42</v>
      </c>
    </row>
    <row r="62" spans="1:39" x14ac:dyDescent="0.35">
      <c r="A62">
        <v>3402</v>
      </c>
      <c r="B62" t="s">
        <v>28</v>
      </c>
      <c r="C62">
        <v>2020</v>
      </c>
      <c r="D62" s="1">
        <v>43831</v>
      </c>
      <c r="E62">
        <v>44</v>
      </c>
      <c r="F62">
        <v>200114673</v>
      </c>
      <c r="G62" t="s">
        <v>29</v>
      </c>
      <c r="H62">
        <v>81</v>
      </c>
      <c r="I62">
        <v>71101060</v>
      </c>
      <c r="J62">
        <v>11500060</v>
      </c>
      <c r="K62" t="s">
        <v>30</v>
      </c>
      <c r="L62" s="4">
        <v>414.99</v>
      </c>
      <c r="M62" t="s">
        <v>31</v>
      </c>
      <c r="N62" s="4">
        <v>414.99</v>
      </c>
      <c r="O62" t="s">
        <v>31</v>
      </c>
      <c r="X62" t="s">
        <v>35</v>
      </c>
      <c r="Y62"/>
      <c r="Z62">
        <v>20200131</v>
      </c>
      <c r="AA62">
        <f t="shared" si="1"/>
        <v>414.99</v>
      </c>
      <c r="AC62"/>
      <c r="AF62"/>
      <c r="AL62">
        <v>340210490</v>
      </c>
      <c r="AM62" t="s">
        <v>42</v>
      </c>
    </row>
    <row r="63" spans="1:39" x14ac:dyDescent="0.35">
      <c r="A63">
        <v>3402</v>
      </c>
      <c r="B63" t="s">
        <v>28</v>
      </c>
      <c r="C63">
        <v>2020</v>
      </c>
      <c r="D63" s="1">
        <v>43831</v>
      </c>
      <c r="E63">
        <v>46</v>
      </c>
      <c r="F63">
        <v>200114673</v>
      </c>
      <c r="G63" t="s">
        <v>29</v>
      </c>
      <c r="H63">
        <v>81</v>
      </c>
      <c r="I63">
        <v>71101060</v>
      </c>
      <c r="J63">
        <v>11500060</v>
      </c>
      <c r="K63" t="s">
        <v>30</v>
      </c>
      <c r="L63" s="4">
        <v>1704.99</v>
      </c>
      <c r="M63" t="s">
        <v>31</v>
      </c>
      <c r="N63" s="4">
        <v>1704.99</v>
      </c>
      <c r="O63" t="s">
        <v>31</v>
      </c>
      <c r="X63" t="s">
        <v>35</v>
      </c>
      <c r="Y63"/>
      <c r="Z63">
        <v>20200131</v>
      </c>
      <c r="AA63">
        <f t="shared" si="1"/>
        <v>1704.99</v>
      </c>
      <c r="AC63"/>
      <c r="AF63"/>
      <c r="AL63">
        <v>340210490</v>
      </c>
      <c r="AM63" t="s">
        <v>42</v>
      </c>
    </row>
    <row r="64" spans="1:39" x14ac:dyDescent="0.35">
      <c r="A64">
        <v>3402</v>
      </c>
      <c r="B64" t="s">
        <v>28</v>
      </c>
      <c r="C64">
        <v>2020</v>
      </c>
      <c r="D64" s="1">
        <v>43831</v>
      </c>
      <c r="E64">
        <v>62</v>
      </c>
      <c r="F64">
        <v>200114673</v>
      </c>
      <c r="G64" t="s">
        <v>29</v>
      </c>
      <c r="H64">
        <v>81</v>
      </c>
      <c r="I64">
        <v>71101060</v>
      </c>
      <c r="J64">
        <v>11500060</v>
      </c>
      <c r="K64" t="s">
        <v>30</v>
      </c>
      <c r="L64" s="4">
        <v>4561.3999999999996</v>
      </c>
      <c r="M64" t="s">
        <v>31</v>
      </c>
      <c r="N64" s="4">
        <v>4561.3999999999996</v>
      </c>
      <c r="O64" t="s">
        <v>31</v>
      </c>
      <c r="X64" t="s">
        <v>35</v>
      </c>
      <c r="Y64"/>
      <c r="Z64">
        <v>20200131</v>
      </c>
      <c r="AA64">
        <f t="shared" si="1"/>
        <v>4561.3999999999996</v>
      </c>
      <c r="AC64"/>
      <c r="AF64"/>
      <c r="AL64">
        <v>340210490</v>
      </c>
      <c r="AM64" t="s">
        <v>42</v>
      </c>
    </row>
    <row r="65" spans="1:39" x14ac:dyDescent="0.35">
      <c r="A65">
        <v>3402</v>
      </c>
      <c r="B65" t="s">
        <v>28</v>
      </c>
      <c r="C65">
        <v>2020</v>
      </c>
      <c r="D65" s="1">
        <v>43831</v>
      </c>
      <c r="E65">
        <v>64</v>
      </c>
      <c r="F65">
        <v>200114673</v>
      </c>
      <c r="G65" t="s">
        <v>29</v>
      </c>
      <c r="H65">
        <v>81</v>
      </c>
      <c r="I65">
        <v>71101060</v>
      </c>
      <c r="J65">
        <v>11500060</v>
      </c>
      <c r="K65" t="s">
        <v>30</v>
      </c>
      <c r="L65" s="4">
        <v>9293.39</v>
      </c>
      <c r="M65" t="s">
        <v>31</v>
      </c>
      <c r="N65" s="4">
        <v>9293.39</v>
      </c>
      <c r="O65" t="s">
        <v>31</v>
      </c>
      <c r="X65" t="s">
        <v>35</v>
      </c>
      <c r="Y65"/>
      <c r="Z65">
        <v>20200131</v>
      </c>
      <c r="AA65">
        <f t="shared" si="1"/>
        <v>9293.39</v>
      </c>
      <c r="AC65"/>
      <c r="AF65"/>
      <c r="AL65">
        <v>340210490</v>
      </c>
      <c r="AM65" t="s">
        <v>42</v>
      </c>
    </row>
    <row r="66" spans="1:39" x14ac:dyDescent="0.35">
      <c r="A66">
        <v>3402</v>
      </c>
      <c r="B66" t="s">
        <v>28</v>
      </c>
      <c r="C66">
        <v>2020</v>
      </c>
      <c r="D66" s="1">
        <v>43831</v>
      </c>
      <c r="E66">
        <v>66</v>
      </c>
      <c r="F66">
        <v>200114673</v>
      </c>
      <c r="G66" t="s">
        <v>29</v>
      </c>
      <c r="H66">
        <v>81</v>
      </c>
      <c r="I66">
        <v>71101060</v>
      </c>
      <c r="J66">
        <v>11500060</v>
      </c>
      <c r="K66" t="s">
        <v>30</v>
      </c>
      <c r="L66" s="4">
        <v>7140</v>
      </c>
      <c r="M66" t="s">
        <v>31</v>
      </c>
      <c r="N66" s="4">
        <v>7140</v>
      </c>
      <c r="O66" t="s">
        <v>31</v>
      </c>
      <c r="X66" t="s">
        <v>35</v>
      </c>
      <c r="Y66"/>
      <c r="Z66">
        <v>20200131</v>
      </c>
      <c r="AA66">
        <f t="shared" si="1"/>
        <v>7140</v>
      </c>
      <c r="AC66"/>
      <c r="AF66"/>
      <c r="AL66">
        <v>340210490</v>
      </c>
      <c r="AM66" t="s">
        <v>42</v>
      </c>
    </row>
    <row r="67" spans="1:39" x14ac:dyDescent="0.35">
      <c r="A67">
        <v>3402</v>
      </c>
      <c r="B67" t="s">
        <v>28</v>
      </c>
      <c r="C67">
        <v>2020</v>
      </c>
      <c r="D67" s="1">
        <v>43831</v>
      </c>
      <c r="E67">
        <v>68</v>
      </c>
      <c r="F67">
        <v>200114673</v>
      </c>
      <c r="G67" t="s">
        <v>29</v>
      </c>
      <c r="H67">
        <v>81</v>
      </c>
      <c r="I67">
        <v>71101060</v>
      </c>
      <c r="J67">
        <v>11500060</v>
      </c>
      <c r="K67" t="s">
        <v>30</v>
      </c>
      <c r="L67" s="4">
        <v>1459.8</v>
      </c>
      <c r="M67" t="s">
        <v>31</v>
      </c>
      <c r="N67" s="4">
        <v>1459.8</v>
      </c>
      <c r="O67" t="s">
        <v>31</v>
      </c>
      <c r="X67" t="s">
        <v>35</v>
      </c>
      <c r="Y67"/>
      <c r="Z67">
        <v>20200131</v>
      </c>
      <c r="AA67">
        <f t="shared" si="1"/>
        <v>1459.8</v>
      </c>
      <c r="AC67"/>
      <c r="AF67"/>
      <c r="AL67">
        <v>340210490</v>
      </c>
      <c r="AM67" t="s">
        <v>42</v>
      </c>
    </row>
    <row r="68" spans="1:39" x14ac:dyDescent="0.35">
      <c r="A68">
        <v>3402</v>
      </c>
      <c r="B68" t="s">
        <v>28</v>
      </c>
      <c r="C68">
        <v>2020</v>
      </c>
      <c r="D68" s="1">
        <v>43831</v>
      </c>
      <c r="E68">
        <v>70</v>
      </c>
      <c r="F68">
        <v>200114673</v>
      </c>
      <c r="G68" t="s">
        <v>29</v>
      </c>
      <c r="H68">
        <v>81</v>
      </c>
      <c r="I68">
        <v>71101060</v>
      </c>
      <c r="J68">
        <v>11500060</v>
      </c>
      <c r="K68" t="s">
        <v>30</v>
      </c>
      <c r="L68" s="4">
        <v>1001.67</v>
      </c>
      <c r="M68" t="s">
        <v>31</v>
      </c>
      <c r="N68" s="4">
        <v>1001.67</v>
      </c>
      <c r="O68" t="s">
        <v>31</v>
      </c>
      <c r="X68" t="s">
        <v>35</v>
      </c>
      <c r="Y68"/>
      <c r="Z68">
        <v>20200131</v>
      </c>
      <c r="AA68">
        <f t="shared" si="1"/>
        <v>1001.67</v>
      </c>
      <c r="AC68"/>
      <c r="AF68"/>
      <c r="AL68">
        <v>340210490</v>
      </c>
      <c r="AM68" t="s">
        <v>42</v>
      </c>
    </row>
    <row r="69" spans="1:39" x14ac:dyDescent="0.35">
      <c r="A69">
        <v>3402</v>
      </c>
      <c r="B69" t="s">
        <v>28</v>
      </c>
      <c r="C69">
        <v>2020</v>
      </c>
      <c r="D69" s="1">
        <v>43831</v>
      </c>
      <c r="E69">
        <v>144</v>
      </c>
      <c r="F69">
        <v>200114673</v>
      </c>
      <c r="G69" t="s">
        <v>29</v>
      </c>
      <c r="H69">
        <v>81</v>
      </c>
      <c r="I69">
        <v>71101060</v>
      </c>
      <c r="J69">
        <v>11500060</v>
      </c>
      <c r="K69" t="s">
        <v>30</v>
      </c>
      <c r="L69" s="4">
        <v>494.92</v>
      </c>
      <c r="M69" t="s">
        <v>31</v>
      </c>
      <c r="N69" s="4">
        <v>494.92</v>
      </c>
      <c r="O69" t="s">
        <v>31</v>
      </c>
      <c r="X69" t="s">
        <v>35</v>
      </c>
      <c r="Y69"/>
      <c r="Z69">
        <v>20200131</v>
      </c>
      <c r="AA69">
        <f t="shared" si="1"/>
        <v>494.92</v>
      </c>
      <c r="AC69"/>
      <c r="AF69"/>
      <c r="AL69">
        <v>340210490</v>
      </c>
      <c r="AM69" t="s">
        <v>42</v>
      </c>
    </row>
    <row r="70" spans="1:39" x14ac:dyDescent="0.35">
      <c r="A70">
        <v>3402</v>
      </c>
      <c r="B70" t="s">
        <v>28</v>
      </c>
      <c r="C70">
        <v>2020</v>
      </c>
      <c r="D70" s="1">
        <v>43831</v>
      </c>
      <c r="E70">
        <v>146</v>
      </c>
      <c r="F70">
        <v>200114673</v>
      </c>
      <c r="G70" t="s">
        <v>29</v>
      </c>
      <c r="H70">
        <v>81</v>
      </c>
      <c r="I70">
        <v>71101060</v>
      </c>
      <c r="J70">
        <v>11500060</v>
      </c>
      <c r="K70" t="s">
        <v>30</v>
      </c>
      <c r="L70" s="4">
        <v>216.35</v>
      </c>
      <c r="M70" t="s">
        <v>31</v>
      </c>
      <c r="N70" s="4">
        <v>216.35</v>
      </c>
      <c r="O70" t="s">
        <v>31</v>
      </c>
      <c r="X70" t="s">
        <v>35</v>
      </c>
      <c r="Y70"/>
      <c r="Z70">
        <v>20200131</v>
      </c>
      <c r="AA70">
        <f t="shared" si="1"/>
        <v>216.35</v>
      </c>
      <c r="AC70"/>
      <c r="AF70"/>
      <c r="AL70">
        <v>340210490</v>
      </c>
      <c r="AM70" t="s">
        <v>42</v>
      </c>
    </row>
    <row r="71" spans="1:39" x14ac:dyDescent="0.35">
      <c r="A71">
        <v>3402</v>
      </c>
      <c r="B71" t="s">
        <v>28</v>
      </c>
      <c r="C71">
        <v>2020</v>
      </c>
      <c r="D71" s="1">
        <v>43831</v>
      </c>
      <c r="E71">
        <v>148</v>
      </c>
      <c r="F71">
        <v>200114673</v>
      </c>
      <c r="G71" t="s">
        <v>29</v>
      </c>
      <c r="H71">
        <v>81</v>
      </c>
      <c r="I71">
        <v>71101060</v>
      </c>
      <c r="J71">
        <v>11500060</v>
      </c>
      <c r="K71" t="s">
        <v>30</v>
      </c>
      <c r="L71" s="4">
        <v>281.63</v>
      </c>
      <c r="M71" t="s">
        <v>31</v>
      </c>
      <c r="N71" s="4">
        <v>281.63</v>
      </c>
      <c r="O71" t="s">
        <v>31</v>
      </c>
      <c r="X71" t="s">
        <v>35</v>
      </c>
      <c r="Y71"/>
      <c r="Z71">
        <v>20200131</v>
      </c>
      <c r="AA71">
        <f t="shared" si="1"/>
        <v>281.63</v>
      </c>
      <c r="AC71"/>
      <c r="AF71"/>
      <c r="AL71">
        <v>340210490</v>
      </c>
      <c r="AM71" t="s">
        <v>42</v>
      </c>
    </row>
    <row r="72" spans="1:39" x14ac:dyDescent="0.35">
      <c r="A72">
        <v>3402</v>
      </c>
      <c r="B72" t="s">
        <v>28</v>
      </c>
      <c r="C72">
        <v>2020</v>
      </c>
      <c r="D72" s="1">
        <v>43831</v>
      </c>
      <c r="E72">
        <v>150</v>
      </c>
      <c r="F72">
        <v>200114673</v>
      </c>
      <c r="G72" t="s">
        <v>29</v>
      </c>
      <c r="H72">
        <v>81</v>
      </c>
      <c r="I72">
        <v>71101060</v>
      </c>
      <c r="J72">
        <v>11500060</v>
      </c>
      <c r="K72" t="s">
        <v>30</v>
      </c>
      <c r="L72" s="4">
        <v>171.01</v>
      </c>
      <c r="M72" t="s">
        <v>31</v>
      </c>
      <c r="N72" s="4">
        <v>171.01</v>
      </c>
      <c r="O72" t="s">
        <v>31</v>
      </c>
      <c r="X72" t="s">
        <v>35</v>
      </c>
      <c r="Y72"/>
      <c r="Z72">
        <v>20200131</v>
      </c>
      <c r="AA72">
        <f t="shared" si="1"/>
        <v>171.01</v>
      </c>
      <c r="AC72"/>
      <c r="AF72"/>
      <c r="AL72">
        <v>340210490</v>
      </c>
      <c r="AM72" t="s">
        <v>42</v>
      </c>
    </row>
    <row r="73" spans="1:39" x14ac:dyDescent="0.35">
      <c r="A73">
        <v>3402</v>
      </c>
      <c r="B73" t="s">
        <v>28</v>
      </c>
      <c r="C73">
        <v>2020</v>
      </c>
      <c r="D73" s="1">
        <v>43831</v>
      </c>
      <c r="E73">
        <v>152</v>
      </c>
      <c r="F73">
        <v>200114673</v>
      </c>
      <c r="G73" t="s">
        <v>29</v>
      </c>
      <c r="H73">
        <v>81</v>
      </c>
      <c r="I73">
        <v>71101060</v>
      </c>
      <c r="J73">
        <v>11500060</v>
      </c>
      <c r="K73" t="s">
        <v>30</v>
      </c>
      <c r="L73" s="4">
        <v>3305.8</v>
      </c>
      <c r="M73" t="s">
        <v>31</v>
      </c>
      <c r="N73" s="4">
        <v>3305.8</v>
      </c>
      <c r="O73" t="s">
        <v>31</v>
      </c>
      <c r="X73" t="s">
        <v>35</v>
      </c>
      <c r="Y73"/>
      <c r="Z73">
        <v>20200131</v>
      </c>
      <c r="AA73">
        <f t="shared" si="1"/>
        <v>3305.8</v>
      </c>
      <c r="AC73"/>
      <c r="AF73"/>
      <c r="AL73">
        <v>340210490</v>
      </c>
      <c r="AM73" t="s">
        <v>42</v>
      </c>
    </row>
    <row r="74" spans="1:39" x14ac:dyDescent="0.35">
      <c r="A74">
        <v>3402</v>
      </c>
      <c r="B74" t="s">
        <v>28</v>
      </c>
      <c r="C74">
        <v>2020</v>
      </c>
      <c r="D74" s="1">
        <v>43831</v>
      </c>
      <c r="E74">
        <v>154</v>
      </c>
      <c r="F74">
        <v>200114673</v>
      </c>
      <c r="G74" t="s">
        <v>29</v>
      </c>
      <c r="H74">
        <v>81</v>
      </c>
      <c r="I74">
        <v>71101060</v>
      </c>
      <c r="J74">
        <v>11500060</v>
      </c>
      <c r="K74" t="s">
        <v>30</v>
      </c>
      <c r="L74" s="4">
        <v>5652.73</v>
      </c>
      <c r="M74" t="s">
        <v>31</v>
      </c>
      <c r="N74" s="4">
        <v>5652.73</v>
      </c>
      <c r="O74" t="s">
        <v>31</v>
      </c>
      <c r="X74" t="s">
        <v>35</v>
      </c>
      <c r="Y74"/>
      <c r="Z74">
        <v>20200131</v>
      </c>
      <c r="AA74">
        <f t="shared" si="1"/>
        <v>5652.73</v>
      </c>
      <c r="AC74"/>
      <c r="AF74"/>
      <c r="AL74">
        <v>340210490</v>
      </c>
      <c r="AM74" t="s">
        <v>42</v>
      </c>
    </row>
    <row r="75" spans="1:39" x14ac:dyDescent="0.35">
      <c r="A75">
        <v>3402</v>
      </c>
      <c r="B75" t="s">
        <v>28</v>
      </c>
      <c r="C75">
        <v>2020</v>
      </c>
      <c r="D75" s="1">
        <v>43831</v>
      </c>
      <c r="E75">
        <v>156</v>
      </c>
      <c r="F75">
        <v>200114673</v>
      </c>
      <c r="G75" t="s">
        <v>29</v>
      </c>
      <c r="H75">
        <v>81</v>
      </c>
      <c r="I75">
        <v>71101060</v>
      </c>
      <c r="J75">
        <v>11500060</v>
      </c>
      <c r="K75" t="s">
        <v>30</v>
      </c>
      <c r="L75" s="4">
        <v>700</v>
      </c>
      <c r="M75" t="s">
        <v>31</v>
      </c>
      <c r="N75" s="4">
        <v>700</v>
      </c>
      <c r="O75" t="s">
        <v>31</v>
      </c>
      <c r="X75" t="s">
        <v>35</v>
      </c>
      <c r="Y75"/>
      <c r="Z75">
        <v>20200131</v>
      </c>
      <c r="AA75">
        <f t="shared" si="1"/>
        <v>700</v>
      </c>
      <c r="AC75"/>
      <c r="AF75"/>
      <c r="AL75">
        <v>340210490</v>
      </c>
      <c r="AM75" t="s">
        <v>42</v>
      </c>
    </row>
    <row r="76" spans="1:39" x14ac:dyDescent="0.35">
      <c r="A76">
        <v>3402</v>
      </c>
      <c r="B76" t="s">
        <v>28</v>
      </c>
      <c r="C76">
        <v>2020</v>
      </c>
      <c r="D76" s="1">
        <v>43831</v>
      </c>
      <c r="E76">
        <v>158</v>
      </c>
      <c r="F76">
        <v>200114673</v>
      </c>
      <c r="G76" t="s">
        <v>29</v>
      </c>
      <c r="H76">
        <v>81</v>
      </c>
      <c r="I76">
        <v>71101060</v>
      </c>
      <c r="J76">
        <v>11500060</v>
      </c>
      <c r="K76" t="s">
        <v>30</v>
      </c>
      <c r="L76" s="4">
        <v>1216.6099999999999</v>
      </c>
      <c r="M76" t="s">
        <v>31</v>
      </c>
      <c r="N76" s="4">
        <v>1216.6099999999999</v>
      </c>
      <c r="O76" t="s">
        <v>31</v>
      </c>
      <c r="X76" t="s">
        <v>35</v>
      </c>
      <c r="Y76"/>
      <c r="Z76">
        <v>20200131</v>
      </c>
      <c r="AA76">
        <f t="shared" si="1"/>
        <v>1216.6099999999999</v>
      </c>
      <c r="AC76"/>
      <c r="AF76"/>
      <c r="AL76">
        <v>340210490</v>
      </c>
      <c r="AM76" t="s">
        <v>42</v>
      </c>
    </row>
    <row r="77" spans="1:39" x14ac:dyDescent="0.35">
      <c r="A77">
        <v>3402</v>
      </c>
      <c r="B77" t="s">
        <v>28</v>
      </c>
      <c r="C77">
        <v>2020</v>
      </c>
      <c r="D77" s="1">
        <v>43831</v>
      </c>
      <c r="E77">
        <v>160</v>
      </c>
      <c r="F77">
        <v>200114673</v>
      </c>
      <c r="G77" t="s">
        <v>29</v>
      </c>
      <c r="H77">
        <v>81</v>
      </c>
      <c r="I77">
        <v>71101060</v>
      </c>
      <c r="J77">
        <v>11500060</v>
      </c>
      <c r="K77" t="s">
        <v>30</v>
      </c>
      <c r="L77" s="4">
        <v>612</v>
      </c>
      <c r="M77" t="s">
        <v>31</v>
      </c>
      <c r="N77" s="4">
        <v>612</v>
      </c>
      <c r="O77" t="s">
        <v>31</v>
      </c>
      <c r="X77" t="s">
        <v>35</v>
      </c>
      <c r="Y77"/>
      <c r="Z77">
        <v>20200131</v>
      </c>
      <c r="AA77">
        <f t="shared" si="1"/>
        <v>612</v>
      </c>
      <c r="AC77"/>
      <c r="AF77"/>
      <c r="AL77">
        <v>340210490</v>
      </c>
      <c r="AM77" t="s">
        <v>42</v>
      </c>
    </row>
    <row r="78" spans="1:39" x14ac:dyDescent="0.35">
      <c r="A78">
        <v>3402</v>
      </c>
      <c r="B78" t="s">
        <v>28</v>
      </c>
      <c r="C78">
        <v>2020</v>
      </c>
      <c r="D78" s="1">
        <v>43831</v>
      </c>
      <c r="E78">
        <v>162</v>
      </c>
      <c r="F78">
        <v>200114673</v>
      </c>
      <c r="G78" t="s">
        <v>29</v>
      </c>
      <c r="H78">
        <v>81</v>
      </c>
      <c r="I78">
        <v>71101060</v>
      </c>
      <c r="J78">
        <v>11500060</v>
      </c>
      <c r="K78" t="s">
        <v>30</v>
      </c>
      <c r="L78" s="4">
        <v>560.35</v>
      </c>
      <c r="M78" t="s">
        <v>31</v>
      </c>
      <c r="N78" s="4">
        <v>560.35</v>
      </c>
      <c r="O78" t="s">
        <v>31</v>
      </c>
      <c r="X78" t="s">
        <v>35</v>
      </c>
      <c r="Y78"/>
      <c r="Z78">
        <v>20200131</v>
      </c>
      <c r="AA78">
        <f t="shared" si="1"/>
        <v>560.35</v>
      </c>
      <c r="AC78"/>
      <c r="AF78"/>
      <c r="AL78">
        <v>340210490</v>
      </c>
      <c r="AM78" t="s">
        <v>42</v>
      </c>
    </row>
    <row r="79" spans="1:39" x14ac:dyDescent="0.35">
      <c r="A79">
        <v>3401</v>
      </c>
      <c r="B79" t="s">
        <v>28</v>
      </c>
      <c r="C79">
        <v>2020</v>
      </c>
      <c r="D79" s="1">
        <v>43831</v>
      </c>
      <c r="E79">
        <v>136</v>
      </c>
      <c r="F79">
        <v>100031499</v>
      </c>
      <c r="G79" t="s">
        <v>29</v>
      </c>
      <c r="H79">
        <v>81</v>
      </c>
      <c r="I79">
        <v>71101060</v>
      </c>
      <c r="J79">
        <v>11500070</v>
      </c>
      <c r="K79" t="s">
        <v>30</v>
      </c>
      <c r="L79" s="4">
        <v>678.33</v>
      </c>
      <c r="M79" t="s">
        <v>31</v>
      </c>
      <c r="N79" s="4">
        <v>678.33</v>
      </c>
      <c r="O79" t="s">
        <v>31</v>
      </c>
      <c r="X79" t="s">
        <v>28</v>
      </c>
      <c r="Y79"/>
      <c r="Z79">
        <v>20200131</v>
      </c>
      <c r="AA79">
        <f t="shared" si="1"/>
        <v>678.33</v>
      </c>
      <c r="AC79"/>
      <c r="AF79"/>
      <c r="AL79">
        <v>340153290</v>
      </c>
      <c r="AM79" t="s">
        <v>37</v>
      </c>
    </row>
    <row r="80" spans="1:39" x14ac:dyDescent="0.35">
      <c r="A80">
        <v>3403</v>
      </c>
      <c r="B80" t="s">
        <v>28</v>
      </c>
      <c r="C80">
        <v>2020</v>
      </c>
      <c r="D80" s="1">
        <v>43831</v>
      </c>
      <c r="E80">
        <v>2</v>
      </c>
      <c r="F80">
        <v>300018438</v>
      </c>
      <c r="G80" t="s">
        <v>29</v>
      </c>
      <c r="H80">
        <v>81</v>
      </c>
      <c r="I80">
        <v>71101060</v>
      </c>
      <c r="J80">
        <v>11500060</v>
      </c>
      <c r="K80" t="s">
        <v>30</v>
      </c>
      <c r="L80" s="4">
        <v>460</v>
      </c>
      <c r="M80" t="s">
        <v>31</v>
      </c>
      <c r="N80" s="4">
        <v>460</v>
      </c>
      <c r="O80" t="s">
        <v>31</v>
      </c>
      <c r="X80" t="s">
        <v>35</v>
      </c>
      <c r="Y80"/>
      <c r="Z80">
        <v>20200131</v>
      </c>
      <c r="AA80">
        <f t="shared" si="1"/>
        <v>460</v>
      </c>
      <c r="AC80"/>
      <c r="AF80"/>
      <c r="AL80">
        <v>340310490</v>
      </c>
      <c r="AM80" t="s">
        <v>40</v>
      </c>
    </row>
    <row r="81" spans="1:39" x14ac:dyDescent="0.35">
      <c r="A81">
        <v>3403</v>
      </c>
      <c r="B81" t="s">
        <v>28</v>
      </c>
      <c r="C81">
        <v>2020</v>
      </c>
      <c r="D81" s="1">
        <v>43831</v>
      </c>
      <c r="E81">
        <v>14</v>
      </c>
      <c r="F81">
        <v>300018438</v>
      </c>
      <c r="G81" t="s">
        <v>29</v>
      </c>
      <c r="H81">
        <v>81</v>
      </c>
      <c r="I81">
        <v>71101060</v>
      </c>
      <c r="J81">
        <v>11500060</v>
      </c>
      <c r="K81" t="s">
        <v>30</v>
      </c>
      <c r="L81" s="4">
        <v>196</v>
      </c>
      <c r="M81" t="s">
        <v>31</v>
      </c>
      <c r="N81" s="4">
        <v>196</v>
      </c>
      <c r="O81" t="s">
        <v>31</v>
      </c>
      <c r="X81" t="s">
        <v>35</v>
      </c>
      <c r="Y81"/>
      <c r="Z81">
        <v>20200131</v>
      </c>
      <c r="AA81">
        <f t="shared" si="1"/>
        <v>196</v>
      </c>
      <c r="AC81"/>
      <c r="AF81"/>
      <c r="AL81">
        <v>340310490</v>
      </c>
      <c r="AM81" t="s">
        <v>40</v>
      </c>
    </row>
    <row r="82" spans="1:39" x14ac:dyDescent="0.35">
      <c r="A82">
        <v>3403</v>
      </c>
      <c r="B82" t="s">
        <v>28</v>
      </c>
      <c r="C82">
        <v>2020</v>
      </c>
      <c r="D82" s="1">
        <v>43831</v>
      </c>
      <c r="E82">
        <v>16</v>
      </c>
      <c r="F82">
        <v>300018438</v>
      </c>
      <c r="G82" t="s">
        <v>29</v>
      </c>
      <c r="H82">
        <v>81</v>
      </c>
      <c r="I82">
        <v>71101060</v>
      </c>
      <c r="J82">
        <v>11500060</v>
      </c>
      <c r="K82" t="s">
        <v>30</v>
      </c>
      <c r="L82" s="4">
        <v>2077.5300000000002</v>
      </c>
      <c r="M82" t="s">
        <v>31</v>
      </c>
      <c r="N82" s="4">
        <v>2077.5300000000002</v>
      </c>
      <c r="O82" t="s">
        <v>31</v>
      </c>
      <c r="X82" t="s">
        <v>35</v>
      </c>
      <c r="Y82"/>
      <c r="Z82">
        <v>20200131</v>
      </c>
      <c r="AA82">
        <f t="shared" ref="AA82:AA145" si="2">L82</f>
        <v>2077.5300000000002</v>
      </c>
      <c r="AC82"/>
      <c r="AF82"/>
      <c r="AL82">
        <v>340310490</v>
      </c>
      <c r="AM82" t="s">
        <v>40</v>
      </c>
    </row>
    <row r="83" spans="1:39" x14ac:dyDescent="0.35">
      <c r="A83">
        <v>3403</v>
      </c>
      <c r="B83" t="s">
        <v>28</v>
      </c>
      <c r="C83">
        <v>2020</v>
      </c>
      <c r="D83" s="1">
        <v>43831</v>
      </c>
      <c r="E83">
        <v>26</v>
      </c>
      <c r="F83">
        <v>300018438</v>
      </c>
      <c r="G83" t="s">
        <v>29</v>
      </c>
      <c r="H83">
        <v>81</v>
      </c>
      <c r="I83">
        <v>71101060</v>
      </c>
      <c r="J83">
        <v>11500060</v>
      </c>
      <c r="K83" t="s">
        <v>30</v>
      </c>
      <c r="L83" s="4">
        <v>283.2</v>
      </c>
      <c r="M83" t="s">
        <v>31</v>
      </c>
      <c r="N83" s="4">
        <v>283.2</v>
      </c>
      <c r="O83" t="s">
        <v>31</v>
      </c>
      <c r="X83" t="s">
        <v>35</v>
      </c>
      <c r="Y83"/>
      <c r="Z83">
        <v>20200131</v>
      </c>
      <c r="AA83">
        <f t="shared" si="2"/>
        <v>283.2</v>
      </c>
      <c r="AC83"/>
      <c r="AF83"/>
      <c r="AL83">
        <v>340310490</v>
      </c>
      <c r="AM83" t="s">
        <v>40</v>
      </c>
    </row>
    <row r="84" spans="1:39" x14ac:dyDescent="0.35">
      <c r="A84">
        <v>3403</v>
      </c>
      <c r="B84" t="s">
        <v>28</v>
      </c>
      <c r="C84">
        <v>2020</v>
      </c>
      <c r="D84" s="1">
        <v>43831</v>
      </c>
      <c r="E84">
        <v>28</v>
      </c>
      <c r="F84">
        <v>300018438</v>
      </c>
      <c r="G84" t="s">
        <v>29</v>
      </c>
      <c r="H84">
        <v>81</v>
      </c>
      <c r="I84">
        <v>71101060</v>
      </c>
      <c r="J84">
        <v>11500060</v>
      </c>
      <c r="K84" t="s">
        <v>30</v>
      </c>
      <c r="L84" s="4">
        <v>439.71</v>
      </c>
      <c r="M84" t="s">
        <v>31</v>
      </c>
      <c r="N84" s="4">
        <v>439.71</v>
      </c>
      <c r="O84" t="s">
        <v>31</v>
      </c>
      <c r="X84" t="s">
        <v>35</v>
      </c>
      <c r="Y84"/>
      <c r="Z84">
        <v>20200131</v>
      </c>
      <c r="AA84">
        <f t="shared" si="2"/>
        <v>439.71</v>
      </c>
      <c r="AC84"/>
      <c r="AF84"/>
      <c r="AL84">
        <v>340310490</v>
      </c>
      <c r="AM84" t="s">
        <v>40</v>
      </c>
    </row>
    <row r="85" spans="1:39" x14ac:dyDescent="0.35">
      <c r="A85">
        <v>3403</v>
      </c>
      <c r="B85" t="s">
        <v>28</v>
      </c>
      <c r="C85">
        <v>2020</v>
      </c>
      <c r="D85" s="1">
        <v>43831</v>
      </c>
      <c r="E85">
        <v>30</v>
      </c>
      <c r="F85">
        <v>300018438</v>
      </c>
      <c r="G85" t="s">
        <v>29</v>
      </c>
      <c r="H85">
        <v>81</v>
      </c>
      <c r="I85">
        <v>71101060</v>
      </c>
      <c r="J85">
        <v>11500060</v>
      </c>
      <c r="K85" t="s">
        <v>30</v>
      </c>
      <c r="L85" s="4">
        <v>2376.7600000000002</v>
      </c>
      <c r="M85" t="s">
        <v>31</v>
      </c>
      <c r="N85" s="4">
        <v>2376.7600000000002</v>
      </c>
      <c r="O85" t="s">
        <v>31</v>
      </c>
      <c r="X85" t="s">
        <v>35</v>
      </c>
      <c r="Y85"/>
      <c r="Z85">
        <v>20200131</v>
      </c>
      <c r="AA85">
        <f t="shared" si="2"/>
        <v>2376.7600000000002</v>
      </c>
      <c r="AC85"/>
      <c r="AF85"/>
      <c r="AL85">
        <v>340310490</v>
      </c>
      <c r="AM85" t="s">
        <v>40</v>
      </c>
    </row>
    <row r="86" spans="1:39" x14ac:dyDescent="0.35">
      <c r="A86">
        <v>3403</v>
      </c>
      <c r="B86" t="s">
        <v>28</v>
      </c>
      <c r="C86">
        <v>2020</v>
      </c>
      <c r="D86" s="1">
        <v>43831</v>
      </c>
      <c r="E86">
        <v>32</v>
      </c>
      <c r="F86">
        <v>300018438</v>
      </c>
      <c r="G86" t="s">
        <v>29</v>
      </c>
      <c r="H86">
        <v>81</v>
      </c>
      <c r="I86">
        <v>71101060</v>
      </c>
      <c r="J86">
        <v>11500060</v>
      </c>
      <c r="K86" t="s">
        <v>30</v>
      </c>
      <c r="L86" s="4">
        <v>7409.84</v>
      </c>
      <c r="M86" t="s">
        <v>31</v>
      </c>
      <c r="N86" s="4">
        <v>7409.84</v>
      </c>
      <c r="O86" t="s">
        <v>31</v>
      </c>
      <c r="X86" t="s">
        <v>35</v>
      </c>
      <c r="Y86"/>
      <c r="Z86">
        <v>20200131</v>
      </c>
      <c r="AA86">
        <f t="shared" si="2"/>
        <v>7409.84</v>
      </c>
      <c r="AC86"/>
      <c r="AF86"/>
      <c r="AL86">
        <v>340310490</v>
      </c>
      <c r="AM86" t="s">
        <v>40</v>
      </c>
    </row>
    <row r="87" spans="1:39" x14ac:dyDescent="0.35">
      <c r="A87">
        <v>3403</v>
      </c>
      <c r="B87" t="s">
        <v>28</v>
      </c>
      <c r="C87">
        <v>2020</v>
      </c>
      <c r="D87" s="1">
        <v>43831</v>
      </c>
      <c r="E87">
        <v>34</v>
      </c>
      <c r="F87">
        <v>300018438</v>
      </c>
      <c r="G87" t="s">
        <v>29</v>
      </c>
      <c r="H87">
        <v>81</v>
      </c>
      <c r="I87">
        <v>71101060</v>
      </c>
      <c r="J87">
        <v>11500060</v>
      </c>
      <c r="K87" t="s">
        <v>30</v>
      </c>
      <c r="L87" s="4">
        <v>1106</v>
      </c>
      <c r="M87" t="s">
        <v>31</v>
      </c>
      <c r="N87" s="4">
        <v>1106</v>
      </c>
      <c r="O87" t="s">
        <v>31</v>
      </c>
      <c r="X87" t="s">
        <v>35</v>
      </c>
      <c r="Y87"/>
      <c r="Z87">
        <v>20200131</v>
      </c>
      <c r="AA87">
        <f t="shared" si="2"/>
        <v>1106</v>
      </c>
      <c r="AC87"/>
      <c r="AF87"/>
      <c r="AL87">
        <v>340310490</v>
      </c>
      <c r="AM87" t="s">
        <v>40</v>
      </c>
    </row>
    <row r="88" spans="1:39" x14ac:dyDescent="0.35">
      <c r="A88">
        <v>3403</v>
      </c>
      <c r="B88" t="s">
        <v>28</v>
      </c>
      <c r="C88">
        <v>2020</v>
      </c>
      <c r="D88" s="1">
        <v>43831</v>
      </c>
      <c r="E88">
        <v>62</v>
      </c>
      <c r="F88">
        <v>300018438</v>
      </c>
      <c r="G88" t="s">
        <v>29</v>
      </c>
      <c r="H88">
        <v>81</v>
      </c>
      <c r="I88">
        <v>71101060</v>
      </c>
      <c r="J88">
        <v>11500060</v>
      </c>
      <c r="K88" t="s">
        <v>30</v>
      </c>
      <c r="L88" s="4">
        <v>8275.5</v>
      </c>
      <c r="M88" t="s">
        <v>31</v>
      </c>
      <c r="N88" s="4">
        <v>8275.5</v>
      </c>
      <c r="O88" t="s">
        <v>31</v>
      </c>
      <c r="X88" t="s">
        <v>35</v>
      </c>
      <c r="Y88"/>
      <c r="Z88">
        <v>20200131</v>
      </c>
      <c r="AA88">
        <f t="shared" si="2"/>
        <v>8275.5</v>
      </c>
      <c r="AC88"/>
      <c r="AF88"/>
      <c r="AL88">
        <v>340310490</v>
      </c>
      <c r="AM88" t="s">
        <v>40</v>
      </c>
    </row>
    <row r="89" spans="1:39" x14ac:dyDescent="0.35">
      <c r="A89">
        <v>3403</v>
      </c>
      <c r="B89" t="s">
        <v>28</v>
      </c>
      <c r="C89">
        <v>2020</v>
      </c>
      <c r="D89" s="1">
        <v>43831</v>
      </c>
      <c r="E89">
        <v>64</v>
      </c>
      <c r="F89">
        <v>300018438</v>
      </c>
      <c r="G89" t="s">
        <v>29</v>
      </c>
      <c r="H89">
        <v>81</v>
      </c>
      <c r="I89">
        <v>71101060</v>
      </c>
      <c r="J89">
        <v>11500060</v>
      </c>
      <c r="K89" t="s">
        <v>30</v>
      </c>
      <c r="L89" s="4">
        <v>3422.4</v>
      </c>
      <c r="M89" t="s">
        <v>31</v>
      </c>
      <c r="N89" s="4">
        <v>3422.4</v>
      </c>
      <c r="O89" t="s">
        <v>31</v>
      </c>
      <c r="X89" t="s">
        <v>35</v>
      </c>
      <c r="Y89"/>
      <c r="Z89">
        <v>20200131</v>
      </c>
      <c r="AA89">
        <f t="shared" si="2"/>
        <v>3422.4</v>
      </c>
      <c r="AC89"/>
      <c r="AF89"/>
      <c r="AL89">
        <v>340310490</v>
      </c>
      <c r="AM89" t="s">
        <v>40</v>
      </c>
    </row>
    <row r="90" spans="1:39" x14ac:dyDescent="0.35">
      <c r="A90">
        <v>3403</v>
      </c>
      <c r="B90" t="s">
        <v>28</v>
      </c>
      <c r="C90">
        <v>2020</v>
      </c>
      <c r="D90" s="1">
        <v>43831</v>
      </c>
      <c r="E90">
        <v>66</v>
      </c>
      <c r="F90">
        <v>300018438</v>
      </c>
      <c r="G90" t="s">
        <v>29</v>
      </c>
      <c r="H90">
        <v>81</v>
      </c>
      <c r="I90">
        <v>71101060</v>
      </c>
      <c r="J90">
        <v>11500060</v>
      </c>
      <c r="K90" t="s">
        <v>30</v>
      </c>
      <c r="L90" s="4">
        <v>40401.599999999999</v>
      </c>
      <c r="M90" t="s">
        <v>31</v>
      </c>
      <c r="N90" s="4">
        <v>40401.599999999999</v>
      </c>
      <c r="O90" t="s">
        <v>31</v>
      </c>
      <c r="X90" t="s">
        <v>35</v>
      </c>
      <c r="Y90"/>
      <c r="Z90">
        <v>20200131</v>
      </c>
      <c r="AA90">
        <f t="shared" si="2"/>
        <v>40401.599999999999</v>
      </c>
      <c r="AC90"/>
      <c r="AF90"/>
      <c r="AL90">
        <v>340310490</v>
      </c>
      <c r="AM90" t="s">
        <v>40</v>
      </c>
    </row>
    <row r="91" spans="1:39" x14ac:dyDescent="0.35">
      <c r="A91">
        <v>3403</v>
      </c>
      <c r="B91" t="s">
        <v>28</v>
      </c>
      <c r="C91">
        <v>2020</v>
      </c>
      <c r="D91" s="1">
        <v>43831</v>
      </c>
      <c r="E91">
        <v>68</v>
      </c>
      <c r="F91">
        <v>300018438</v>
      </c>
      <c r="G91" t="s">
        <v>29</v>
      </c>
      <c r="H91">
        <v>81</v>
      </c>
      <c r="I91">
        <v>71101060</v>
      </c>
      <c r="J91">
        <v>11500060</v>
      </c>
      <c r="K91" t="s">
        <v>30</v>
      </c>
      <c r="L91" s="4">
        <v>16818</v>
      </c>
      <c r="M91" t="s">
        <v>31</v>
      </c>
      <c r="N91" s="4">
        <v>16818</v>
      </c>
      <c r="O91" t="s">
        <v>31</v>
      </c>
      <c r="X91" t="s">
        <v>35</v>
      </c>
      <c r="Y91"/>
      <c r="Z91">
        <v>20200131</v>
      </c>
      <c r="AA91">
        <f t="shared" si="2"/>
        <v>16818</v>
      </c>
      <c r="AC91"/>
      <c r="AF91"/>
      <c r="AL91">
        <v>340310490</v>
      </c>
      <c r="AM91" t="s">
        <v>40</v>
      </c>
    </row>
    <row r="92" spans="1:39" x14ac:dyDescent="0.35">
      <c r="A92">
        <v>3403</v>
      </c>
      <c r="B92" t="s">
        <v>28</v>
      </c>
      <c r="C92">
        <v>2020</v>
      </c>
      <c r="D92" s="1">
        <v>43831</v>
      </c>
      <c r="E92">
        <v>70</v>
      </c>
      <c r="F92">
        <v>300018438</v>
      </c>
      <c r="G92" t="s">
        <v>29</v>
      </c>
      <c r="H92">
        <v>81</v>
      </c>
      <c r="I92">
        <v>71101060</v>
      </c>
      <c r="J92">
        <v>11500060</v>
      </c>
      <c r="K92" t="s">
        <v>30</v>
      </c>
      <c r="L92" s="4">
        <v>885.99</v>
      </c>
      <c r="M92" t="s">
        <v>31</v>
      </c>
      <c r="N92" s="4">
        <v>885.99</v>
      </c>
      <c r="O92" t="s">
        <v>31</v>
      </c>
      <c r="X92" t="s">
        <v>35</v>
      </c>
      <c r="Y92"/>
      <c r="Z92">
        <v>20200131</v>
      </c>
      <c r="AA92">
        <f t="shared" si="2"/>
        <v>885.99</v>
      </c>
      <c r="AC92"/>
      <c r="AF92"/>
      <c r="AL92">
        <v>340310490</v>
      </c>
      <c r="AM92" t="s">
        <v>40</v>
      </c>
    </row>
    <row r="93" spans="1:39" x14ac:dyDescent="0.35">
      <c r="A93">
        <v>3403</v>
      </c>
      <c r="B93" t="s">
        <v>28</v>
      </c>
      <c r="C93">
        <v>2020</v>
      </c>
      <c r="D93" s="1">
        <v>43831</v>
      </c>
      <c r="E93">
        <v>72</v>
      </c>
      <c r="F93">
        <v>300018438</v>
      </c>
      <c r="G93" t="s">
        <v>29</v>
      </c>
      <c r="H93">
        <v>81</v>
      </c>
      <c r="I93">
        <v>71101060</v>
      </c>
      <c r="J93">
        <v>11500060</v>
      </c>
      <c r="K93" t="s">
        <v>30</v>
      </c>
      <c r="L93" s="4">
        <v>3600</v>
      </c>
      <c r="M93" t="s">
        <v>31</v>
      </c>
      <c r="N93" s="4">
        <v>3600</v>
      </c>
      <c r="O93" t="s">
        <v>31</v>
      </c>
      <c r="X93" t="s">
        <v>35</v>
      </c>
      <c r="Y93"/>
      <c r="Z93">
        <v>20200131</v>
      </c>
      <c r="AA93">
        <f t="shared" si="2"/>
        <v>3600</v>
      </c>
      <c r="AC93"/>
      <c r="AF93"/>
      <c r="AL93">
        <v>340310490</v>
      </c>
      <c r="AM93" t="s">
        <v>40</v>
      </c>
    </row>
    <row r="94" spans="1:39" x14ac:dyDescent="0.35">
      <c r="A94">
        <v>3403</v>
      </c>
      <c r="B94" t="s">
        <v>28</v>
      </c>
      <c r="C94">
        <v>2020</v>
      </c>
      <c r="D94" s="1">
        <v>43831</v>
      </c>
      <c r="E94">
        <v>74</v>
      </c>
      <c r="F94">
        <v>300018438</v>
      </c>
      <c r="G94" t="s">
        <v>29</v>
      </c>
      <c r="H94">
        <v>81</v>
      </c>
      <c r="I94">
        <v>71101060</v>
      </c>
      <c r="J94">
        <v>11500060</v>
      </c>
      <c r="K94" t="s">
        <v>30</v>
      </c>
      <c r="L94" s="4">
        <v>1800</v>
      </c>
      <c r="M94" t="s">
        <v>31</v>
      </c>
      <c r="N94" s="4">
        <v>1800</v>
      </c>
      <c r="O94" t="s">
        <v>31</v>
      </c>
      <c r="X94" t="s">
        <v>35</v>
      </c>
      <c r="Y94"/>
      <c r="Z94">
        <v>20200131</v>
      </c>
      <c r="AA94">
        <f t="shared" si="2"/>
        <v>1800</v>
      </c>
      <c r="AC94"/>
      <c r="AF94"/>
      <c r="AL94">
        <v>340310490</v>
      </c>
      <c r="AM94" t="s">
        <v>40</v>
      </c>
    </row>
    <row r="95" spans="1:39" x14ac:dyDescent="0.35">
      <c r="A95">
        <v>3403</v>
      </c>
      <c r="B95" t="s">
        <v>28</v>
      </c>
      <c r="C95">
        <v>2020</v>
      </c>
      <c r="D95" s="1">
        <v>43831</v>
      </c>
      <c r="E95">
        <v>76</v>
      </c>
      <c r="F95">
        <v>300018438</v>
      </c>
      <c r="G95" t="s">
        <v>29</v>
      </c>
      <c r="H95">
        <v>81</v>
      </c>
      <c r="I95">
        <v>71101060</v>
      </c>
      <c r="J95">
        <v>11500060</v>
      </c>
      <c r="K95" t="s">
        <v>30</v>
      </c>
      <c r="L95" s="4">
        <v>3089.07</v>
      </c>
      <c r="M95" t="s">
        <v>31</v>
      </c>
      <c r="N95" s="4">
        <v>3089.07</v>
      </c>
      <c r="O95" t="s">
        <v>31</v>
      </c>
      <c r="X95" t="s">
        <v>35</v>
      </c>
      <c r="Y95"/>
      <c r="Z95">
        <v>20200131</v>
      </c>
      <c r="AA95">
        <f t="shared" si="2"/>
        <v>3089.07</v>
      </c>
      <c r="AC95"/>
      <c r="AF95"/>
      <c r="AL95">
        <v>340310490</v>
      </c>
      <c r="AM95" t="s">
        <v>40</v>
      </c>
    </row>
    <row r="96" spans="1:39" x14ac:dyDescent="0.35">
      <c r="A96">
        <v>3403</v>
      </c>
      <c r="B96" t="s">
        <v>28</v>
      </c>
      <c r="C96">
        <v>2020</v>
      </c>
      <c r="D96" s="1">
        <v>43831</v>
      </c>
      <c r="E96">
        <v>142</v>
      </c>
      <c r="F96">
        <v>300018438</v>
      </c>
      <c r="G96" t="s">
        <v>29</v>
      </c>
      <c r="H96">
        <v>81</v>
      </c>
      <c r="I96">
        <v>71101060</v>
      </c>
      <c r="J96">
        <v>11500060</v>
      </c>
      <c r="K96" t="s">
        <v>30</v>
      </c>
      <c r="L96" s="4">
        <v>428.16</v>
      </c>
      <c r="M96" t="s">
        <v>31</v>
      </c>
      <c r="N96" s="4">
        <v>428.16</v>
      </c>
      <c r="O96" t="s">
        <v>31</v>
      </c>
      <c r="X96" t="s">
        <v>35</v>
      </c>
      <c r="Y96"/>
      <c r="Z96">
        <v>20200131</v>
      </c>
      <c r="AA96">
        <f t="shared" si="2"/>
        <v>428.16</v>
      </c>
      <c r="AC96"/>
      <c r="AF96"/>
      <c r="AL96">
        <v>340310490</v>
      </c>
      <c r="AM96" t="s">
        <v>40</v>
      </c>
    </row>
    <row r="97" spans="1:39" x14ac:dyDescent="0.35">
      <c r="A97">
        <v>3403</v>
      </c>
      <c r="B97" t="s">
        <v>28</v>
      </c>
      <c r="C97">
        <v>2020</v>
      </c>
      <c r="D97" s="1">
        <v>43831</v>
      </c>
      <c r="E97">
        <v>144</v>
      </c>
      <c r="F97">
        <v>300018438</v>
      </c>
      <c r="G97" t="s">
        <v>29</v>
      </c>
      <c r="H97">
        <v>81</v>
      </c>
      <c r="I97">
        <v>71101060</v>
      </c>
      <c r="J97">
        <v>11500060</v>
      </c>
      <c r="K97" t="s">
        <v>30</v>
      </c>
      <c r="L97" s="4">
        <v>557.76</v>
      </c>
      <c r="M97" t="s">
        <v>31</v>
      </c>
      <c r="N97" s="4">
        <v>557.76</v>
      </c>
      <c r="O97" t="s">
        <v>31</v>
      </c>
      <c r="X97" t="s">
        <v>35</v>
      </c>
      <c r="Y97"/>
      <c r="Z97">
        <v>20200131</v>
      </c>
      <c r="AA97">
        <f t="shared" si="2"/>
        <v>557.76</v>
      </c>
      <c r="AC97"/>
      <c r="AF97"/>
      <c r="AL97">
        <v>340310490</v>
      </c>
      <c r="AM97" t="s">
        <v>40</v>
      </c>
    </row>
    <row r="98" spans="1:39" x14ac:dyDescent="0.35">
      <c r="A98">
        <v>3403</v>
      </c>
      <c r="B98" t="s">
        <v>28</v>
      </c>
      <c r="C98">
        <v>2020</v>
      </c>
      <c r="D98" s="1">
        <v>43831</v>
      </c>
      <c r="E98">
        <v>146</v>
      </c>
      <c r="F98">
        <v>300018438</v>
      </c>
      <c r="G98" t="s">
        <v>29</v>
      </c>
      <c r="H98">
        <v>81</v>
      </c>
      <c r="I98">
        <v>71101060</v>
      </c>
      <c r="J98">
        <v>11500060</v>
      </c>
      <c r="K98" t="s">
        <v>30</v>
      </c>
      <c r="L98" s="4">
        <v>95</v>
      </c>
      <c r="M98" t="s">
        <v>31</v>
      </c>
      <c r="N98" s="4">
        <v>95</v>
      </c>
      <c r="O98" t="s">
        <v>31</v>
      </c>
      <c r="X98" t="s">
        <v>35</v>
      </c>
      <c r="Y98"/>
      <c r="Z98">
        <v>20200131</v>
      </c>
      <c r="AA98">
        <f t="shared" si="2"/>
        <v>95</v>
      </c>
      <c r="AC98"/>
      <c r="AF98"/>
      <c r="AL98">
        <v>340310490</v>
      </c>
      <c r="AM98" t="s">
        <v>40</v>
      </c>
    </row>
    <row r="99" spans="1:39" x14ac:dyDescent="0.35">
      <c r="A99">
        <v>3403</v>
      </c>
      <c r="B99" t="s">
        <v>28</v>
      </c>
      <c r="C99">
        <v>2020</v>
      </c>
      <c r="D99" s="1">
        <v>43831</v>
      </c>
      <c r="E99">
        <v>148</v>
      </c>
      <c r="F99">
        <v>300018438</v>
      </c>
      <c r="G99" t="s">
        <v>29</v>
      </c>
      <c r="H99">
        <v>81</v>
      </c>
      <c r="I99">
        <v>71101060</v>
      </c>
      <c r="J99">
        <v>11500060</v>
      </c>
      <c r="K99" t="s">
        <v>30</v>
      </c>
      <c r="L99" s="4">
        <v>618</v>
      </c>
      <c r="M99" t="s">
        <v>31</v>
      </c>
      <c r="N99" s="4">
        <v>618</v>
      </c>
      <c r="O99" t="s">
        <v>31</v>
      </c>
      <c r="X99" t="s">
        <v>35</v>
      </c>
      <c r="Y99"/>
      <c r="Z99">
        <v>20200131</v>
      </c>
      <c r="AA99">
        <f t="shared" si="2"/>
        <v>618</v>
      </c>
      <c r="AC99"/>
      <c r="AF99"/>
      <c r="AL99">
        <v>340310490</v>
      </c>
      <c r="AM99" t="s">
        <v>40</v>
      </c>
    </row>
    <row r="100" spans="1:39" x14ac:dyDescent="0.35">
      <c r="A100">
        <v>3403</v>
      </c>
      <c r="B100" t="s">
        <v>28</v>
      </c>
      <c r="C100">
        <v>2020</v>
      </c>
      <c r="D100" s="1">
        <v>43831</v>
      </c>
      <c r="E100">
        <v>150</v>
      </c>
      <c r="F100">
        <v>300018438</v>
      </c>
      <c r="G100" t="s">
        <v>29</v>
      </c>
      <c r="H100">
        <v>81</v>
      </c>
      <c r="I100">
        <v>71101060</v>
      </c>
      <c r="J100">
        <v>11500060</v>
      </c>
      <c r="K100" t="s">
        <v>30</v>
      </c>
      <c r="L100" s="4">
        <v>87.68</v>
      </c>
      <c r="M100" t="s">
        <v>31</v>
      </c>
      <c r="N100" s="4">
        <v>87.68</v>
      </c>
      <c r="O100" t="s">
        <v>31</v>
      </c>
      <c r="X100" t="s">
        <v>35</v>
      </c>
      <c r="Y100"/>
      <c r="Z100">
        <v>20200131</v>
      </c>
      <c r="AA100">
        <f t="shared" si="2"/>
        <v>87.68</v>
      </c>
      <c r="AC100"/>
      <c r="AF100"/>
      <c r="AL100">
        <v>340310490</v>
      </c>
      <c r="AM100" t="s">
        <v>40</v>
      </c>
    </row>
    <row r="101" spans="1:39" x14ac:dyDescent="0.35">
      <c r="A101">
        <v>3403</v>
      </c>
      <c r="B101" t="s">
        <v>28</v>
      </c>
      <c r="C101">
        <v>2020</v>
      </c>
      <c r="D101" s="1">
        <v>43831</v>
      </c>
      <c r="E101">
        <v>152</v>
      </c>
      <c r="F101">
        <v>300018438</v>
      </c>
      <c r="G101" t="s">
        <v>29</v>
      </c>
      <c r="H101">
        <v>81</v>
      </c>
      <c r="I101">
        <v>71101060</v>
      </c>
      <c r="J101">
        <v>11500060</v>
      </c>
      <c r="K101" t="s">
        <v>30</v>
      </c>
      <c r="L101" s="4">
        <v>641.28</v>
      </c>
      <c r="M101" t="s">
        <v>31</v>
      </c>
      <c r="N101" s="4">
        <v>641.28</v>
      </c>
      <c r="O101" t="s">
        <v>31</v>
      </c>
      <c r="X101" t="s">
        <v>35</v>
      </c>
      <c r="Y101"/>
      <c r="Z101">
        <v>20200131</v>
      </c>
      <c r="AA101">
        <f t="shared" si="2"/>
        <v>641.28</v>
      </c>
      <c r="AC101"/>
      <c r="AF101"/>
      <c r="AL101">
        <v>340310490</v>
      </c>
      <c r="AM101" t="s">
        <v>40</v>
      </c>
    </row>
    <row r="102" spans="1:39" x14ac:dyDescent="0.35">
      <c r="A102">
        <v>3403</v>
      </c>
      <c r="B102" t="s">
        <v>28</v>
      </c>
      <c r="C102">
        <v>2020</v>
      </c>
      <c r="D102" s="1">
        <v>43831</v>
      </c>
      <c r="E102">
        <v>154</v>
      </c>
      <c r="F102">
        <v>300018438</v>
      </c>
      <c r="G102" t="s">
        <v>29</v>
      </c>
      <c r="H102">
        <v>81</v>
      </c>
      <c r="I102">
        <v>71101060</v>
      </c>
      <c r="J102">
        <v>11500060</v>
      </c>
      <c r="K102" t="s">
        <v>30</v>
      </c>
      <c r="L102" s="4">
        <v>217.92</v>
      </c>
      <c r="M102" t="s">
        <v>31</v>
      </c>
      <c r="N102" s="4">
        <v>217.92</v>
      </c>
      <c r="O102" t="s">
        <v>31</v>
      </c>
      <c r="X102" t="s">
        <v>35</v>
      </c>
      <c r="Y102"/>
      <c r="Z102">
        <v>20200131</v>
      </c>
      <c r="AA102">
        <f t="shared" si="2"/>
        <v>217.92</v>
      </c>
      <c r="AC102"/>
      <c r="AF102"/>
      <c r="AL102">
        <v>340310490</v>
      </c>
      <c r="AM102" t="s">
        <v>40</v>
      </c>
    </row>
    <row r="103" spans="1:39" x14ac:dyDescent="0.35">
      <c r="A103">
        <v>3403</v>
      </c>
      <c r="B103" t="s">
        <v>28</v>
      </c>
      <c r="C103">
        <v>2020</v>
      </c>
      <c r="D103" s="1">
        <v>43831</v>
      </c>
      <c r="E103">
        <v>156</v>
      </c>
      <c r="F103">
        <v>300018438</v>
      </c>
      <c r="G103" t="s">
        <v>29</v>
      </c>
      <c r="H103">
        <v>81</v>
      </c>
      <c r="I103">
        <v>71101060</v>
      </c>
      <c r="J103">
        <v>11500060</v>
      </c>
      <c r="K103" t="s">
        <v>30</v>
      </c>
      <c r="L103" s="4">
        <v>152</v>
      </c>
      <c r="M103" t="s">
        <v>31</v>
      </c>
      <c r="N103" s="4">
        <v>152</v>
      </c>
      <c r="O103" t="s">
        <v>31</v>
      </c>
      <c r="X103" t="s">
        <v>35</v>
      </c>
      <c r="Y103"/>
      <c r="Z103">
        <v>20200131</v>
      </c>
      <c r="AA103">
        <f t="shared" si="2"/>
        <v>152</v>
      </c>
      <c r="AC103"/>
      <c r="AF103"/>
      <c r="AL103">
        <v>340310490</v>
      </c>
      <c r="AM103" t="s">
        <v>40</v>
      </c>
    </row>
    <row r="104" spans="1:39" x14ac:dyDescent="0.35">
      <c r="A104">
        <v>3406</v>
      </c>
      <c r="B104" t="s">
        <v>28</v>
      </c>
      <c r="C104">
        <v>2020</v>
      </c>
      <c r="D104" s="1">
        <v>43831</v>
      </c>
      <c r="E104">
        <v>16</v>
      </c>
      <c r="F104">
        <v>600031622</v>
      </c>
      <c r="G104" t="s">
        <v>29</v>
      </c>
      <c r="H104">
        <v>81</v>
      </c>
      <c r="I104">
        <v>71101060</v>
      </c>
      <c r="J104">
        <v>11500020</v>
      </c>
      <c r="K104" t="s">
        <v>30</v>
      </c>
      <c r="L104" s="4">
        <v>214</v>
      </c>
      <c r="M104" t="s">
        <v>31</v>
      </c>
      <c r="N104" s="4">
        <v>214</v>
      </c>
      <c r="O104" t="s">
        <v>31</v>
      </c>
      <c r="X104" t="s">
        <v>35</v>
      </c>
      <c r="Y104"/>
      <c r="Z104">
        <v>20200131</v>
      </c>
      <c r="AA104">
        <f t="shared" si="2"/>
        <v>214</v>
      </c>
      <c r="AC104"/>
      <c r="AF104"/>
      <c r="AL104">
        <v>340612790</v>
      </c>
      <c r="AM104" t="s">
        <v>36</v>
      </c>
    </row>
    <row r="105" spans="1:39" x14ac:dyDescent="0.35">
      <c r="A105">
        <v>3403</v>
      </c>
      <c r="B105" t="s">
        <v>28</v>
      </c>
      <c r="C105">
        <v>2020</v>
      </c>
      <c r="D105" s="1">
        <v>43831</v>
      </c>
      <c r="E105">
        <v>18</v>
      </c>
      <c r="F105">
        <v>300017681</v>
      </c>
      <c r="G105" t="s">
        <v>29</v>
      </c>
      <c r="H105">
        <v>81</v>
      </c>
      <c r="I105">
        <v>71101060</v>
      </c>
      <c r="J105">
        <v>11500050</v>
      </c>
      <c r="K105" t="s">
        <v>30</v>
      </c>
      <c r="L105" s="4">
        <v>174.45</v>
      </c>
      <c r="M105" t="s">
        <v>31</v>
      </c>
      <c r="N105" s="4">
        <v>174.45</v>
      </c>
      <c r="O105" t="s">
        <v>31</v>
      </c>
      <c r="X105" t="s">
        <v>28</v>
      </c>
      <c r="Y105"/>
      <c r="Z105">
        <v>20200131</v>
      </c>
      <c r="AA105">
        <f t="shared" si="2"/>
        <v>174.45</v>
      </c>
      <c r="AC105"/>
      <c r="AF105"/>
      <c r="AL105">
        <v>340317690</v>
      </c>
      <c r="AM105" t="s">
        <v>40</v>
      </c>
    </row>
    <row r="106" spans="1:39" x14ac:dyDescent="0.35">
      <c r="A106">
        <v>3403</v>
      </c>
      <c r="B106" t="s">
        <v>28</v>
      </c>
      <c r="C106">
        <v>2020</v>
      </c>
      <c r="D106" s="1">
        <v>43831</v>
      </c>
      <c r="E106">
        <v>20</v>
      </c>
      <c r="F106">
        <v>300017681</v>
      </c>
      <c r="G106" t="s">
        <v>29</v>
      </c>
      <c r="H106">
        <v>81</v>
      </c>
      <c r="I106">
        <v>71101060</v>
      </c>
      <c r="J106">
        <v>11500050</v>
      </c>
      <c r="K106" t="s">
        <v>30</v>
      </c>
      <c r="L106" s="4">
        <v>24.9</v>
      </c>
      <c r="M106" t="s">
        <v>31</v>
      </c>
      <c r="N106" s="4">
        <v>24.9</v>
      </c>
      <c r="O106" t="s">
        <v>31</v>
      </c>
      <c r="X106" t="s">
        <v>28</v>
      </c>
      <c r="Y106"/>
      <c r="Z106">
        <v>20200131</v>
      </c>
      <c r="AA106">
        <f t="shared" si="2"/>
        <v>24.9</v>
      </c>
      <c r="AC106"/>
      <c r="AF106"/>
      <c r="AL106">
        <v>340317690</v>
      </c>
      <c r="AM106" t="s">
        <v>40</v>
      </c>
    </row>
    <row r="107" spans="1:39" x14ac:dyDescent="0.35">
      <c r="A107">
        <v>3403</v>
      </c>
      <c r="B107" t="s">
        <v>28</v>
      </c>
      <c r="C107">
        <v>2020</v>
      </c>
      <c r="D107" s="1">
        <v>43831</v>
      </c>
      <c r="E107">
        <v>22</v>
      </c>
      <c r="F107">
        <v>300017681</v>
      </c>
      <c r="G107" t="s">
        <v>29</v>
      </c>
      <c r="H107">
        <v>81</v>
      </c>
      <c r="I107">
        <v>71101060</v>
      </c>
      <c r="J107">
        <v>11500050</v>
      </c>
      <c r="K107" t="s">
        <v>30</v>
      </c>
      <c r="L107" s="4">
        <v>59.7</v>
      </c>
      <c r="M107" t="s">
        <v>31</v>
      </c>
      <c r="N107" s="4">
        <v>59.7</v>
      </c>
      <c r="O107" t="s">
        <v>31</v>
      </c>
      <c r="X107" t="s">
        <v>28</v>
      </c>
      <c r="Y107"/>
      <c r="Z107">
        <v>20200131</v>
      </c>
      <c r="AA107">
        <f t="shared" si="2"/>
        <v>59.7</v>
      </c>
      <c r="AC107"/>
      <c r="AF107"/>
      <c r="AL107">
        <v>340317690</v>
      </c>
      <c r="AM107" t="s">
        <v>40</v>
      </c>
    </row>
    <row r="108" spans="1:39" x14ac:dyDescent="0.35">
      <c r="A108">
        <v>3403</v>
      </c>
      <c r="B108" t="s">
        <v>28</v>
      </c>
      <c r="C108">
        <v>2020</v>
      </c>
      <c r="D108" s="1">
        <v>43831</v>
      </c>
      <c r="E108">
        <v>24</v>
      </c>
      <c r="F108">
        <v>300017681</v>
      </c>
      <c r="G108" t="s">
        <v>29</v>
      </c>
      <c r="H108">
        <v>81</v>
      </c>
      <c r="I108">
        <v>71101060</v>
      </c>
      <c r="J108">
        <v>11500050</v>
      </c>
      <c r="K108" t="s">
        <v>30</v>
      </c>
      <c r="L108" s="4">
        <v>19</v>
      </c>
      <c r="M108" t="s">
        <v>31</v>
      </c>
      <c r="N108" s="4">
        <v>19</v>
      </c>
      <c r="O108" t="s">
        <v>31</v>
      </c>
      <c r="X108" t="s">
        <v>28</v>
      </c>
      <c r="Y108"/>
      <c r="Z108">
        <v>20200131</v>
      </c>
      <c r="AA108">
        <f t="shared" si="2"/>
        <v>19</v>
      </c>
      <c r="AC108"/>
      <c r="AF108"/>
      <c r="AL108">
        <v>340317690</v>
      </c>
      <c r="AM108" t="s">
        <v>40</v>
      </c>
    </row>
    <row r="109" spans="1:39" x14ac:dyDescent="0.35">
      <c r="A109">
        <v>3403</v>
      </c>
      <c r="B109" t="s">
        <v>28</v>
      </c>
      <c r="C109">
        <v>2020</v>
      </c>
      <c r="D109" s="1">
        <v>43831</v>
      </c>
      <c r="E109">
        <v>26</v>
      </c>
      <c r="F109">
        <v>300017681</v>
      </c>
      <c r="G109" t="s">
        <v>29</v>
      </c>
      <c r="H109">
        <v>81</v>
      </c>
      <c r="I109">
        <v>71101060</v>
      </c>
      <c r="J109">
        <v>11500050</v>
      </c>
      <c r="K109" t="s">
        <v>30</v>
      </c>
      <c r="L109" s="4">
        <v>238.8</v>
      </c>
      <c r="M109" t="s">
        <v>31</v>
      </c>
      <c r="N109" s="4">
        <v>238.8</v>
      </c>
      <c r="O109" t="s">
        <v>31</v>
      </c>
      <c r="X109" t="s">
        <v>28</v>
      </c>
      <c r="Y109"/>
      <c r="Z109">
        <v>20200131</v>
      </c>
      <c r="AA109">
        <f t="shared" si="2"/>
        <v>238.8</v>
      </c>
      <c r="AC109"/>
      <c r="AF109"/>
      <c r="AL109">
        <v>340317690</v>
      </c>
      <c r="AM109" t="s">
        <v>40</v>
      </c>
    </row>
    <row r="110" spans="1:39" x14ac:dyDescent="0.35">
      <c r="A110">
        <v>3403</v>
      </c>
      <c r="B110" t="s">
        <v>28</v>
      </c>
      <c r="C110">
        <v>2020</v>
      </c>
      <c r="D110" s="1">
        <v>43831</v>
      </c>
      <c r="E110">
        <v>28</v>
      </c>
      <c r="F110">
        <v>300017681</v>
      </c>
      <c r="G110" t="s">
        <v>29</v>
      </c>
      <c r="H110">
        <v>81</v>
      </c>
      <c r="I110">
        <v>71101060</v>
      </c>
      <c r="J110">
        <v>11500050</v>
      </c>
      <c r="K110" t="s">
        <v>30</v>
      </c>
      <c r="L110" s="4">
        <v>35.6</v>
      </c>
      <c r="M110" t="s">
        <v>31</v>
      </c>
      <c r="N110" s="4">
        <v>35.6</v>
      </c>
      <c r="O110" t="s">
        <v>31</v>
      </c>
      <c r="X110" t="s">
        <v>28</v>
      </c>
      <c r="Y110"/>
      <c r="Z110">
        <v>20200131</v>
      </c>
      <c r="AA110">
        <f t="shared" si="2"/>
        <v>35.6</v>
      </c>
      <c r="AC110"/>
      <c r="AF110"/>
      <c r="AL110">
        <v>340317690</v>
      </c>
      <c r="AM110" t="s">
        <v>40</v>
      </c>
    </row>
    <row r="111" spans="1:39" x14ac:dyDescent="0.35">
      <c r="A111">
        <v>3403</v>
      </c>
      <c r="B111" t="s">
        <v>28</v>
      </c>
      <c r="C111">
        <v>2020</v>
      </c>
      <c r="D111" s="1">
        <v>43831</v>
      </c>
      <c r="E111">
        <v>30</v>
      </c>
      <c r="F111">
        <v>300017681</v>
      </c>
      <c r="G111" t="s">
        <v>29</v>
      </c>
      <c r="H111">
        <v>81</v>
      </c>
      <c r="I111">
        <v>71101060</v>
      </c>
      <c r="J111">
        <v>11500050</v>
      </c>
      <c r="K111" t="s">
        <v>30</v>
      </c>
      <c r="L111" s="4">
        <v>3784</v>
      </c>
      <c r="M111" t="s">
        <v>31</v>
      </c>
      <c r="N111" s="4">
        <v>3784</v>
      </c>
      <c r="O111" t="s">
        <v>31</v>
      </c>
      <c r="X111" t="s">
        <v>28</v>
      </c>
      <c r="Y111"/>
      <c r="Z111">
        <v>20200131</v>
      </c>
      <c r="AA111">
        <f t="shared" si="2"/>
        <v>3784</v>
      </c>
      <c r="AC111"/>
      <c r="AF111"/>
      <c r="AL111">
        <v>340317690</v>
      </c>
      <c r="AM111" t="s">
        <v>40</v>
      </c>
    </row>
    <row r="112" spans="1:39" x14ac:dyDescent="0.35">
      <c r="A112">
        <v>3403</v>
      </c>
      <c r="B112" t="s">
        <v>28</v>
      </c>
      <c r="C112">
        <v>2020</v>
      </c>
      <c r="D112" s="1">
        <v>43831</v>
      </c>
      <c r="E112">
        <v>32</v>
      </c>
      <c r="F112">
        <v>300017681</v>
      </c>
      <c r="G112" t="s">
        <v>29</v>
      </c>
      <c r="H112">
        <v>81</v>
      </c>
      <c r="I112">
        <v>71101060</v>
      </c>
      <c r="J112">
        <v>11500050</v>
      </c>
      <c r="K112" t="s">
        <v>30</v>
      </c>
      <c r="L112" s="4">
        <v>920.48</v>
      </c>
      <c r="M112" t="s">
        <v>31</v>
      </c>
      <c r="N112" s="4">
        <v>920.48</v>
      </c>
      <c r="O112" t="s">
        <v>31</v>
      </c>
      <c r="X112" t="s">
        <v>28</v>
      </c>
      <c r="Y112"/>
      <c r="Z112">
        <v>20200131</v>
      </c>
      <c r="AA112">
        <f t="shared" si="2"/>
        <v>920.48</v>
      </c>
      <c r="AC112"/>
      <c r="AF112"/>
      <c r="AL112">
        <v>340317690</v>
      </c>
      <c r="AM112" t="s">
        <v>40</v>
      </c>
    </row>
    <row r="113" spans="1:39" x14ac:dyDescent="0.35">
      <c r="A113">
        <v>3406</v>
      </c>
      <c r="B113" t="s">
        <v>28</v>
      </c>
      <c r="C113">
        <v>2020</v>
      </c>
      <c r="D113" s="1">
        <v>43831</v>
      </c>
      <c r="E113">
        <v>80</v>
      </c>
      <c r="F113">
        <v>600031587</v>
      </c>
      <c r="G113" t="s">
        <v>29</v>
      </c>
      <c r="H113">
        <v>81</v>
      </c>
      <c r="I113">
        <v>71101060</v>
      </c>
      <c r="J113">
        <v>11500070</v>
      </c>
      <c r="K113" t="s">
        <v>30</v>
      </c>
      <c r="L113" s="4">
        <v>3089.07</v>
      </c>
      <c r="M113" t="s">
        <v>31</v>
      </c>
      <c r="N113" s="4">
        <v>3089.07</v>
      </c>
      <c r="O113" t="s">
        <v>31</v>
      </c>
      <c r="X113" t="s">
        <v>35</v>
      </c>
      <c r="Y113"/>
      <c r="Z113">
        <v>20200131</v>
      </c>
      <c r="AA113">
        <f t="shared" si="2"/>
        <v>3089.07</v>
      </c>
      <c r="AC113"/>
      <c r="AF113"/>
      <c r="AL113">
        <v>340653290</v>
      </c>
      <c r="AM113" t="s">
        <v>36</v>
      </c>
    </row>
    <row r="114" spans="1:39" x14ac:dyDescent="0.35">
      <c r="A114">
        <v>3406</v>
      </c>
      <c r="B114" t="s">
        <v>28</v>
      </c>
      <c r="C114">
        <v>2020</v>
      </c>
      <c r="D114" s="1">
        <v>43831</v>
      </c>
      <c r="E114">
        <v>84</v>
      </c>
      <c r="F114">
        <v>600031587</v>
      </c>
      <c r="G114" t="s">
        <v>29</v>
      </c>
      <c r="H114">
        <v>81</v>
      </c>
      <c r="I114">
        <v>71101060</v>
      </c>
      <c r="J114">
        <v>11500070</v>
      </c>
      <c r="K114" t="s">
        <v>30</v>
      </c>
      <c r="L114" s="4">
        <v>97.43</v>
      </c>
      <c r="M114" t="s">
        <v>31</v>
      </c>
      <c r="N114" s="4">
        <v>97.43</v>
      </c>
      <c r="O114" t="s">
        <v>31</v>
      </c>
      <c r="X114" t="s">
        <v>35</v>
      </c>
      <c r="Y114"/>
      <c r="Z114">
        <v>20200131</v>
      </c>
      <c r="AA114">
        <f t="shared" si="2"/>
        <v>97.43</v>
      </c>
      <c r="AC114"/>
      <c r="AF114"/>
      <c r="AL114">
        <v>340653290</v>
      </c>
      <c r="AM114" t="s">
        <v>36</v>
      </c>
    </row>
    <row r="115" spans="1:39" x14ac:dyDescent="0.35">
      <c r="A115">
        <v>3406</v>
      </c>
      <c r="B115" t="s">
        <v>28</v>
      </c>
      <c r="C115">
        <v>2020</v>
      </c>
      <c r="D115" s="1">
        <v>43831</v>
      </c>
      <c r="E115">
        <v>86</v>
      </c>
      <c r="F115">
        <v>600031587</v>
      </c>
      <c r="G115" t="s">
        <v>29</v>
      </c>
      <c r="H115">
        <v>81</v>
      </c>
      <c r="I115">
        <v>71101060</v>
      </c>
      <c r="J115">
        <v>11500070</v>
      </c>
      <c r="K115" t="s">
        <v>30</v>
      </c>
      <c r="L115" s="4">
        <v>1411.31</v>
      </c>
      <c r="M115" t="s">
        <v>31</v>
      </c>
      <c r="N115" s="4">
        <v>1411.31</v>
      </c>
      <c r="O115" t="s">
        <v>31</v>
      </c>
      <c r="X115" t="s">
        <v>35</v>
      </c>
      <c r="Y115"/>
      <c r="Z115">
        <v>20200131</v>
      </c>
      <c r="AA115">
        <f t="shared" si="2"/>
        <v>1411.31</v>
      </c>
      <c r="AC115"/>
      <c r="AF115"/>
      <c r="AL115">
        <v>340653290</v>
      </c>
      <c r="AM115" t="s">
        <v>36</v>
      </c>
    </row>
    <row r="116" spans="1:39" x14ac:dyDescent="0.35">
      <c r="A116">
        <v>3401</v>
      </c>
      <c r="B116" t="s">
        <v>28</v>
      </c>
      <c r="C116">
        <v>2020</v>
      </c>
      <c r="D116" s="1">
        <v>43831</v>
      </c>
      <c r="E116">
        <v>4</v>
      </c>
      <c r="F116">
        <v>100032656</v>
      </c>
      <c r="G116" t="s">
        <v>29</v>
      </c>
      <c r="H116">
        <v>81</v>
      </c>
      <c r="I116">
        <v>71101060</v>
      </c>
      <c r="J116">
        <v>11500040</v>
      </c>
      <c r="K116" t="s">
        <v>30</v>
      </c>
      <c r="L116" s="4">
        <v>5000</v>
      </c>
      <c r="M116" t="s">
        <v>31</v>
      </c>
      <c r="N116" s="4">
        <v>5000</v>
      </c>
      <c r="O116" t="s">
        <v>31</v>
      </c>
      <c r="X116" t="s">
        <v>35</v>
      </c>
      <c r="Y116"/>
      <c r="Z116">
        <v>20200131</v>
      </c>
      <c r="AA116">
        <f t="shared" si="2"/>
        <v>5000</v>
      </c>
      <c r="AC116"/>
      <c r="AF116"/>
      <c r="AL116">
        <v>340110490</v>
      </c>
      <c r="AM116" t="s">
        <v>37</v>
      </c>
    </row>
    <row r="117" spans="1:39" x14ac:dyDescent="0.35">
      <c r="A117">
        <v>3401</v>
      </c>
      <c r="B117" t="s">
        <v>28</v>
      </c>
      <c r="C117">
        <v>2020</v>
      </c>
      <c r="D117" s="1">
        <v>43831</v>
      </c>
      <c r="E117">
        <v>10</v>
      </c>
      <c r="F117">
        <v>100032656</v>
      </c>
      <c r="G117" t="s">
        <v>29</v>
      </c>
      <c r="H117">
        <v>81</v>
      </c>
      <c r="I117">
        <v>71101060</v>
      </c>
      <c r="J117">
        <v>11500040</v>
      </c>
      <c r="K117" t="s">
        <v>30</v>
      </c>
      <c r="L117" s="4">
        <v>80.849999999999994</v>
      </c>
      <c r="M117" t="s">
        <v>31</v>
      </c>
      <c r="N117" s="4">
        <v>80.849999999999994</v>
      </c>
      <c r="O117" t="s">
        <v>31</v>
      </c>
      <c r="X117" t="s">
        <v>35</v>
      </c>
      <c r="Y117"/>
      <c r="Z117">
        <v>20200131</v>
      </c>
      <c r="AA117">
        <f t="shared" si="2"/>
        <v>80.849999999999994</v>
      </c>
      <c r="AC117"/>
      <c r="AF117"/>
      <c r="AL117">
        <v>340110490</v>
      </c>
      <c r="AM117" t="s">
        <v>37</v>
      </c>
    </row>
    <row r="118" spans="1:39" x14ac:dyDescent="0.35">
      <c r="A118">
        <v>3401</v>
      </c>
      <c r="B118" t="s">
        <v>28</v>
      </c>
      <c r="C118">
        <v>2020</v>
      </c>
      <c r="D118" s="1">
        <v>43831</v>
      </c>
      <c r="E118">
        <v>12</v>
      </c>
      <c r="F118">
        <v>100032656</v>
      </c>
      <c r="G118" t="s">
        <v>29</v>
      </c>
      <c r="H118">
        <v>81</v>
      </c>
      <c r="I118">
        <v>71101060</v>
      </c>
      <c r="J118">
        <v>11500040</v>
      </c>
      <c r="K118" t="s">
        <v>30</v>
      </c>
      <c r="L118" s="4">
        <v>1650</v>
      </c>
      <c r="M118" t="s">
        <v>31</v>
      </c>
      <c r="N118" s="4">
        <v>1650</v>
      </c>
      <c r="O118" t="s">
        <v>31</v>
      </c>
      <c r="X118" t="s">
        <v>35</v>
      </c>
      <c r="Y118"/>
      <c r="Z118">
        <v>20200131</v>
      </c>
      <c r="AA118">
        <f t="shared" si="2"/>
        <v>1650</v>
      </c>
      <c r="AC118"/>
      <c r="AF118"/>
      <c r="AL118">
        <v>340110490</v>
      </c>
      <c r="AM118" t="s">
        <v>37</v>
      </c>
    </row>
    <row r="119" spans="1:39" x14ac:dyDescent="0.35">
      <c r="A119">
        <v>3401</v>
      </c>
      <c r="B119" t="s">
        <v>28</v>
      </c>
      <c r="C119">
        <v>2020</v>
      </c>
      <c r="D119" s="1">
        <v>43831</v>
      </c>
      <c r="E119">
        <v>22</v>
      </c>
      <c r="F119">
        <v>100032656</v>
      </c>
      <c r="G119" t="s">
        <v>29</v>
      </c>
      <c r="H119">
        <v>81</v>
      </c>
      <c r="I119">
        <v>71101060</v>
      </c>
      <c r="J119">
        <v>11500040</v>
      </c>
      <c r="K119" t="s">
        <v>30</v>
      </c>
      <c r="L119" s="4">
        <v>7345.8</v>
      </c>
      <c r="M119" t="s">
        <v>31</v>
      </c>
      <c r="N119" s="4">
        <v>7345.8</v>
      </c>
      <c r="O119" t="s">
        <v>31</v>
      </c>
      <c r="X119" t="s">
        <v>35</v>
      </c>
      <c r="Y119"/>
      <c r="Z119">
        <v>20200131</v>
      </c>
      <c r="AA119">
        <f t="shared" si="2"/>
        <v>7345.8</v>
      </c>
      <c r="AC119"/>
      <c r="AF119"/>
      <c r="AL119">
        <v>340110490</v>
      </c>
      <c r="AM119" t="s">
        <v>37</v>
      </c>
    </row>
    <row r="120" spans="1:39" x14ac:dyDescent="0.35">
      <c r="A120">
        <v>3401</v>
      </c>
      <c r="B120" t="s">
        <v>28</v>
      </c>
      <c r="C120">
        <v>2020</v>
      </c>
      <c r="D120" s="1">
        <v>43831</v>
      </c>
      <c r="E120">
        <v>24</v>
      </c>
      <c r="F120">
        <v>100032656</v>
      </c>
      <c r="G120" t="s">
        <v>29</v>
      </c>
      <c r="H120">
        <v>81</v>
      </c>
      <c r="I120">
        <v>71101060</v>
      </c>
      <c r="J120">
        <v>11500040</v>
      </c>
      <c r="K120" t="s">
        <v>30</v>
      </c>
      <c r="L120" s="4">
        <v>440.7</v>
      </c>
      <c r="M120" t="s">
        <v>31</v>
      </c>
      <c r="N120" s="4">
        <v>440.7</v>
      </c>
      <c r="O120" t="s">
        <v>31</v>
      </c>
      <c r="X120" t="s">
        <v>35</v>
      </c>
      <c r="Y120"/>
      <c r="Z120">
        <v>20200131</v>
      </c>
      <c r="AA120">
        <f t="shared" si="2"/>
        <v>440.7</v>
      </c>
      <c r="AC120"/>
      <c r="AF120"/>
      <c r="AL120">
        <v>340110490</v>
      </c>
      <c r="AM120" t="s">
        <v>37</v>
      </c>
    </row>
    <row r="121" spans="1:39" x14ac:dyDescent="0.35">
      <c r="A121">
        <v>3401</v>
      </c>
      <c r="B121" t="s">
        <v>28</v>
      </c>
      <c r="C121">
        <v>2020</v>
      </c>
      <c r="D121" s="1">
        <v>43831</v>
      </c>
      <c r="E121">
        <v>26</v>
      </c>
      <c r="F121">
        <v>100032656</v>
      </c>
      <c r="G121" t="s">
        <v>29</v>
      </c>
      <c r="H121">
        <v>81</v>
      </c>
      <c r="I121">
        <v>71101060</v>
      </c>
      <c r="J121">
        <v>11500040</v>
      </c>
      <c r="K121" t="s">
        <v>30</v>
      </c>
      <c r="L121" s="4">
        <v>440.7</v>
      </c>
      <c r="M121" t="s">
        <v>31</v>
      </c>
      <c r="N121" s="4">
        <v>440.7</v>
      </c>
      <c r="O121" t="s">
        <v>31</v>
      </c>
      <c r="X121" t="s">
        <v>35</v>
      </c>
      <c r="Y121"/>
      <c r="Z121">
        <v>20200131</v>
      </c>
      <c r="AA121">
        <f t="shared" si="2"/>
        <v>440.7</v>
      </c>
      <c r="AC121"/>
      <c r="AF121"/>
      <c r="AL121">
        <v>340110490</v>
      </c>
      <c r="AM121" t="s">
        <v>37</v>
      </c>
    </row>
    <row r="122" spans="1:39" x14ac:dyDescent="0.35">
      <c r="A122">
        <v>3401</v>
      </c>
      <c r="B122" t="s">
        <v>28</v>
      </c>
      <c r="C122">
        <v>2020</v>
      </c>
      <c r="D122" s="1">
        <v>43831</v>
      </c>
      <c r="E122">
        <v>28</v>
      </c>
      <c r="F122">
        <v>100032656</v>
      </c>
      <c r="G122" t="s">
        <v>29</v>
      </c>
      <c r="H122">
        <v>81</v>
      </c>
      <c r="I122">
        <v>71101060</v>
      </c>
      <c r="J122">
        <v>11500040</v>
      </c>
      <c r="K122" t="s">
        <v>30</v>
      </c>
      <c r="L122" s="4">
        <v>993.6</v>
      </c>
      <c r="M122" t="s">
        <v>31</v>
      </c>
      <c r="N122" s="4">
        <v>993.6</v>
      </c>
      <c r="O122" t="s">
        <v>31</v>
      </c>
      <c r="X122" t="s">
        <v>35</v>
      </c>
      <c r="Y122"/>
      <c r="Z122">
        <v>20200131</v>
      </c>
      <c r="AA122">
        <f t="shared" si="2"/>
        <v>993.6</v>
      </c>
      <c r="AC122"/>
      <c r="AF122"/>
      <c r="AL122">
        <v>340110490</v>
      </c>
      <c r="AM122" t="s">
        <v>37</v>
      </c>
    </row>
    <row r="123" spans="1:39" x14ac:dyDescent="0.35">
      <c r="A123">
        <v>3401</v>
      </c>
      <c r="B123" t="s">
        <v>28</v>
      </c>
      <c r="C123">
        <v>2020</v>
      </c>
      <c r="D123" s="1">
        <v>43831</v>
      </c>
      <c r="E123">
        <v>30</v>
      </c>
      <c r="F123">
        <v>100032656</v>
      </c>
      <c r="G123" t="s">
        <v>29</v>
      </c>
      <c r="H123">
        <v>81</v>
      </c>
      <c r="I123">
        <v>71101060</v>
      </c>
      <c r="J123">
        <v>11500040</v>
      </c>
      <c r="K123" t="s">
        <v>30</v>
      </c>
      <c r="L123" s="4">
        <v>3531.5</v>
      </c>
      <c r="M123" t="s">
        <v>31</v>
      </c>
      <c r="N123" s="4">
        <v>3531.5</v>
      </c>
      <c r="O123" t="s">
        <v>31</v>
      </c>
      <c r="X123" t="s">
        <v>35</v>
      </c>
      <c r="Y123"/>
      <c r="Z123">
        <v>20200131</v>
      </c>
      <c r="AA123">
        <f t="shared" si="2"/>
        <v>3531.5</v>
      </c>
      <c r="AC123"/>
      <c r="AF123"/>
      <c r="AL123">
        <v>340110490</v>
      </c>
      <c r="AM123" t="s">
        <v>37</v>
      </c>
    </row>
    <row r="124" spans="1:39" x14ac:dyDescent="0.35">
      <c r="A124">
        <v>3401</v>
      </c>
      <c r="B124" t="s">
        <v>28</v>
      </c>
      <c r="C124">
        <v>2020</v>
      </c>
      <c r="D124" s="1">
        <v>43831</v>
      </c>
      <c r="E124">
        <v>32</v>
      </c>
      <c r="F124">
        <v>100032656</v>
      </c>
      <c r="G124" t="s">
        <v>29</v>
      </c>
      <c r="H124">
        <v>81</v>
      </c>
      <c r="I124">
        <v>71101060</v>
      </c>
      <c r="J124">
        <v>11500040</v>
      </c>
      <c r="K124" t="s">
        <v>30</v>
      </c>
      <c r="L124" s="4">
        <v>2448.6</v>
      </c>
      <c r="M124" t="s">
        <v>31</v>
      </c>
      <c r="N124" s="4">
        <v>2448.6</v>
      </c>
      <c r="O124" t="s">
        <v>31</v>
      </c>
      <c r="X124" t="s">
        <v>35</v>
      </c>
      <c r="Y124"/>
      <c r="Z124">
        <v>20200131</v>
      </c>
      <c r="AA124">
        <f t="shared" si="2"/>
        <v>2448.6</v>
      </c>
      <c r="AC124"/>
      <c r="AF124"/>
      <c r="AL124">
        <v>340110490</v>
      </c>
      <c r="AM124" t="s">
        <v>37</v>
      </c>
    </row>
    <row r="125" spans="1:39" x14ac:dyDescent="0.35">
      <c r="A125">
        <v>3401</v>
      </c>
      <c r="B125" t="s">
        <v>28</v>
      </c>
      <c r="C125">
        <v>2020</v>
      </c>
      <c r="D125" s="1">
        <v>43831</v>
      </c>
      <c r="E125">
        <v>44</v>
      </c>
      <c r="F125">
        <v>100032656</v>
      </c>
      <c r="G125" t="s">
        <v>29</v>
      </c>
      <c r="H125">
        <v>81</v>
      </c>
      <c r="I125">
        <v>71101060</v>
      </c>
      <c r="J125">
        <v>11500040</v>
      </c>
      <c r="K125" t="s">
        <v>30</v>
      </c>
      <c r="L125" s="4">
        <v>2430</v>
      </c>
      <c r="M125" t="s">
        <v>31</v>
      </c>
      <c r="N125" s="4">
        <v>2430</v>
      </c>
      <c r="O125" t="s">
        <v>31</v>
      </c>
      <c r="X125" t="s">
        <v>35</v>
      </c>
      <c r="Y125"/>
      <c r="Z125">
        <v>20200131</v>
      </c>
      <c r="AA125">
        <f t="shared" si="2"/>
        <v>2430</v>
      </c>
      <c r="AC125"/>
      <c r="AF125"/>
      <c r="AL125">
        <v>340110490</v>
      </c>
      <c r="AM125" t="s">
        <v>37</v>
      </c>
    </row>
    <row r="126" spans="1:39" x14ac:dyDescent="0.35">
      <c r="A126">
        <v>3401</v>
      </c>
      <c r="B126" t="s">
        <v>28</v>
      </c>
      <c r="C126">
        <v>2020</v>
      </c>
      <c r="D126" s="1">
        <v>43831</v>
      </c>
      <c r="E126">
        <v>46</v>
      </c>
      <c r="F126">
        <v>100032656</v>
      </c>
      <c r="G126" t="s">
        <v>29</v>
      </c>
      <c r="H126">
        <v>81</v>
      </c>
      <c r="I126">
        <v>71101060</v>
      </c>
      <c r="J126">
        <v>11500040</v>
      </c>
      <c r="K126" t="s">
        <v>30</v>
      </c>
      <c r="L126" s="4">
        <v>3240</v>
      </c>
      <c r="M126" t="s">
        <v>31</v>
      </c>
      <c r="N126" s="4">
        <v>3240</v>
      </c>
      <c r="O126" t="s">
        <v>31</v>
      </c>
      <c r="X126" t="s">
        <v>35</v>
      </c>
      <c r="Y126"/>
      <c r="Z126">
        <v>20200131</v>
      </c>
      <c r="AA126">
        <f t="shared" si="2"/>
        <v>3240</v>
      </c>
      <c r="AC126"/>
      <c r="AF126"/>
      <c r="AL126">
        <v>340110490</v>
      </c>
      <c r="AM126" t="s">
        <v>37</v>
      </c>
    </row>
    <row r="127" spans="1:39" x14ac:dyDescent="0.35">
      <c r="A127">
        <v>3401</v>
      </c>
      <c r="B127" t="s">
        <v>28</v>
      </c>
      <c r="C127">
        <v>2020</v>
      </c>
      <c r="D127" s="1">
        <v>43831</v>
      </c>
      <c r="E127">
        <v>48</v>
      </c>
      <c r="F127">
        <v>100032656</v>
      </c>
      <c r="G127" t="s">
        <v>29</v>
      </c>
      <c r="H127">
        <v>81</v>
      </c>
      <c r="I127">
        <v>71101060</v>
      </c>
      <c r="J127">
        <v>11500040</v>
      </c>
      <c r="K127" t="s">
        <v>30</v>
      </c>
      <c r="L127" s="4">
        <v>24490</v>
      </c>
      <c r="M127" t="s">
        <v>31</v>
      </c>
      <c r="N127" s="4">
        <v>24490</v>
      </c>
      <c r="O127" t="s">
        <v>31</v>
      </c>
      <c r="X127" t="s">
        <v>35</v>
      </c>
      <c r="Y127"/>
      <c r="Z127">
        <v>20200131</v>
      </c>
      <c r="AA127">
        <f t="shared" si="2"/>
        <v>24490</v>
      </c>
      <c r="AC127"/>
      <c r="AF127"/>
      <c r="AL127">
        <v>340110490</v>
      </c>
      <c r="AM127" t="s">
        <v>37</v>
      </c>
    </row>
    <row r="128" spans="1:39" x14ac:dyDescent="0.35">
      <c r="A128">
        <v>3401</v>
      </c>
      <c r="B128" t="s">
        <v>28</v>
      </c>
      <c r="C128">
        <v>2020</v>
      </c>
      <c r="D128" s="1">
        <v>43831</v>
      </c>
      <c r="E128">
        <v>50</v>
      </c>
      <c r="F128">
        <v>100032656</v>
      </c>
      <c r="G128" t="s">
        <v>29</v>
      </c>
      <c r="H128">
        <v>81</v>
      </c>
      <c r="I128">
        <v>71101060</v>
      </c>
      <c r="J128">
        <v>11500040</v>
      </c>
      <c r="K128" t="s">
        <v>30</v>
      </c>
      <c r="L128" s="4">
        <v>2370</v>
      </c>
      <c r="M128" t="s">
        <v>31</v>
      </c>
      <c r="N128" s="4">
        <v>2370</v>
      </c>
      <c r="O128" t="s">
        <v>31</v>
      </c>
      <c r="X128" t="s">
        <v>35</v>
      </c>
      <c r="Y128"/>
      <c r="Z128">
        <v>20200131</v>
      </c>
      <c r="AA128">
        <f t="shared" si="2"/>
        <v>2370</v>
      </c>
      <c r="AC128"/>
      <c r="AF128"/>
      <c r="AL128">
        <v>340110490</v>
      </c>
      <c r="AM128" t="s">
        <v>37</v>
      </c>
    </row>
    <row r="129" spans="1:39" x14ac:dyDescent="0.35">
      <c r="A129">
        <v>3401</v>
      </c>
      <c r="B129" t="s">
        <v>28</v>
      </c>
      <c r="C129">
        <v>2020</v>
      </c>
      <c r="D129" s="1">
        <v>43831</v>
      </c>
      <c r="E129">
        <v>62</v>
      </c>
      <c r="F129">
        <v>100032656</v>
      </c>
      <c r="G129" t="s">
        <v>29</v>
      </c>
      <c r="H129">
        <v>81</v>
      </c>
      <c r="I129">
        <v>71101060</v>
      </c>
      <c r="J129">
        <v>11500040</v>
      </c>
      <c r="K129" t="s">
        <v>30</v>
      </c>
      <c r="L129" s="4">
        <v>10933.4</v>
      </c>
      <c r="M129" t="s">
        <v>31</v>
      </c>
      <c r="N129" s="4">
        <v>10933.4</v>
      </c>
      <c r="O129" t="s">
        <v>31</v>
      </c>
      <c r="X129" t="s">
        <v>35</v>
      </c>
      <c r="Y129"/>
      <c r="Z129">
        <v>20200131</v>
      </c>
      <c r="AA129">
        <f t="shared" si="2"/>
        <v>10933.4</v>
      </c>
      <c r="AC129"/>
      <c r="AF129"/>
      <c r="AL129">
        <v>340110490</v>
      </c>
      <c r="AM129" t="s">
        <v>37</v>
      </c>
    </row>
    <row r="130" spans="1:39" x14ac:dyDescent="0.35">
      <c r="A130">
        <v>3401</v>
      </c>
      <c r="B130" t="s">
        <v>28</v>
      </c>
      <c r="C130">
        <v>2020</v>
      </c>
      <c r="D130" s="1">
        <v>43831</v>
      </c>
      <c r="E130">
        <v>64</v>
      </c>
      <c r="F130">
        <v>100032656</v>
      </c>
      <c r="G130" t="s">
        <v>29</v>
      </c>
      <c r="H130">
        <v>81</v>
      </c>
      <c r="I130">
        <v>71101060</v>
      </c>
      <c r="J130">
        <v>11500040</v>
      </c>
      <c r="K130" t="s">
        <v>30</v>
      </c>
      <c r="L130" s="4">
        <v>6104.97</v>
      </c>
      <c r="M130" t="s">
        <v>31</v>
      </c>
      <c r="N130" s="4">
        <v>6104.97</v>
      </c>
      <c r="O130" t="s">
        <v>31</v>
      </c>
      <c r="X130" t="s">
        <v>35</v>
      </c>
      <c r="Y130"/>
      <c r="Z130">
        <v>20200131</v>
      </c>
      <c r="AA130">
        <f t="shared" si="2"/>
        <v>6104.97</v>
      </c>
      <c r="AC130"/>
      <c r="AF130"/>
      <c r="AL130">
        <v>340110490</v>
      </c>
      <c r="AM130" t="s">
        <v>37</v>
      </c>
    </row>
    <row r="131" spans="1:39" x14ac:dyDescent="0.35">
      <c r="A131">
        <v>3401</v>
      </c>
      <c r="B131" t="s">
        <v>28</v>
      </c>
      <c r="C131">
        <v>2020</v>
      </c>
      <c r="D131" s="1">
        <v>43831</v>
      </c>
      <c r="E131">
        <v>66</v>
      </c>
      <c r="F131">
        <v>100032656</v>
      </c>
      <c r="G131" t="s">
        <v>29</v>
      </c>
      <c r="H131">
        <v>81</v>
      </c>
      <c r="I131">
        <v>71101060</v>
      </c>
      <c r="J131">
        <v>11500040</v>
      </c>
      <c r="K131" t="s">
        <v>30</v>
      </c>
      <c r="L131" s="4">
        <v>5040</v>
      </c>
      <c r="M131" t="s">
        <v>31</v>
      </c>
      <c r="N131" s="4">
        <v>5040</v>
      </c>
      <c r="O131" t="s">
        <v>31</v>
      </c>
      <c r="X131" t="s">
        <v>35</v>
      </c>
      <c r="Y131"/>
      <c r="Z131">
        <v>20200131</v>
      </c>
      <c r="AA131">
        <f t="shared" si="2"/>
        <v>5040</v>
      </c>
      <c r="AC131"/>
      <c r="AF131"/>
      <c r="AL131">
        <v>340110490</v>
      </c>
      <c r="AM131" t="s">
        <v>37</v>
      </c>
    </row>
    <row r="132" spans="1:39" x14ac:dyDescent="0.35">
      <c r="A132">
        <v>3401</v>
      </c>
      <c r="B132" t="s">
        <v>28</v>
      </c>
      <c r="C132">
        <v>2020</v>
      </c>
      <c r="D132" s="1">
        <v>43831</v>
      </c>
      <c r="E132">
        <v>68</v>
      </c>
      <c r="F132">
        <v>100032656</v>
      </c>
      <c r="G132" t="s">
        <v>29</v>
      </c>
      <c r="H132">
        <v>81</v>
      </c>
      <c r="I132">
        <v>71101060</v>
      </c>
      <c r="J132">
        <v>11500040</v>
      </c>
      <c r="K132" t="s">
        <v>30</v>
      </c>
      <c r="L132" s="4">
        <v>3383.1</v>
      </c>
      <c r="M132" t="s">
        <v>31</v>
      </c>
      <c r="N132" s="4">
        <v>3383.1</v>
      </c>
      <c r="O132" t="s">
        <v>31</v>
      </c>
      <c r="X132" t="s">
        <v>35</v>
      </c>
      <c r="Y132"/>
      <c r="Z132">
        <v>20200131</v>
      </c>
      <c r="AA132">
        <f t="shared" si="2"/>
        <v>3383.1</v>
      </c>
      <c r="AC132"/>
      <c r="AF132"/>
      <c r="AL132">
        <v>340110490</v>
      </c>
      <c r="AM132" t="s">
        <v>37</v>
      </c>
    </row>
    <row r="133" spans="1:39" x14ac:dyDescent="0.35">
      <c r="A133">
        <v>3401</v>
      </c>
      <c r="B133" t="s">
        <v>28</v>
      </c>
      <c r="C133">
        <v>2020</v>
      </c>
      <c r="D133" s="1">
        <v>43831</v>
      </c>
      <c r="E133">
        <v>70</v>
      </c>
      <c r="F133">
        <v>100032656</v>
      </c>
      <c r="G133" t="s">
        <v>29</v>
      </c>
      <c r="H133">
        <v>81</v>
      </c>
      <c r="I133">
        <v>71101060</v>
      </c>
      <c r="J133">
        <v>11500040</v>
      </c>
      <c r="K133" t="s">
        <v>30</v>
      </c>
      <c r="L133" s="4">
        <v>714</v>
      </c>
      <c r="M133" t="s">
        <v>31</v>
      </c>
      <c r="N133" s="4">
        <v>714</v>
      </c>
      <c r="O133" t="s">
        <v>31</v>
      </c>
      <c r="X133" t="s">
        <v>35</v>
      </c>
      <c r="Y133"/>
      <c r="Z133">
        <v>20200131</v>
      </c>
      <c r="AA133">
        <f t="shared" si="2"/>
        <v>714</v>
      </c>
      <c r="AC133"/>
      <c r="AF133"/>
      <c r="AL133">
        <v>340110490</v>
      </c>
      <c r="AM133" t="s">
        <v>37</v>
      </c>
    </row>
    <row r="134" spans="1:39" x14ac:dyDescent="0.35">
      <c r="A134">
        <v>3401</v>
      </c>
      <c r="B134" t="s">
        <v>28</v>
      </c>
      <c r="C134">
        <v>2020</v>
      </c>
      <c r="D134" s="1">
        <v>43831</v>
      </c>
      <c r="E134">
        <v>156</v>
      </c>
      <c r="F134">
        <v>100032656</v>
      </c>
      <c r="G134" t="s">
        <v>29</v>
      </c>
      <c r="H134">
        <v>81</v>
      </c>
      <c r="I134">
        <v>71101060</v>
      </c>
      <c r="J134">
        <v>11500040</v>
      </c>
      <c r="K134" t="s">
        <v>30</v>
      </c>
      <c r="L134" s="4">
        <v>2254</v>
      </c>
      <c r="M134" t="s">
        <v>31</v>
      </c>
      <c r="N134" s="4">
        <v>2254</v>
      </c>
      <c r="O134" t="s">
        <v>31</v>
      </c>
      <c r="X134" t="s">
        <v>35</v>
      </c>
      <c r="Y134"/>
      <c r="Z134">
        <v>20200131</v>
      </c>
      <c r="AA134">
        <f t="shared" si="2"/>
        <v>2254</v>
      </c>
      <c r="AC134"/>
      <c r="AF134"/>
      <c r="AL134">
        <v>340110490</v>
      </c>
      <c r="AM134" t="s">
        <v>37</v>
      </c>
    </row>
    <row r="135" spans="1:39" x14ac:dyDescent="0.35">
      <c r="A135">
        <v>3401</v>
      </c>
      <c r="B135" t="s">
        <v>28</v>
      </c>
      <c r="C135">
        <v>2020</v>
      </c>
      <c r="D135" s="1">
        <v>43831</v>
      </c>
      <c r="E135">
        <v>158</v>
      </c>
      <c r="F135">
        <v>100032656</v>
      </c>
      <c r="G135" t="s">
        <v>29</v>
      </c>
      <c r="H135">
        <v>81</v>
      </c>
      <c r="I135">
        <v>71101060</v>
      </c>
      <c r="J135">
        <v>11500040</v>
      </c>
      <c r="K135" t="s">
        <v>30</v>
      </c>
      <c r="L135" s="4">
        <v>165</v>
      </c>
      <c r="M135" t="s">
        <v>31</v>
      </c>
      <c r="N135" s="4">
        <v>165</v>
      </c>
      <c r="O135" t="s">
        <v>31</v>
      </c>
      <c r="X135" t="s">
        <v>35</v>
      </c>
      <c r="Y135"/>
      <c r="Z135">
        <v>20200131</v>
      </c>
      <c r="AA135">
        <f t="shared" si="2"/>
        <v>165</v>
      </c>
      <c r="AC135"/>
      <c r="AF135"/>
      <c r="AL135">
        <v>340110490</v>
      </c>
      <c r="AM135" t="s">
        <v>37</v>
      </c>
    </row>
    <row r="136" spans="1:39" x14ac:dyDescent="0.35">
      <c r="A136">
        <v>3401</v>
      </c>
      <c r="B136" t="s">
        <v>28</v>
      </c>
      <c r="C136">
        <v>2020</v>
      </c>
      <c r="D136" s="1">
        <v>43831</v>
      </c>
      <c r="E136">
        <v>160</v>
      </c>
      <c r="F136">
        <v>100032656</v>
      </c>
      <c r="G136" t="s">
        <v>29</v>
      </c>
      <c r="H136">
        <v>81</v>
      </c>
      <c r="I136">
        <v>71101060</v>
      </c>
      <c r="J136">
        <v>11500040</v>
      </c>
      <c r="K136" t="s">
        <v>30</v>
      </c>
      <c r="L136" s="4">
        <v>115.95</v>
      </c>
      <c r="M136" t="s">
        <v>31</v>
      </c>
      <c r="N136" s="4">
        <v>115.95</v>
      </c>
      <c r="O136" t="s">
        <v>31</v>
      </c>
      <c r="X136" t="s">
        <v>35</v>
      </c>
      <c r="Y136"/>
      <c r="Z136">
        <v>20200131</v>
      </c>
      <c r="AA136">
        <f t="shared" si="2"/>
        <v>115.95</v>
      </c>
      <c r="AC136"/>
      <c r="AF136"/>
      <c r="AL136">
        <v>340110490</v>
      </c>
      <c r="AM136" t="s">
        <v>37</v>
      </c>
    </row>
    <row r="137" spans="1:39" x14ac:dyDescent="0.35">
      <c r="A137">
        <v>3401</v>
      </c>
      <c r="B137" t="s">
        <v>28</v>
      </c>
      <c r="C137">
        <v>2020</v>
      </c>
      <c r="D137" s="1">
        <v>43831</v>
      </c>
      <c r="E137">
        <v>162</v>
      </c>
      <c r="F137">
        <v>100032656</v>
      </c>
      <c r="G137" t="s">
        <v>29</v>
      </c>
      <c r="H137">
        <v>81</v>
      </c>
      <c r="I137">
        <v>71101060</v>
      </c>
      <c r="J137">
        <v>11500040</v>
      </c>
      <c r="K137" t="s">
        <v>30</v>
      </c>
      <c r="L137" s="4">
        <v>38</v>
      </c>
      <c r="M137" t="s">
        <v>31</v>
      </c>
      <c r="N137" s="4">
        <v>38</v>
      </c>
      <c r="O137" t="s">
        <v>31</v>
      </c>
      <c r="X137" t="s">
        <v>35</v>
      </c>
      <c r="Y137"/>
      <c r="Z137">
        <v>20200131</v>
      </c>
      <c r="AA137">
        <f t="shared" si="2"/>
        <v>38</v>
      </c>
      <c r="AC137"/>
      <c r="AF137"/>
      <c r="AL137">
        <v>340110490</v>
      </c>
      <c r="AM137" t="s">
        <v>37</v>
      </c>
    </row>
    <row r="138" spans="1:39" x14ac:dyDescent="0.35">
      <c r="A138">
        <v>3401</v>
      </c>
      <c r="B138" t="s">
        <v>28</v>
      </c>
      <c r="C138">
        <v>2020</v>
      </c>
      <c r="D138" s="1">
        <v>43831</v>
      </c>
      <c r="E138">
        <v>164</v>
      </c>
      <c r="F138">
        <v>100032656</v>
      </c>
      <c r="G138" t="s">
        <v>29</v>
      </c>
      <c r="H138">
        <v>81</v>
      </c>
      <c r="I138">
        <v>71101060</v>
      </c>
      <c r="J138">
        <v>11500040</v>
      </c>
      <c r="K138" t="s">
        <v>30</v>
      </c>
      <c r="L138" s="4">
        <v>4282.5</v>
      </c>
      <c r="M138" t="s">
        <v>31</v>
      </c>
      <c r="N138" s="4">
        <v>4282.5</v>
      </c>
      <c r="O138" t="s">
        <v>31</v>
      </c>
      <c r="X138" t="s">
        <v>35</v>
      </c>
      <c r="Y138"/>
      <c r="Z138">
        <v>20200131</v>
      </c>
      <c r="AA138">
        <f t="shared" si="2"/>
        <v>4282.5</v>
      </c>
      <c r="AC138"/>
      <c r="AF138"/>
      <c r="AL138">
        <v>340110490</v>
      </c>
      <c r="AM138" t="s">
        <v>37</v>
      </c>
    </row>
    <row r="139" spans="1:39" x14ac:dyDescent="0.35">
      <c r="A139">
        <v>3401</v>
      </c>
      <c r="B139" t="s">
        <v>28</v>
      </c>
      <c r="C139">
        <v>2020</v>
      </c>
      <c r="D139" s="1">
        <v>43831</v>
      </c>
      <c r="E139">
        <v>166</v>
      </c>
      <c r="F139">
        <v>100032656</v>
      </c>
      <c r="G139" t="s">
        <v>29</v>
      </c>
      <c r="H139">
        <v>81</v>
      </c>
      <c r="I139">
        <v>71101060</v>
      </c>
      <c r="J139">
        <v>11500040</v>
      </c>
      <c r="K139" t="s">
        <v>30</v>
      </c>
      <c r="L139" s="4">
        <v>240</v>
      </c>
      <c r="M139" t="s">
        <v>31</v>
      </c>
      <c r="N139" s="4">
        <v>240</v>
      </c>
      <c r="O139" t="s">
        <v>31</v>
      </c>
      <c r="X139" t="s">
        <v>35</v>
      </c>
      <c r="Y139"/>
      <c r="Z139">
        <v>20200131</v>
      </c>
      <c r="AA139">
        <f t="shared" si="2"/>
        <v>240</v>
      </c>
      <c r="AC139"/>
      <c r="AF139"/>
      <c r="AL139">
        <v>340110490</v>
      </c>
      <c r="AM139" t="s">
        <v>37</v>
      </c>
    </row>
    <row r="140" spans="1:39" x14ac:dyDescent="0.35">
      <c r="A140">
        <v>3401</v>
      </c>
      <c r="B140" t="s">
        <v>28</v>
      </c>
      <c r="C140">
        <v>2020</v>
      </c>
      <c r="D140" s="1">
        <v>43831</v>
      </c>
      <c r="E140">
        <v>168</v>
      </c>
      <c r="F140">
        <v>100032656</v>
      </c>
      <c r="G140" t="s">
        <v>29</v>
      </c>
      <c r="H140">
        <v>81</v>
      </c>
      <c r="I140">
        <v>71101060</v>
      </c>
      <c r="J140">
        <v>11500040</v>
      </c>
      <c r="K140" t="s">
        <v>30</v>
      </c>
      <c r="L140" s="4">
        <v>554.4</v>
      </c>
      <c r="M140" t="s">
        <v>31</v>
      </c>
      <c r="N140" s="4">
        <v>554.4</v>
      </c>
      <c r="O140" t="s">
        <v>31</v>
      </c>
      <c r="X140" t="s">
        <v>35</v>
      </c>
      <c r="Y140"/>
      <c r="Z140">
        <v>20200131</v>
      </c>
      <c r="AA140">
        <f t="shared" si="2"/>
        <v>554.4</v>
      </c>
      <c r="AC140"/>
      <c r="AF140"/>
      <c r="AL140">
        <v>340110490</v>
      </c>
      <c r="AM140" t="s">
        <v>37</v>
      </c>
    </row>
    <row r="141" spans="1:39" x14ac:dyDescent="0.35">
      <c r="A141">
        <v>3401</v>
      </c>
      <c r="B141" t="s">
        <v>28</v>
      </c>
      <c r="C141">
        <v>2020</v>
      </c>
      <c r="D141" s="1">
        <v>43831</v>
      </c>
      <c r="E141">
        <v>170</v>
      </c>
      <c r="F141">
        <v>100032656</v>
      </c>
      <c r="G141" t="s">
        <v>29</v>
      </c>
      <c r="H141">
        <v>81</v>
      </c>
      <c r="I141">
        <v>71101060</v>
      </c>
      <c r="J141">
        <v>11500040</v>
      </c>
      <c r="K141" t="s">
        <v>30</v>
      </c>
      <c r="L141" s="4">
        <v>425</v>
      </c>
      <c r="M141" t="s">
        <v>31</v>
      </c>
      <c r="N141" s="4">
        <v>425</v>
      </c>
      <c r="O141" t="s">
        <v>31</v>
      </c>
      <c r="X141" t="s">
        <v>35</v>
      </c>
      <c r="Y141"/>
      <c r="Z141">
        <v>20200131</v>
      </c>
      <c r="AA141">
        <f t="shared" si="2"/>
        <v>425</v>
      </c>
      <c r="AC141"/>
      <c r="AF141"/>
      <c r="AL141">
        <v>340110490</v>
      </c>
      <c r="AM141" t="s">
        <v>37</v>
      </c>
    </row>
    <row r="142" spans="1:39" x14ac:dyDescent="0.35">
      <c r="A142">
        <v>3401</v>
      </c>
      <c r="B142" t="s">
        <v>28</v>
      </c>
      <c r="C142">
        <v>2020</v>
      </c>
      <c r="D142" s="1">
        <v>43831</v>
      </c>
      <c r="E142">
        <v>172</v>
      </c>
      <c r="F142">
        <v>100032656</v>
      </c>
      <c r="G142" t="s">
        <v>29</v>
      </c>
      <c r="H142">
        <v>81</v>
      </c>
      <c r="I142">
        <v>71101060</v>
      </c>
      <c r="J142">
        <v>11500040</v>
      </c>
      <c r="K142" t="s">
        <v>30</v>
      </c>
      <c r="L142" s="4">
        <v>896</v>
      </c>
      <c r="M142" t="s">
        <v>31</v>
      </c>
      <c r="N142" s="4">
        <v>896</v>
      </c>
      <c r="O142" t="s">
        <v>31</v>
      </c>
      <c r="X142" t="s">
        <v>35</v>
      </c>
      <c r="Y142"/>
      <c r="Z142">
        <v>20200131</v>
      </c>
      <c r="AA142">
        <f t="shared" si="2"/>
        <v>896</v>
      </c>
      <c r="AC142"/>
      <c r="AF142"/>
      <c r="AL142">
        <v>340110490</v>
      </c>
      <c r="AM142" t="s">
        <v>37</v>
      </c>
    </row>
    <row r="143" spans="1:39" x14ac:dyDescent="0.35">
      <c r="A143">
        <v>3401</v>
      </c>
      <c r="B143" t="s">
        <v>28</v>
      </c>
      <c r="C143">
        <v>2020</v>
      </c>
      <c r="D143" s="1">
        <v>43831</v>
      </c>
      <c r="E143">
        <v>178</v>
      </c>
      <c r="F143">
        <v>100032656</v>
      </c>
      <c r="G143" t="s">
        <v>29</v>
      </c>
      <c r="H143">
        <v>81</v>
      </c>
      <c r="I143">
        <v>71101060</v>
      </c>
      <c r="J143">
        <v>11500040</v>
      </c>
      <c r="K143" t="s">
        <v>30</v>
      </c>
      <c r="L143" s="4">
        <v>107</v>
      </c>
      <c r="M143" t="s">
        <v>31</v>
      </c>
      <c r="N143" s="4">
        <v>107</v>
      </c>
      <c r="O143" t="s">
        <v>31</v>
      </c>
      <c r="X143" t="s">
        <v>35</v>
      </c>
      <c r="Y143"/>
      <c r="Z143">
        <v>20200131</v>
      </c>
      <c r="AA143">
        <f t="shared" si="2"/>
        <v>107</v>
      </c>
      <c r="AC143"/>
      <c r="AF143"/>
      <c r="AL143">
        <v>340110490</v>
      </c>
      <c r="AM143" t="s">
        <v>37</v>
      </c>
    </row>
    <row r="144" spans="1:39" x14ac:dyDescent="0.35">
      <c r="A144">
        <v>3402</v>
      </c>
      <c r="B144" t="s">
        <v>39</v>
      </c>
      <c r="C144">
        <v>2020</v>
      </c>
      <c r="D144" s="1">
        <v>43831</v>
      </c>
      <c r="E144">
        <v>14</v>
      </c>
      <c r="F144">
        <v>200042640</v>
      </c>
      <c r="G144" t="s">
        <v>29</v>
      </c>
      <c r="H144">
        <v>81</v>
      </c>
      <c r="I144">
        <v>71101060</v>
      </c>
      <c r="J144">
        <v>11500040</v>
      </c>
      <c r="K144" t="s">
        <v>30</v>
      </c>
      <c r="L144" s="4">
        <v>26992.799999999999</v>
      </c>
      <c r="M144" t="s">
        <v>31</v>
      </c>
      <c r="N144" s="4">
        <v>26992.799999999999</v>
      </c>
      <c r="O144" t="s">
        <v>31</v>
      </c>
      <c r="X144" t="s">
        <v>43</v>
      </c>
      <c r="Y144"/>
      <c r="Z144">
        <v>20200115</v>
      </c>
      <c r="AA144">
        <f t="shared" si="2"/>
        <v>26992.799999999999</v>
      </c>
      <c r="AC144"/>
      <c r="AF144"/>
      <c r="AL144">
        <v>340210490</v>
      </c>
      <c r="AM144" t="s">
        <v>38</v>
      </c>
    </row>
    <row r="145" spans="1:39" x14ac:dyDescent="0.35">
      <c r="A145">
        <v>3402</v>
      </c>
      <c r="B145" t="s">
        <v>39</v>
      </c>
      <c r="C145">
        <v>2020</v>
      </c>
      <c r="D145" s="1">
        <v>43831</v>
      </c>
      <c r="E145">
        <v>20</v>
      </c>
      <c r="F145">
        <v>200042640</v>
      </c>
      <c r="G145" t="s">
        <v>29</v>
      </c>
      <c r="H145">
        <v>81</v>
      </c>
      <c r="I145">
        <v>71101060</v>
      </c>
      <c r="J145">
        <v>11500040</v>
      </c>
      <c r="K145" t="s">
        <v>30</v>
      </c>
      <c r="L145" s="4">
        <v>4454.72</v>
      </c>
      <c r="M145" t="s">
        <v>31</v>
      </c>
      <c r="N145" s="4">
        <v>4454.72</v>
      </c>
      <c r="O145" t="s">
        <v>31</v>
      </c>
      <c r="X145" t="s">
        <v>43</v>
      </c>
      <c r="Y145"/>
      <c r="Z145">
        <v>20200115</v>
      </c>
      <c r="AA145">
        <f t="shared" si="2"/>
        <v>4454.72</v>
      </c>
      <c r="AC145"/>
      <c r="AF145"/>
      <c r="AL145">
        <v>340210490</v>
      </c>
      <c r="AM145" t="s">
        <v>38</v>
      </c>
    </row>
    <row r="146" spans="1:39" x14ac:dyDescent="0.35">
      <c r="A146">
        <v>3402</v>
      </c>
      <c r="B146" t="s">
        <v>39</v>
      </c>
      <c r="C146">
        <v>2020</v>
      </c>
      <c r="D146" s="1">
        <v>43831</v>
      </c>
      <c r="E146">
        <v>22</v>
      </c>
      <c r="F146">
        <v>200042640</v>
      </c>
      <c r="G146" t="s">
        <v>29</v>
      </c>
      <c r="H146">
        <v>81</v>
      </c>
      <c r="I146">
        <v>71101060</v>
      </c>
      <c r="J146">
        <v>11500040</v>
      </c>
      <c r="K146" t="s">
        <v>30</v>
      </c>
      <c r="L146" s="4">
        <v>701.06</v>
      </c>
      <c r="M146" t="s">
        <v>31</v>
      </c>
      <c r="N146" s="4">
        <v>701.06</v>
      </c>
      <c r="O146" t="s">
        <v>31</v>
      </c>
      <c r="X146" t="s">
        <v>43</v>
      </c>
      <c r="Y146"/>
      <c r="Z146">
        <v>20200115</v>
      </c>
      <c r="AA146">
        <f t="shared" ref="AA146:AA209" si="3">L146</f>
        <v>701.06</v>
      </c>
      <c r="AC146"/>
      <c r="AF146"/>
      <c r="AL146">
        <v>340210490</v>
      </c>
      <c r="AM146" t="s">
        <v>38</v>
      </c>
    </row>
    <row r="147" spans="1:39" x14ac:dyDescent="0.35">
      <c r="A147">
        <v>3402</v>
      </c>
      <c r="B147" t="s">
        <v>39</v>
      </c>
      <c r="C147">
        <v>2020</v>
      </c>
      <c r="D147" s="1">
        <v>43831</v>
      </c>
      <c r="E147">
        <v>24</v>
      </c>
      <c r="F147">
        <v>200042640</v>
      </c>
      <c r="G147" t="s">
        <v>29</v>
      </c>
      <c r="H147">
        <v>81</v>
      </c>
      <c r="I147">
        <v>71101060</v>
      </c>
      <c r="J147">
        <v>11500040</v>
      </c>
      <c r="K147" t="s">
        <v>30</v>
      </c>
      <c r="L147" s="4">
        <v>2198.5500000000002</v>
      </c>
      <c r="M147" t="s">
        <v>31</v>
      </c>
      <c r="N147" s="4">
        <v>2198.5500000000002</v>
      </c>
      <c r="O147" t="s">
        <v>31</v>
      </c>
      <c r="X147" t="s">
        <v>43</v>
      </c>
      <c r="Y147"/>
      <c r="Z147">
        <v>20200115</v>
      </c>
      <c r="AA147">
        <f t="shared" si="3"/>
        <v>2198.5500000000002</v>
      </c>
      <c r="AC147"/>
      <c r="AF147"/>
      <c r="AL147">
        <v>340210490</v>
      </c>
      <c r="AM147" t="s">
        <v>38</v>
      </c>
    </row>
    <row r="148" spans="1:39" x14ac:dyDescent="0.35">
      <c r="A148">
        <v>3402</v>
      </c>
      <c r="B148" t="s">
        <v>39</v>
      </c>
      <c r="C148">
        <v>2020</v>
      </c>
      <c r="D148" s="1">
        <v>43831</v>
      </c>
      <c r="E148">
        <v>28</v>
      </c>
      <c r="F148">
        <v>200042640</v>
      </c>
      <c r="G148" t="s">
        <v>29</v>
      </c>
      <c r="H148">
        <v>81</v>
      </c>
      <c r="I148">
        <v>71101060</v>
      </c>
      <c r="J148">
        <v>11500040</v>
      </c>
      <c r="K148" t="s">
        <v>30</v>
      </c>
      <c r="L148" s="4">
        <v>1510.3</v>
      </c>
      <c r="M148" t="s">
        <v>31</v>
      </c>
      <c r="N148" s="4">
        <v>1510.3</v>
      </c>
      <c r="O148" t="s">
        <v>31</v>
      </c>
      <c r="X148" t="s">
        <v>43</v>
      </c>
      <c r="Y148"/>
      <c r="Z148">
        <v>20200115</v>
      </c>
      <c r="AA148">
        <f t="shared" si="3"/>
        <v>1510.3</v>
      </c>
      <c r="AC148"/>
      <c r="AF148"/>
      <c r="AL148">
        <v>340210490</v>
      </c>
      <c r="AM148" t="s">
        <v>38</v>
      </c>
    </row>
    <row r="149" spans="1:39" x14ac:dyDescent="0.35">
      <c r="A149">
        <v>3402</v>
      </c>
      <c r="B149" t="s">
        <v>39</v>
      </c>
      <c r="C149">
        <v>2020</v>
      </c>
      <c r="D149" s="1">
        <v>43831</v>
      </c>
      <c r="E149">
        <v>36</v>
      </c>
      <c r="F149">
        <v>200042640</v>
      </c>
      <c r="G149" t="s">
        <v>29</v>
      </c>
      <c r="H149">
        <v>81</v>
      </c>
      <c r="I149">
        <v>71101060</v>
      </c>
      <c r="J149">
        <v>11500040</v>
      </c>
      <c r="K149" t="s">
        <v>30</v>
      </c>
      <c r="L149" s="4">
        <v>440.7</v>
      </c>
      <c r="M149" t="s">
        <v>31</v>
      </c>
      <c r="N149" s="4">
        <v>440.7</v>
      </c>
      <c r="O149" t="s">
        <v>31</v>
      </c>
      <c r="X149" t="s">
        <v>43</v>
      </c>
      <c r="Y149"/>
      <c r="Z149">
        <v>20200115</v>
      </c>
      <c r="AA149">
        <f t="shared" si="3"/>
        <v>440.7</v>
      </c>
      <c r="AC149"/>
      <c r="AF149"/>
      <c r="AL149">
        <v>340210490</v>
      </c>
      <c r="AM149" t="s">
        <v>38</v>
      </c>
    </row>
    <row r="150" spans="1:39" x14ac:dyDescent="0.35">
      <c r="A150">
        <v>3402</v>
      </c>
      <c r="B150" t="s">
        <v>39</v>
      </c>
      <c r="C150">
        <v>2020</v>
      </c>
      <c r="D150" s="1">
        <v>43831</v>
      </c>
      <c r="E150">
        <v>54</v>
      </c>
      <c r="F150">
        <v>200042640</v>
      </c>
      <c r="G150" t="s">
        <v>29</v>
      </c>
      <c r="H150">
        <v>81</v>
      </c>
      <c r="I150">
        <v>71101060</v>
      </c>
      <c r="J150">
        <v>11500040</v>
      </c>
      <c r="K150" t="s">
        <v>30</v>
      </c>
      <c r="L150" s="4">
        <v>1620</v>
      </c>
      <c r="M150" t="s">
        <v>31</v>
      </c>
      <c r="N150" s="4">
        <v>1620</v>
      </c>
      <c r="O150" t="s">
        <v>31</v>
      </c>
      <c r="X150" t="s">
        <v>43</v>
      </c>
      <c r="Y150"/>
      <c r="Z150">
        <v>20200115</v>
      </c>
      <c r="AA150">
        <f t="shared" si="3"/>
        <v>1620</v>
      </c>
      <c r="AC150"/>
      <c r="AF150"/>
      <c r="AL150">
        <v>340210490</v>
      </c>
      <c r="AM150" t="s">
        <v>38</v>
      </c>
    </row>
    <row r="151" spans="1:39" x14ac:dyDescent="0.35">
      <c r="A151">
        <v>3402</v>
      </c>
      <c r="B151" t="s">
        <v>39</v>
      </c>
      <c r="C151">
        <v>2020</v>
      </c>
      <c r="D151" s="1">
        <v>43831</v>
      </c>
      <c r="E151">
        <v>72</v>
      </c>
      <c r="F151">
        <v>200042640</v>
      </c>
      <c r="G151" t="s">
        <v>29</v>
      </c>
      <c r="H151">
        <v>81</v>
      </c>
      <c r="I151">
        <v>71101060</v>
      </c>
      <c r="J151">
        <v>11500040</v>
      </c>
      <c r="K151" t="s">
        <v>30</v>
      </c>
      <c r="L151" s="4">
        <v>5701.75</v>
      </c>
      <c r="M151" t="s">
        <v>31</v>
      </c>
      <c r="N151" s="4">
        <v>5701.75</v>
      </c>
      <c r="O151" t="s">
        <v>31</v>
      </c>
      <c r="X151" t="s">
        <v>43</v>
      </c>
      <c r="Y151"/>
      <c r="Z151">
        <v>20200115</v>
      </c>
      <c r="AA151">
        <f t="shared" si="3"/>
        <v>5701.75</v>
      </c>
      <c r="AC151"/>
      <c r="AF151"/>
      <c r="AL151">
        <v>340210490</v>
      </c>
      <c r="AM151" t="s">
        <v>38</v>
      </c>
    </row>
    <row r="152" spans="1:39" x14ac:dyDescent="0.35">
      <c r="A152">
        <v>3402</v>
      </c>
      <c r="B152" t="s">
        <v>39</v>
      </c>
      <c r="C152">
        <v>2020</v>
      </c>
      <c r="D152" s="1">
        <v>43831</v>
      </c>
      <c r="E152">
        <v>74</v>
      </c>
      <c r="F152">
        <v>200042640</v>
      </c>
      <c r="G152" t="s">
        <v>29</v>
      </c>
      <c r="H152">
        <v>81</v>
      </c>
      <c r="I152">
        <v>71101060</v>
      </c>
      <c r="J152">
        <v>11500040</v>
      </c>
      <c r="K152" t="s">
        <v>30</v>
      </c>
      <c r="L152" s="4">
        <v>13120.08</v>
      </c>
      <c r="M152" t="s">
        <v>31</v>
      </c>
      <c r="N152" s="4">
        <v>13120.08</v>
      </c>
      <c r="O152" t="s">
        <v>31</v>
      </c>
      <c r="X152" t="s">
        <v>43</v>
      </c>
      <c r="Y152"/>
      <c r="Z152">
        <v>20200115</v>
      </c>
      <c r="AA152">
        <f t="shared" si="3"/>
        <v>13120.08</v>
      </c>
      <c r="AC152"/>
      <c r="AF152"/>
      <c r="AL152">
        <v>340210490</v>
      </c>
      <c r="AM152" t="s">
        <v>38</v>
      </c>
    </row>
    <row r="153" spans="1:39" x14ac:dyDescent="0.35">
      <c r="A153">
        <v>3402</v>
      </c>
      <c r="B153" t="s">
        <v>39</v>
      </c>
      <c r="C153">
        <v>2020</v>
      </c>
      <c r="D153" s="1">
        <v>43831</v>
      </c>
      <c r="E153">
        <v>76</v>
      </c>
      <c r="F153">
        <v>200042640</v>
      </c>
      <c r="G153" t="s">
        <v>29</v>
      </c>
      <c r="H153">
        <v>81</v>
      </c>
      <c r="I153">
        <v>71101060</v>
      </c>
      <c r="J153">
        <v>11500040</v>
      </c>
      <c r="K153" t="s">
        <v>30</v>
      </c>
      <c r="L153" s="4">
        <v>11340</v>
      </c>
      <c r="M153" t="s">
        <v>31</v>
      </c>
      <c r="N153" s="4">
        <v>11340</v>
      </c>
      <c r="O153" t="s">
        <v>31</v>
      </c>
      <c r="X153" t="s">
        <v>43</v>
      </c>
      <c r="Y153"/>
      <c r="Z153">
        <v>20200115</v>
      </c>
      <c r="AA153">
        <f t="shared" si="3"/>
        <v>11340</v>
      </c>
      <c r="AC153"/>
      <c r="AF153"/>
      <c r="AL153">
        <v>340210490</v>
      </c>
      <c r="AM153" t="s">
        <v>38</v>
      </c>
    </row>
    <row r="154" spans="1:39" x14ac:dyDescent="0.35">
      <c r="A154">
        <v>3402</v>
      </c>
      <c r="B154" t="s">
        <v>39</v>
      </c>
      <c r="C154">
        <v>2020</v>
      </c>
      <c r="D154" s="1">
        <v>43831</v>
      </c>
      <c r="E154">
        <v>78</v>
      </c>
      <c r="F154">
        <v>200042640</v>
      </c>
      <c r="G154" t="s">
        <v>29</v>
      </c>
      <c r="H154">
        <v>81</v>
      </c>
      <c r="I154">
        <v>71101060</v>
      </c>
      <c r="J154">
        <v>11500040</v>
      </c>
      <c r="K154" t="s">
        <v>30</v>
      </c>
      <c r="L154" s="4">
        <v>26960.400000000001</v>
      </c>
      <c r="M154" t="s">
        <v>31</v>
      </c>
      <c r="N154" s="4">
        <v>26960.400000000001</v>
      </c>
      <c r="O154" t="s">
        <v>31</v>
      </c>
      <c r="X154" t="s">
        <v>43</v>
      </c>
      <c r="Y154"/>
      <c r="Z154">
        <v>20200115</v>
      </c>
      <c r="AA154">
        <f t="shared" si="3"/>
        <v>26960.400000000001</v>
      </c>
      <c r="AC154"/>
      <c r="AF154"/>
      <c r="AL154">
        <v>340210490</v>
      </c>
      <c r="AM154" t="s">
        <v>38</v>
      </c>
    </row>
    <row r="155" spans="1:39" x14ac:dyDescent="0.35">
      <c r="A155">
        <v>3402</v>
      </c>
      <c r="B155" t="s">
        <v>39</v>
      </c>
      <c r="C155">
        <v>2020</v>
      </c>
      <c r="D155" s="1">
        <v>43831</v>
      </c>
      <c r="E155">
        <v>80</v>
      </c>
      <c r="F155">
        <v>200042640</v>
      </c>
      <c r="G155" t="s">
        <v>29</v>
      </c>
      <c r="H155">
        <v>81</v>
      </c>
      <c r="I155">
        <v>71101060</v>
      </c>
      <c r="J155">
        <v>11500040</v>
      </c>
      <c r="K155" t="s">
        <v>30</v>
      </c>
      <c r="L155" s="4">
        <v>1094.8399999999999</v>
      </c>
      <c r="M155" t="s">
        <v>31</v>
      </c>
      <c r="N155" s="4">
        <v>1094.8399999999999</v>
      </c>
      <c r="O155" t="s">
        <v>31</v>
      </c>
      <c r="X155" t="s">
        <v>43</v>
      </c>
      <c r="Y155"/>
      <c r="Z155">
        <v>20200115</v>
      </c>
      <c r="AA155">
        <f t="shared" si="3"/>
        <v>1094.8399999999999</v>
      </c>
      <c r="AC155"/>
      <c r="AF155"/>
      <c r="AL155">
        <v>340210490</v>
      </c>
      <c r="AM155" t="s">
        <v>38</v>
      </c>
    </row>
    <row r="156" spans="1:39" x14ac:dyDescent="0.35">
      <c r="A156">
        <v>3402</v>
      </c>
      <c r="B156" t="s">
        <v>39</v>
      </c>
      <c r="C156">
        <v>2020</v>
      </c>
      <c r="D156" s="1">
        <v>43831</v>
      </c>
      <c r="E156">
        <v>82</v>
      </c>
      <c r="F156">
        <v>200042640</v>
      </c>
      <c r="G156" t="s">
        <v>29</v>
      </c>
      <c r="H156">
        <v>81</v>
      </c>
      <c r="I156">
        <v>71101060</v>
      </c>
      <c r="J156">
        <v>11500040</v>
      </c>
      <c r="K156" t="s">
        <v>30</v>
      </c>
      <c r="L156" s="4">
        <v>514.75</v>
      </c>
      <c r="M156" t="s">
        <v>31</v>
      </c>
      <c r="N156" s="4">
        <v>514.75</v>
      </c>
      <c r="O156" t="s">
        <v>31</v>
      </c>
      <c r="X156" t="s">
        <v>43</v>
      </c>
      <c r="Y156"/>
      <c r="Z156">
        <v>20200115</v>
      </c>
      <c r="AA156">
        <f t="shared" si="3"/>
        <v>514.75</v>
      </c>
      <c r="AC156"/>
      <c r="AF156"/>
      <c r="AL156">
        <v>340210490</v>
      </c>
      <c r="AM156" t="s">
        <v>38</v>
      </c>
    </row>
    <row r="157" spans="1:39" x14ac:dyDescent="0.35">
      <c r="A157">
        <v>3402</v>
      </c>
      <c r="B157" t="s">
        <v>39</v>
      </c>
      <c r="C157">
        <v>2020</v>
      </c>
      <c r="D157" s="1">
        <v>43831</v>
      </c>
      <c r="E157">
        <v>84</v>
      </c>
      <c r="F157">
        <v>200042640</v>
      </c>
      <c r="G157" t="s">
        <v>29</v>
      </c>
      <c r="H157">
        <v>81</v>
      </c>
      <c r="I157">
        <v>71101060</v>
      </c>
      <c r="J157">
        <v>11500040</v>
      </c>
      <c r="K157" t="s">
        <v>30</v>
      </c>
      <c r="L157" s="4">
        <v>20000</v>
      </c>
      <c r="M157" t="s">
        <v>31</v>
      </c>
      <c r="N157" s="4">
        <v>20000</v>
      </c>
      <c r="O157" t="s">
        <v>31</v>
      </c>
      <c r="X157" t="s">
        <v>43</v>
      </c>
      <c r="Y157"/>
      <c r="Z157">
        <v>20200115</v>
      </c>
      <c r="AA157">
        <f t="shared" si="3"/>
        <v>20000</v>
      </c>
      <c r="AC157"/>
      <c r="AF157"/>
      <c r="AL157">
        <v>340210490</v>
      </c>
      <c r="AM157" t="s">
        <v>38</v>
      </c>
    </row>
    <row r="158" spans="1:39" x14ac:dyDescent="0.35">
      <c r="A158">
        <v>3402</v>
      </c>
      <c r="B158" t="s">
        <v>39</v>
      </c>
      <c r="C158">
        <v>2020</v>
      </c>
      <c r="D158" s="1">
        <v>43831</v>
      </c>
      <c r="E158">
        <v>86</v>
      </c>
      <c r="F158">
        <v>200042640</v>
      </c>
      <c r="G158" t="s">
        <v>29</v>
      </c>
      <c r="H158">
        <v>81</v>
      </c>
      <c r="I158">
        <v>71101060</v>
      </c>
      <c r="J158">
        <v>11500040</v>
      </c>
      <c r="K158" t="s">
        <v>30</v>
      </c>
      <c r="L158" s="4">
        <v>1421.01</v>
      </c>
      <c r="M158" t="s">
        <v>31</v>
      </c>
      <c r="N158" s="4">
        <v>1421.01</v>
      </c>
      <c r="O158" t="s">
        <v>31</v>
      </c>
      <c r="X158" t="s">
        <v>43</v>
      </c>
      <c r="Y158"/>
      <c r="Z158">
        <v>20200115</v>
      </c>
      <c r="AA158">
        <f t="shared" si="3"/>
        <v>1421.01</v>
      </c>
      <c r="AC158"/>
      <c r="AF158"/>
      <c r="AL158">
        <v>340210490</v>
      </c>
      <c r="AM158" t="s">
        <v>38</v>
      </c>
    </row>
    <row r="159" spans="1:39" x14ac:dyDescent="0.35">
      <c r="A159">
        <v>3402</v>
      </c>
      <c r="B159" t="s">
        <v>39</v>
      </c>
      <c r="C159">
        <v>2020</v>
      </c>
      <c r="D159" s="1">
        <v>43831</v>
      </c>
      <c r="E159">
        <v>110</v>
      </c>
      <c r="F159">
        <v>200042640</v>
      </c>
      <c r="G159" t="s">
        <v>29</v>
      </c>
      <c r="H159">
        <v>81</v>
      </c>
      <c r="I159">
        <v>71101060</v>
      </c>
      <c r="J159">
        <v>11500040</v>
      </c>
      <c r="K159" t="s">
        <v>30</v>
      </c>
      <c r="L159" s="4">
        <v>1620</v>
      </c>
      <c r="M159" t="s">
        <v>31</v>
      </c>
      <c r="N159" s="4">
        <v>1620</v>
      </c>
      <c r="O159" t="s">
        <v>31</v>
      </c>
      <c r="X159" t="s">
        <v>43</v>
      </c>
      <c r="Y159"/>
      <c r="Z159">
        <v>20200115</v>
      </c>
      <c r="AA159">
        <f t="shared" si="3"/>
        <v>1620</v>
      </c>
      <c r="AC159"/>
      <c r="AF159"/>
      <c r="AL159">
        <v>340210490</v>
      </c>
      <c r="AM159" t="s">
        <v>38</v>
      </c>
    </row>
    <row r="160" spans="1:39" x14ac:dyDescent="0.35">
      <c r="A160">
        <v>3402</v>
      </c>
      <c r="B160" t="s">
        <v>39</v>
      </c>
      <c r="C160">
        <v>2020</v>
      </c>
      <c r="D160" s="1">
        <v>43831</v>
      </c>
      <c r="E160">
        <v>164</v>
      </c>
      <c r="F160">
        <v>200042640</v>
      </c>
      <c r="G160" t="s">
        <v>29</v>
      </c>
      <c r="H160">
        <v>81</v>
      </c>
      <c r="I160">
        <v>71101060</v>
      </c>
      <c r="J160">
        <v>11500040</v>
      </c>
      <c r="K160" t="s">
        <v>30</v>
      </c>
      <c r="L160" s="4">
        <v>1577.08</v>
      </c>
      <c r="M160" t="s">
        <v>31</v>
      </c>
      <c r="N160" s="4">
        <v>1577.08</v>
      </c>
      <c r="O160" t="s">
        <v>31</v>
      </c>
      <c r="X160" t="s">
        <v>43</v>
      </c>
      <c r="Y160"/>
      <c r="Z160">
        <v>20200115</v>
      </c>
      <c r="AA160">
        <f t="shared" si="3"/>
        <v>1577.08</v>
      </c>
      <c r="AC160"/>
      <c r="AF160"/>
      <c r="AL160">
        <v>340210490</v>
      </c>
      <c r="AM160" t="s">
        <v>38</v>
      </c>
    </row>
    <row r="161" spans="1:39" x14ac:dyDescent="0.35">
      <c r="A161">
        <v>3402</v>
      </c>
      <c r="B161" t="s">
        <v>39</v>
      </c>
      <c r="C161">
        <v>2020</v>
      </c>
      <c r="D161" s="1">
        <v>43831</v>
      </c>
      <c r="E161">
        <v>166</v>
      </c>
      <c r="F161">
        <v>200042640</v>
      </c>
      <c r="G161" t="s">
        <v>29</v>
      </c>
      <c r="H161">
        <v>81</v>
      </c>
      <c r="I161">
        <v>71101060</v>
      </c>
      <c r="J161">
        <v>11500040</v>
      </c>
      <c r="K161" t="s">
        <v>30</v>
      </c>
      <c r="L161" s="4">
        <v>2254</v>
      </c>
      <c r="M161" t="s">
        <v>31</v>
      </c>
      <c r="N161" s="4">
        <v>2254</v>
      </c>
      <c r="O161" t="s">
        <v>31</v>
      </c>
      <c r="X161" t="s">
        <v>43</v>
      </c>
      <c r="Y161"/>
      <c r="Z161">
        <v>20200115</v>
      </c>
      <c r="AA161">
        <f t="shared" si="3"/>
        <v>2254</v>
      </c>
      <c r="AC161"/>
      <c r="AF161"/>
      <c r="AL161">
        <v>340210490</v>
      </c>
      <c r="AM161" t="s">
        <v>38</v>
      </c>
    </row>
    <row r="162" spans="1:39" x14ac:dyDescent="0.35">
      <c r="A162">
        <v>3402</v>
      </c>
      <c r="B162" t="s">
        <v>39</v>
      </c>
      <c r="C162">
        <v>2020</v>
      </c>
      <c r="D162" s="1">
        <v>43831</v>
      </c>
      <c r="E162">
        <v>168</v>
      </c>
      <c r="F162">
        <v>200042640</v>
      </c>
      <c r="G162" t="s">
        <v>29</v>
      </c>
      <c r="H162">
        <v>81</v>
      </c>
      <c r="I162">
        <v>71101060</v>
      </c>
      <c r="J162">
        <v>11500040</v>
      </c>
      <c r="K162" t="s">
        <v>30</v>
      </c>
      <c r="L162" s="4">
        <v>1394.97</v>
      </c>
      <c r="M162" t="s">
        <v>31</v>
      </c>
      <c r="N162" s="4">
        <v>1394.97</v>
      </c>
      <c r="O162" t="s">
        <v>31</v>
      </c>
      <c r="X162" t="s">
        <v>43</v>
      </c>
      <c r="Y162"/>
      <c r="Z162">
        <v>20200115</v>
      </c>
      <c r="AA162">
        <f t="shared" si="3"/>
        <v>1394.97</v>
      </c>
      <c r="AC162"/>
      <c r="AF162"/>
      <c r="AL162">
        <v>340210490</v>
      </c>
      <c r="AM162" t="s">
        <v>38</v>
      </c>
    </row>
    <row r="163" spans="1:39" x14ac:dyDescent="0.35">
      <c r="A163">
        <v>3402</v>
      </c>
      <c r="B163" t="s">
        <v>39</v>
      </c>
      <c r="C163">
        <v>2020</v>
      </c>
      <c r="D163" s="1">
        <v>43831</v>
      </c>
      <c r="E163">
        <v>170</v>
      </c>
      <c r="F163">
        <v>200042640</v>
      </c>
      <c r="G163" t="s">
        <v>29</v>
      </c>
      <c r="H163">
        <v>81</v>
      </c>
      <c r="I163">
        <v>71101060</v>
      </c>
      <c r="J163">
        <v>11500040</v>
      </c>
      <c r="K163" t="s">
        <v>30</v>
      </c>
      <c r="L163" s="4">
        <v>219.93</v>
      </c>
      <c r="M163" t="s">
        <v>31</v>
      </c>
      <c r="N163" s="4">
        <v>219.93</v>
      </c>
      <c r="O163" t="s">
        <v>31</v>
      </c>
      <c r="X163" t="s">
        <v>43</v>
      </c>
      <c r="Y163"/>
      <c r="Z163">
        <v>20200115</v>
      </c>
      <c r="AA163">
        <f t="shared" si="3"/>
        <v>219.93</v>
      </c>
      <c r="AC163"/>
      <c r="AF163"/>
      <c r="AL163">
        <v>340210490</v>
      </c>
      <c r="AM163" t="s">
        <v>38</v>
      </c>
    </row>
    <row r="164" spans="1:39" x14ac:dyDescent="0.35">
      <c r="A164">
        <v>3402</v>
      </c>
      <c r="B164" t="s">
        <v>39</v>
      </c>
      <c r="C164">
        <v>2020</v>
      </c>
      <c r="D164" s="1">
        <v>43831</v>
      </c>
      <c r="E164">
        <v>172</v>
      </c>
      <c r="F164">
        <v>200042640</v>
      </c>
      <c r="G164" t="s">
        <v>29</v>
      </c>
      <c r="H164">
        <v>81</v>
      </c>
      <c r="I164">
        <v>71101060</v>
      </c>
      <c r="J164">
        <v>11500040</v>
      </c>
      <c r="K164" t="s">
        <v>30</v>
      </c>
      <c r="L164" s="4">
        <v>120.69</v>
      </c>
      <c r="M164" t="s">
        <v>31</v>
      </c>
      <c r="N164" s="4">
        <v>120.69</v>
      </c>
      <c r="O164" t="s">
        <v>31</v>
      </c>
      <c r="X164" t="s">
        <v>43</v>
      </c>
      <c r="Y164"/>
      <c r="Z164">
        <v>20200115</v>
      </c>
      <c r="AA164">
        <f t="shared" si="3"/>
        <v>120.69</v>
      </c>
      <c r="AC164"/>
      <c r="AF164"/>
      <c r="AL164">
        <v>340210490</v>
      </c>
      <c r="AM164" t="s">
        <v>38</v>
      </c>
    </row>
    <row r="165" spans="1:39" x14ac:dyDescent="0.35">
      <c r="A165">
        <v>3402</v>
      </c>
      <c r="B165" t="s">
        <v>39</v>
      </c>
      <c r="C165">
        <v>2020</v>
      </c>
      <c r="D165" s="1">
        <v>43831</v>
      </c>
      <c r="E165">
        <v>174</v>
      </c>
      <c r="F165">
        <v>200042640</v>
      </c>
      <c r="G165" t="s">
        <v>29</v>
      </c>
      <c r="H165">
        <v>81</v>
      </c>
      <c r="I165">
        <v>71101060</v>
      </c>
      <c r="J165">
        <v>11500040</v>
      </c>
      <c r="K165" t="s">
        <v>30</v>
      </c>
      <c r="L165" s="4">
        <v>57</v>
      </c>
      <c r="M165" t="s">
        <v>31</v>
      </c>
      <c r="N165" s="4">
        <v>57</v>
      </c>
      <c r="O165" t="s">
        <v>31</v>
      </c>
      <c r="X165" t="s">
        <v>43</v>
      </c>
      <c r="Y165"/>
      <c r="Z165">
        <v>20200115</v>
      </c>
      <c r="AA165">
        <f t="shared" si="3"/>
        <v>57</v>
      </c>
      <c r="AC165"/>
      <c r="AF165"/>
      <c r="AL165">
        <v>340210490</v>
      </c>
      <c r="AM165" t="s">
        <v>38</v>
      </c>
    </row>
    <row r="166" spans="1:39" x14ac:dyDescent="0.35">
      <c r="A166">
        <v>3402</v>
      </c>
      <c r="B166" t="s">
        <v>39</v>
      </c>
      <c r="C166">
        <v>2020</v>
      </c>
      <c r="D166" s="1">
        <v>43831</v>
      </c>
      <c r="E166">
        <v>176</v>
      </c>
      <c r="F166">
        <v>200042640</v>
      </c>
      <c r="G166" t="s">
        <v>29</v>
      </c>
      <c r="H166">
        <v>81</v>
      </c>
      <c r="I166">
        <v>71101060</v>
      </c>
      <c r="J166">
        <v>11500040</v>
      </c>
      <c r="K166" t="s">
        <v>30</v>
      </c>
      <c r="L166" s="4">
        <v>2479.35</v>
      </c>
      <c r="M166" t="s">
        <v>31</v>
      </c>
      <c r="N166" s="4">
        <v>2479.35</v>
      </c>
      <c r="O166" t="s">
        <v>31</v>
      </c>
      <c r="X166" t="s">
        <v>43</v>
      </c>
      <c r="Y166"/>
      <c r="Z166">
        <v>20200115</v>
      </c>
      <c r="AA166">
        <f t="shared" si="3"/>
        <v>2479.35</v>
      </c>
      <c r="AC166"/>
      <c r="AF166"/>
      <c r="AL166">
        <v>340210490</v>
      </c>
      <c r="AM166" t="s">
        <v>38</v>
      </c>
    </row>
    <row r="167" spans="1:39" x14ac:dyDescent="0.35">
      <c r="A167">
        <v>3402</v>
      </c>
      <c r="B167" t="s">
        <v>39</v>
      </c>
      <c r="C167">
        <v>2020</v>
      </c>
      <c r="D167" s="1">
        <v>43831</v>
      </c>
      <c r="E167">
        <v>178</v>
      </c>
      <c r="F167">
        <v>200042640</v>
      </c>
      <c r="G167" t="s">
        <v>29</v>
      </c>
      <c r="H167">
        <v>81</v>
      </c>
      <c r="I167">
        <v>71101060</v>
      </c>
      <c r="J167">
        <v>11500040</v>
      </c>
      <c r="K167" t="s">
        <v>30</v>
      </c>
      <c r="L167" s="4">
        <v>4624.7</v>
      </c>
      <c r="M167" t="s">
        <v>31</v>
      </c>
      <c r="N167" s="4">
        <v>4624.7</v>
      </c>
      <c r="O167" t="s">
        <v>31</v>
      </c>
      <c r="X167" t="s">
        <v>43</v>
      </c>
      <c r="Y167"/>
      <c r="Z167">
        <v>20200115</v>
      </c>
      <c r="AA167">
        <f t="shared" si="3"/>
        <v>4624.7</v>
      </c>
      <c r="AC167"/>
      <c r="AF167"/>
      <c r="AL167">
        <v>340210490</v>
      </c>
      <c r="AM167" t="s">
        <v>38</v>
      </c>
    </row>
    <row r="168" spans="1:39" x14ac:dyDescent="0.35">
      <c r="A168">
        <v>3402</v>
      </c>
      <c r="B168" t="s">
        <v>39</v>
      </c>
      <c r="C168">
        <v>2020</v>
      </c>
      <c r="D168" s="1">
        <v>43831</v>
      </c>
      <c r="E168">
        <v>180</v>
      </c>
      <c r="F168">
        <v>200042640</v>
      </c>
      <c r="G168" t="s">
        <v>29</v>
      </c>
      <c r="H168">
        <v>81</v>
      </c>
      <c r="I168">
        <v>71101060</v>
      </c>
      <c r="J168">
        <v>11500040</v>
      </c>
      <c r="K168" t="s">
        <v>30</v>
      </c>
      <c r="L168" s="4">
        <v>900</v>
      </c>
      <c r="M168" t="s">
        <v>31</v>
      </c>
      <c r="N168" s="4">
        <v>900</v>
      </c>
      <c r="O168" t="s">
        <v>31</v>
      </c>
      <c r="X168" t="s">
        <v>43</v>
      </c>
      <c r="Y168"/>
      <c r="Z168">
        <v>20200115</v>
      </c>
      <c r="AA168">
        <f t="shared" si="3"/>
        <v>900</v>
      </c>
      <c r="AC168"/>
      <c r="AF168"/>
      <c r="AL168">
        <v>340210490</v>
      </c>
      <c r="AM168" t="s">
        <v>38</v>
      </c>
    </row>
    <row r="169" spans="1:39" x14ac:dyDescent="0.35">
      <c r="A169">
        <v>3402</v>
      </c>
      <c r="B169" t="s">
        <v>39</v>
      </c>
      <c r="C169">
        <v>2020</v>
      </c>
      <c r="D169" s="1">
        <v>43831</v>
      </c>
      <c r="E169">
        <v>182</v>
      </c>
      <c r="F169">
        <v>200042640</v>
      </c>
      <c r="G169" t="s">
        <v>29</v>
      </c>
      <c r="H169">
        <v>81</v>
      </c>
      <c r="I169">
        <v>71101060</v>
      </c>
      <c r="J169">
        <v>11500040</v>
      </c>
      <c r="K169" t="s">
        <v>30</v>
      </c>
      <c r="L169" s="4">
        <v>600.61</v>
      </c>
      <c r="M169" t="s">
        <v>31</v>
      </c>
      <c r="N169" s="4">
        <v>600.61</v>
      </c>
      <c r="O169" t="s">
        <v>31</v>
      </c>
      <c r="X169" t="s">
        <v>43</v>
      </c>
      <c r="Y169"/>
      <c r="Z169">
        <v>20200115</v>
      </c>
      <c r="AA169">
        <f t="shared" si="3"/>
        <v>600.61</v>
      </c>
      <c r="AC169"/>
      <c r="AF169"/>
      <c r="AL169">
        <v>340210490</v>
      </c>
      <c r="AM169" t="s">
        <v>38</v>
      </c>
    </row>
    <row r="170" spans="1:39" x14ac:dyDescent="0.35">
      <c r="A170">
        <v>3402</v>
      </c>
      <c r="B170" t="s">
        <v>39</v>
      </c>
      <c r="C170">
        <v>2020</v>
      </c>
      <c r="D170" s="1">
        <v>43831</v>
      </c>
      <c r="E170">
        <v>184</v>
      </c>
      <c r="F170">
        <v>200042640</v>
      </c>
      <c r="G170" t="s">
        <v>29</v>
      </c>
      <c r="H170">
        <v>81</v>
      </c>
      <c r="I170">
        <v>71101060</v>
      </c>
      <c r="J170">
        <v>11500040</v>
      </c>
      <c r="K170" t="s">
        <v>30</v>
      </c>
      <c r="L170" s="4">
        <v>255</v>
      </c>
      <c r="M170" t="s">
        <v>31</v>
      </c>
      <c r="N170" s="4">
        <v>255</v>
      </c>
      <c r="O170" t="s">
        <v>31</v>
      </c>
      <c r="X170" t="s">
        <v>43</v>
      </c>
      <c r="Y170"/>
      <c r="Z170">
        <v>20200115</v>
      </c>
      <c r="AA170">
        <f t="shared" si="3"/>
        <v>255</v>
      </c>
      <c r="AC170"/>
      <c r="AF170"/>
      <c r="AL170">
        <v>340210490</v>
      </c>
      <c r="AM170" t="s">
        <v>38</v>
      </c>
    </row>
    <row r="171" spans="1:39" x14ac:dyDescent="0.35">
      <c r="A171">
        <v>3402</v>
      </c>
      <c r="B171" t="s">
        <v>39</v>
      </c>
      <c r="C171">
        <v>2020</v>
      </c>
      <c r="D171" s="1">
        <v>43831</v>
      </c>
      <c r="E171">
        <v>186</v>
      </c>
      <c r="F171">
        <v>200042640</v>
      </c>
      <c r="G171" t="s">
        <v>29</v>
      </c>
      <c r="H171">
        <v>81</v>
      </c>
      <c r="I171">
        <v>71101060</v>
      </c>
      <c r="J171">
        <v>11500040</v>
      </c>
      <c r="K171" t="s">
        <v>30</v>
      </c>
      <c r="L171" s="4">
        <v>1120.8399999999999</v>
      </c>
      <c r="M171" t="s">
        <v>31</v>
      </c>
      <c r="N171" s="4">
        <v>1120.8399999999999</v>
      </c>
      <c r="O171" t="s">
        <v>31</v>
      </c>
      <c r="X171" t="s">
        <v>43</v>
      </c>
      <c r="Y171"/>
      <c r="Z171">
        <v>20200115</v>
      </c>
      <c r="AA171">
        <f t="shared" si="3"/>
        <v>1120.8399999999999</v>
      </c>
      <c r="AC171"/>
      <c r="AF171"/>
      <c r="AL171">
        <v>340210490</v>
      </c>
      <c r="AM171" t="s">
        <v>38</v>
      </c>
    </row>
    <row r="172" spans="1:39" x14ac:dyDescent="0.35">
      <c r="A172">
        <v>3406</v>
      </c>
      <c r="B172" t="s">
        <v>39</v>
      </c>
      <c r="C172">
        <v>2020</v>
      </c>
      <c r="D172" s="1">
        <v>43831</v>
      </c>
      <c r="E172">
        <v>2</v>
      </c>
      <c r="F172">
        <v>600013711</v>
      </c>
      <c r="G172" t="s">
        <v>29</v>
      </c>
      <c r="H172">
        <v>81</v>
      </c>
      <c r="I172">
        <v>71101060</v>
      </c>
      <c r="J172">
        <v>11500060</v>
      </c>
      <c r="K172" t="s">
        <v>30</v>
      </c>
      <c r="L172" s="4">
        <v>3826.69</v>
      </c>
      <c r="M172" t="s">
        <v>31</v>
      </c>
      <c r="N172" s="4">
        <v>3826.69</v>
      </c>
      <c r="O172" t="s">
        <v>31</v>
      </c>
      <c r="X172" t="s">
        <v>43</v>
      </c>
      <c r="Y172"/>
      <c r="Z172">
        <v>20200115</v>
      </c>
      <c r="AA172">
        <f t="shared" si="3"/>
        <v>3826.69</v>
      </c>
      <c r="AC172"/>
      <c r="AF172"/>
      <c r="AL172">
        <v>340610490</v>
      </c>
      <c r="AM172" t="s">
        <v>36</v>
      </c>
    </row>
    <row r="173" spans="1:39" x14ac:dyDescent="0.35">
      <c r="A173">
        <v>3406</v>
      </c>
      <c r="B173" t="s">
        <v>39</v>
      </c>
      <c r="C173">
        <v>2020</v>
      </c>
      <c r="D173" s="1">
        <v>43831</v>
      </c>
      <c r="E173">
        <v>4</v>
      </c>
      <c r="F173">
        <v>600013711</v>
      </c>
      <c r="G173" t="s">
        <v>29</v>
      </c>
      <c r="H173">
        <v>81</v>
      </c>
      <c r="I173">
        <v>71101060</v>
      </c>
      <c r="J173">
        <v>11500060</v>
      </c>
      <c r="K173" t="s">
        <v>30</v>
      </c>
      <c r="L173" s="4">
        <v>4069.98</v>
      </c>
      <c r="M173" t="s">
        <v>31</v>
      </c>
      <c r="N173" s="4">
        <v>4069.98</v>
      </c>
      <c r="O173" t="s">
        <v>31</v>
      </c>
      <c r="X173" t="s">
        <v>43</v>
      </c>
      <c r="Y173"/>
      <c r="Z173">
        <v>20200115</v>
      </c>
      <c r="AA173">
        <f t="shared" si="3"/>
        <v>4069.98</v>
      </c>
      <c r="AC173"/>
      <c r="AF173"/>
      <c r="AL173">
        <v>340610490</v>
      </c>
      <c r="AM173" t="s">
        <v>36</v>
      </c>
    </row>
    <row r="174" spans="1:39" x14ac:dyDescent="0.35">
      <c r="A174">
        <v>3406</v>
      </c>
      <c r="B174" t="s">
        <v>39</v>
      </c>
      <c r="C174">
        <v>2020</v>
      </c>
      <c r="D174" s="1">
        <v>43831</v>
      </c>
      <c r="E174">
        <v>6</v>
      </c>
      <c r="F174">
        <v>600013711</v>
      </c>
      <c r="G174" t="s">
        <v>29</v>
      </c>
      <c r="H174">
        <v>81</v>
      </c>
      <c r="I174">
        <v>71101060</v>
      </c>
      <c r="J174">
        <v>11500060</v>
      </c>
      <c r="K174" t="s">
        <v>30</v>
      </c>
      <c r="L174" s="4">
        <v>2100</v>
      </c>
      <c r="M174" t="s">
        <v>31</v>
      </c>
      <c r="N174" s="4">
        <v>2100</v>
      </c>
      <c r="O174" t="s">
        <v>31</v>
      </c>
      <c r="X174" t="s">
        <v>43</v>
      </c>
      <c r="Y174"/>
      <c r="Z174">
        <v>20200115</v>
      </c>
      <c r="AA174">
        <f t="shared" si="3"/>
        <v>2100</v>
      </c>
      <c r="AC174"/>
      <c r="AF174"/>
      <c r="AL174">
        <v>340610490</v>
      </c>
      <c r="AM174" t="s">
        <v>36</v>
      </c>
    </row>
    <row r="175" spans="1:39" x14ac:dyDescent="0.35">
      <c r="A175">
        <v>3406</v>
      </c>
      <c r="B175" t="s">
        <v>39</v>
      </c>
      <c r="C175">
        <v>2020</v>
      </c>
      <c r="D175" s="1">
        <v>43831</v>
      </c>
      <c r="E175">
        <v>10</v>
      </c>
      <c r="F175">
        <v>600013711</v>
      </c>
      <c r="G175" t="s">
        <v>29</v>
      </c>
      <c r="H175">
        <v>81</v>
      </c>
      <c r="I175">
        <v>71101060</v>
      </c>
      <c r="J175">
        <v>11500060</v>
      </c>
      <c r="K175" t="s">
        <v>30</v>
      </c>
      <c r="L175" s="4">
        <v>754.8</v>
      </c>
      <c r="M175" t="s">
        <v>31</v>
      </c>
      <c r="N175" s="4">
        <v>754.8</v>
      </c>
      <c r="O175" t="s">
        <v>31</v>
      </c>
      <c r="X175" t="s">
        <v>43</v>
      </c>
      <c r="Y175"/>
      <c r="Z175">
        <v>20200115</v>
      </c>
      <c r="AA175">
        <f t="shared" si="3"/>
        <v>754.8</v>
      </c>
      <c r="AC175"/>
      <c r="AF175"/>
      <c r="AL175">
        <v>340610490</v>
      </c>
      <c r="AM175" t="s">
        <v>36</v>
      </c>
    </row>
    <row r="176" spans="1:39" x14ac:dyDescent="0.35">
      <c r="A176">
        <v>3406</v>
      </c>
      <c r="B176" t="s">
        <v>39</v>
      </c>
      <c r="C176">
        <v>2020</v>
      </c>
      <c r="D176" s="1">
        <v>43831</v>
      </c>
      <c r="E176">
        <v>12</v>
      </c>
      <c r="F176">
        <v>600013711</v>
      </c>
      <c r="G176" t="s">
        <v>29</v>
      </c>
      <c r="H176">
        <v>81</v>
      </c>
      <c r="I176">
        <v>71101060</v>
      </c>
      <c r="J176">
        <v>11500060</v>
      </c>
      <c r="K176" t="s">
        <v>30</v>
      </c>
      <c r="L176" s="4">
        <v>735</v>
      </c>
      <c r="M176" t="s">
        <v>31</v>
      </c>
      <c r="N176" s="4">
        <v>735</v>
      </c>
      <c r="O176" t="s">
        <v>31</v>
      </c>
      <c r="X176" t="s">
        <v>43</v>
      </c>
      <c r="Y176"/>
      <c r="Z176">
        <v>20200115</v>
      </c>
      <c r="AA176">
        <f t="shared" si="3"/>
        <v>735</v>
      </c>
      <c r="AC176"/>
      <c r="AF176"/>
      <c r="AL176">
        <v>340610490</v>
      </c>
      <c r="AM176" t="s">
        <v>36</v>
      </c>
    </row>
    <row r="177" spans="1:39" x14ac:dyDescent="0.35">
      <c r="A177">
        <v>3406</v>
      </c>
      <c r="B177" t="s">
        <v>39</v>
      </c>
      <c r="C177">
        <v>2020</v>
      </c>
      <c r="D177" s="1">
        <v>43831</v>
      </c>
      <c r="E177">
        <v>14</v>
      </c>
      <c r="F177">
        <v>600013711</v>
      </c>
      <c r="G177" t="s">
        <v>29</v>
      </c>
      <c r="H177">
        <v>81</v>
      </c>
      <c r="I177">
        <v>71101060</v>
      </c>
      <c r="J177">
        <v>11500060</v>
      </c>
      <c r="K177" t="s">
        <v>30</v>
      </c>
      <c r="L177" s="4">
        <v>714</v>
      </c>
      <c r="M177" t="s">
        <v>31</v>
      </c>
      <c r="N177" s="4">
        <v>714</v>
      </c>
      <c r="O177" t="s">
        <v>31</v>
      </c>
      <c r="X177" t="s">
        <v>43</v>
      </c>
      <c r="Y177"/>
      <c r="Z177">
        <v>20200115</v>
      </c>
      <c r="AA177">
        <f t="shared" si="3"/>
        <v>714</v>
      </c>
      <c r="AC177"/>
      <c r="AF177"/>
      <c r="AL177">
        <v>340610490</v>
      </c>
      <c r="AM177" t="s">
        <v>36</v>
      </c>
    </row>
    <row r="178" spans="1:39" x14ac:dyDescent="0.35">
      <c r="A178">
        <v>3406</v>
      </c>
      <c r="B178" t="s">
        <v>39</v>
      </c>
      <c r="C178">
        <v>2020</v>
      </c>
      <c r="D178" s="1">
        <v>43831</v>
      </c>
      <c r="E178">
        <v>20</v>
      </c>
      <c r="F178">
        <v>600013711</v>
      </c>
      <c r="G178" t="s">
        <v>29</v>
      </c>
      <c r="H178">
        <v>81</v>
      </c>
      <c r="I178">
        <v>71101060</v>
      </c>
      <c r="J178">
        <v>11500060</v>
      </c>
      <c r="K178" t="s">
        <v>30</v>
      </c>
      <c r="L178" s="4">
        <v>73.45</v>
      </c>
      <c r="M178" t="s">
        <v>31</v>
      </c>
      <c r="N178" s="4">
        <v>73.45</v>
      </c>
      <c r="O178" t="s">
        <v>31</v>
      </c>
      <c r="X178" t="s">
        <v>43</v>
      </c>
      <c r="Y178"/>
      <c r="Z178">
        <v>20200115</v>
      </c>
      <c r="AA178">
        <f t="shared" si="3"/>
        <v>73.45</v>
      </c>
      <c r="AC178"/>
      <c r="AF178"/>
      <c r="AL178">
        <v>340610490</v>
      </c>
      <c r="AM178" t="s">
        <v>36</v>
      </c>
    </row>
    <row r="179" spans="1:39" x14ac:dyDescent="0.35">
      <c r="A179">
        <v>3406</v>
      </c>
      <c r="B179" t="s">
        <v>39</v>
      </c>
      <c r="C179">
        <v>2020</v>
      </c>
      <c r="D179" s="1">
        <v>43831</v>
      </c>
      <c r="E179">
        <v>96</v>
      </c>
      <c r="F179">
        <v>600013711</v>
      </c>
      <c r="G179" t="s">
        <v>29</v>
      </c>
      <c r="H179">
        <v>81</v>
      </c>
      <c r="I179">
        <v>71101060</v>
      </c>
      <c r="J179">
        <v>11500060</v>
      </c>
      <c r="K179" t="s">
        <v>30</v>
      </c>
      <c r="L179" s="4">
        <v>10262</v>
      </c>
      <c r="M179" t="s">
        <v>31</v>
      </c>
      <c r="N179" s="4">
        <v>10262</v>
      </c>
      <c r="O179" t="s">
        <v>31</v>
      </c>
      <c r="X179" t="s">
        <v>43</v>
      </c>
      <c r="Y179"/>
      <c r="Z179">
        <v>20200115</v>
      </c>
      <c r="AA179">
        <f t="shared" si="3"/>
        <v>10262</v>
      </c>
      <c r="AC179"/>
      <c r="AF179"/>
      <c r="AL179">
        <v>340610490</v>
      </c>
      <c r="AM179" t="s">
        <v>36</v>
      </c>
    </row>
    <row r="180" spans="1:39" x14ac:dyDescent="0.35">
      <c r="A180">
        <v>3406</v>
      </c>
      <c r="B180" t="s">
        <v>39</v>
      </c>
      <c r="C180">
        <v>2020</v>
      </c>
      <c r="D180" s="1">
        <v>43831</v>
      </c>
      <c r="E180">
        <v>98</v>
      </c>
      <c r="F180">
        <v>600013711</v>
      </c>
      <c r="G180" t="s">
        <v>29</v>
      </c>
      <c r="H180">
        <v>81</v>
      </c>
      <c r="I180">
        <v>71101060</v>
      </c>
      <c r="J180">
        <v>11500060</v>
      </c>
      <c r="K180" t="s">
        <v>30</v>
      </c>
      <c r="L180" s="4">
        <v>5131</v>
      </c>
      <c r="M180" t="s">
        <v>31</v>
      </c>
      <c r="N180" s="4">
        <v>5131</v>
      </c>
      <c r="O180" t="s">
        <v>31</v>
      </c>
      <c r="X180" t="s">
        <v>43</v>
      </c>
      <c r="Y180"/>
      <c r="Z180">
        <v>20200115</v>
      </c>
      <c r="AA180">
        <f t="shared" si="3"/>
        <v>5131</v>
      </c>
      <c r="AC180"/>
      <c r="AF180"/>
      <c r="AL180">
        <v>340610490</v>
      </c>
      <c r="AM180" t="s">
        <v>36</v>
      </c>
    </row>
    <row r="181" spans="1:39" x14ac:dyDescent="0.35">
      <c r="A181">
        <v>3406</v>
      </c>
      <c r="B181" t="s">
        <v>39</v>
      </c>
      <c r="C181">
        <v>2020</v>
      </c>
      <c r="D181" s="1">
        <v>43831</v>
      </c>
      <c r="E181">
        <v>100</v>
      </c>
      <c r="F181">
        <v>600013711</v>
      </c>
      <c r="G181" t="s">
        <v>29</v>
      </c>
      <c r="H181">
        <v>81</v>
      </c>
      <c r="I181">
        <v>71101060</v>
      </c>
      <c r="J181">
        <v>11500060</v>
      </c>
      <c r="K181" t="s">
        <v>30</v>
      </c>
      <c r="L181" s="4">
        <v>5131</v>
      </c>
      <c r="M181" t="s">
        <v>31</v>
      </c>
      <c r="N181" s="4">
        <v>5131</v>
      </c>
      <c r="O181" t="s">
        <v>31</v>
      </c>
      <c r="X181" t="s">
        <v>43</v>
      </c>
      <c r="Y181"/>
      <c r="Z181">
        <v>20200115</v>
      </c>
      <c r="AA181">
        <f t="shared" si="3"/>
        <v>5131</v>
      </c>
      <c r="AC181"/>
      <c r="AF181"/>
      <c r="AL181">
        <v>340610490</v>
      </c>
      <c r="AM181" t="s">
        <v>36</v>
      </c>
    </row>
    <row r="182" spans="1:39" x14ac:dyDescent="0.35">
      <c r="A182">
        <v>3406</v>
      </c>
      <c r="B182" t="s">
        <v>39</v>
      </c>
      <c r="C182">
        <v>2020</v>
      </c>
      <c r="D182" s="1">
        <v>43831</v>
      </c>
      <c r="E182">
        <v>102</v>
      </c>
      <c r="F182">
        <v>600013711</v>
      </c>
      <c r="G182" t="s">
        <v>29</v>
      </c>
      <c r="H182">
        <v>81</v>
      </c>
      <c r="I182">
        <v>71101060</v>
      </c>
      <c r="J182">
        <v>11500060</v>
      </c>
      <c r="K182" t="s">
        <v>30</v>
      </c>
      <c r="L182" s="4">
        <v>5131</v>
      </c>
      <c r="M182" t="s">
        <v>31</v>
      </c>
      <c r="N182" s="4">
        <v>5131</v>
      </c>
      <c r="O182" t="s">
        <v>31</v>
      </c>
      <c r="X182" t="s">
        <v>43</v>
      </c>
      <c r="Y182"/>
      <c r="Z182">
        <v>20200115</v>
      </c>
      <c r="AA182">
        <f t="shared" si="3"/>
        <v>5131</v>
      </c>
      <c r="AC182"/>
      <c r="AF182"/>
      <c r="AL182">
        <v>340610490</v>
      </c>
      <c r="AM182" t="s">
        <v>36</v>
      </c>
    </row>
    <row r="183" spans="1:39" x14ac:dyDescent="0.35">
      <c r="A183">
        <v>3406</v>
      </c>
      <c r="B183" t="s">
        <v>39</v>
      </c>
      <c r="C183">
        <v>2020</v>
      </c>
      <c r="D183" s="1">
        <v>43831</v>
      </c>
      <c r="E183">
        <v>112</v>
      </c>
      <c r="F183">
        <v>600013711</v>
      </c>
      <c r="G183" t="s">
        <v>29</v>
      </c>
      <c r="H183">
        <v>81</v>
      </c>
      <c r="I183">
        <v>71101060</v>
      </c>
      <c r="J183">
        <v>11500060</v>
      </c>
      <c r="K183" t="s">
        <v>30</v>
      </c>
      <c r="L183" s="4">
        <v>1261.25</v>
      </c>
      <c r="M183" t="s">
        <v>31</v>
      </c>
      <c r="N183" s="4">
        <v>1261.25</v>
      </c>
      <c r="O183" t="s">
        <v>31</v>
      </c>
      <c r="X183" t="s">
        <v>43</v>
      </c>
      <c r="Y183"/>
      <c r="Z183">
        <v>20200115</v>
      </c>
      <c r="AA183">
        <f t="shared" si="3"/>
        <v>1261.25</v>
      </c>
      <c r="AC183"/>
      <c r="AF183"/>
      <c r="AL183">
        <v>340610490</v>
      </c>
      <c r="AM183" t="s">
        <v>36</v>
      </c>
    </row>
    <row r="184" spans="1:39" x14ac:dyDescent="0.35">
      <c r="A184">
        <v>3406</v>
      </c>
      <c r="B184" t="s">
        <v>39</v>
      </c>
      <c r="C184">
        <v>2020</v>
      </c>
      <c r="D184" s="1">
        <v>43831</v>
      </c>
      <c r="E184">
        <v>114</v>
      </c>
      <c r="F184">
        <v>600013711</v>
      </c>
      <c r="G184" t="s">
        <v>29</v>
      </c>
      <c r="H184">
        <v>81</v>
      </c>
      <c r="I184">
        <v>71101060</v>
      </c>
      <c r="J184">
        <v>11500060</v>
      </c>
      <c r="K184" t="s">
        <v>30</v>
      </c>
      <c r="L184" s="4">
        <v>1261.25</v>
      </c>
      <c r="M184" t="s">
        <v>31</v>
      </c>
      <c r="N184" s="4">
        <v>1261.25</v>
      </c>
      <c r="O184" t="s">
        <v>31</v>
      </c>
      <c r="X184" t="s">
        <v>43</v>
      </c>
      <c r="Y184"/>
      <c r="Z184">
        <v>20200115</v>
      </c>
      <c r="AA184">
        <f t="shared" si="3"/>
        <v>1261.25</v>
      </c>
      <c r="AC184"/>
      <c r="AF184"/>
      <c r="AL184">
        <v>340610490</v>
      </c>
      <c r="AM184" t="s">
        <v>36</v>
      </c>
    </row>
    <row r="185" spans="1:39" x14ac:dyDescent="0.35">
      <c r="A185">
        <v>3406</v>
      </c>
      <c r="B185" t="s">
        <v>39</v>
      </c>
      <c r="C185">
        <v>2020</v>
      </c>
      <c r="D185" s="1">
        <v>43831</v>
      </c>
      <c r="E185">
        <v>116</v>
      </c>
      <c r="F185">
        <v>600013711</v>
      </c>
      <c r="G185" t="s">
        <v>29</v>
      </c>
      <c r="H185">
        <v>81</v>
      </c>
      <c r="I185">
        <v>71101060</v>
      </c>
      <c r="J185">
        <v>11500060</v>
      </c>
      <c r="K185" t="s">
        <v>30</v>
      </c>
      <c r="L185" s="4">
        <v>612.15</v>
      </c>
      <c r="M185" t="s">
        <v>31</v>
      </c>
      <c r="N185" s="4">
        <v>612.15</v>
      </c>
      <c r="O185" t="s">
        <v>31</v>
      </c>
      <c r="X185" t="s">
        <v>43</v>
      </c>
      <c r="Y185"/>
      <c r="Z185">
        <v>20200115</v>
      </c>
      <c r="AA185">
        <f t="shared" si="3"/>
        <v>612.15</v>
      </c>
      <c r="AC185"/>
      <c r="AF185"/>
      <c r="AL185">
        <v>340610490</v>
      </c>
      <c r="AM185" t="s">
        <v>36</v>
      </c>
    </row>
    <row r="186" spans="1:39" x14ac:dyDescent="0.35">
      <c r="A186">
        <v>3406</v>
      </c>
      <c r="B186" t="s">
        <v>39</v>
      </c>
      <c r="C186">
        <v>2020</v>
      </c>
      <c r="D186" s="1">
        <v>43831</v>
      </c>
      <c r="E186">
        <v>150</v>
      </c>
      <c r="F186">
        <v>600013711</v>
      </c>
      <c r="G186" t="s">
        <v>29</v>
      </c>
      <c r="H186">
        <v>81</v>
      </c>
      <c r="I186">
        <v>71101060</v>
      </c>
      <c r="J186">
        <v>11500060</v>
      </c>
      <c r="K186" t="s">
        <v>30</v>
      </c>
      <c r="L186" s="4">
        <v>73.45</v>
      </c>
      <c r="M186" t="s">
        <v>31</v>
      </c>
      <c r="N186" s="4">
        <v>73.45</v>
      </c>
      <c r="O186" t="s">
        <v>31</v>
      </c>
      <c r="X186" t="s">
        <v>43</v>
      </c>
      <c r="Y186"/>
      <c r="Z186">
        <v>20200115</v>
      </c>
      <c r="AA186">
        <f t="shared" si="3"/>
        <v>73.45</v>
      </c>
      <c r="AC186"/>
      <c r="AF186"/>
      <c r="AL186">
        <v>340610490</v>
      </c>
      <c r="AM186" t="s">
        <v>36</v>
      </c>
    </row>
    <row r="187" spans="1:39" x14ac:dyDescent="0.35">
      <c r="A187">
        <v>3406</v>
      </c>
      <c r="B187" t="s">
        <v>39</v>
      </c>
      <c r="C187">
        <v>2020</v>
      </c>
      <c r="D187" s="1">
        <v>43831</v>
      </c>
      <c r="E187">
        <v>160</v>
      </c>
      <c r="F187">
        <v>600013711</v>
      </c>
      <c r="G187" t="s">
        <v>29</v>
      </c>
      <c r="H187">
        <v>81</v>
      </c>
      <c r="I187">
        <v>71101060</v>
      </c>
      <c r="J187">
        <v>11500060</v>
      </c>
      <c r="K187" t="s">
        <v>30</v>
      </c>
      <c r="L187" s="4">
        <v>2028.6</v>
      </c>
      <c r="M187" t="s">
        <v>31</v>
      </c>
      <c r="N187" s="4">
        <v>2028.6</v>
      </c>
      <c r="O187" t="s">
        <v>31</v>
      </c>
      <c r="X187" t="s">
        <v>43</v>
      </c>
      <c r="Y187"/>
      <c r="Z187">
        <v>20200115</v>
      </c>
      <c r="AA187">
        <f t="shared" si="3"/>
        <v>2028.6</v>
      </c>
      <c r="AC187"/>
      <c r="AF187"/>
      <c r="AL187">
        <v>340610490</v>
      </c>
      <c r="AM187" t="s">
        <v>36</v>
      </c>
    </row>
    <row r="188" spans="1:39" x14ac:dyDescent="0.35">
      <c r="A188">
        <v>3406</v>
      </c>
      <c r="B188" t="s">
        <v>39</v>
      </c>
      <c r="C188">
        <v>2020</v>
      </c>
      <c r="D188" s="1">
        <v>43831</v>
      </c>
      <c r="E188">
        <v>162</v>
      </c>
      <c r="F188">
        <v>600013711</v>
      </c>
      <c r="G188" t="s">
        <v>29</v>
      </c>
      <c r="H188">
        <v>81</v>
      </c>
      <c r="I188">
        <v>71101060</v>
      </c>
      <c r="J188">
        <v>11500060</v>
      </c>
      <c r="K188" t="s">
        <v>30</v>
      </c>
      <c r="L188" s="4">
        <v>11</v>
      </c>
      <c r="M188" t="s">
        <v>31</v>
      </c>
      <c r="N188" s="4">
        <v>11</v>
      </c>
      <c r="O188" t="s">
        <v>31</v>
      </c>
      <c r="X188" t="s">
        <v>43</v>
      </c>
      <c r="Y188"/>
      <c r="Z188">
        <v>20200115</v>
      </c>
      <c r="AA188">
        <f t="shared" si="3"/>
        <v>11</v>
      </c>
      <c r="AC188"/>
      <c r="AF188"/>
      <c r="AL188">
        <v>340610490</v>
      </c>
      <c r="AM188" t="s">
        <v>36</v>
      </c>
    </row>
    <row r="189" spans="1:39" x14ac:dyDescent="0.35">
      <c r="A189">
        <v>3406</v>
      </c>
      <c r="B189" t="s">
        <v>39</v>
      </c>
      <c r="C189">
        <v>2020</v>
      </c>
      <c r="D189" s="1">
        <v>43831</v>
      </c>
      <c r="E189">
        <v>164</v>
      </c>
      <c r="F189">
        <v>600013711</v>
      </c>
      <c r="G189" t="s">
        <v>29</v>
      </c>
      <c r="H189">
        <v>81</v>
      </c>
      <c r="I189">
        <v>71101060</v>
      </c>
      <c r="J189">
        <v>11500060</v>
      </c>
      <c r="K189" t="s">
        <v>30</v>
      </c>
      <c r="L189" s="4">
        <v>700</v>
      </c>
      <c r="M189" t="s">
        <v>31</v>
      </c>
      <c r="N189" s="4">
        <v>700</v>
      </c>
      <c r="O189" t="s">
        <v>31</v>
      </c>
      <c r="X189" t="s">
        <v>43</v>
      </c>
      <c r="Y189"/>
      <c r="Z189">
        <v>20200115</v>
      </c>
      <c r="AA189">
        <f t="shared" si="3"/>
        <v>700</v>
      </c>
      <c r="AC189"/>
      <c r="AF189"/>
      <c r="AL189">
        <v>340610490</v>
      </c>
      <c r="AM189" t="s">
        <v>36</v>
      </c>
    </row>
    <row r="190" spans="1:39" x14ac:dyDescent="0.35">
      <c r="A190">
        <v>3406</v>
      </c>
      <c r="B190" t="s">
        <v>39</v>
      </c>
      <c r="C190">
        <v>2020</v>
      </c>
      <c r="D190" s="1">
        <v>43831</v>
      </c>
      <c r="E190">
        <v>166</v>
      </c>
      <c r="F190">
        <v>600013711</v>
      </c>
      <c r="G190" t="s">
        <v>29</v>
      </c>
      <c r="H190">
        <v>81</v>
      </c>
      <c r="I190">
        <v>71101060</v>
      </c>
      <c r="J190">
        <v>11500060</v>
      </c>
      <c r="K190" t="s">
        <v>30</v>
      </c>
      <c r="L190" s="4">
        <v>112.69</v>
      </c>
      <c r="M190" t="s">
        <v>31</v>
      </c>
      <c r="N190" s="4">
        <v>112.69</v>
      </c>
      <c r="O190" t="s">
        <v>31</v>
      </c>
      <c r="X190" t="s">
        <v>43</v>
      </c>
      <c r="Y190"/>
      <c r="Z190">
        <v>20200115</v>
      </c>
      <c r="AA190">
        <f t="shared" si="3"/>
        <v>112.69</v>
      </c>
      <c r="AC190"/>
      <c r="AF190"/>
      <c r="AL190">
        <v>340610490</v>
      </c>
      <c r="AM190" t="s">
        <v>36</v>
      </c>
    </row>
    <row r="191" spans="1:39" x14ac:dyDescent="0.35">
      <c r="A191">
        <v>3406</v>
      </c>
      <c r="B191" t="s">
        <v>39</v>
      </c>
      <c r="C191">
        <v>2020</v>
      </c>
      <c r="D191" s="1">
        <v>43831</v>
      </c>
      <c r="E191">
        <v>168</v>
      </c>
      <c r="F191">
        <v>600013711</v>
      </c>
      <c r="G191" t="s">
        <v>29</v>
      </c>
      <c r="H191">
        <v>81</v>
      </c>
      <c r="I191">
        <v>71101060</v>
      </c>
      <c r="J191">
        <v>11500060</v>
      </c>
      <c r="K191" t="s">
        <v>30</v>
      </c>
      <c r="L191" s="4">
        <v>460.82</v>
      </c>
      <c r="M191" t="s">
        <v>31</v>
      </c>
      <c r="N191" s="4">
        <v>460.82</v>
      </c>
      <c r="O191" t="s">
        <v>31</v>
      </c>
      <c r="X191" t="s">
        <v>43</v>
      </c>
      <c r="Y191"/>
      <c r="Z191">
        <v>20200115</v>
      </c>
      <c r="AA191">
        <f t="shared" si="3"/>
        <v>460.82</v>
      </c>
      <c r="AC191"/>
      <c r="AF191"/>
      <c r="AL191">
        <v>340610490</v>
      </c>
      <c r="AM191" t="s">
        <v>36</v>
      </c>
    </row>
    <row r="192" spans="1:39" x14ac:dyDescent="0.35">
      <c r="A192">
        <v>3401</v>
      </c>
      <c r="B192" t="s">
        <v>28</v>
      </c>
      <c r="C192">
        <v>2020</v>
      </c>
      <c r="D192" s="1">
        <v>43831</v>
      </c>
      <c r="E192">
        <v>162</v>
      </c>
      <c r="F192">
        <v>100031709</v>
      </c>
      <c r="G192" t="s">
        <v>29</v>
      </c>
      <c r="H192">
        <v>91</v>
      </c>
      <c r="I192">
        <v>71101060</v>
      </c>
      <c r="J192">
        <v>11500010</v>
      </c>
      <c r="K192" t="s">
        <v>30</v>
      </c>
      <c r="L192" s="4">
        <v>678.33</v>
      </c>
      <c r="M192" t="s">
        <v>31</v>
      </c>
      <c r="N192" s="4">
        <v>678.33</v>
      </c>
      <c r="O192" t="s">
        <v>31</v>
      </c>
      <c r="X192" t="s">
        <v>28</v>
      </c>
      <c r="Y192"/>
      <c r="Z192">
        <v>20200131</v>
      </c>
      <c r="AA192">
        <f t="shared" si="3"/>
        <v>678.33</v>
      </c>
      <c r="AC192"/>
      <c r="AF192"/>
      <c r="AL192">
        <v>340116690</v>
      </c>
      <c r="AM192" t="s">
        <v>37</v>
      </c>
    </row>
    <row r="193" spans="1:39" x14ac:dyDescent="0.35">
      <c r="A193">
        <v>3401</v>
      </c>
      <c r="B193" t="s">
        <v>28</v>
      </c>
      <c r="C193">
        <v>2020</v>
      </c>
      <c r="D193" s="1">
        <v>43831</v>
      </c>
      <c r="E193">
        <v>164</v>
      </c>
      <c r="F193">
        <v>100031709</v>
      </c>
      <c r="G193" t="s">
        <v>29</v>
      </c>
      <c r="H193">
        <v>91</v>
      </c>
      <c r="I193">
        <v>71101060</v>
      </c>
      <c r="J193">
        <v>11500010</v>
      </c>
      <c r="K193" t="s">
        <v>30</v>
      </c>
      <c r="L193" s="4">
        <v>546.66999999999996</v>
      </c>
      <c r="M193" t="s">
        <v>31</v>
      </c>
      <c r="N193" s="4">
        <v>546.66999999999996</v>
      </c>
      <c r="O193" t="s">
        <v>31</v>
      </c>
      <c r="X193" t="s">
        <v>28</v>
      </c>
      <c r="Y193"/>
      <c r="Z193">
        <v>20200131</v>
      </c>
      <c r="AA193">
        <f t="shared" si="3"/>
        <v>546.66999999999996</v>
      </c>
      <c r="AC193"/>
      <c r="AF193"/>
      <c r="AL193">
        <v>340116690</v>
      </c>
      <c r="AM193" t="s">
        <v>37</v>
      </c>
    </row>
    <row r="194" spans="1:39" x14ac:dyDescent="0.35">
      <c r="A194">
        <v>3401</v>
      </c>
      <c r="B194" t="s">
        <v>39</v>
      </c>
      <c r="C194">
        <v>2020</v>
      </c>
      <c r="D194" s="1">
        <v>43831</v>
      </c>
      <c r="E194">
        <v>2</v>
      </c>
      <c r="F194">
        <v>100015719</v>
      </c>
      <c r="G194" t="s">
        <v>29</v>
      </c>
      <c r="H194">
        <v>81</v>
      </c>
      <c r="I194">
        <v>71101060</v>
      </c>
      <c r="J194">
        <v>11500040</v>
      </c>
      <c r="K194" t="s">
        <v>30</v>
      </c>
      <c r="L194" s="4">
        <v>535</v>
      </c>
      <c r="M194" t="s">
        <v>31</v>
      </c>
      <c r="N194" s="4">
        <v>535</v>
      </c>
      <c r="O194" t="s">
        <v>31</v>
      </c>
      <c r="X194" t="s">
        <v>43</v>
      </c>
      <c r="Y194"/>
      <c r="Z194">
        <v>20200115</v>
      </c>
      <c r="AA194">
        <f t="shared" si="3"/>
        <v>535</v>
      </c>
      <c r="AC194"/>
      <c r="AF194"/>
      <c r="AL194">
        <v>340110490</v>
      </c>
      <c r="AM194" t="s">
        <v>44</v>
      </c>
    </row>
    <row r="195" spans="1:39" x14ac:dyDescent="0.35">
      <c r="A195">
        <v>3401</v>
      </c>
      <c r="B195" t="s">
        <v>39</v>
      </c>
      <c r="C195">
        <v>2020</v>
      </c>
      <c r="D195" s="1">
        <v>43831</v>
      </c>
      <c r="E195">
        <v>8</v>
      </c>
      <c r="F195">
        <v>100015719</v>
      </c>
      <c r="G195" t="s">
        <v>29</v>
      </c>
      <c r="H195">
        <v>81</v>
      </c>
      <c r="I195">
        <v>71101060</v>
      </c>
      <c r="J195">
        <v>11500040</v>
      </c>
      <c r="K195" t="s">
        <v>30</v>
      </c>
      <c r="L195" s="4">
        <v>336</v>
      </c>
      <c r="M195" t="s">
        <v>31</v>
      </c>
      <c r="N195" s="4">
        <v>336</v>
      </c>
      <c r="O195" t="s">
        <v>31</v>
      </c>
      <c r="X195" t="s">
        <v>43</v>
      </c>
      <c r="Y195"/>
      <c r="Z195">
        <v>20200115</v>
      </c>
      <c r="AA195">
        <f t="shared" si="3"/>
        <v>336</v>
      </c>
      <c r="AC195"/>
      <c r="AF195"/>
      <c r="AL195">
        <v>340110490</v>
      </c>
      <c r="AM195" t="s">
        <v>44</v>
      </c>
    </row>
    <row r="196" spans="1:39" x14ac:dyDescent="0.35">
      <c r="A196">
        <v>3401</v>
      </c>
      <c r="B196" t="s">
        <v>39</v>
      </c>
      <c r="C196">
        <v>2020</v>
      </c>
      <c r="D196" s="1">
        <v>43831</v>
      </c>
      <c r="E196">
        <v>10</v>
      </c>
      <c r="F196">
        <v>100015719</v>
      </c>
      <c r="G196" t="s">
        <v>29</v>
      </c>
      <c r="H196">
        <v>81</v>
      </c>
      <c r="I196">
        <v>71101060</v>
      </c>
      <c r="J196">
        <v>11500040</v>
      </c>
      <c r="K196" t="s">
        <v>30</v>
      </c>
      <c r="L196" s="4">
        <v>1690.5</v>
      </c>
      <c r="M196" t="s">
        <v>31</v>
      </c>
      <c r="N196" s="4">
        <v>1690.5</v>
      </c>
      <c r="O196" t="s">
        <v>31</v>
      </c>
      <c r="X196" t="s">
        <v>43</v>
      </c>
      <c r="Y196"/>
      <c r="Z196">
        <v>20200115</v>
      </c>
      <c r="AA196">
        <f t="shared" si="3"/>
        <v>1690.5</v>
      </c>
      <c r="AC196"/>
      <c r="AF196"/>
      <c r="AL196">
        <v>340110490</v>
      </c>
      <c r="AM196" t="s">
        <v>44</v>
      </c>
    </row>
    <row r="197" spans="1:39" x14ac:dyDescent="0.35">
      <c r="A197">
        <v>3401</v>
      </c>
      <c r="B197" t="s">
        <v>39</v>
      </c>
      <c r="C197">
        <v>2020</v>
      </c>
      <c r="D197" s="1">
        <v>43831</v>
      </c>
      <c r="E197">
        <v>12</v>
      </c>
      <c r="F197">
        <v>100015719</v>
      </c>
      <c r="G197" t="s">
        <v>29</v>
      </c>
      <c r="H197">
        <v>81</v>
      </c>
      <c r="I197">
        <v>71101060</v>
      </c>
      <c r="J197">
        <v>11500040</v>
      </c>
      <c r="K197" t="s">
        <v>30</v>
      </c>
      <c r="L197" s="4">
        <v>7900</v>
      </c>
      <c r="M197" t="s">
        <v>31</v>
      </c>
      <c r="N197" s="4">
        <v>7900</v>
      </c>
      <c r="O197" t="s">
        <v>31</v>
      </c>
      <c r="X197" t="s">
        <v>43</v>
      </c>
      <c r="Y197"/>
      <c r="Z197">
        <v>20200115</v>
      </c>
      <c r="AA197">
        <f t="shared" si="3"/>
        <v>7900</v>
      </c>
      <c r="AC197"/>
      <c r="AF197"/>
      <c r="AL197">
        <v>340110490</v>
      </c>
      <c r="AM197" t="s">
        <v>44</v>
      </c>
    </row>
    <row r="198" spans="1:39" x14ac:dyDescent="0.35">
      <c r="A198">
        <v>3401</v>
      </c>
      <c r="B198" t="s">
        <v>39</v>
      </c>
      <c r="C198">
        <v>2020</v>
      </c>
      <c r="D198" s="1">
        <v>43831</v>
      </c>
      <c r="E198">
        <v>14</v>
      </c>
      <c r="F198">
        <v>100015719</v>
      </c>
      <c r="G198" t="s">
        <v>29</v>
      </c>
      <c r="H198">
        <v>81</v>
      </c>
      <c r="I198">
        <v>71101060</v>
      </c>
      <c r="J198">
        <v>11500040</v>
      </c>
      <c r="K198" t="s">
        <v>30</v>
      </c>
      <c r="L198" s="4">
        <v>810</v>
      </c>
      <c r="M198" t="s">
        <v>31</v>
      </c>
      <c r="N198" s="4">
        <v>810</v>
      </c>
      <c r="O198" t="s">
        <v>31</v>
      </c>
      <c r="X198" t="s">
        <v>43</v>
      </c>
      <c r="Y198"/>
      <c r="Z198">
        <v>20200115</v>
      </c>
      <c r="AA198">
        <f t="shared" si="3"/>
        <v>810</v>
      </c>
      <c r="AC198"/>
      <c r="AF198"/>
      <c r="AL198">
        <v>340110490</v>
      </c>
      <c r="AM198" t="s">
        <v>44</v>
      </c>
    </row>
    <row r="199" spans="1:39" x14ac:dyDescent="0.35">
      <c r="A199">
        <v>3401</v>
      </c>
      <c r="B199" t="s">
        <v>39</v>
      </c>
      <c r="C199">
        <v>2020</v>
      </c>
      <c r="D199" s="1">
        <v>43831</v>
      </c>
      <c r="E199">
        <v>28</v>
      </c>
      <c r="F199">
        <v>100015719</v>
      </c>
      <c r="G199" t="s">
        <v>29</v>
      </c>
      <c r="H199">
        <v>81</v>
      </c>
      <c r="I199">
        <v>71101060</v>
      </c>
      <c r="J199">
        <v>11500040</v>
      </c>
      <c r="K199" t="s">
        <v>30</v>
      </c>
      <c r="L199" s="4">
        <v>1513.5</v>
      </c>
      <c r="M199" t="s">
        <v>31</v>
      </c>
      <c r="N199" s="4">
        <v>1513.5</v>
      </c>
      <c r="O199" t="s">
        <v>31</v>
      </c>
      <c r="X199" t="s">
        <v>43</v>
      </c>
      <c r="Y199"/>
      <c r="Z199">
        <v>20200115</v>
      </c>
      <c r="AA199">
        <f t="shared" si="3"/>
        <v>1513.5</v>
      </c>
      <c r="AC199"/>
      <c r="AF199"/>
      <c r="AL199">
        <v>340110490</v>
      </c>
      <c r="AM199" t="s">
        <v>44</v>
      </c>
    </row>
    <row r="200" spans="1:39" x14ac:dyDescent="0.35">
      <c r="A200">
        <v>3401</v>
      </c>
      <c r="B200" t="s">
        <v>39</v>
      </c>
      <c r="C200">
        <v>2020</v>
      </c>
      <c r="D200" s="1">
        <v>43831</v>
      </c>
      <c r="E200">
        <v>30</v>
      </c>
      <c r="F200">
        <v>100015719</v>
      </c>
      <c r="G200" t="s">
        <v>29</v>
      </c>
      <c r="H200">
        <v>81</v>
      </c>
      <c r="I200">
        <v>71101060</v>
      </c>
      <c r="J200">
        <v>11500040</v>
      </c>
      <c r="K200" t="s">
        <v>30</v>
      </c>
      <c r="L200" s="4">
        <v>1224.3</v>
      </c>
      <c r="M200" t="s">
        <v>31</v>
      </c>
      <c r="N200" s="4">
        <v>1224.3</v>
      </c>
      <c r="O200" t="s">
        <v>31</v>
      </c>
      <c r="X200" t="s">
        <v>43</v>
      </c>
      <c r="Y200"/>
      <c r="Z200">
        <v>20200115</v>
      </c>
      <c r="AA200">
        <f t="shared" si="3"/>
        <v>1224.3</v>
      </c>
      <c r="AC200"/>
      <c r="AF200"/>
      <c r="AL200">
        <v>340110490</v>
      </c>
      <c r="AM200" t="s">
        <v>44</v>
      </c>
    </row>
    <row r="201" spans="1:39" x14ac:dyDescent="0.35">
      <c r="A201">
        <v>3401</v>
      </c>
      <c r="B201" t="s">
        <v>39</v>
      </c>
      <c r="C201">
        <v>2020</v>
      </c>
      <c r="D201" s="1">
        <v>43831</v>
      </c>
      <c r="E201">
        <v>38</v>
      </c>
      <c r="F201">
        <v>100015719</v>
      </c>
      <c r="G201" t="s">
        <v>29</v>
      </c>
      <c r="H201">
        <v>81</v>
      </c>
      <c r="I201">
        <v>71101060</v>
      </c>
      <c r="J201">
        <v>11500040</v>
      </c>
      <c r="K201" t="s">
        <v>30</v>
      </c>
      <c r="L201" s="4">
        <v>80.849999999999994</v>
      </c>
      <c r="M201" t="s">
        <v>31</v>
      </c>
      <c r="N201" s="4">
        <v>80.849999999999994</v>
      </c>
      <c r="O201" t="s">
        <v>31</v>
      </c>
      <c r="X201" t="s">
        <v>43</v>
      </c>
      <c r="Y201"/>
      <c r="Z201">
        <v>20200115</v>
      </c>
      <c r="AA201">
        <f t="shared" si="3"/>
        <v>80.849999999999994</v>
      </c>
      <c r="AC201"/>
      <c r="AF201"/>
      <c r="AL201">
        <v>340110490</v>
      </c>
      <c r="AM201" t="s">
        <v>44</v>
      </c>
    </row>
    <row r="202" spans="1:39" x14ac:dyDescent="0.35">
      <c r="A202">
        <v>3401</v>
      </c>
      <c r="B202" t="s">
        <v>39</v>
      </c>
      <c r="C202">
        <v>2020</v>
      </c>
      <c r="D202" s="1">
        <v>43831</v>
      </c>
      <c r="E202">
        <v>68</v>
      </c>
      <c r="F202">
        <v>100015719</v>
      </c>
      <c r="G202" t="s">
        <v>29</v>
      </c>
      <c r="H202">
        <v>81</v>
      </c>
      <c r="I202">
        <v>71101060</v>
      </c>
      <c r="J202">
        <v>11500040</v>
      </c>
      <c r="K202" t="s">
        <v>30</v>
      </c>
      <c r="L202" s="4">
        <v>4200</v>
      </c>
      <c r="M202" t="s">
        <v>31</v>
      </c>
      <c r="N202" s="4">
        <v>4200</v>
      </c>
      <c r="O202" t="s">
        <v>31</v>
      </c>
      <c r="X202" t="s">
        <v>43</v>
      </c>
      <c r="Y202"/>
      <c r="Z202">
        <v>20200115</v>
      </c>
      <c r="AA202">
        <f t="shared" si="3"/>
        <v>4200</v>
      </c>
      <c r="AC202"/>
      <c r="AF202"/>
      <c r="AL202">
        <v>340110490</v>
      </c>
      <c r="AM202" t="s">
        <v>44</v>
      </c>
    </row>
    <row r="203" spans="1:39" x14ac:dyDescent="0.35">
      <c r="A203">
        <v>3401</v>
      </c>
      <c r="B203" t="s">
        <v>39</v>
      </c>
      <c r="C203">
        <v>2020</v>
      </c>
      <c r="D203" s="1">
        <v>43831</v>
      </c>
      <c r="E203">
        <v>70</v>
      </c>
      <c r="F203">
        <v>100015719</v>
      </c>
      <c r="G203" t="s">
        <v>29</v>
      </c>
      <c r="H203">
        <v>81</v>
      </c>
      <c r="I203">
        <v>71101060</v>
      </c>
      <c r="J203">
        <v>11500040</v>
      </c>
      <c r="K203" t="s">
        <v>30</v>
      </c>
      <c r="L203" s="4">
        <v>10933.4</v>
      </c>
      <c r="M203" t="s">
        <v>31</v>
      </c>
      <c r="N203" s="4">
        <v>10933.4</v>
      </c>
      <c r="O203" t="s">
        <v>31</v>
      </c>
      <c r="X203" t="s">
        <v>43</v>
      </c>
      <c r="Y203"/>
      <c r="Z203">
        <v>20200115</v>
      </c>
      <c r="AA203">
        <f t="shared" si="3"/>
        <v>10933.4</v>
      </c>
      <c r="AC203"/>
      <c r="AF203"/>
      <c r="AL203">
        <v>340110490</v>
      </c>
      <c r="AM203" t="s">
        <v>44</v>
      </c>
    </row>
    <row r="204" spans="1:39" x14ac:dyDescent="0.35">
      <c r="A204">
        <v>3401</v>
      </c>
      <c r="B204" t="s">
        <v>39</v>
      </c>
      <c r="C204">
        <v>2020</v>
      </c>
      <c r="D204" s="1">
        <v>43831</v>
      </c>
      <c r="E204">
        <v>72</v>
      </c>
      <c r="F204">
        <v>100015719</v>
      </c>
      <c r="G204" t="s">
        <v>29</v>
      </c>
      <c r="H204">
        <v>81</v>
      </c>
      <c r="I204">
        <v>71101060</v>
      </c>
      <c r="J204">
        <v>11500040</v>
      </c>
      <c r="K204" t="s">
        <v>30</v>
      </c>
      <c r="L204" s="4">
        <v>1963.2</v>
      </c>
      <c r="M204" t="s">
        <v>31</v>
      </c>
      <c r="N204" s="4">
        <v>1963.2</v>
      </c>
      <c r="O204" t="s">
        <v>31</v>
      </c>
      <c r="X204" t="s">
        <v>43</v>
      </c>
      <c r="Y204"/>
      <c r="Z204">
        <v>20200115</v>
      </c>
      <c r="AA204">
        <f t="shared" si="3"/>
        <v>1963.2</v>
      </c>
      <c r="AC204"/>
      <c r="AF204"/>
      <c r="AL204">
        <v>340110490</v>
      </c>
      <c r="AM204" t="s">
        <v>44</v>
      </c>
    </row>
    <row r="205" spans="1:39" x14ac:dyDescent="0.35">
      <c r="A205">
        <v>3402</v>
      </c>
      <c r="B205" t="s">
        <v>28</v>
      </c>
      <c r="C205">
        <v>2020</v>
      </c>
      <c r="D205" s="1">
        <v>43831</v>
      </c>
      <c r="E205">
        <v>84</v>
      </c>
      <c r="F205">
        <v>200114465</v>
      </c>
      <c r="G205" t="s">
        <v>29</v>
      </c>
      <c r="H205">
        <v>81</v>
      </c>
      <c r="I205">
        <v>71101060</v>
      </c>
      <c r="J205">
        <v>11500010</v>
      </c>
      <c r="K205" t="s">
        <v>30</v>
      </c>
      <c r="L205" s="4">
        <v>3826.69</v>
      </c>
      <c r="M205" t="s">
        <v>31</v>
      </c>
      <c r="N205" s="4">
        <v>3826.69</v>
      </c>
      <c r="O205" t="s">
        <v>31</v>
      </c>
      <c r="X205" t="s">
        <v>35</v>
      </c>
      <c r="Y205"/>
      <c r="Z205">
        <v>20200131</v>
      </c>
      <c r="AA205">
        <f t="shared" si="3"/>
        <v>3826.69</v>
      </c>
      <c r="AC205"/>
      <c r="AF205"/>
      <c r="AL205">
        <v>340212690</v>
      </c>
      <c r="AM205" t="s">
        <v>42</v>
      </c>
    </row>
    <row r="206" spans="1:39" x14ac:dyDescent="0.35">
      <c r="A206">
        <v>3401</v>
      </c>
      <c r="B206" t="s">
        <v>28</v>
      </c>
      <c r="C206">
        <v>2020</v>
      </c>
      <c r="D206" s="1">
        <v>43831</v>
      </c>
      <c r="E206">
        <v>162</v>
      </c>
      <c r="F206">
        <v>100031505</v>
      </c>
      <c r="G206" t="s">
        <v>29</v>
      </c>
      <c r="H206">
        <v>81</v>
      </c>
      <c r="I206">
        <v>71101060</v>
      </c>
      <c r="J206">
        <v>11500010</v>
      </c>
      <c r="K206" t="s">
        <v>30</v>
      </c>
      <c r="L206" s="4">
        <v>678.33</v>
      </c>
      <c r="M206" t="s">
        <v>31</v>
      </c>
      <c r="N206" s="4">
        <v>678.33</v>
      </c>
      <c r="O206" t="s">
        <v>31</v>
      </c>
      <c r="X206" t="s">
        <v>28</v>
      </c>
      <c r="Y206"/>
      <c r="Z206">
        <v>20200131</v>
      </c>
      <c r="AA206">
        <f t="shared" si="3"/>
        <v>678.33</v>
      </c>
      <c r="AC206"/>
      <c r="AF206"/>
      <c r="AL206">
        <v>340116690</v>
      </c>
      <c r="AM206" t="s">
        <v>37</v>
      </c>
    </row>
    <row r="207" spans="1:39" x14ac:dyDescent="0.35">
      <c r="A207">
        <v>3401</v>
      </c>
      <c r="B207" t="s">
        <v>28</v>
      </c>
      <c r="C207">
        <v>2020</v>
      </c>
      <c r="D207" s="1">
        <v>43831</v>
      </c>
      <c r="E207">
        <v>164</v>
      </c>
      <c r="F207">
        <v>100031505</v>
      </c>
      <c r="G207" t="s">
        <v>29</v>
      </c>
      <c r="H207">
        <v>81</v>
      </c>
      <c r="I207">
        <v>71101060</v>
      </c>
      <c r="J207">
        <v>11500010</v>
      </c>
      <c r="K207" t="s">
        <v>30</v>
      </c>
      <c r="L207" s="4">
        <v>546.66999999999996</v>
      </c>
      <c r="M207" t="s">
        <v>31</v>
      </c>
      <c r="N207" s="4">
        <v>546.66999999999996</v>
      </c>
      <c r="O207" t="s">
        <v>31</v>
      </c>
      <c r="X207" t="s">
        <v>28</v>
      </c>
      <c r="Y207"/>
      <c r="Z207">
        <v>20200131</v>
      </c>
      <c r="AA207">
        <f t="shared" si="3"/>
        <v>546.66999999999996</v>
      </c>
      <c r="AC207"/>
      <c r="AF207"/>
      <c r="AL207">
        <v>340116690</v>
      </c>
      <c r="AM207" t="s">
        <v>37</v>
      </c>
    </row>
    <row r="208" spans="1:39" x14ac:dyDescent="0.35">
      <c r="A208">
        <v>3403</v>
      </c>
      <c r="B208" t="s">
        <v>28</v>
      </c>
      <c r="C208">
        <v>2020</v>
      </c>
      <c r="D208" s="1">
        <v>43831</v>
      </c>
      <c r="E208">
        <v>40</v>
      </c>
      <c r="F208">
        <v>300018456</v>
      </c>
      <c r="G208" t="s">
        <v>29</v>
      </c>
      <c r="H208">
        <v>81</v>
      </c>
      <c r="I208">
        <v>71101060</v>
      </c>
      <c r="J208">
        <v>11500020</v>
      </c>
      <c r="K208" t="s">
        <v>30</v>
      </c>
      <c r="L208" s="4">
        <v>1200</v>
      </c>
      <c r="M208" t="s">
        <v>31</v>
      </c>
      <c r="N208" s="4">
        <v>1200</v>
      </c>
      <c r="O208" t="s">
        <v>31</v>
      </c>
      <c r="X208" t="s">
        <v>35</v>
      </c>
      <c r="Y208"/>
      <c r="Z208">
        <v>20200131</v>
      </c>
      <c r="AA208">
        <f t="shared" si="3"/>
        <v>1200</v>
      </c>
      <c r="AC208"/>
      <c r="AF208"/>
      <c r="AL208">
        <v>340312390</v>
      </c>
      <c r="AM208" t="s">
        <v>40</v>
      </c>
    </row>
    <row r="209" spans="1:39" x14ac:dyDescent="0.35">
      <c r="A209">
        <v>3402</v>
      </c>
      <c r="B209" t="s">
        <v>28</v>
      </c>
      <c r="C209">
        <v>2020</v>
      </c>
      <c r="D209" s="1">
        <v>43831</v>
      </c>
      <c r="E209">
        <v>34</v>
      </c>
      <c r="F209">
        <v>200114637</v>
      </c>
      <c r="G209" t="s">
        <v>29</v>
      </c>
      <c r="H209">
        <v>81</v>
      </c>
      <c r="I209">
        <v>71101060</v>
      </c>
      <c r="J209">
        <v>11500030</v>
      </c>
      <c r="K209" t="s">
        <v>30</v>
      </c>
      <c r="L209" s="4">
        <v>356</v>
      </c>
      <c r="M209" t="s">
        <v>31</v>
      </c>
      <c r="N209" s="4">
        <v>356</v>
      </c>
      <c r="O209" t="s">
        <v>31</v>
      </c>
      <c r="X209" t="s">
        <v>35</v>
      </c>
      <c r="Y209"/>
      <c r="Z209">
        <v>20200131</v>
      </c>
      <c r="AA209">
        <f t="shared" si="3"/>
        <v>356</v>
      </c>
      <c r="AC209"/>
      <c r="AF209"/>
      <c r="AL209">
        <v>340215190</v>
      </c>
      <c r="AM209" t="s">
        <v>41</v>
      </c>
    </row>
    <row r="210" spans="1:39" x14ac:dyDescent="0.35">
      <c r="A210">
        <v>3409</v>
      </c>
      <c r="B210" t="s">
        <v>28</v>
      </c>
      <c r="C210">
        <v>2020</v>
      </c>
      <c r="D210" s="1">
        <v>43831</v>
      </c>
      <c r="E210">
        <v>38</v>
      </c>
      <c r="F210">
        <v>900011629</v>
      </c>
      <c r="G210" t="s">
        <v>29</v>
      </c>
      <c r="H210">
        <v>81</v>
      </c>
      <c r="I210">
        <v>71101060</v>
      </c>
      <c r="J210">
        <v>11500060</v>
      </c>
      <c r="K210" t="s">
        <v>30</v>
      </c>
      <c r="L210" s="4">
        <v>237.89</v>
      </c>
      <c r="M210" t="s">
        <v>31</v>
      </c>
      <c r="N210" s="4">
        <v>237.89</v>
      </c>
      <c r="O210" t="s">
        <v>31</v>
      </c>
      <c r="X210" t="s">
        <v>35</v>
      </c>
      <c r="Y210"/>
      <c r="Z210">
        <v>20200131</v>
      </c>
      <c r="AA210">
        <f t="shared" ref="AA210:AA273" si="4">L210</f>
        <v>237.89</v>
      </c>
      <c r="AC210"/>
      <c r="AF210"/>
      <c r="AL210">
        <v>340910490</v>
      </c>
      <c r="AM210" t="s">
        <v>45</v>
      </c>
    </row>
    <row r="211" spans="1:39" x14ac:dyDescent="0.35">
      <c r="A211">
        <v>3409</v>
      </c>
      <c r="B211" t="s">
        <v>28</v>
      </c>
      <c r="C211">
        <v>2020</v>
      </c>
      <c r="D211" s="1">
        <v>43831</v>
      </c>
      <c r="E211">
        <v>40</v>
      </c>
      <c r="F211">
        <v>900011629</v>
      </c>
      <c r="G211" t="s">
        <v>29</v>
      </c>
      <c r="H211">
        <v>81</v>
      </c>
      <c r="I211">
        <v>71101060</v>
      </c>
      <c r="J211">
        <v>11500060</v>
      </c>
      <c r="K211" t="s">
        <v>30</v>
      </c>
      <c r="L211" s="4">
        <v>322.52999999999997</v>
      </c>
      <c r="M211" t="s">
        <v>31</v>
      </c>
      <c r="N211" s="4">
        <v>322.52999999999997</v>
      </c>
      <c r="O211" t="s">
        <v>31</v>
      </c>
      <c r="X211" t="s">
        <v>35</v>
      </c>
      <c r="Y211"/>
      <c r="Z211">
        <v>20200131</v>
      </c>
      <c r="AA211">
        <f t="shared" si="4"/>
        <v>322.52999999999997</v>
      </c>
      <c r="AC211"/>
      <c r="AF211"/>
      <c r="AL211">
        <v>340910490</v>
      </c>
      <c r="AM211" t="s">
        <v>45</v>
      </c>
    </row>
    <row r="212" spans="1:39" x14ac:dyDescent="0.35">
      <c r="A212">
        <v>3409</v>
      </c>
      <c r="B212" t="s">
        <v>28</v>
      </c>
      <c r="C212">
        <v>2020</v>
      </c>
      <c r="D212" s="1">
        <v>43831</v>
      </c>
      <c r="E212">
        <v>46</v>
      </c>
      <c r="F212">
        <v>900011629</v>
      </c>
      <c r="G212" t="s">
        <v>29</v>
      </c>
      <c r="H212">
        <v>81</v>
      </c>
      <c r="I212">
        <v>71101060</v>
      </c>
      <c r="J212">
        <v>11500060</v>
      </c>
      <c r="K212" t="s">
        <v>30</v>
      </c>
      <c r="L212" s="4">
        <v>4900</v>
      </c>
      <c r="M212" t="s">
        <v>31</v>
      </c>
      <c r="N212" s="4">
        <v>4900</v>
      </c>
      <c r="O212" t="s">
        <v>31</v>
      </c>
      <c r="X212" t="s">
        <v>35</v>
      </c>
      <c r="Y212"/>
      <c r="Z212">
        <v>20200131</v>
      </c>
      <c r="AA212">
        <f t="shared" si="4"/>
        <v>4900</v>
      </c>
      <c r="AC212"/>
      <c r="AF212"/>
      <c r="AL212">
        <v>340910490</v>
      </c>
      <c r="AM212" t="s">
        <v>45</v>
      </c>
    </row>
    <row r="213" spans="1:39" x14ac:dyDescent="0.35">
      <c r="A213">
        <v>3409</v>
      </c>
      <c r="B213" t="s">
        <v>28</v>
      </c>
      <c r="C213">
        <v>2020</v>
      </c>
      <c r="D213" s="1">
        <v>43831</v>
      </c>
      <c r="E213">
        <v>62</v>
      </c>
      <c r="F213">
        <v>900011629</v>
      </c>
      <c r="G213" t="s">
        <v>29</v>
      </c>
      <c r="H213">
        <v>81</v>
      </c>
      <c r="I213">
        <v>71101060</v>
      </c>
      <c r="J213">
        <v>11500060</v>
      </c>
      <c r="K213" t="s">
        <v>30</v>
      </c>
      <c r="L213" s="4">
        <v>320.7</v>
      </c>
      <c r="M213" t="s">
        <v>31</v>
      </c>
      <c r="N213" s="4">
        <v>320.7</v>
      </c>
      <c r="O213" t="s">
        <v>31</v>
      </c>
      <c r="X213" t="s">
        <v>35</v>
      </c>
      <c r="Y213"/>
      <c r="Z213">
        <v>20200131</v>
      </c>
      <c r="AA213">
        <f t="shared" si="4"/>
        <v>320.7</v>
      </c>
      <c r="AC213"/>
      <c r="AF213"/>
      <c r="AL213">
        <v>340910490</v>
      </c>
      <c r="AM213" t="s">
        <v>45</v>
      </c>
    </row>
    <row r="214" spans="1:39" x14ac:dyDescent="0.35">
      <c r="A214">
        <v>3409</v>
      </c>
      <c r="B214" t="s">
        <v>28</v>
      </c>
      <c r="C214">
        <v>2020</v>
      </c>
      <c r="D214" s="1">
        <v>43831</v>
      </c>
      <c r="E214">
        <v>68</v>
      </c>
      <c r="F214">
        <v>900011629</v>
      </c>
      <c r="G214" t="s">
        <v>29</v>
      </c>
      <c r="H214">
        <v>81</v>
      </c>
      <c r="I214">
        <v>71101060</v>
      </c>
      <c r="J214">
        <v>11500060</v>
      </c>
      <c r="K214" t="s">
        <v>30</v>
      </c>
      <c r="L214" s="4">
        <v>3500</v>
      </c>
      <c r="M214" t="s">
        <v>31</v>
      </c>
      <c r="N214" s="4">
        <v>3500</v>
      </c>
      <c r="O214" t="s">
        <v>31</v>
      </c>
      <c r="X214" t="s">
        <v>35</v>
      </c>
      <c r="Y214"/>
      <c r="Z214">
        <v>20200131</v>
      </c>
      <c r="AA214">
        <f t="shared" si="4"/>
        <v>3500</v>
      </c>
      <c r="AC214"/>
      <c r="AF214"/>
      <c r="AL214">
        <v>340910490</v>
      </c>
      <c r="AM214" t="s">
        <v>45</v>
      </c>
    </row>
    <row r="215" spans="1:39" x14ac:dyDescent="0.35">
      <c r="A215">
        <v>3409</v>
      </c>
      <c r="B215" t="s">
        <v>28</v>
      </c>
      <c r="C215">
        <v>2020</v>
      </c>
      <c r="D215" s="1">
        <v>43831</v>
      </c>
      <c r="E215">
        <v>128</v>
      </c>
      <c r="F215">
        <v>900011629</v>
      </c>
      <c r="G215" t="s">
        <v>29</v>
      </c>
      <c r="H215">
        <v>81</v>
      </c>
      <c r="I215">
        <v>71101060</v>
      </c>
      <c r="J215">
        <v>11500060</v>
      </c>
      <c r="K215" t="s">
        <v>30</v>
      </c>
      <c r="L215" s="4">
        <v>1644.5</v>
      </c>
      <c r="M215" t="s">
        <v>31</v>
      </c>
      <c r="N215" s="4">
        <v>1644.5</v>
      </c>
      <c r="O215" t="s">
        <v>31</v>
      </c>
      <c r="X215" t="s">
        <v>35</v>
      </c>
      <c r="Y215"/>
      <c r="Z215">
        <v>20200131</v>
      </c>
      <c r="AA215">
        <f t="shared" si="4"/>
        <v>1644.5</v>
      </c>
      <c r="AC215"/>
      <c r="AF215"/>
      <c r="AL215">
        <v>340910490</v>
      </c>
      <c r="AM215" t="s">
        <v>45</v>
      </c>
    </row>
    <row r="216" spans="1:39" x14ac:dyDescent="0.35">
      <c r="A216">
        <v>3409</v>
      </c>
      <c r="B216" t="s">
        <v>28</v>
      </c>
      <c r="C216">
        <v>2020</v>
      </c>
      <c r="D216" s="1">
        <v>43831</v>
      </c>
      <c r="E216">
        <v>130</v>
      </c>
      <c r="F216">
        <v>900011629</v>
      </c>
      <c r="G216" t="s">
        <v>29</v>
      </c>
      <c r="H216">
        <v>81</v>
      </c>
      <c r="I216">
        <v>71101060</v>
      </c>
      <c r="J216">
        <v>11500060</v>
      </c>
      <c r="K216" t="s">
        <v>30</v>
      </c>
      <c r="L216" s="4">
        <v>1514.25</v>
      </c>
      <c r="M216" t="s">
        <v>31</v>
      </c>
      <c r="N216" s="4">
        <v>1514.25</v>
      </c>
      <c r="O216" t="s">
        <v>31</v>
      </c>
      <c r="X216" t="s">
        <v>35</v>
      </c>
      <c r="Y216"/>
      <c r="Z216">
        <v>20200131</v>
      </c>
      <c r="AA216">
        <f t="shared" si="4"/>
        <v>1514.25</v>
      </c>
      <c r="AC216"/>
      <c r="AF216"/>
      <c r="AL216">
        <v>340910490</v>
      </c>
      <c r="AM216" t="s">
        <v>45</v>
      </c>
    </row>
    <row r="217" spans="1:39" x14ac:dyDescent="0.35">
      <c r="A217">
        <v>3401</v>
      </c>
      <c r="B217" t="s">
        <v>28</v>
      </c>
      <c r="C217">
        <v>2020</v>
      </c>
      <c r="D217" s="1">
        <v>43831</v>
      </c>
      <c r="E217">
        <v>18</v>
      </c>
      <c r="F217">
        <v>100031721</v>
      </c>
      <c r="G217" t="s">
        <v>29</v>
      </c>
      <c r="H217">
        <v>81</v>
      </c>
      <c r="I217">
        <v>71101060</v>
      </c>
      <c r="J217">
        <v>11500060</v>
      </c>
      <c r="K217" t="s">
        <v>30</v>
      </c>
      <c r="L217" s="4">
        <v>1008</v>
      </c>
      <c r="M217" t="s">
        <v>31</v>
      </c>
      <c r="N217" s="4">
        <v>1008</v>
      </c>
      <c r="O217" t="s">
        <v>31</v>
      </c>
      <c r="X217" t="s">
        <v>28</v>
      </c>
      <c r="Y217"/>
      <c r="Z217">
        <v>20200131</v>
      </c>
      <c r="AA217">
        <f t="shared" si="4"/>
        <v>1008</v>
      </c>
      <c r="AC217"/>
      <c r="AF217"/>
      <c r="AL217">
        <v>340112890</v>
      </c>
      <c r="AM217" t="s">
        <v>37</v>
      </c>
    </row>
    <row r="218" spans="1:39" x14ac:dyDescent="0.35">
      <c r="A218">
        <v>3401</v>
      </c>
      <c r="B218" t="s">
        <v>28</v>
      </c>
      <c r="C218">
        <v>2020</v>
      </c>
      <c r="D218" s="1">
        <v>43831</v>
      </c>
      <c r="E218">
        <v>20</v>
      </c>
      <c r="F218">
        <v>100031721</v>
      </c>
      <c r="G218" t="s">
        <v>29</v>
      </c>
      <c r="H218">
        <v>81</v>
      </c>
      <c r="I218">
        <v>71101060</v>
      </c>
      <c r="J218">
        <v>11500060</v>
      </c>
      <c r="K218" t="s">
        <v>30</v>
      </c>
      <c r="L218" s="4">
        <v>3440</v>
      </c>
      <c r="M218" t="s">
        <v>31</v>
      </c>
      <c r="N218" s="4">
        <v>3440</v>
      </c>
      <c r="O218" t="s">
        <v>31</v>
      </c>
      <c r="X218" t="s">
        <v>28</v>
      </c>
      <c r="Y218"/>
      <c r="Z218">
        <v>20200131</v>
      </c>
      <c r="AA218">
        <f t="shared" si="4"/>
        <v>3440</v>
      </c>
      <c r="AC218"/>
      <c r="AF218"/>
      <c r="AL218">
        <v>340112890</v>
      </c>
      <c r="AM218" t="s">
        <v>37</v>
      </c>
    </row>
    <row r="219" spans="1:39" x14ac:dyDescent="0.35">
      <c r="A219">
        <v>3401</v>
      </c>
      <c r="B219" t="s">
        <v>28</v>
      </c>
      <c r="C219">
        <v>2020</v>
      </c>
      <c r="D219" s="1">
        <v>43831</v>
      </c>
      <c r="E219">
        <v>22</v>
      </c>
      <c r="F219">
        <v>100031721</v>
      </c>
      <c r="G219" t="s">
        <v>29</v>
      </c>
      <c r="H219">
        <v>81</v>
      </c>
      <c r="I219">
        <v>71101060</v>
      </c>
      <c r="J219">
        <v>11500060</v>
      </c>
      <c r="K219" t="s">
        <v>30</v>
      </c>
      <c r="L219" s="4">
        <v>976.92</v>
      </c>
      <c r="M219" t="s">
        <v>31</v>
      </c>
      <c r="N219" s="4">
        <v>976.92</v>
      </c>
      <c r="O219" t="s">
        <v>31</v>
      </c>
      <c r="X219" t="s">
        <v>28</v>
      </c>
      <c r="Y219"/>
      <c r="Z219">
        <v>20200131</v>
      </c>
      <c r="AA219">
        <f t="shared" si="4"/>
        <v>976.92</v>
      </c>
      <c r="AC219"/>
      <c r="AF219"/>
      <c r="AL219">
        <v>340112890</v>
      </c>
      <c r="AM219" t="s">
        <v>37</v>
      </c>
    </row>
    <row r="220" spans="1:39" x14ac:dyDescent="0.35">
      <c r="A220">
        <v>3401</v>
      </c>
      <c r="B220" t="s">
        <v>28</v>
      </c>
      <c r="C220">
        <v>2020</v>
      </c>
      <c r="D220" s="1">
        <v>43831</v>
      </c>
      <c r="E220">
        <v>24</v>
      </c>
      <c r="F220">
        <v>100031721</v>
      </c>
      <c r="G220" t="s">
        <v>29</v>
      </c>
      <c r="H220">
        <v>81</v>
      </c>
      <c r="I220">
        <v>71101060</v>
      </c>
      <c r="J220">
        <v>11500060</v>
      </c>
      <c r="K220" t="s">
        <v>30</v>
      </c>
      <c r="L220" s="4">
        <v>1100</v>
      </c>
      <c r="M220" t="s">
        <v>31</v>
      </c>
      <c r="N220" s="4">
        <v>1100</v>
      </c>
      <c r="O220" t="s">
        <v>31</v>
      </c>
      <c r="X220" t="s">
        <v>28</v>
      </c>
      <c r="Y220"/>
      <c r="Z220">
        <v>20200131</v>
      </c>
      <c r="AA220">
        <f t="shared" si="4"/>
        <v>1100</v>
      </c>
      <c r="AC220"/>
      <c r="AF220"/>
      <c r="AL220">
        <v>340112890</v>
      </c>
      <c r="AM220" t="s">
        <v>37</v>
      </c>
    </row>
    <row r="221" spans="1:39" x14ac:dyDescent="0.35">
      <c r="A221">
        <v>3401</v>
      </c>
      <c r="B221" t="s">
        <v>28</v>
      </c>
      <c r="C221">
        <v>2020</v>
      </c>
      <c r="D221" s="1">
        <v>43831</v>
      </c>
      <c r="E221">
        <v>26</v>
      </c>
      <c r="F221">
        <v>100031721</v>
      </c>
      <c r="G221" t="s">
        <v>29</v>
      </c>
      <c r="H221">
        <v>81</v>
      </c>
      <c r="I221">
        <v>71101060</v>
      </c>
      <c r="J221">
        <v>11500060</v>
      </c>
      <c r="K221" t="s">
        <v>30</v>
      </c>
      <c r="L221" s="4">
        <v>2569.5</v>
      </c>
      <c r="M221" t="s">
        <v>31</v>
      </c>
      <c r="N221" s="4">
        <v>2569.5</v>
      </c>
      <c r="O221" t="s">
        <v>31</v>
      </c>
      <c r="X221" t="s">
        <v>28</v>
      </c>
      <c r="Y221"/>
      <c r="Z221">
        <v>20200131</v>
      </c>
      <c r="AA221">
        <f t="shared" si="4"/>
        <v>2569.5</v>
      </c>
      <c r="AC221"/>
      <c r="AF221"/>
      <c r="AL221">
        <v>340112890</v>
      </c>
      <c r="AM221" t="s">
        <v>37</v>
      </c>
    </row>
    <row r="222" spans="1:39" x14ac:dyDescent="0.35">
      <c r="A222">
        <v>3401</v>
      </c>
      <c r="B222" t="s">
        <v>28</v>
      </c>
      <c r="C222">
        <v>2020</v>
      </c>
      <c r="D222" s="1">
        <v>43831</v>
      </c>
      <c r="E222">
        <v>28</v>
      </c>
      <c r="F222">
        <v>100031721</v>
      </c>
      <c r="G222" t="s">
        <v>29</v>
      </c>
      <c r="H222">
        <v>81</v>
      </c>
      <c r="I222">
        <v>71101060</v>
      </c>
      <c r="J222">
        <v>11500060</v>
      </c>
      <c r="K222" t="s">
        <v>30</v>
      </c>
      <c r="L222" s="4">
        <v>3966.96</v>
      </c>
      <c r="M222" t="s">
        <v>31</v>
      </c>
      <c r="N222" s="4">
        <v>3966.96</v>
      </c>
      <c r="O222" t="s">
        <v>31</v>
      </c>
      <c r="X222" t="s">
        <v>28</v>
      </c>
      <c r="Y222"/>
      <c r="Z222">
        <v>20200131</v>
      </c>
      <c r="AA222">
        <f t="shared" si="4"/>
        <v>3966.96</v>
      </c>
      <c r="AC222"/>
      <c r="AF222"/>
      <c r="AL222">
        <v>340112890</v>
      </c>
      <c r="AM222" t="s">
        <v>37</v>
      </c>
    </row>
    <row r="223" spans="1:39" x14ac:dyDescent="0.35">
      <c r="A223">
        <v>3401</v>
      </c>
      <c r="B223" t="s">
        <v>28</v>
      </c>
      <c r="C223">
        <v>2020</v>
      </c>
      <c r="D223" s="1">
        <v>43831</v>
      </c>
      <c r="E223">
        <v>30</v>
      </c>
      <c r="F223">
        <v>100031721</v>
      </c>
      <c r="G223" t="s">
        <v>29</v>
      </c>
      <c r="H223">
        <v>81</v>
      </c>
      <c r="I223">
        <v>71101060</v>
      </c>
      <c r="J223">
        <v>11500060</v>
      </c>
      <c r="K223" t="s">
        <v>30</v>
      </c>
      <c r="L223" s="4">
        <v>2481</v>
      </c>
      <c r="M223" t="s">
        <v>31</v>
      </c>
      <c r="N223" s="4">
        <v>2481</v>
      </c>
      <c r="O223" t="s">
        <v>31</v>
      </c>
      <c r="X223" t="s">
        <v>28</v>
      </c>
      <c r="Y223"/>
      <c r="Z223">
        <v>20200131</v>
      </c>
      <c r="AA223">
        <f t="shared" si="4"/>
        <v>2481</v>
      </c>
      <c r="AC223"/>
      <c r="AF223"/>
      <c r="AL223">
        <v>340112890</v>
      </c>
      <c r="AM223" t="s">
        <v>37</v>
      </c>
    </row>
    <row r="224" spans="1:39" x14ac:dyDescent="0.35">
      <c r="A224">
        <v>3401</v>
      </c>
      <c r="B224" t="s">
        <v>28</v>
      </c>
      <c r="C224">
        <v>2020</v>
      </c>
      <c r="D224" s="1">
        <v>43831</v>
      </c>
      <c r="E224">
        <v>32</v>
      </c>
      <c r="F224">
        <v>100031721</v>
      </c>
      <c r="G224" t="s">
        <v>29</v>
      </c>
      <c r="H224">
        <v>81</v>
      </c>
      <c r="I224">
        <v>71101060</v>
      </c>
      <c r="J224">
        <v>11500060</v>
      </c>
      <c r="K224" t="s">
        <v>30</v>
      </c>
      <c r="L224" s="4">
        <v>262.82</v>
      </c>
      <c r="M224" t="s">
        <v>31</v>
      </c>
      <c r="N224" s="4">
        <v>262.82</v>
      </c>
      <c r="O224" t="s">
        <v>31</v>
      </c>
      <c r="X224" t="s">
        <v>28</v>
      </c>
      <c r="Y224"/>
      <c r="Z224">
        <v>20200131</v>
      </c>
      <c r="AA224">
        <f t="shared" si="4"/>
        <v>262.82</v>
      </c>
      <c r="AC224"/>
      <c r="AF224"/>
      <c r="AL224">
        <v>340112890</v>
      </c>
      <c r="AM224" t="s">
        <v>37</v>
      </c>
    </row>
    <row r="225" spans="1:39" x14ac:dyDescent="0.35">
      <c r="A225">
        <v>3401</v>
      </c>
      <c r="B225" t="s">
        <v>28</v>
      </c>
      <c r="C225">
        <v>2020</v>
      </c>
      <c r="D225" s="1">
        <v>43831</v>
      </c>
      <c r="E225">
        <v>34</v>
      </c>
      <c r="F225">
        <v>100031721</v>
      </c>
      <c r="G225" t="s">
        <v>29</v>
      </c>
      <c r="H225">
        <v>81</v>
      </c>
      <c r="I225">
        <v>71101060</v>
      </c>
      <c r="J225">
        <v>11500060</v>
      </c>
      <c r="K225" t="s">
        <v>30</v>
      </c>
      <c r="L225" s="4">
        <v>371.36</v>
      </c>
      <c r="M225" t="s">
        <v>31</v>
      </c>
      <c r="N225" s="4">
        <v>371.36</v>
      </c>
      <c r="O225" t="s">
        <v>31</v>
      </c>
      <c r="X225" t="s">
        <v>28</v>
      </c>
      <c r="Y225"/>
      <c r="Z225">
        <v>20200131</v>
      </c>
      <c r="AA225">
        <f t="shared" si="4"/>
        <v>371.36</v>
      </c>
      <c r="AC225"/>
      <c r="AF225"/>
      <c r="AL225">
        <v>340112890</v>
      </c>
      <c r="AM225" t="s">
        <v>37</v>
      </c>
    </row>
    <row r="226" spans="1:39" x14ac:dyDescent="0.35">
      <c r="A226">
        <v>3401</v>
      </c>
      <c r="B226" t="s">
        <v>28</v>
      </c>
      <c r="C226">
        <v>2020</v>
      </c>
      <c r="D226" s="1">
        <v>43831</v>
      </c>
      <c r="E226">
        <v>36</v>
      </c>
      <c r="F226">
        <v>100031721</v>
      </c>
      <c r="G226" t="s">
        <v>29</v>
      </c>
      <c r="H226">
        <v>81</v>
      </c>
      <c r="I226">
        <v>71101060</v>
      </c>
      <c r="J226">
        <v>11500060</v>
      </c>
      <c r="K226" t="s">
        <v>30</v>
      </c>
      <c r="L226" s="4">
        <v>128.80000000000001</v>
      </c>
      <c r="M226" t="s">
        <v>31</v>
      </c>
      <c r="N226" s="4">
        <v>128.80000000000001</v>
      </c>
      <c r="O226" t="s">
        <v>31</v>
      </c>
      <c r="X226" t="s">
        <v>28</v>
      </c>
      <c r="Y226"/>
      <c r="Z226">
        <v>20200131</v>
      </c>
      <c r="AA226">
        <f t="shared" si="4"/>
        <v>128.80000000000001</v>
      </c>
      <c r="AC226"/>
      <c r="AF226"/>
      <c r="AL226">
        <v>340112890</v>
      </c>
      <c r="AM226" t="s">
        <v>37</v>
      </c>
    </row>
    <row r="227" spans="1:39" x14ac:dyDescent="0.35">
      <c r="A227">
        <v>3401</v>
      </c>
      <c r="B227" t="s">
        <v>28</v>
      </c>
      <c r="C227">
        <v>2020</v>
      </c>
      <c r="D227" s="1">
        <v>43831</v>
      </c>
      <c r="E227">
        <v>38</v>
      </c>
      <c r="F227">
        <v>100031721</v>
      </c>
      <c r="G227" t="s">
        <v>29</v>
      </c>
      <c r="H227">
        <v>81</v>
      </c>
      <c r="I227">
        <v>71101060</v>
      </c>
      <c r="J227">
        <v>11500060</v>
      </c>
      <c r="K227" t="s">
        <v>30</v>
      </c>
      <c r="L227" s="4">
        <v>110</v>
      </c>
      <c r="M227" t="s">
        <v>31</v>
      </c>
      <c r="N227" s="4">
        <v>110</v>
      </c>
      <c r="O227" t="s">
        <v>31</v>
      </c>
      <c r="X227" t="s">
        <v>28</v>
      </c>
      <c r="Y227"/>
      <c r="Z227">
        <v>20200131</v>
      </c>
      <c r="AA227">
        <f t="shared" si="4"/>
        <v>110</v>
      </c>
      <c r="AC227"/>
      <c r="AF227"/>
      <c r="AL227">
        <v>340112890</v>
      </c>
      <c r="AM227" t="s">
        <v>37</v>
      </c>
    </row>
    <row r="228" spans="1:39" x14ac:dyDescent="0.35">
      <c r="A228">
        <v>3401</v>
      </c>
      <c r="B228" t="s">
        <v>28</v>
      </c>
      <c r="C228">
        <v>2020</v>
      </c>
      <c r="D228" s="1">
        <v>43831</v>
      </c>
      <c r="E228">
        <v>40</v>
      </c>
      <c r="F228">
        <v>100031721</v>
      </c>
      <c r="G228" t="s">
        <v>29</v>
      </c>
      <c r="H228">
        <v>81</v>
      </c>
      <c r="I228">
        <v>71101060</v>
      </c>
      <c r="J228">
        <v>11500060</v>
      </c>
      <c r="K228" t="s">
        <v>30</v>
      </c>
      <c r="L228" s="4">
        <v>2247.5</v>
      </c>
      <c r="M228" t="s">
        <v>31</v>
      </c>
      <c r="N228" s="4">
        <v>2247.5</v>
      </c>
      <c r="O228" t="s">
        <v>31</v>
      </c>
      <c r="X228" t="s">
        <v>28</v>
      </c>
      <c r="Y228"/>
      <c r="Z228">
        <v>20200131</v>
      </c>
      <c r="AA228">
        <f t="shared" si="4"/>
        <v>2247.5</v>
      </c>
      <c r="AC228"/>
      <c r="AF228"/>
      <c r="AL228">
        <v>340112890</v>
      </c>
      <c r="AM228" t="s">
        <v>37</v>
      </c>
    </row>
    <row r="229" spans="1:39" x14ac:dyDescent="0.35">
      <c r="A229">
        <v>3401</v>
      </c>
      <c r="B229" t="s">
        <v>28</v>
      </c>
      <c r="C229">
        <v>2020</v>
      </c>
      <c r="D229" s="1">
        <v>43831</v>
      </c>
      <c r="E229">
        <v>42</v>
      </c>
      <c r="F229">
        <v>100031721</v>
      </c>
      <c r="G229" t="s">
        <v>29</v>
      </c>
      <c r="H229">
        <v>81</v>
      </c>
      <c r="I229">
        <v>71101060</v>
      </c>
      <c r="J229">
        <v>11500060</v>
      </c>
      <c r="K229" t="s">
        <v>30</v>
      </c>
      <c r="L229" s="4">
        <v>935</v>
      </c>
      <c r="M229" t="s">
        <v>31</v>
      </c>
      <c r="N229" s="4">
        <v>935</v>
      </c>
      <c r="O229" t="s">
        <v>31</v>
      </c>
      <c r="X229" t="s">
        <v>28</v>
      </c>
      <c r="Y229"/>
      <c r="Z229">
        <v>20200131</v>
      </c>
      <c r="AA229">
        <f t="shared" si="4"/>
        <v>935</v>
      </c>
      <c r="AC229"/>
      <c r="AF229"/>
      <c r="AL229">
        <v>340112890</v>
      </c>
      <c r="AM229" t="s">
        <v>37</v>
      </c>
    </row>
    <row r="230" spans="1:39" x14ac:dyDescent="0.35">
      <c r="A230">
        <v>3401</v>
      </c>
      <c r="B230" t="s">
        <v>28</v>
      </c>
      <c r="C230">
        <v>2020</v>
      </c>
      <c r="D230" s="1">
        <v>43831</v>
      </c>
      <c r="E230">
        <v>44</v>
      </c>
      <c r="F230">
        <v>100031721</v>
      </c>
      <c r="G230" t="s">
        <v>29</v>
      </c>
      <c r="H230">
        <v>81</v>
      </c>
      <c r="I230">
        <v>71101060</v>
      </c>
      <c r="J230">
        <v>11500060</v>
      </c>
      <c r="K230" t="s">
        <v>30</v>
      </c>
      <c r="L230" s="4">
        <v>2448</v>
      </c>
      <c r="M230" t="s">
        <v>31</v>
      </c>
      <c r="N230" s="4">
        <v>2448</v>
      </c>
      <c r="O230" t="s">
        <v>31</v>
      </c>
      <c r="X230" t="s">
        <v>28</v>
      </c>
      <c r="Y230"/>
      <c r="Z230">
        <v>20200131</v>
      </c>
      <c r="AA230">
        <f t="shared" si="4"/>
        <v>2448</v>
      </c>
      <c r="AC230"/>
      <c r="AF230"/>
      <c r="AL230">
        <v>340112890</v>
      </c>
      <c r="AM230" t="s">
        <v>37</v>
      </c>
    </row>
    <row r="231" spans="1:39" x14ac:dyDescent="0.35">
      <c r="A231">
        <v>3401</v>
      </c>
      <c r="B231" t="s">
        <v>28</v>
      </c>
      <c r="C231">
        <v>2020</v>
      </c>
      <c r="D231" s="1">
        <v>43831</v>
      </c>
      <c r="E231">
        <v>46</v>
      </c>
      <c r="F231">
        <v>100031721</v>
      </c>
      <c r="G231" t="s">
        <v>29</v>
      </c>
      <c r="H231">
        <v>81</v>
      </c>
      <c r="I231">
        <v>71101060</v>
      </c>
      <c r="J231">
        <v>11500060</v>
      </c>
      <c r="K231" t="s">
        <v>30</v>
      </c>
      <c r="L231" s="4">
        <v>2704.8</v>
      </c>
      <c r="M231" t="s">
        <v>31</v>
      </c>
      <c r="N231" s="4">
        <v>2704.8</v>
      </c>
      <c r="O231" t="s">
        <v>31</v>
      </c>
      <c r="X231" t="s">
        <v>28</v>
      </c>
      <c r="Y231"/>
      <c r="Z231">
        <v>20200131</v>
      </c>
      <c r="AA231">
        <f t="shared" si="4"/>
        <v>2704.8</v>
      </c>
      <c r="AC231"/>
      <c r="AF231"/>
      <c r="AL231">
        <v>340112890</v>
      </c>
      <c r="AM231" t="s">
        <v>37</v>
      </c>
    </row>
    <row r="232" spans="1:39" x14ac:dyDescent="0.35">
      <c r="A232">
        <v>3401</v>
      </c>
      <c r="B232" t="s">
        <v>28</v>
      </c>
      <c r="C232">
        <v>2020</v>
      </c>
      <c r="D232" s="1">
        <v>43831</v>
      </c>
      <c r="E232">
        <v>52</v>
      </c>
      <c r="F232">
        <v>100031721</v>
      </c>
      <c r="G232" t="s">
        <v>29</v>
      </c>
      <c r="H232">
        <v>81</v>
      </c>
      <c r="I232">
        <v>71101060</v>
      </c>
      <c r="J232">
        <v>11500060</v>
      </c>
      <c r="K232" t="s">
        <v>30</v>
      </c>
      <c r="L232" s="4">
        <v>662.4</v>
      </c>
      <c r="M232" t="s">
        <v>31</v>
      </c>
      <c r="N232" s="4">
        <v>662.4</v>
      </c>
      <c r="O232" t="s">
        <v>31</v>
      </c>
      <c r="X232" t="s">
        <v>28</v>
      </c>
      <c r="Y232"/>
      <c r="Z232">
        <v>20200131</v>
      </c>
      <c r="AA232">
        <f t="shared" si="4"/>
        <v>662.4</v>
      </c>
      <c r="AC232"/>
      <c r="AF232"/>
      <c r="AL232">
        <v>340112890</v>
      </c>
      <c r="AM232" t="s">
        <v>37</v>
      </c>
    </row>
    <row r="233" spans="1:39" x14ac:dyDescent="0.35">
      <c r="A233">
        <v>3401</v>
      </c>
      <c r="B233" t="s">
        <v>28</v>
      </c>
      <c r="C233">
        <v>2020</v>
      </c>
      <c r="D233" s="1">
        <v>43831</v>
      </c>
      <c r="E233">
        <v>60</v>
      </c>
      <c r="F233">
        <v>100031721</v>
      </c>
      <c r="G233" t="s">
        <v>29</v>
      </c>
      <c r="H233">
        <v>81</v>
      </c>
      <c r="I233">
        <v>71101060</v>
      </c>
      <c r="J233">
        <v>11500060</v>
      </c>
      <c r="K233" t="s">
        <v>30</v>
      </c>
      <c r="L233" s="4">
        <v>3562.08</v>
      </c>
      <c r="M233" t="s">
        <v>31</v>
      </c>
      <c r="N233" s="4">
        <v>3562.08</v>
      </c>
      <c r="O233" t="s">
        <v>31</v>
      </c>
      <c r="X233" t="s">
        <v>28</v>
      </c>
      <c r="Y233"/>
      <c r="Z233">
        <v>20200131</v>
      </c>
      <c r="AA233">
        <f t="shared" si="4"/>
        <v>3562.08</v>
      </c>
      <c r="AC233"/>
      <c r="AF233"/>
      <c r="AL233">
        <v>340112890</v>
      </c>
      <c r="AM233" t="s">
        <v>37</v>
      </c>
    </row>
    <row r="234" spans="1:39" x14ac:dyDescent="0.35">
      <c r="A234">
        <v>3401</v>
      </c>
      <c r="B234" t="s">
        <v>28</v>
      </c>
      <c r="C234">
        <v>2020</v>
      </c>
      <c r="D234" s="1">
        <v>43831</v>
      </c>
      <c r="E234">
        <v>62</v>
      </c>
      <c r="F234">
        <v>100031721</v>
      </c>
      <c r="G234" t="s">
        <v>29</v>
      </c>
      <c r="H234">
        <v>81</v>
      </c>
      <c r="I234">
        <v>71101060</v>
      </c>
      <c r="J234">
        <v>11500060</v>
      </c>
      <c r="K234" t="s">
        <v>30</v>
      </c>
      <c r="L234" s="4">
        <v>13092.72</v>
      </c>
      <c r="M234" t="s">
        <v>31</v>
      </c>
      <c r="N234" s="4">
        <v>13092.72</v>
      </c>
      <c r="O234" t="s">
        <v>31</v>
      </c>
      <c r="X234" t="s">
        <v>28</v>
      </c>
      <c r="Y234"/>
      <c r="Z234">
        <v>20200131</v>
      </c>
      <c r="AA234">
        <f t="shared" si="4"/>
        <v>13092.72</v>
      </c>
      <c r="AC234"/>
      <c r="AF234"/>
      <c r="AL234">
        <v>340112890</v>
      </c>
      <c r="AM234" t="s">
        <v>37</v>
      </c>
    </row>
    <row r="235" spans="1:39" x14ac:dyDescent="0.35">
      <c r="A235">
        <v>3401</v>
      </c>
      <c r="B235" t="s">
        <v>28</v>
      </c>
      <c r="C235">
        <v>2020</v>
      </c>
      <c r="D235" s="1">
        <v>43831</v>
      </c>
      <c r="E235">
        <v>64</v>
      </c>
      <c r="F235">
        <v>100031721</v>
      </c>
      <c r="G235" t="s">
        <v>29</v>
      </c>
      <c r="H235">
        <v>81</v>
      </c>
      <c r="I235">
        <v>71101060</v>
      </c>
      <c r="J235">
        <v>11500060</v>
      </c>
      <c r="K235" t="s">
        <v>30</v>
      </c>
      <c r="L235" s="4">
        <v>3077.97</v>
      </c>
      <c r="M235" t="s">
        <v>31</v>
      </c>
      <c r="N235" s="4">
        <v>3077.97</v>
      </c>
      <c r="O235" t="s">
        <v>31</v>
      </c>
      <c r="X235" t="s">
        <v>28</v>
      </c>
      <c r="Y235"/>
      <c r="Z235">
        <v>20200131</v>
      </c>
      <c r="AA235">
        <f t="shared" si="4"/>
        <v>3077.97</v>
      </c>
      <c r="AC235"/>
      <c r="AF235"/>
      <c r="AL235">
        <v>340112890</v>
      </c>
      <c r="AM235" t="s">
        <v>37</v>
      </c>
    </row>
    <row r="236" spans="1:39" x14ac:dyDescent="0.35">
      <c r="A236">
        <v>3401</v>
      </c>
      <c r="B236" t="s">
        <v>28</v>
      </c>
      <c r="C236">
        <v>2020</v>
      </c>
      <c r="D236" s="1">
        <v>43831</v>
      </c>
      <c r="E236">
        <v>66</v>
      </c>
      <c r="F236">
        <v>100031721</v>
      </c>
      <c r="G236" t="s">
        <v>29</v>
      </c>
      <c r="H236">
        <v>81</v>
      </c>
      <c r="I236">
        <v>71101060</v>
      </c>
      <c r="J236">
        <v>11500060</v>
      </c>
      <c r="K236" t="s">
        <v>30</v>
      </c>
      <c r="L236" s="4">
        <v>3565.14</v>
      </c>
      <c r="M236" t="s">
        <v>31</v>
      </c>
      <c r="N236" s="4">
        <v>3565.14</v>
      </c>
      <c r="O236" t="s">
        <v>31</v>
      </c>
      <c r="X236" t="s">
        <v>28</v>
      </c>
      <c r="Y236"/>
      <c r="Z236">
        <v>20200131</v>
      </c>
      <c r="AA236">
        <f t="shared" si="4"/>
        <v>3565.14</v>
      </c>
      <c r="AC236"/>
      <c r="AF236"/>
      <c r="AL236">
        <v>340112890</v>
      </c>
      <c r="AM236" t="s">
        <v>37</v>
      </c>
    </row>
    <row r="237" spans="1:39" x14ac:dyDescent="0.35">
      <c r="A237">
        <v>3401</v>
      </c>
      <c r="B237" t="s">
        <v>28</v>
      </c>
      <c r="C237">
        <v>2020</v>
      </c>
      <c r="D237" s="1">
        <v>43831</v>
      </c>
      <c r="E237">
        <v>68</v>
      </c>
      <c r="F237">
        <v>100031721</v>
      </c>
      <c r="G237" t="s">
        <v>29</v>
      </c>
      <c r="H237">
        <v>81</v>
      </c>
      <c r="I237">
        <v>71101060</v>
      </c>
      <c r="J237">
        <v>11500060</v>
      </c>
      <c r="K237" t="s">
        <v>30</v>
      </c>
      <c r="L237" s="4">
        <v>2785.68</v>
      </c>
      <c r="M237" t="s">
        <v>31</v>
      </c>
      <c r="N237" s="4">
        <v>2785.68</v>
      </c>
      <c r="O237" t="s">
        <v>31</v>
      </c>
      <c r="X237" t="s">
        <v>28</v>
      </c>
      <c r="Y237"/>
      <c r="Z237">
        <v>20200131</v>
      </c>
      <c r="AA237">
        <f t="shared" si="4"/>
        <v>2785.68</v>
      </c>
      <c r="AC237"/>
      <c r="AF237"/>
      <c r="AL237">
        <v>340112890</v>
      </c>
      <c r="AM237" t="s">
        <v>37</v>
      </c>
    </row>
    <row r="238" spans="1:39" x14ac:dyDescent="0.35">
      <c r="A238">
        <v>3401</v>
      </c>
      <c r="B238" t="s">
        <v>28</v>
      </c>
      <c r="C238">
        <v>2020</v>
      </c>
      <c r="D238" s="1">
        <v>43831</v>
      </c>
      <c r="E238">
        <v>70</v>
      </c>
      <c r="F238">
        <v>100031721</v>
      </c>
      <c r="G238" t="s">
        <v>29</v>
      </c>
      <c r="H238">
        <v>81</v>
      </c>
      <c r="I238">
        <v>71101060</v>
      </c>
      <c r="J238">
        <v>11500060</v>
      </c>
      <c r="K238" t="s">
        <v>30</v>
      </c>
      <c r="L238" s="4">
        <v>4693.3500000000004</v>
      </c>
      <c r="M238" t="s">
        <v>31</v>
      </c>
      <c r="N238" s="4">
        <v>4693.3500000000004</v>
      </c>
      <c r="O238" t="s">
        <v>31</v>
      </c>
      <c r="X238" t="s">
        <v>28</v>
      </c>
      <c r="Y238"/>
      <c r="Z238">
        <v>20200131</v>
      </c>
      <c r="AA238">
        <f t="shared" si="4"/>
        <v>4693.3500000000004</v>
      </c>
      <c r="AC238"/>
      <c r="AF238"/>
      <c r="AL238">
        <v>340112890</v>
      </c>
      <c r="AM238" t="s">
        <v>37</v>
      </c>
    </row>
    <row r="239" spans="1:39" x14ac:dyDescent="0.35">
      <c r="A239">
        <v>3401</v>
      </c>
      <c r="B239" t="s">
        <v>28</v>
      </c>
      <c r="C239">
        <v>2020</v>
      </c>
      <c r="D239" s="1">
        <v>43831</v>
      </c>
      <c r="E239">
        <v>72</v>
      </c>
      <c r="F239">
        <v>100031721</v>
      </c>
      <c r="G239" t="s">
        <v>29</v>
      </c>
      <c r="H239">
        <v>81</v>
      </c>
      <c r="I239">
        <v>71101060</v>
      </c>
      <c r="J239">
        <v>11500060</v>
      </c>
      <c r="K239" t="s">
        <v>30</v>
      </c>
      <c r="L239" s="4">
        <v>18292.25</v>
      </c>
      <c r="M239" t="s">
        <v>31</v>
      </c>
      <c r="N239" s="4">
        <v>18292.25</v>
      </c>
      <c r="O239" t="s">
        <v>31</v>
      </c>
      <c r="X239" t="s">
        <v>28</v>
      </c>
      <c r="Y239"/>
      <c r="Z239">
        <v>20200131</v>
      </c>
      <c r="AA239">
        <f t="shared" si="4"/>
        <v>18292.25</v>
      </c>
      <c r="AC239"/>
      <c r="AF239"/>
      <c r="AL239">
        <v>340112890</v>
      </c>
      <c r="AM239" t="s">
        <v>37</v>
      </c>
    </row>
    <row r="240" spans="1:39" x14ac:dyDescent="0.35">
      <c r="A240">
        <v>3401</v>
      </c>
      <c r="B240" t="s">
        <v>28</v>
      </c>
      <c r="C240">
        <v>2020</v>
      </c>
      <c r="D240" s="1">
        <v>43831</v>
      </c>
      <c r="E240">
        <v>74</v>
      </c>
      <c r="F240">
        <v>100031721</v>
      </c>
      <c r="G240" t="s">
        <v>29</v>
      </c>
      <c r="H240">
        <v>81</v>
      </c>
      <c r="I240">
        <v>71101060</v>
      </c>
      <c r="J240">
        <v>11500060</v>
      </c>
      <c r="K240" t="s">
        <v>30</v>
      </c>
      <c r="L240" s="4">
        <v>26190.54</v>
      </c>
      <c r="M240" t="s">
        <v>31</v>
      </c>
      <c r="N240" s="4">
        <v>26190.54</v>
      </c>
      <c r="O240" t="s">
        <v>31</v>
      </c>
      <c r="X240" t="s">
        <v>28</v>
      </c>
      <c r="Y240"/>
      <c r="Z240">
        <v>20200131</v>
      </c>
      <c r="AA240">
        <f t="shared" si="4"/>
        <v>26190.54</v>
      </c>
      <c r="AC240"/>
      <c r="AF240"/>
      <c r="AL240">
        <v>340112890</v>
      </c>
      <c r="AM240" t="s">
        <v>37</v>
      </c>
    </row>
    <row r="241" spans="1:39" x14ac:dyDescent="0.35">
      <c r="A241">
        <v>3402</v>
      </c>
      <c r="B241" t="s">
        <v>28</v>
      </c>
      <c r="C241">
        <v>2020</v>
      </c>
      <c r="D241" s="1">
        <v>43831</v>
      </c>
      <c r="E241">
        <v>18</v>
      </c>
      <c r="F241">
        <v>200114606</v>
      </c>
      <c r="G241" t="s">
        <v>29</v>
      </c>
      <c r="H241">
        <v>81</v>
      </c>
      <c r="I241">
        <v>71101060</v>
      </c>
      <c r="J241">
        <v>11500060</v>
      </c>
      <c r="K241" t="s">
        <v>30</v>
      </c>
      <c r="L241" s="4">
        <v>996.79</v>
      </c>
      <c r="M241" t="s">
        <v>31</v>
      </c>
      <c r="N241" s="4">
        <v>996.79</v>
      </c>
      <c r="O241" t="s">
        <v>31</v>
      </c>
      <c r="X241" t="s">
        <v>35</v>
      </c>
      <c r="Y241"/>
      <c r="Z241">
        <v>20200131</v>
      </c>
      <c r="AA241">
        <f t="shared" si="4"/>
        <v>996.79</v>
      </c>
      <c r="AC241"/>
      <c r="AF241"/>
      <c r="AL241">
        <v>340233190</v>
      </c>
      <c r="AM241" t="s">
        <v>46</v>
      </c>
    </row>
    <row r="242" spans="1:39" x14ac:dyDescent="0.35">
      <c r="A242">
        <v>3402</v>
      </c>
      <c r="B242" t="s">
        <v>28</v>
      </c>
      <c r="C242">
        <v>2020</v>
      </c>
      <c r="D242" s="1">
        <v>43831</v>
      </c>
      <c r="E242">
        <v>20</v>
      </c>
      <c r="F242">
        <v>200114606</v>
      </c>
      <c r="G242" t="s">
        <v>29</v>
      </c>
      <c r="H242">
        <v>81</v>
      </c>
      <c r="I242">
        <v>71101060</v>
      </c>
      <c r="J242">
        <v>11500060</v>
      </c>
      <c r="K242" t="s">
        <v>30</v>
      </c>
      <c r="L242" s="4">
        <v>3866.66</v>
      </c>
      <c r="M242" t="s">
        <v>31</v>
      </c>
      <c r="N242" s="4">
        <v>3866.66</v>
      </c>
      <c r="O242" t="s">
        <v>31</v>
      </c>
      <c r="X242" t="s">
        <v>35</v>
      </c>
      <c r="Y242"/>
      <c r="Z242">
        <v>20200131</v>
      </c>
      <c r="AA242">
        <f t="shared" si="4"/>
        <v>3866.66</v>
      </c>
      <c r="AC242"/>
      <c r="AF242"/>
      <c r="AL242">
        <v>340233190</v>
      </c>
      <c r="AM242" t="s">
        <v>46</v>
      </c>
    </row>
    <row r="243" spans="1:39" x14ac:dyDescent="0.35">
      <c r="A243">
        <v>3402</v>
      </c>
      <c r="B243" t="s">
        <v>28</v>
      </c>
      <c r="C243">
        <v>2020</v>
      </c>
      <c r="D243" s="1">
        <v>43831</v>
      </c>
      <c r="E243">
        <v>22</v>
      </c>
      <c r="F243">
        <v>200114606</v>
      </c>
      <c r="G243" t="s">
        <v>29</v>
      </c>
      <c r="H243">
        <v>81</v>
      </c>
      <c r="I243">
        <v>71101060</v>
      </c>
      <c r="J243">
        <v>11500060</v>
      </c>
      <c r="K243" t="s">
        <v>30</v>
      </c>
      <c r="L243" s="4">
        <v>2280.6999999999998</v>
      </c>
      <c r="M243" t="s">
        <v>31</v>
      </c>
      <c r="N243" s="4">
        <v>2280.6999999999998</v>
      </c>
      <c r="O243" t="s">
        <v>31</v>
      </c>
      <c r="X243" t="s">
        <v>35</v>
      </c>
      <c r="Y243"/>
      <c r="Z243">
        <v>20200131</v>
      </c>
      <c r="AA243">
        <f t="shared" si="4"/>
        <v>2280.6999999999998</v>
      </c>
      <c r="AC243"/>
      <c r="AF243"/>
      <c r="AL243">
        <v>340233190</v>
      </c>
      <c r="AM243" t="s">
        <v>46</v>
      </c>
    </row>
    <row r="244" spans="1:39" x14ac:dyDescent="0.35">
      <c r="A244">
        <v>3402</v>
      </c>
      <c r="B244" t="s">
        <v>28</v>
      </c>
      <c r="C244">
        <v>2020</v>
      </c>
      <c r="D244" s="1">
        <v>43831</v>
      </c>
      <c r="E244">
        <v>24</v>
      </c>
      <c r="F244">
        <v>200114606</v>
      </c>
      <c r="G244" t="s">
        <v>29</v>
      </c>
      <c r="H244">
        <v>81</v>
      </c>
      <c r="I244">
        <v>71101060</v>
      </c>
      <c r="J244">
        <v>11500060</v>
      </c>
      <c r="K244" t="s">
        <v>30</v>
      </c>
      <c r="L244" s="4">
        <v>11157.9</v>
      </c>
      <c r="M244" t="s">
        <v>31</v>
      </c>
      <c r="N244" s="4">
        <v>11157.9</v>
      </c>
      <c r="O244" t="s">
        <v>31</v>
      </c>
      <c r="X244" t="s">
        <v>35</v>
      </c>
      <c r="Y244"/>
      <c r="Z244">
        <v>20200131</v>
      </c>
      <c r="AA244">
        <f t="shared" si="4"/>
        <v>11157.9</v>
      </c>
      <c r="AC244"/>
      <c r="AF244"/>
      <c r="AL244">
        <v>340233190</v>
      </c>
      <c r="AM244" t="s">
        <v>46</v>
      </c>
    </row>
    <row r="245" spans="1:39" x14ac:dyDescent="0.35">
      <c r="A245">
        <v>3406</v>
      </c>
      <c r="B245" t="s">
        <v>28</v>
      </c>
      <c r="C245">
        <v>2020</v>
      </c>
      <c r="D245" s="1">
        <v>43831</v>
      </c>
      <c r="E245">
        <v>54</v>
      </c>
      <c r="F245">
        <v>600031590</v>
      </c>
      <c r="G245" t="s">
        <v>29</v>
      </c>
      <c r="H245">
        <v>81</v>
      </c>
      <c r="I245">
        <v>71101060</v>
      </c>
      <c r="J245">
        <v>11500020</v>
      </c>
      <c r="K245" t="s">
        <v>30</v>
      </c>
      <c r="L245" s="4">
        <v>3280.02</v>
      </c>
      <c r="M245" t="s">
        <v>31</v>
      </c>
      <c r="N245" s="4">
        <v>3280.02</v>
      </c>
      <c r="O245" t="s">
        <v>31</v>
      </c>
      <c r="X245" t="s">
        <v>35</v>
      </c>
      <c r="Y245"/>
      <c r="Z245">
        <v>20200131</v>
      </c>
      <c r="AA245">
        <f t="shared" si="4"/>
        <v>3280.02</v>
      </c>
      <c r="AC245"/>
      <c r="AF245"/>
      <c r="AL245">
        <v>340612390</v>
      </c>
      <c r="AM245" t="s">
        <v>36</v>
      </c>
    </row>
    <row r="246" spans="1:39" x14ac:dyDescent="0.35">
      <c r="A246">
        <v>3407</v>
      </c>
      <c r="B246" t="s">
        <v>28</v>
      </c>
      <c r="C246">
        <v>2020</v>
      </c>
      <c r="D246" s="1">
        <v>43831</v>
      </c>
      <c r="E246">
        <v>2</v>
      </c>
      <c r="F246">
        <v>700041824</v>
      </c>
      <c r="G246" t="s">
        <v>29</v>
      </c>
      <c r="H246">
        <v>81</v>
      </c>
      <c r="I246">
        <v>71101060</v>
      </c>
      <c r="J246">
        <v>11500030</v>
      </c>
      <c r="K246" t="s">
        <v>30</v>
      </c>
      <c r="L246" s="4">
        <v>425</v>
      </c>
      <c r="M246" t="s">
        <v>31</v>
      </c>
      <c r="N246" s="4">
        <v>425</v>
      </c>
      <c r="O246" t="s">
        <v>31</v>
      </c>
      <c r="X246" t="s">
        <v>32</v>
      </c>
      <c r="Y246"/>
      <c r="Z246">
        <v>20200131</v>
      </c>
      <c r="AA246">
        <f t="shared" si="4"/>
        <v>425</v>
      </c>
      <c r="AC246"/>
      <c r="AF246"/>
      <c r="AL246">
        <v>340733190</v>
      </c>
      <c r="AM246" t="s">
        <v>33</v>
      </c>
    </row>
    <row r="247" spans="1:39" x14ac:dyDescent="0.35">
      <c r="A247">
        <v>3407</v>
      </c>
      <c r="B247" t="s">
        <v>28</v>
      </c>
      <c r="C247">
        <v>2020</v>
      </c>
      <c r="D247" s="1">
        <v>43831</v>
      </c>
      <c r="E247">
        <v>50</v>
      </c>
      <c r="F247">
        <v>700041761</v>
      </c>
      <c r="G247" t="s">
        <v>29</v>
      </c>
      <c r="H247">
        <v>81</v>
      </c>
      <c r="I247">
        <v>71101060</v>
      </c>
      <c r="J247">
        <v>11500060</v>
      </c>
      <c r="K247" t="s">
        <v>30</v>
      </c>
      <c r="L247" s="4">
        <v>1190.8800000000001</v>
      </c>
      <c r="M247" t="s">
        <v>31</v>
      </c>
      <c r="N247" s="4">
        <v>1190.8800000000001</v>
      </c>
      <c r="O247" t="s">
        <v>31</v>
      </c>
      <c r="X247" t="s">
        <v>32</v>
      </c>
      <c r="Y247"/>
      <c r="Z247">
        <v>20200131</v>
      </c>
      <c r="AA247">
        <f t="shared" si="4"/>
        <v>1190.8800000000001</v>
      </c>
      <c r="AC247"/>
      <c r="AF247"/>
      <c r="AL247">
        <v>340712390</v>
      </c>
      <c r="AM247" t="s">
        <v>34</v>
      </c>
    </row>
    <row r="248" spans="1:39" x14ac:dyDescent="0.35">
      <c r="A248">
        <v>3401</v>
      </c>
      <c r="B248" t="s">
        <v>28</v>
      </c>
      <c r="C248">
        <v>2020</v>
      </c>
      <c r="D248" s="1">
        <v>43831</v>
      </c>
      <c r="E248">
        <v>48</v>
      </c>
      <c r="F248">
        <v>100031482</v>
      </c>
      <c r="G248" t="s">
        <v>29</v>
      </c>
      <c r="H248">
        <v>81</v>
      </c>
      <c r="I248">
        <v>71101060</v>
      </c>
      <c r="J248">
        <v>11500030</v>
      </c>
      <c r="K248" t="s">
        <v>30</v>
      </c>
      <c r="L248" s="4">
        <v>546.66999999999996</v>
      </c>
      <c r="M248" t="s">
        <v>31</v>
      </c>
      <c r="N248" s="4">
        <v>546.66999999999996</v>
      </c>
      <c r="O248" t="s">
        <v>31</v>
      </c>
      <c r="X248" t="s">
        <v>28</v>
      </c>
      <c r="Y248"/>
      <c r="Z248">
        <v>20200131</v>
      </c>
      <c r="AA248">
        <f t="shared" si="4"/>
        <v>546.66999999999996</v>
      </c>
      <c r="AC248"/>
      <c r="AF248"/>
      <c r="AL248">
        <v>340115190</v>
      </c>
      <c r="AM248" t="s">
        <v>37</v>
      </c>
    </row>
    <row r="249" spans="1:39" x14ac:dyDescent="0.35">
      <c r="A249">
        <v>3401</v>
      </c>
      <c r="B249" t="s">
        <v>28</v>
      </c>
      <c r="C249">
        <v>2020</v>
      </c>
      <c r="D249" s="1">
        <v>43831</v>
      </c>
      <c r="E249">
        <v>50</v>
      </c>
      <c r="F249">
        <v>100031482</v>
      </c>
      <c r="G249" t="s">
        <v>29</v>
      </c>
      <c r="H249">
        <v>81</v>
      </c>
      <c r="I249">
        <v>71101060</v>
      </c>
      <c r="J249">
        <v>11500030</v>
      </c>
      <c r="K249" t="s">
        <v>30</v>
      </c>
      <c r="L249" s="4">
        <v>214.52</v>
      </c>
      <c r="M249" t="s">
        <v>31</v>
      </c>
      <c r="N249" s="4">
        <v>214.52</v>
      </c>
      <c r="O249" t="s">
        <v>31</v>
      </c>
      <c r="X249" t="s">
        <v>28</v>
      </c>
      <c r="Y249"/>
      <c r="Z249">
        <v>20200131</v>
      </c>
      <c r="AA249">
        <f t="shared" si="4"/>
        <v>214.52</v>
      </c>
      <c r="AC249"/>
      <c r="AF249"/>
      <c r="AL249">
        <v>340115190</v>
      </c>
      <c r="AM249" t="s">
        <v>37</v>
      </c>
    </row>
    <row r="250" spans="1:39" x14ac:dyDescent="0.35">
      <c r="A250">
        <v>3401</v>
      </c>
      <c r="B250" t="s">
        <v>28</v>
      </c>
      <c r="C250">
        <v>2020</v>
      </c>
      <c r="D250" s="1">
        <v>43831</v>
      </c>
      <c r="E250">
        <v>14</v>
      </c>
      <c r="F250">
        <v>100031501</v>
      </c>
      <c r="G250" t="s">
        <v>29</v>
      </c>
      <c r="H250">
        <v>81</v>
      </c>
      <c r="I250">
        <v>71101060</v>
      </c>
      <c r="J250">
        <v>11500020</v>
      </c>
      <c r="K250" t="s">
        <v>30</v>
      </c>
      <c r="L250" s="4">
        <v>1093.3399999999999</v>
      </c>
      <c r="M250" t="s">
        <v>31</v>
      </c>
      <c r="N250" s="4">
        <v>1093.3399999999999</v>
      </c>
      <c r="O250" t="s">
        <v>31</v>
      </c>
      <c r="X250" t="s">
        <v>28</v>
      </c>
      <c r="Y250"/>
      <c r="Z250">
        <v>20200131</v>
      </c>
      <c r="AA250">
        <f t="shared" si="4"/>
        <v>1093.3399999999999</v>
      </c>
      <c r="AC250"/>
      <c r="AF250"/>
      <c r="AL250">
        <v>340153890</v>
      </c>
      <c r="AM250" t="s">
        <v>37</v>
      </c>
    </row>
    <row r="251" spans="1:39" x14ac:dyDescent="0.35">
      <c r="A251">
        <v>3401</v>
      </c>
      <c r="B251" t="s">
        <v>28</v>
      </c>
      <c r="C251">
        <v>2020</v>
      </c>
      <c r="D251" s="1">
        <v>43831</v>
      </c>
      <c r="E251">
        <v>16</v>
      </c>
      <c r="F251">
        <v>100031507</v>
      </c>
      <c r="G251" t="s">
        <v>29</v>
      </c>
      <c r="H251">
        <v>81</v>
      </c>
      <c r="I251">
        <v>71101060</v>
      </c>
      <c r="J251">
        <v>11500030</v>
      </c>
      <c r="K251" t="s">
        <v>30</v>
      </c>
      <c r="L251" s="4">
        <v>678.33</v>
      </c>
      <c r="M251" t="s">
        <v>31</v>
      </c>
      <c r="N251" s="4">
        <v>678.33</v>
      </c>
      <c r="O251" t="s">
        <v>31</v>
      </c>
      <c r="X251" t="s">
        <v>28</v>
      </c>
      <c r="Y251"/>
      <c r="Z251">
        <v>20200131</v>
      </c>
      <c r="AA251">
        <f t="shared" si="4"/>
        <v>678.33</v>
      </c>
      <c r="AC251"/>
      <c r="AF251"/>
      <c r="AL251">
        <v>340133190</v>
      </c>
      <c r="AM251" t="s">
        <v>37</v>
      </c>
    </row>
    <row r="252" spans="1:39" x14ac:dyDescent="0.35">
      <c r="A252">
        <v>3401</v>
      </c>
      <c r="B252" t="s">
        <v>28</v>
      </c>
      <c r="C252">
        <v>2020</v>
      </c>
      <c r="D252" s="1">
        <v>43831</v>
      </c>
      <c r="E252">
        <v>18</v>
      </c>
      <c r="F252">
        <v>100031507</v>
      </c>
      <c r="G252" t="s">
        <v>29</v>
      </c>
      <c r="H252">
        <v>81</v>
      </c>
      <c r="I252">
        <v>71101060</v>
      </c>
      <c r="J252">
        <v>11500030</v>
      </c>
      <c r="K252" t="s">
        <v>30</v>
      </c>
      <c r="L252" s="4">
        <v>1859.65</v>
      </c>
      <c r="M252" t="s">
        <v>31</v>
      </c>
      <c r="N252" s="4">
        <v>1859.65</v>
      </c>
      <c r="O252" t="s">
        <v>31</v>
      </c>
      <c r="X252" t="s">
        <v>28</v>
      </c>
      <c r="Y252"/>
      <c r="Z252">
        <v>20200131</v>
      </c>
      <c r="AA252">
        <f t="shared" si="4"/>
        <v>1859.65</v>
      </c>
      <c r="AC252"/>
      <c r="AF252"/>
      <c r="AL252">
        <v>340133190</v>
      </c>
      <c r="AM252" t="s">
        <v>37</v>
      </c>
    </row>
    <row r="253" spans="1:39" x14ac:dyDescent="0.35">
      <c r="A253">
        <v>3401</v>
      </c>
      <c r="B253" t="s">
        <v>28</v>
      </c>
      <c r="C253">
        <v>2020</v>
      </c>
      <c r="D253" s="1">
        <v>43831</v>
      </c>
      <c r="E253">
        <v>2</v>
      </c>
      <c r="F253">
        <v>100031509</v>
      </c>
      <c r="G253" t="s">
        <v>29</v>
      </c>
      <c r="H253">
        <v>81</v>
      </c>
      <c r="I253">
        <v>71101060</v>
      </c>
      <c r="J253">
        <v>11500060</v>
      </c>
      <c r="K253" t="s">
        <v>30</v>
      </c>
      <c r="L253" s="4">
        <v>712.5</v>
      </c>
      <c r="M253" t="s">
        <v>31</v>
      </c>
      <c r="N253" s="4">
        <v>712.5</v>
      </c>
      <c r="O253" t="s">
        <v>31</v>
      </c>
      <c r="X253" t="s">
        <v>28</v>
      </c>
      <c r="Y253"/>
      <c r="Z253">
        <v>20200131</v>
      </c>
      <c r="AA253">
        <f t="shared" si="4"/>
        <v>712.5</v>
      </c>
      <c r="AC253"/>
      <c r="AF253"/>
      <c r="AL253">
        <v>340127190</v>
      </c>
      <c r="AM253" t="s">
        <v>37</v>
      </c>
    </row>
    <row r="254" spans="1:39" x14ac:dyDescent="0.35">
      <c r="A254">
        <v>3401</v>
      </c>
      <c r="B254" t="s">
        <v>28</v>
      </c>
      <c r="C254">
        <v>2020</v>
      </c>
      <c r="D254" s="1">
        <v>43831</v>
      </c>
      <c r="E254">
        <v>6</v>
      </c>
      <c r="F254">
        <v>100031542</v>
      </c>
      <c r="G254" t="s">
        <v>29</v>
      </c>
      <c r="H254">
        <v>81</v>
      </c>
      <c r="I254">
        <v>71101060</v>
      </c>
      <c r="J254">
        <v>11500050</v>
      </c>
      <c r="K254" t="s">
        <v>30</v>
      </c>
      <c r="L254" s="4">
        <v>8200.0499999999993</v>
      </c>
      <c r="M254" t="s">
        <v>31</v>
      </c>
      <c r="N254" s="4">
        <v>8200.0499999999993</v>
      </c>
      <c r="O254" t="s">
        <v>31</v>
      </c>
      <c r="X254" t="s">
        <v>28</v>
      </c>
      <c r="Y254"/>
      <c r="Z254">
        <v>20200131</v>
      </c>
      <c r="AA254">
        <f t="shared" si="4"/>
        <v>8200.0499999999993</v>
      </c>
      <c r="AC254"/>
      <c r="AF254"/>
      <c r="AL254">
        <v>340117690</v>
      </c>
      <c r="AM254" t="s">
        <v>37</v>
      </c>
    </row>
    <row r="255" spans="1:39" x14ac:dyDescent="0.35">
      <c r="A255">
        <v>3403</v>
      </c>
      <c r="B255" t="s">
        <v>28</v>
      </c>
      <c r="C255">
        <v>2020</v>
      </c>
      <c r="D255" s="1">
        <v>43831</v>
      </c>
      <c r="E255">
        <v>60</v>
      </c>
      <c r="F255">
        <v>300017606</v>
      </c>
      <c r="G255" t="s">
        <v>29</v>
      </c>
      <c r="H255">
        <v>81</v>
      </c>
      <c r="I255">
        <v>71101060</v>
      </c>
      <c r="J255">
        <v>11500050</v>
      </c>
      <c r="K255" t="s">
        <v>30</v>
      </c>
      <c r="L255" s="4">
        <v>178.44</v>
      </c>
      <c r="M255" t="s">
        <v>31</v>
      </c>
      <c r="N255" s="4">
        <v>178.44</v>
      </c>
      <c r="O255" t="s">
        <v>31</v>
      </c>
      <c r="X255" t="s">
        <v>28</v>
      </c>
      <c r="Y255"/>
      <c r="Z255">
        <v>20200131</v>
      </c>
      <c r="AA255">
        <f t="shared" si="4"/>
        <v>178.44</v>
      </c>
      <c r="AC255"/>
      <c r="AF255"/>
      <c r="AL255">
        <v>340312890</v>
      </c>
      <c r="AM255" t="s">
        <v>40</v>
      </c>
    </row>
    <row r="256" spans="1:39" x14ac:dyDescent="0.35">
      <c r="A256">
        <v>3403</v>
      </c>
      <c r="B256" t="s">
        <v>28</v>
      </c>
      <c r="C256">
        <v>2020</v>
      </c>
      <c r="D256" s="1">
        <v>43831</v>
      </c>
      <c r="E256">
        <v>62</v>
      </c>
      <c r="F256">
        <v>300017606</v>
      </c>
      <c r="G256" t="s">
        <v>29</v>
      </c>
      <c r="H256">
        <v>81</v>
      </c>
      <c r="I256">
        <v>71101060</v>
      </c>
      <c r="J256">
        <v>11500050</v>
      </c>
      <c r="K256" t="s">
        <v>30</v>
      </c>
      <c r="L256" s="4">
        <v>177.6</v>
      </c>
      <c r="M256" t="s">
        <v>31</v>
      </c>
      <c r="N256" s="4">
        <v>177.6</v>
      </c>
      <c r="O256" t="s">
        <v>31</v>
      </c>
      <c r="X256" t="s">
        <v>28</v>
      </c>
      <c r="Y256"/>
      <c r="Z256">
        <v>20200131</v>
      </c>
      <c r="AA256">
        <f t="shared" si="4"/>
        <v>177.6</v>
      </c>
      <c r="AC256"/>
      <c r="AF256"/>
      <c r="AL256">
        <v>340312890</v>
      </c>
      <c r="AM256" t="s">
        <v>40</v>
      </c>
    </row>
    <row r="257" spans="1:39" x14ac:dyDescent="0.35">
      <c r="A257">
        <v>3403</v>
      </c>
      <c r="B257" t="s">
        <v>28</v>
      </c>
      <c r="C257">
        <v>2020</v>
      </c>
      <c r="D257" s="1">
        <v>43831</v>
      </c>
      <c r="E257">
        <v>64</v>
      </c>
      <c r="F257">
        <v>300017606</v>
      </c>
      <c r="G257" t="s">
        <v>29</v>
      </c>
      <c r="H257">
        <v>81</v>
      </c>
      <c r="I257">
        <v>71101060</v>
      </c>
      <c r="J257">
        <v>11500050</v>
      </c>
      <c r="K257" t="s">
        <v>30</v>
      </c>
      <c r="L257" s="4">
        <v>177.6</v>
      </c>
      <c r="M257" t="s">
        <v>31</v>
      </c>
      <c r="N257" s="4">
        <v>177.6</v>
      </c>
      <c r="O257" t="s">
        <v>31</v>
      </c>
      <c r="X257" t="s">
        <v>28</v>
      </c>
      <c r="Y257"/>
      <c r="Z257">
        <v>20200131</v>
      </c>
      <c r="AA257">
        <f t="shared" si="4"/>
        <v>177.6</v>
      </c>
      <c r="AC257"/>
      <c r="AF257"/>
      <c r="AL257">
        <v>340312890</v>
      </c>
      <c r="AM257" t="s">
        <v>40</v>
      </c>
    </row>
    <row r="258" spans="1:39" x14ac:dyDescent="0.35">
      <c r="A258">
        <v>3401</v>
      </c>
      <c r="B258" t="s">
        <v>28</v>
      </c>
      <c r="C258">
        <v>2020</v>
      </c>
      <c r="D258" s="1">
        <v>43831</v>
      </c>
      <c r="E258">
        <v>6</v>
      </c>
      <c r="F258">
        <v>100031722</v>
      </c>
      <c r="G258" t="s">
        <v>29</v>
      </c>
      <c r="H258">
        <v>81</v>
      </c>
      <c r="I258">
        <v>71101060</v>
      </c>
      <c r="J258">
        <v>11500060</v>
      </c>
      <c r="K258" t="s">
        <v>30</v>
      </c>
      <c r="L258" s="4">
        <v>9361.7999999999993</v>
      </c>
      <c r="M258" t="s">
        <v>31</v>
      </c>
      <c r="N258" s="4">
        <v>9361.7999999999993</v>
      </c>
      <c r="O258" t="s">
        <v>31</v>
      </c>
      <c r="X258" t="s">
        <v>28</v>
      </c>
      <c r="Y258"/>
      <c r="Z258">
        <v>20200131</v>
      </c>
      <c r="AA258">
        <f t="shared" si="4"/>
        <v>9361.7999999999993</v>
      </c>
      <c r="AC258"/>
      <c r="AF258"/>
      <c r="AL258">
        <v>340110590</v>
      </c>
      <c r="AM258" t="s">
        <v>37</v>
      </c>
    </row>
    <row r="259" spans="1:39" x14ac:dyDescent="0.35">
      <c r="A259">
        <v>3401</v>
      </c>
      <c r="B259" t="s">
        <v>28</v>
      </c>
      <c r="C259">
        <v>2020</v>
      </c>
      <c r="D259" s="1">
        <v>43831</v>
      </c>
      <c r="E259">
        <v>8</v>
      </c>
      <c r="F259">
        <v>100031722</v>
      </c>
      <c r="G259" t="s">
        <v>29</v>
      </c>
      <c r="H259">
        <v>81</v>
      </c>
      <c r="I259">
        <v>71101060</v>
      </c>
      <c r="J259">
        <v>11500060</v>
      </c>
      <c r="K259" t="s">
        <v>30</v>
      </c>
      <c r="L259" s="4">
        <v>224</v>
      </c>
      <c r="M259" t="s">
        <v>31</v>
      </c>
      <c r="N259" s="4">
        <v>224</v>
      </c>
      <c r="O259" t="s">
        <v>31</v>
      </c>
      <c r="X259" t="s">
        <v>28</v>
      </c>
      <c r="Y259"/>
      <c r="Z259">
        <v>20200131</v>
      </c>
      <c r="AA259">
        <f t="shared" si="4"/>
        <v>224</v>
      </c>
      <c r="AC259"/>
      <c r="AF259"/>
      <c r="AL259">
        <v>340110590</v>
      </c>
      <c r="AM259" t="s">
        <v>37</v>
      </c>
    </row>
    <row r="260" spans="1:39" x14ac:dyDescent="0.35">
      <c r="A260">
        <v>3401</v>
      </c>
      <c r="B260" t="s">
        <v>28</v>
      </c>
      <c r="C260">
        <v>2020</v>
      </c>
      <c r="D260" s="1">
        <v>43831</v>
      </c>
      <c r="E260">
        <v>10</v>
      </c>
      <c r="F260">
        <v>100031722</v>
      </c>
      <c r="G260" t="s">
        <v>29</v>
      </c>
      <c r="H260">
        <v>81</v>
      </c>
      <c r="I260">
        <v>71101060</v>
      </c>
      <c r="J260">
        <v>11500060</v>
      </c>
      <c r="K260" t="s">
        <v>30</v>
      </c>
      <c r="L260" s="4">
        <v>510</v>
      </c>
      <c r="M260" t="s">
        <v>31</v>
      </c>
      <c r="N260" s="4">
        <v>510</v>
      </c>
      <c r="O260" t="s">
        <v>31</v>
      </c>
      <c r="X260" t="s">
        <v>28</v>
      </c>
      <c r="Y260"/>
      <c r="Z260">
        <v>20200131</v>
      </c>
      <c r="AA260">
        <f t="shared" si="4"/>
        <v>510</v>
      </c>
      <c r="AC260"/>
      <c r="AF260"/>
      <c r="AL260">
        <v>340110590</v>
      </c>
      <c r="AM260" t="s">
        <v>37</v>
      </c>
    </row>
    <row r="261" spans="1:39" x14ac:dyDescent="0.35">
      <c r="A261">
        <v>3401</v>
      </c>
      <c r="B261" t="s">
        <v>28</v>
      </c>
      <c r="C261">
        <v>2020</v>
      </c>
      <c r="D261" s="1">
        <v>43831</v>
      </c>
      <c r="E261">
        <v>12</v>
      </c>
      <c r="F261">
        <v>100031722</v>
      </c>
      <c r="G261" t="s">
        <v>29</v>
      </c>
      <c r="H261">
        <v>81</v>
      </c>
      <c r="I261">
        <v>71101060</v>
      </c>
      <c r="J261">
        <v>11500060</v>
      </c>
      <c r="K261" t="s">
        <v>30</v>
      </c>
      <c r="L261" s="4">
        <v>554.4</v>
      </c>
      <c r="M261" t="s">
        <v>31</v>
      </c>
      <c r="N261" s="4">
        <v>554.4</v>
      </c>
      <c r="O261" t="s">
        <v>31</v>
      </c>
      <c r="X261" t="s">
        <v>28</v>
      </c>
      <c r="Y261"/>
      <c r="Z261">
        <v>20200131</v>
      </c>
      <c r="AA261">
        <f t="shared" si="4"/>
        <v>554.4</v>
      </c>
      <c r="AC261"/>
      <c r="AF261"/>
      <c r="AL261">
        <v>340110590</v>
      </c>
      <c r="AM261" t="s">
        <v>37</v>
      </c>
    </row>
    <row r="262" spans="1:39" x14ac:dyDescent="0.35">
      <c r="A262">
        <v>3401</v>
      </c>
      <c r="B262" t="s">
        <v>28</v>
      </c>
      <c r="C262">
        <v>2020</v>
      </c>
      <c r="D262" s="1">
        <v>43831</v>
      </c>
      <c r="E262">
        <v>14</v>
      </c>
      <c r="F262">
        <v>100031722</v>
      </c>
      <c r="G262" t="s">
        <v>29</v>
      </c>
      <c r="H262">
        <v>81</v>
      </c>
      <c r="I262">
        <v>71101060</v>
      </c>
      <c r="J262">
        <v>11500060</v>
      </c>
      <c r="K262" t="s">
        <v>30</v>
      </c>
      <c r="L262" s="4">
        <v>400</v>
      </c>
      <c r="M262" t="s">
        <v>31</v>
      </c>
      <c r="N262" s="4">
        <v>400</v>
      </c>
      <c r="O262" t="s">
        <v>31</v>
      </c>
      <c r="X262" t="s">
        <v>28</v>
      </c>
      <c r="Y262"/>
      <c r="Z262">
        <v>20200131</v>
      </c>
      <c r="AA262">
        <f t="shared" si="4"/>
        <v>400</v>
      </c>
      <c r="AC262"/>
      <c r="AF262"/>
      <c r="AL262">
        <v>340110590</v>
      </c>
      <c r="AM262" t="s">
        <v>37</v>
      </c>
    </row>
    <row r="263" spans="1:39" x14ac:dyDescent="0.35">
      <c r="A263">
        <v>3401</v>
      </c>
      <c r="B263" t="s">
        <v>28</v>
      </c>
      <c r="C263">
        <v>2020</v>
      </c>
      <c r="D263" s="1">
        <v>43831</v>
      </c>
      <c r="E263">
        <v>16</v>
      </c>
      <c r="F263">
        <v>100031722</v>
      </c>
      <c r="G263" t="s">
        <v>29</v>
      </c>
      <c r="H263">
        <v>81</v>
      </c>
      <c r="I263">
        <v>71101060</v>
      </c>
      <c r="J263">
        <v>11500060</v>
      </c>
      <c r="K263" t="s">
        <v>30</v>
      </c>
      <c r="L263" s="4">
        <v>1713</v>
      </c>
      <c r="M263" t="s">
        <v>31</v>
      </c>
      <c r="N263" s="4">
        <v>1713</v>
      </c>
      <c r="O263" t="s">
        <v>31</v>
      </c>
      <c r="X263" t="s">
        <v>28</v>
      </c>
      <c r="Y263"/>
      <c r="Z263">
        <v>20200131</v>
      </c>
      <c r="AA263">
        <f t="shared" si="4"/>
        <v>1713</v>
      </c>
      <c r="AC263"/>
      <c r="AF263"/>
      <c r="AL263">
        <v>340110590</v>
      </c>
      <c r="AM263" t="s">
        <v>37</v>
      </c>
    </row>
    <row r="264" spans="1:39" x14ac:dyDescent="0.35">
      <c r="A264">
        <v>3401</v>
      </c>
      <c r="B264" t="s">
        <v>28</v>
      </c>
      <c r="C264">
        <v>2020</v>
      </c>
      <c r="D264" s="1">
        <v>43831</v>
      </c>
      <c r="E264">
        <v>18</v>
      </c>
      <c r="F264">
        <v>100031722</v>
      </c>
      <c r="G264" t="s">
        <v>29</v>
      </c>
      <c r="H264">
        <v>81</v>
      </c>
      <c r="I264">
        <v>71101060</v>
      </c>
      <c r="J264">
        <v>11500060</v>
      </c>
      <c r="K264" t="s">
        <v>30</v>
      </c>
      <c r="L264" s="4">
        <v>55</v>
      </c>
      <c r="M264" t="s">
        <v>31</v>
      </c>
      <c r="N264" s="4">
        <v>55</v>
      </c>
      <c r="O264" t="s">
        <v>31</v>
      </c>
      <c r="X264" t="s">
        <v>28</v>
      </c>
      <c r="Y264"/>
      <c r="Z264">
        <v>20200131</v>
      </c>
      <c r="AA264">
        <f t="shared" si="4"/>
        <v>55</v>
      </c>
      <c r="AC264"/>
      <c r="AF264"/>
      <c r="AL264">
        <v>340110590</v>
      </c>
      <c r="AM264" t="s">
        <v>37</v>
      </c>
    </row>
    <row r="265" spans="1:39" x14ac:dyDescent="0.35">
      <c r="A265">
        <v>3401</v>
      </c>
      <c r="B265" t="s">
        <v>28</v>
      </c>
      <c r="C265">
        <v>2020</v>
      </c>
      <c r="D265" s="1">
        <v>43831</v>
      </c>
      <c r="E265">
        <v>20</v>
      </c>
      <c r="F265">
        <v>100031722</v>
      </c>
      <c r="G265" t="s">
        <v>29</v>
      </c>
      <c r="H265">
        <v>81</v>
      </c>
      <c r="I265">
        <v>71101060</v>
      </c>
      <c r="J265">
        <v>11500060</v>
      </c>
      <c r="K265" t="s">
        <v>30</v>
      </c>
      <c r="L265" s="4">
        <v>155</v>
      </c>
      <c r="M265" t="s">
        <v>31</v>
      </c>
      <c r="N265" s="4">
        <v>155</v>
      </c>
      <c r="O265" t="s">
        <v>31</v>
      </c>
      <c r="X265" t="s">
        <v>28</v>
      </c>
      <c r="Y265"/>
      <c r="Z265">
        <v>20200131</v>
      </c>
      <c r="AA265">
        <f t="shared" si="4"/>
        <v>155</v>
      </c>
      <c r="AC265"/>
      <c r="AF265"/>
      <c r="AL265">
        <v>340110590</v>
      </c>
      <c r="AM265" t="s">
        <v>37</v>
      </c>
    </row>
    <row r="266" spans="1:39" x14ac:dyDescent="0.35">
      <c r="A266">
        <v>3401</v>
      </c>
      <c r="B266" t="s">
        <v>28</v>
      </c>
      <c r="C266">
        <v>2020</v>
      </c>
      <c r="D266" s="1">
        <v>43831</v>
      </c>
      <c r="E266">
        <v>22</v>
      </c>
      <c r="F266">
        <v>100031722</v>
      </c>
      <c r="G266" t="s">
        <v>29</v>
      </c>
      <c r="H266">
        <v>81</v>
      </c>
      <c r="I266">
        <v>71101060</v>
      </c>
      <c r="J266">
        <v>11500060</v>
      </c>
      <c r="K266" t="s">
        <v>30</v>
      </c>
      <c r="L266" s="4">
        <v>830</v>
      </c>
      <c r="M266" t="s">
        <v>31</v>
      </c>
      <c r="N266" s="4">
        <v>830</v>
      </c>
      <c r="O266" t="s">
        <v>31</v>
      </c>
      <c r="X266" t="s">
        <v>28</v>
      </c>
      <c r="Y266"/>
      <c r="Z266">
        <v>20200131</v>
      </c>
      <c r="AA266">
        <f t="shared" si="4"/>
        <v>830</v>
      </c>
      <c r="AC266"/>
      <c r="AF266"/>
      <c r="AL266">
        <v>340110590</v>
      </c>
      <c r="AM266" t="s">
        <v>37</v>
      </c>
    </row>
    <row r="267" spans="1:39" x14ac:dyDescent="0.35">
      <c r="A267">
        <v>3401</v>
      </c>
      <c r="B267" t="s">
        <v>28</v>
      </c>
      <c r="C267">
        <v>2020</v>
      </c>
      <c r="D267" s="1">
        <v>43831</v>
      </c>
      <c r="E267">
        <v>24</v>
      </c>
      <c r="F267">
        <v>100031722</v>
      </c>
      <c r="G267" t="s">
        <v>29</v>
      </c>
      <c r="H267">
        <v>81</v>
      </c>
      <c r="I267">
        <v>71101060</v>
      </c>
      <c r="J267">
        <v>11500060</v>
      </c>
      <c r="K267" t="s">
        <v>30</v>
      </c>
      <c r="L267" s="4">
        <v>187</v>
      </c>
      <c r="M267" t="s">
        <v>31</v>
      </c>
      <c r="N267" s="4">
        <v>187</v>
      </c>
      <c r="O267" t="s">
        <v>31</v>
      </c>
      <c r="X267" t="s">
        <v>28</v>
      </c>
      <c r="Y267"/>
      <c r="Z267">
        <v>20200131</v>
      </c>
      <c r="AA267">
        <f t="shared" si="4"/>
        <v>187</v>
      </c>
      <c r="AC267"/>
      <c r="AF267"/>
      <c r="AL267">
        <v>340110590</v>
      </c>
      <c r="AM267" t="s">
        <v>37</v>
      </c>
    </row>
    <row r="268" spans="1:39" x14ac:dyDescent="0.35">
      <c r="A268">
        <v>3401</v>
      </c>
      <c r="B268" t="s">
        <v>28</v>
      </c>
      <c r="C268">
        <v>2020</v>
      </c>
      <c r="D268" s="1">
        <v>43831</v>
      </c>
      <c r="E268">
        <v>26</v>
      </c>
      <c r="F268">
        <v>100031722</v>
      </c>
      <c r="G268" t="s">
        <v>29</v>
      </c>
      <c r="H268">
        <v>81</v>
      </c>
      <c r="I268">
        <v>71101060</v>
      </c>
      <c r="J268">
        <v>11500060</v>
      </c>
      <c r="K268" t="s">
        <v>30</v>
      </c>
      <c r="L268" s="4">
        <v>612</v>
      </c>
      <c r="M268" t="s">
        <v>31</v>
      </c>
      <c r="N268" s="4">
        <v>612</v>
      </c>
      <c r="O268" t="s">
        <v>31</v>
      </c>
      <c r="X268" t="s">
        <v>28</v>
      </c>
      <c r="Y268"/>
      <c r="Z268">
        <v>20200131</v>
      </c>
      <c r="AA268">
        <f t="shared" si="4"/>
        <v>612</v>
      </c>
      <c r="AC268"/>
      <c r="AF268"/>
      <c r="AL268">
        <v>340110590</v>
      </c>
      <c r="AM268" t="s">
        <v>37</v>
      </c>
    </row>
    <row r="269" spans="1:39" x14ac:dyDescent="0.35">
      <c r="A269">
        <v>3401</v>
      </c>
      <c r="B269" t="s">
        <v>28</v>
      </c>
      <c r="C269">
        <v>2020</v>
      </c>
      <c r="D269" s="1">
        <v>43831</v>
      </c>
      <c r="E269">
        <v>28</v>
      </c>
      <c r="F269">
        <v>100031722</v>
      </c>
      <c r="G269" t="s">
        <v>29</v>
      </c>
      <c r="H269">
        <v>81</v>
      </c>
      <c r="I269">
        <v>71101060</v>
      </c>
      <c r="J269">
        <v>11500060</v>
      </c>
      <c r="K269" t="s">
        <v>30</v>
      </c>
      <c r="L269" s="4">
        <v>1127</v>
      </c>
      <c r="M269" t="s">
        <v>31</v>
      </c>
      <c r="N269" s="4">
        <v>1127</v>
      </c>
      <c r="O269" t="s">
        <v>31</v>
      </c>
      <c r="X269" t="s">
        <v>28</v>
      </c>
      <c r="Y269"/>
      <c r="Z269">
        <v>20200131</v>
      </c>
      <c r="AA269">
        <f t="shared" si="4"/>
        <v>1127</v>
      </c>
      <c r="AC269"/>
      <c r="AF269"/>
      <c r="AL269">
        <v>340110590</v>
      </c>
      <c r="AM269" t="s">
        <v>37</v>
      </c>
    </row>
    <row r="270" spans="1:39" x14ac:dyDescent="0.35">
      <c r="A270">
        <v>3401</v>
      </c>
      <c r="B270" t="s">
        <v>28</v>
      </c>
      <c r="C270">
        <v>2020</v>
      </c>
      <c r="D270" s="1">
        <v>43831</v>
      </c>
      <c r="E270">
        <v>30</v>
      </c>
      <c r="F270">
        <v>100031722</v>
      </c>
      <c r="G270" t="s">
        <v>29</v>
      </c>
      <c r="H270">
        <v>81</v>
      </c>
      <c r="I270">
        <v>71101060</v>
      </c>
      <c r="J270">
        <v>11500060</v>
      </c>
      <c r="K270" t="s">
        <v>30</v>
      </c>
      <c r="L270" s="4">
        <v>1620</v>
      </c>
      <c r="M270" t="s">
        <v>31</v>
      </c>
      <c r="N270" s="4">
        <v>1620</v>
      </c>
      <c r="O270" t="s">
        <v>31</v>
      </c>
      <c r="X270" t="s">
        <v>28</v>
      </c>
      <c r="Y270"/>
      <c r="Z270">
        <v>20200131</v>
      </c>
      <c r="AA270">
        <f t="shared" si="4"/>
        <v>1620</v>
      </c>
      <c r="AC270"/>
      <c r="AF270"/>
      <c r="AL270">
        <v>340110590</v>
      </c>
      <c r="AM270" t="s">
        <v>37</v>
      </c>
    </row>
    <row r="271" spans="1:39" x14ac:dyDescent="0.35">
      <c r="A271">
        <v>3401</v>
      </c>
      <c r="B271" t="s">
        <v>28</v>
      </c>
      <c r="C271">
        <v>2020</v>
      </c>
      <c r="D271" s="1">
        <v>43831</v>
      </c>
      <c r="E271">
        <v>32</v>
      </c>
      <c r="F271">
        <v>100031722</v>
      </c>
      <c r="G271" t="s">
        <v>29</v>
      </c>
      <c r="H271">
        <v>81</v>
      </c>
      <c r="I271">
        <v>71101060</v>
      </c>
      <c r="J271">
        <v>11500060</v>
      </c>
      <c r="K271" t="s">
        <v>30</v>
      </c>
      <c r="L271" s="4">
        <v>810</v>
      </c>
      <c r="M271" t="s">
        <v>31</v>
      </c>
      <c r="N271" s="4">
        <v>810</v>
      </c>
      <c r="O271" t="s">
        <v>31</v>
      </c>
      <c r="X271" t="s">
        <v>28</v>
      </c>
      <c r="Y271"/>
      <c r="Z271">
        <v>20200131</v>
      </c>
      <c r="AA271">
        <f t="shared" si="4"/>
        <v>810</v>
      </c>
      <c r="AC271"/>
      <c r="AF271"/>
      <c r="AL271">
        <v>340110590</v>
      </c>
      <c r="AM271" t="s">
        <v>37</v>
      </c>
    </row>
    <row r="272" spans="1:39" x14ac:dyDescent="0.35">
      <c r="A272">
        <v>3401</v>
      </c>
      <c r="B272" t="s">
        <v>28</v>
      </c>
      <c r="C272">
        <v>2020</v>
      </c>
      <c r="D272" s="1">
        <v>43831</v>
      </c>
      <c r="E272">
        <v>46</v>
      </c>
      <c r="F272">
        <v>100031722</v>
      </c>
      <c r="G272" t="s">
        <v>29</v>
      </c>
      <c r="H272">
        <v>81</v>
      </c>
      <c r="I272">
        <v>71101060</v>
      </c>
      <c r="J272">
        <v>11500060</v>
      </c>
      <c r="K272" t="s">
        <v>30</v>
      </c>
      <c r="L272" s="4">
        <v>6202</v>
      </c>
      <c r="M272" t="s">
        <v>31</v>
      </c>
      <c r="N272" s="4">
        <v>6202</v>
      </c>
      <c r="O272" t="s">
        <v>31</v>
      </c>
      <c r="X272" t="s">
        <v>28</v>
      </c>
      <c r="Y272"/>
      <c r="Z272">
        <v>20200131</v>
      </c>
      <c r="AA272">
        <f t="shared" si="4"/>
        <v>6202</v>
      </c>
      <c r="AC272"/>
      <c r="AF272"/>
      <c r="AL272">
        <v>340110590</v>
      </c>
      <c r="AM272" t="s">
        <v>37</v>
      </c>
    </row>
    <row r="273" spans="1:39" x14ac:dyDescent="0.35">
      <c r="A273">
        <v>3400</v>
      </c>
      <c r="B273" t="s">
        <v>47</v>
      </c>
      <c r="C273">
        <v>2020</v>
      </c>
      <c r="D273" s="1">
        <v>43831</v>
      </c>
      <c r="E273">
        <v>1</v>
      </c>
      <c r="F273">
        <v>880003902</v>
      </c>
      <c r="G273" t="s">
        <v>48</v>
      </c>
      <c r="H273">
        <v>40</v>
      </c>
      <c r="I273">
        <v>74010070</v>
      </c>
      <c r="J273">
        <v>11148112</v>
      </c>
      <c r="K273" t="s">
        <v>49</v>
      </c>
      <c r="L273" s="4">
        <v>4</v>
      </c>
      <c r="M273" t="s">
        <v>31</v>
      </c>
      <c r="N273" s="4">
        <v>4</v>
      </c>
      <c r="O273" t="s">
        <v>31</v>
      </c>
      <c r="P273" t="s">
        <v>50</v>
      </c>
      <c r="X273" t="s">
        <v>51</v>
      </c>
      <c r="Y273"/>
      <c r="Z273">
        <v>20200130</v>
      </c>
      <c r="AA273">
        <f t="shared" si="4"/>
        <v>4</v>
      </c>
      <c r="AC273"/>
      <c r="AF273"/>
      <c r="AL273">
        <v>340099150</v>
      </c>
      <c r="AM273" t="s">
        <v>52</v>
      </c>
    </row>
    <row r="274" spans="1:39" x14ac:dyDescent="0.35">
      <c r="A274">
        <v>3400</v>
      </c>
      <c r="B274" t="s">
        <v>53</v>
      </c>
      <c r="C274">
        <v>2020</v>
      </c>
      <c r="D274" s="1">
        <v>43831</v>
      </c>
      <c r="E274">
        <v>1</v>
      </c>
      <c r="F274">
        <v>880000507</v>
      </c>
      <c r="G274" t="s">
        <v>48</v>
      </c>
      <c r="H274">
        <v>40</v>
      </c>
      <c r="I274">
        <v>74010070</v>
      </c>
      <c r="J274">
        <v>11123192</v>
      </c>
      <c r="K274" t="s">
        <v>49</v>
      </c>
      <c r="L274" s="4">
        <v>27</v>
      </c>
      <c r="M274" t="s">
        <v>54</v>
      </c>
      <c r="N274" s="4">
        <v>507.81</v>
      </c>
      <c r="O274" t="s">
        <v>31</v>
      </c>
      <c r="X274" t="s">
        <v>55</v>
      </c>
      <c r="Y274"/>
      <c r="Z274">
        <v>20200117</v>
      </c>
      <c r="AA274">
        <f t="shared" ref="AA274:AA337" si="5">L274</f>
        <v>27</v>
      </c>
      <c r="AC274"/>
      <c r="AF274"/>
      <c r="AL274">
        <v>340099150</v>
      </c>
      <c r="AM274" t="s">
        <v>56</v>
      </c>
    </row>
    <row r="275" spans="1:39" x14ac:dyDescent="0.35">
      <c r="A275">
        <v>3403</v>
      </c>
      <c r="B275" t="s">
        <v>57</v>
      </c>
      <c r="C275">
        <v>2020</v>
      </c>
      <c r="D275" s="1">
        <v>43831</v>
      </c>
      <c r="E275">
        <v>8</v>
      </c>
      <c r="F275">
        <v>300007931</v>
      </c>
      <c r="G275" t="s">
        <v>29</v>
      </c>
      <c r="H275">
        <v>81</v>
      </c>
      <c r="I275">
        <v>71101060</v>
      </c>
      <c r="J275">
        <v>11500040</v>
      </c>
      <c r="K275" t="s">
        <v>30</v>
      </c>
      <c r="L275" s="4">
        <v>1050</v>
      </c>
      <c r="M275" t="s">
        <v>31</v>
      </c>
      <c r="N275" s="4">
        <v>1050</v>
      </c>
      <c r="O275" t="s">
        <v>31</v>
      </c>
      <c r="X275" t="s">
        <v>57</v>
      </c>
      <c r="Y275"/>
      <c r="Z275">
        <v>20200114</v>
      </c>
      <c r="AA275">
        <f t="shared" si="5"/>
        <v>1050</v>
      </c>
      <c r="AC275"/>
      <c r="AF275"/>
      <c r="AL275">
        <v>340333190</v>
      </c>
      <c r="AM275" t="s">
        <v>40</v>
      </c>
    </row>
    <row r="276" spans="1:39" x14ac:dyDescent="0.35">
      <c r="A276">
        <v>3403</v>
      </c>
      <c r="B276" t="s">
        <v>57</v>
      </c>
      <c r="C276">
        <v>2020</v>
      </c>
      <c r="D276" s="1">
        <v>43831</v>
      </c>
      <c r="E276">
        <v>28</v>
      </c>
      <c r="F276">
        <v>300007931</v>
      </c>
      <c r="G276" t="s">
        <v>29</v>
      </c>
      <c r="H276">
        <v>81</v>
      </c>
      <c r="I276">
        <v>71101060</v>
      </c>
      <c r="J276">
        <v>11500040</v>
      </c>
      <c r="K276" t="s">
        <v>30</v>
      </c>
      <c r="L276" s="4">
        <v>442.47</v>
      </c>
      <c r="M276" t="s">
        <v>31</v>
      </c>
      <c r="N276" s="4">
        <v>442.47</v>
      </c>
      <c r="O276" t="s">
        <v>31</v>
      </c>
      <c r="X276" t="s">
        <v>57</v>
      </c>
      <c r="Y276"/>
      <c r="Z276">
        <v>20200114</v>
      </c>
      <c r="AA276">
        <f t="shared" si="5"/>
        <v>442.47</v>
      </c>
      <c r="AC276"/>
      <c r="AF276"/>
      <c r="AL276">
        <v>340312490</v>
      </c>
      <c r="AM276" t="s">
        <v>40</v>
      </c>
    </row>
    <row r="277" spans="1:39" x14ac:dyDescent="0.35">
      <c r="A277">
        <v>3403</v>
      </c>
      <c r="B277" t="s">
        <v>57</v>
      </c>
      <c r="C277">
        <v>2020</v>
      </c>
      <c r="D277" s="1">
        <v>43831</v>
      </c>
      <c r="E277">
        <v>32</v>
      </c>
      <c r="F277">
        <v>300007931</v>
      </c>
      <c r="G277" t="s">
        <v>29</v>
      </c>
      <c r="H277">
        <v>81</v>
      </c>
      <c r="I277">
        <v>71101060</v>
      </c>
      <c r="J277">
        <v>11500040</v>
      </c>
      <c r="K277" t="s">
        <v>30</v>
      </c>
      <c r="L277" s="4">
        <v>205.2</v>
      </c>
      <c r="M277" t="s">
        <v>31</v>
      </c>
      <c r="N277" s="4">
        <v>205.2</v>
      </c>
      <c r="O277" t="s">
        <v>31</v>
      </c>
      <c r="X277" t="s">
        <v>57</v>
      </c>
      <c r="Y277"/>
      <c r="Z277">
        <v>20200114</v>
      </c>
      <c r="AA277">
        <f t="shared" si="5"/>
        <v>205.2</v>
      </c>
      <c r="AC277"/>
      <c r="AF277"/>
      <c r="AL277">
        <v>340312490</v>
      </c>
      <c r="AM277" t="s">
        <v>40</v>
      </c>
    </row>
    <row r="278" spans="1:39" x14ac:dyDescent="0.35">
      <c r="A278">
        <v>3403</v>
      </c>
      <c r="B278" t="s">
        <v>57</v>
      </c>
      <c r="C278">
        <v>2020</v>
      </c>
      <c r="D278" s="1">
        <v>43831</v>
      </c>
      <c r="E278">
        <v>34</v>
      </c>
      <c r="F278">
        <v>300007931</v>
      </c>
      <c r="G278" t="s">
        <v>29</v>
      </c>
      <c r="H278">
        <v>81</v>
      </c>
      <c r="I278">
        <v>71101060</v>
      </c>
      <c r="J278">
        <v>11500040</v>
      </c>
      <c r="K278" t="s">
        <v>30</v>
      </c>
      <c r="L278" s="4">
        <v>73.56</v>
      </c>
      <c r="M278" t="s">
        <v>31</v>
      </c>
      <c r="N278" s="4">
        <v>73.56</v>
      </c>
      <c r="O278" t="s">
        <v>31</v>
      </c>
      <c r="X278" t="s">
        <v>57</v>
      </c>
      <c r="Y278"/>
      <c r="Z278">
        <v>20200114</v>
      </c>
      <c r="AA278">
        <f t="shared" si="5"/>
        <v>73.56</v>
      </c>
      <c r="AC278"/>
      <c r="AF278"/>
      <c r="AL278">
        <v>340325290</v>
      </c>
      <c r="AM278" t="s">
        <v>40</v>
      </c>
    </row>
    <row r="279" spans="1:39" x14ac:dyDescent="0.35">
      <c r="A279">
        <v>3403</v>
      </c>
      <c r="B279" t="s">
        <v>57</v>
      </c>
      <c r="C279">
        <v>2020</v>
      </c>
      <c r="D279" s="1">
        <v>43831</v>
      </c>
      <c r="E279">
        <v>38</v>
      </c>
      <c r="F279">
        <v>300007931</v>
      </c>
      <c r="G279" t="s">
        <v>29</v>
      </c>
      <c r="H279">
        <v>81</v>
      </c>
      <c r="I279">
        <v>71101060</v>
      </c>
      <c r="J279">
        <v>11500040</v>
      </c>
      <c r="K279" t="s">
        <v>30</v>
      </c>
      <c r="L279" s="4">
        <v>3510</v>
      </c>
      <c r="M279" t="s">
        <v>31</v>
      </c>
      <c r="N279" s="4">
        <v>3510</v>
      </c>
      <c r="O279" t="s">
        <v>31</v>
      </c>
      <c r="X279" t="s">
        <v>57</v>
      </c>
      <c r="Y279"/>
      <c r="Z279">
        <v>20200114</v>
      </c>
      <c r="AA279">
        <f t="shared" si="5"/>
        <v>3510</v>
      </c>
      <c r="AC279"/>
      <c r="AF279"/>
      <c r="AL279">
        <v>340312890</v>
      </c>
      <c r="AM279" t="s">
        <v>40</v>
      </c>
    </row>
    <row r="280" spans="1:39" x14ac:dyDescent="0.35">
      <c r="A280">
        <v>3403</v>
      </c>
      <c r="B280" t="s">
        <v>57</v>
      </c>
      <c r="C280">
        <v>2020</v>
      </c>
      <c r="D280" s="1">
        <v>43831</v>
      </c>
      <c r="E280">
        <v>40</v>
      </c>
      <c r="F280">
        <v>300007931</v>
      </c>
      <c r="G280" t="s">
        <v>29</v>
      </c>
      <c r="H280">
        <v>81</v>
      </c>
      <c r="I280">
        <v>71101060</v>
      </c>
      <c r="J280">
        <v>11500040</v>
      </c>
      <c r="K280" t="s">
        <v>30</v>
      </c>
      <c r="L280" s="4">
        <v>360.87</v>
      </c>
      <c r="M280" t="s">
        <v>31</v>
      </c>
      <c r="N280" s="4">
        <v>360.87</v>
      </c>
      <c r="O280" t="s">
        <v>31</v>
      </c>
      <c r="X280" t="s">
        <v>57</v>
      </c>
      <c r="Y280"/>
      <c r="Z280">
        <v>20200114</v>
      </c>
      <c r="AA280">
        <f t="shared" si="5"/>
        <v>360.87</v>
      </c>
      <c r="AC280"/>
      <c r="AF280"/>
      <c r="AL280">
        <v>340312890</v>
      </c>
      <c r="AM280" t="s">
        <v>40</v>
      </c>
    </row>
    <row r="281" spans="1:39" x14ac:dyDescent="0.35">
      <c r="A281">
        <v>3403</v>
      </c>
      <c r="B281" t="s">
        <v>57</v>
      </c>
      <c r="C281">
        <v>2020</v>
      </c>
      <c r="D281" s="1">
        <v>43831</v>
      </c>
      <c r="E281">
        <v>54</v>
      </c>
      <c r="F281">
        <v>300007931</v>
      </c>
      <c r="G281" t="s">
        <v>29</v>
      </c>
      <c r="H281">
        <v>81</v>
      </c>
      <c r="I281">
        <v>71101060</v>
      </c>
      <c r="J281">
        <v>11500040</v>
      </c>
      <c r="K281" t="s">
        <v>30</v>
      </c>
      <c r="L281" s="4">
        <v>196.33</v>
      </c>
      <c r="M281" t="s">
        <v>31</v>
      </c>
      <c r="N281" s="4">
        <v>196.33</v>
      </c>
      <c r="O281" t="s">
        <v>31</v>
      </c>
      <c r="X281" t="s">
        <v>57</v>
      </c>
      <c r="Y281"/>
      <c r="Z281">
        <v>20200114</v>
      </c>
      <c r="AA281">
        <f t="shared" si="5"/>
        <v>196.33</v>
      </c>
      <c r="AC281"/>
      <c r="AF281"/>
      <c r="AL281">
        <v>340312890</v>
      </c>
      <c r="AM281" t="s">
        <v>40</v>
      </c>
    </row>
    <row r="282" spans="1:39" x14ac:dyDescent="0.35">
      <c r="A282">
        <v>3403</v>
      </c>
      <c r="B282" t="s">
        <v>57</v>
      </c>
      <c r="C282">
        <v>2020</v>
      </c>
      <c r="D282" s="1">
        <v>43831</v>
      </c>
      <c r="E282">
        <v>56</v>
      </c>
      <c r="F282">
        <v>300007931</v>
      </c>
      <c r="G282" t="s">
        <v>29</v>
      </c>
      <c r="H282">
        <v>81</v>
      </c>
      <c r="I282">
        <v>71101060</v>
      </c>
      <c r="J282">
        <v>11500040</v>
      </c>
      <c r="K282" t="s">
        <v>30</v>
      </c>
      <c r="L282" s="4">
        <v>177.6</v>
      </c>
      <c r="M282" t="s">
        <v>31</v>
      </c>
      <c r="N282" s="4">
        <v>177.6</v>
      </c>
      <c r="O282" t="s">
        <v>31</v>
      </c>
      <c r="X282" t="s">
        <v>57</v>
      </c>
      <c r="Y282"/>
      <c r="Z282">
        <v>20200114</v>
      </c>
      <c r="AA282">
        <f t="shared" si="5"/>
        <v>177.6</v>
      </c>
      <c r="AC282"/>
      <c r="AF282"/>
      <c r="AL282">
        <v>340312890</v>
      </c>
      <c r="AM282" t="s">
        <v>40</v>
      </c>
    </row>
    <row r="283" spans="1:39" x14ac:dyDescent="0.35">
      <c r="A283">
        <v>3403</v>
      </c>
      <c r="B283" t="s">
        <v>57</v>
      </c>
      <c r="C283">
        <v>2020</v>
      </c>
      <c r="D283" s="1">
        <v>43831</v>
      </c>
      <c r="E283">
        <v>58</v>
      </c>
      <c r="F283">
        <v>300007931</v>
      </c>
      <c r="G283" t="s">
        <v>29</v>
      </c>
      <c r="H283">
        <v>81</v>
      </c>
      <c r="I283">
        <v>71101060</v>
      </c>
      <c r="J283">
        <v>11500040</v>
      </c>
      <c r="K283" t="s">
        <v>30</v>
      </c>
      <c r="L283" s="4">
        <v>177.6</v>
      </c>
      <c r="M283" t="s">
        <v>31</v>
      </c>
      <c r="N283" s="4">
        <v>177.6</v>
      </c>
      <c r="O283" t="s">
        <v>31</v>
      </c>
      <c r="X283" t="s">
        <v>57</v>
      </c>
      <c r="Y283"/>
      <c r="Z283">
        <v>20200114</v>
      </c>
      <c r="AA283">
        <f t="shared" si="5"/>
        <v>177.6</v>
      </c>
      <c r="AC283"/>
      <c r="AF283"/>
      <c r="AL283">
        <v>340312890</v>
      </c>
      <c r="AM283" t="s">
        <v>40</v>
      </c>
    </row>
    <row r="284" spans="1:39" x14ac:dyDescent="0.35">
      <c r="A284">
        <v>3401</v>
      </c>
      <c r="B284" t="s">
        <v>28</v>
      </c>
      <c r="C284">
        <v>2020</v>
      </c>
      <c r="D284" s="1">
        <v>43831</v>
      </c>
      <c r="E284">
        <v>50</v>
      </c>
      <c r="F284">
        <v>100031722</v>
      </c>
      <c r="G284" t="s">
        <v>29</v>
      </c>
      <c r="H284">
        <v>81</v>
      </c>
      <c r="I284">
        <v>71101060</v>
      </c>
      <c r="J284">
        <v>11500060</v>
      </c>
      <c r="K284" t="s">
        <v>30</v>
      </c>
      <c r="L284" s="4">
        <v>1519.29</v>
      </c>
      <c r="M284" t="s">
        <v>31</v>
      </c>
      <c r="N284" s="4">
        <v>1519.29</v>
      </c>
      <c r="O284" t="s">
        <v>31</v>
      </c>
      <c r="X284" t="s">
        <v>28</v>
      </c>
      <c r="Y284"/>
      <c r="Z284">
        <v>20200131</v>
      </c>
      <c r="AA284">
        <f t="shared" si="5"/>
        <v>1519.29</v>
      </c>
      <c r="AC284"/>
      <c r="AF284"/>
      <c r="AL284">
        <v>340110590</v>
      </c>
      <c r="AM284" t="s">
        <v>37</v>
      </c>
    </row>
    <row r="285" spans="1:39" x14ac:dyDescent="0.35">
      <c r="A285">
        <v>3401</v>
      </c>
      <c r="B285" t="s">
        <v>28</v>
      </c>
      <c r="C285">
        <v>2020</v>
      </c>
      <c r="D285" s="1">
        <v>43831</v>
      </c>
      <c r="E285">
        <v>52</v>
      </c>
      <c r="F285">
        <v>100031722</v>
      </c>
      <c r="G285" t="s">
        <v>29</v>
      </c>
      <c r="H285">
        <v>81</v>
      </c>
      <c r="I285">
        <v>71101060</v>
      </c>
      <c r="J285">
        <v>11500060</v>
      </c>
      <c r="K285" t="s">
        <v>30</v>
      </c>
      <c r="L285" s="4">
        <v>11832.26</v>
      </c>
      <c r="M285" t="s">
        <v>31</v>
      </c>
      <c r="N285" s="4">
        <v>11832.26</v>
      </c>
      <c r="O285" t="s">
        <v>31</v>
      </c>
      <c r="X285" t="s">
        <v>28</v>
      </c>
      <c r="Y285"/>
      <c r="Z285">
        <v>20200131</v>
      </c>
      <c r="AA285">
        <f t="shared" si="5"/>
        <v>11832.26</v>
      </c>
      <c r="AC285"/>
      <c r="AF285"/>
      <c r="AL285">
        <v>340110590</v>
      </c>
      <c r="AM285" t="s">
        <v>37</v>
      </c>
    </row>
    <row r="286" spans="1:39" x14ac:dyDescent="0.35">
      <c r="A286">
        <v>3401</v>
      </c>
      <c r="B286" t="s">
        <v>28</v>
      </c>
      <c r="C286">
        <v>2020</v>
      </c>
      <c r="D286" s="1">
        <v>43831</v>
      </c>
      <c r="E286">
        <v>54</v>
      </c>
      <c r="F286">
        <v>100031722</v>
      </c>
      <c r="G286" t="s">
        <v>29</v>
      </c>
      <c r="H286">
        <v>81</v>
      </c>
      <c r="I286">
        <v>71101060</v>
      </c>
      <c r="J286">
        <v>11500060</v>
      </c>
      <c r="K286" t="s">
        <v>30</v>
      </c>
      <c r="L286" s="4">
        <v>1758.84</v>
      </c>
      <c r="M286" t="s">
        <v>31</v>
      </c>
      <c r="N286" s="4">
        <v>1758.84</v>
      </c>
      <c r="O286" t="s">
        <v>31</v>
      </c>
      <c r="X286" t="s">
        <v>28</v>
      </c>
      <c r="Y286"/>
      <c r="Z286">
        <v>20200131</v>
      </c>
      <c r="AA286">
        <f t="shared" si="5"/>
        <v>1758.84</v>
      </c>
      <c r="AC286"/>
      <c r="AF286"/>
      <c r="AL286">
        <v>340110590</v>
      </c>
      <c r="AM286" t="s">
        <v>37</v>
      </c>
    </row>
    <row r="287" spans="1:39" x14ac:dyDescent="0.35">
      <c r="A287">
        <v>3401</v>
      </c>
      <c r="B287" t="s">
        <v>28</v>
      </c>
      <c r="C287">
        <v>2020</v>
      </c>
      <c r="D287" s="1">
        <v>43831</v>
      </c>
      <c r="E287">
        <v>56</v>
      </c>
      <c r="F287">
        <v>100031722</v>
      </c>
      <c r="G287" t="s">
        <v>29</v>
      </c>
      <c r="H287">
        <v>81</v>
      </c>
      <c r="I287">
        <v>71101060</v>
      </c>
      <c r="J287">
        <v>11500060</v>
      </c>
      <c r="K287" t="s">
        <v>30</v>
      </c>
      <c r="L287" s="4">
        <v>2376.7600000000002</v>
      </c>
      <c r="M287" t="s">
        <v>31</v>
      </c>
      <c r="N287" s="4">
        <v>2376.7600000000002</v>
      </c>
      <c r="O287" t="s">
        <v>31</v>
      </c>
      <c r="X287" t="s">
        <v>28</v>
      </c>
      <c r="Y287"/>
      <c r="Z287">
        <v>20200131</v>
      </c>
      <c r="AA287">
        <f t="shared" si="5"/>
        <v>2376.7600000000002</v>
      </c>
      <c r="AC287"/>
      <c r="AF287"/>
      <c r="AL287">
        <v>340110590</v>
      </c>
      <c r="AM287" t="s">
        <v>37</v>
      </c>
    </row>
    <row r="288" spans="1:39" x14ac:dyDescent="0.35">
      <c r="A288">
        <v>3401</v>
      </c>
      <c r="B288" t="s">
        <v>28</v>
      </c>
      <c r="C288">
        <v>2020</v>
      </c>
      <c r="D288" s="1">
        <v>43831</v>
      </c>
      <c r="E288">
        <v>58</v>
      </c>
      <c r="F288">
        <v>100031722</v>
      </c>
      <c r="G288" t="s">
        <v>29</v>
      </c>
      <c r="H288">
        <v>81</v>
      </c>
      <c r="I288">
        <v>71101060</v>
      </c>
      <c r="J288">
        <v>11500060</v>
      </c>
      <c r="K288" t="s">
        <v>30</v>
      </c>
      <c r="L288" s="4">
        <v>7056.55</v>
      </c>
      <c r="M288" t="s">
        <v>31</v>
      </c>
      <c r="N288" s="4">
        <v>7056.55</v>
      </c>
      <c r="O288" t="s">
        <v>31</v>
      </c>
      <c r="X288" t="s">
        <v>28</v>
      </c>
      <c r="Y288"/>
      <c r="Z288">
        <v>20200131</v>
      </c>
      <c r="AA288">
        <f t="shared" si="5"/>
        <v>7056.55</v>
      </c>
      <c r="AC288"/>
      <c r="AF288"/>
      <c r="AL288">
        <v>340110590</v>
      </c>
      <c r="AM288" t="s">
        <v>37</v>
      </c>
    </row>
    <row r="289" spans="1:39" x14ac:dyDescent="0.35">
      <c r="A289">
        <v>3401</v>
      </c>
      <c r="B289" t="s">
        <v>28</v>
      </c>
      <c r="C289">
        <v>2020</v>
      </c>
      <c r="D289" s="1">
        <v>43831</v>
      </c>
      <c r="E289">
        <v>60</v>
      </c>
      <c r="F289">
        <v>100031722</v>
      </c>
      <c r="G289" t="s">
        <v>29</v>
      </c>
      <c r="H289">
        <v>81</v>
      </c>
      <c r="I289">
        <v>71101060</v>
      </c>
      <c r="J289">
        <v>11500060</v>
      </c>
      <c r="K289" t="s">
        <v>30</v>
      </c>
      <c r="L289" s="4">
        <v>1315.44</v>
      </c>
      <c r="M289" t="s">
        <v>31</v>
      </c>
      <c r="N289" s="4">
        <v>1315.44</v>
      </c>
      <c r="O289" t="s">
        <v>31</v>
      </c>
      <c r="X289" t="s">
        <v>28</v>
      </c>
      <c r="Y289"/>
      <c r="Z289">
        <v>20200131</v>
      </c>
      <c r="AA289">
        <f t="shared" si="5"/>
        <v>1315.44</v>
      </c>
      <c r="AC289"/>
      <c r="AF289"/>
      <c r="AL289">
        <v>340110590</v>
      </c>
      <c r="AM289" t="s">
        <v>37</v>
      </c>
    </row>
    <row r="290" spans="1:39" x14ac:dyDescent="0.35">
      <c r="A290">
        <v>3401</v>
      </c>
      <c r="B290" t="s">
        <v>28</v>
      </c>
      <c r="C290">
        <v>2020</v>
      </c>
      <c r="D290" s="1">
        <v>43831</v>
      </c>
      <c r="E290">
        <v>62</v>
      </c>
      <c r="F290">
        <v>100031722</v>
      </c>
      <c r="G290" t="s">
        <v>29</v>
      </c>
      <c r="H290">
        <v>81</v>
      </c>
      <c r="I290">
        <v>71101060</v>
      </c>
      <c r="J290">
        <v>11500060</v>
      </c>
      <c r="K290" t="s">
        <v>30</v>
      </c>
      <c r="L290" s="4">
        <v>2054.5</v>
      </c>
      <c r="M290" t="s">
        <v>31</v>
      </c>
      <c r="N290" s="4">
        <v>2054.5</v>
      </c>
      <c r="O290" t="s">
        <v>31</v>
      </c>
      <c r="X290" t="s">
        <v>28</v>
      </c>
      <c r="Y290"/>
      <c r="Z290">
        <v>20200131</v>
      </c>
      <c r="AA290">
        <f t="shared" si="5"/>
        <v>2054.5</v>
      </c>
      <c r="AC290"/>
      <c r="AF290"/>
      <c r="AL290">
        <v>340110590</v>
      </c>
      <c r="AM290" t="s">
        <v>37</v>
      </c>
    </row>
    <row r="291" spans="1:39" x14ac:dyDescent="0.35">
      <c r="A291">
        <v>3401</v>
      </c>
      <c r="B291" t="s">
        <v>28</v>
      </c>
      <c r="C291">
        <v>2020</v>
      </c>
      <c r="D291" s="1">
        <v>43831</v>
      </c>
      <c r="E291">
        <v>64</v>
      </c>
      <c r="F291">
        <v>100031722</v>
      </c>
      <c r="G291" t="s">
        <v>29</v>
      </c>
      <c r="H291">
        <v>81</v>
      </c>
      <c r="I291">
        <v>71101060</v>
      </c>
      <c r="J291">
        <v>11500060</v>
      </c>
      <c r="K291" t="s">
        <v>30</v>
      </c>
      <c r="L291" s="4">
        <v>8336.07</v>
      </c>
      <c r="M291" t="s">
        <v>31</v>
      </c>
      <c r="N291" s="4">
        <v>8336.07</v>
      </c>
      <c r="O291" t="s">
        <v>31</v>
      </c>
      <c r="X291" t="s">
        <v>28</v>
      </c>
      <c r="Y291"/>
      <c r="Z291">
        <v>20200131</v>
      </c>
      <c r="AA291">
        <f t="shared" si="5"/>
        <v>8336.07</v>
      </c>
      <c r="AC291"/>
      <c r="AF291"/>
      <c r="AL291">
        <v>340110590</v>
      </c>
      <c r="AM291" t="s">
        <v>37</v>
      </c>
    </row>
    <row r="292" spans="1:39" x14ac:dyDescent="0.35">
      <c r="A292">
        <v>3401</v>
      </c>
      <c r="B292" t="s">
        <v>28</v>
      </c>
      <c r="C292">
        <v>2020</v>
      </c>
      <c r="D292" s="1">
        <v>43831</v>
      </c>
      <c r="E292">
        <v>66</v>
      </c>
      <c r="F292">
        <v>100031722</v>
      </c>
      <c r="G292" t="s">
        <v>29</v>
      </c>
      <c r="H292">
        <v>81</v>
      </c>
      <c r="I292">
        <v>71101060</v>
      </c>
      <c r="J292">
        <v>11500060</v>
      </c>
      <c r="K292" t="s">
        <v>30</v>
      </c>
      <c r="L292" s="4">
        <v>1593.98</v>
      </c>
      <c r="M292" t="s">
        <v>31</v>
      </c>
      <c r="N292" s="4">
        <v>1593.98</v>
      </c>
      <c r="O292" t="s">
        <v>31</v>
      </c>
      <c r="X292" t="s">
        <v>28</v>
      </c>
      <c r="Y292"/>
      <c r="Z292">
        <v>20200131</v>
      </c>
      <c r="AA292">
        <f t="shared" si="5"/>
        <v>1593.98</v>
      </c>
      <c r="AC292"/>
      <c r="AF292"/>
      <c r="AL292">
        <v>340110590</v>
      </c>
      <c r="AM292" t="s">
        <v>37</v>
      </c>
    </row>
    <row r="293" spans="1:39" x14ac:dyDescent="0.35">
      <c r="A293">
        <v>3401</v>
      </c>
      <c r="B293" t="s">
        <v>28</v>
      </c>
      <c r="C293">
        <v>2020</v>
      </c>
      <c r="D293" s="1">
        <v>43831</v>
      </c>
      <c r="E293">
        <v>68</v>
      </c>
      <c r="F293">
        <v>100031722</v>
      </c>
      <c r="G293" t="s">
        <v>29</v>
      </c>
      <c r="H293">
        <v>81</v>
      </c>
      <c r="I293">
        <v>71101060</v>
      </c>
      <c r="J293">
        <v>11500060</v>
      </c>
      <c r="K293" t="s">
        <v>30</v>
      </c>
      <c r="L293" s="4">
        <v>420</v>
      </c>
      <c r="M293" t="s">
        <v>31</v>
      </c>
      <c r="N293" s="4">
        <v>420</v>
      </c>
      <c r="O293" t="s">
        <v>31</v>
      </c>
      <c r="X293" t="s">
        <v>28</v>
      </c>
      <c r="Y293"/>
      <c r="Z293">
        <v>20200131</v>
      </c>
      <c r="AA293">
        <f t="shared" si="5"/>
        <v>420</v>
      </c>
      <c r="AC293"/>
      <c r="AF293"/>
      <c r="AL293">
        <v>340110590</v>
      </c>
      <c r="AM293" t="s">
        <v>37</v>
      </c>
    </row>
    <row r="294" spans="1:39" x14ac:dyDescent="0.35">
      <c r="A294">
        <v>3401</v>
      </c>
      <c r="B294" t="s">
        <v>28</v>
      </c>
      <c r="C294">
        <v>2020</v>
      </c>
      <c r="D294" s="1">
        <v>43831</v>
      </c>
      <c r="E294">
        <v>70</v>
      </c>
      <c r="F294">
        <v>100031722</v>
      </c>
      <c r="G294" t="s">
        <v>29</v>
      </c>
      <c r="H294">
        <v>81</v>
      </c>
      <c r="I294">
        <v>71101060</v>
      </c>
      <c r="J294">
        <v>11500060</v>
      </c>
      <c r="K294" t="s">
        <v>30</v>
      </c>
      <c r="L294" s="4">
        <v>4920.03</v>
      </c>
      <c r="M294" t="s">
        <v>31</v>
      </c>
      <c r="N294" s="4">
        <v>4920.03</v>
      </c>
      <c r="O294" t="s">
        <v>31</v>
      </c>
      <c r="X294" t="s">
        <v>28</v>
      </c>
      <c r="Y294"/>
      <c r="Z294">
        <v>20200131</v>
      </c>
      <c r="AA294">
        <f t="shared" si="5"/>
        <v>4920.03</v>
      </c>
      <c r="AC294"/>
      <c r="AF294"/>
      <c r="AL294">
        <v>340110590</v>
      </c>
      <c r="AM294" t="s">
        <v>37</v>
      </c>
    </row>
    <row r="295" spans="1:39" x14ac:dyDescent="0.35">
      <c r="A295">
        <v>3401</v>
      </c>
      <c r="B295" t="s">
        <v>28</v>
      </c>
      <c r="C295">
        <v>2020</v>
      </c>
      <c r="D295" s="1">
        <v>43831</v>
      </c>
      <c r="E295">
        <v>72</v>
      </c>
      <c r="F295">
        <v>100031722</v>
      </c>
      <c r="G295" t="s">
        <v>29</v>
      </c>
      <c r="H295">
        <v>81</v>
      </c>
      <c r="I295">
        <v>71101060</v>
      </c>
      <c r="J295">
        <v>11500060</v>
      </c>
      <c r="K295" t="s">
        <v>30</v>
      </c>
      <c r="L295" s="4">
        <v>3719.3</v>
      </c>
      <c r="M295" t="s">
        <v>31</v>
      </c>
      <c r="N295" s="4">
        <v>3719.3</v>
      </c>
      <c r="O295" t="s">
        <v>31</v>
      </c>
      <c r="X295" t="s">
        <v>28</v>
      </c>
      <c r="Y295"/>
      <c r="Z295">
        <v>20200131</v>
      </c>
      <c r="AA295">
        <f t="shared" si="5"/>
        <v>3719.3</v>
      </c>
      <c r="AC295"/>
      <c r="AF295"/>
      <c r="AL295">
        <v>340110590</v>
      </c>
      <c r="AM295" t="s">
        <v>37</v>
      </c>
    </row>
    <row r="296" spans="1:39" x14ac:dyDescent="0.35">
      <c r="A296">
        <v>3401</v>
      </c>
      <c r="B296" t="s">
        <v>28</v>
      </c>
      <c r="C296">
        <v>2020</v>
      </c>
      <c r="D296" s="1">
        <v>43831</v>
      </c>
      <c r="E296">
        <v>74</v>
      </c>
      <c r="F296">
        <v>100031722</v>
      </c>
      <c r="G296" t="s">
        <v>29</v>
      </c>
      <c r="H296">
        <v>81</v>
      </c>
      <c r="I296">
        <v>71101060</v>
      </c>
      <c r="J296">
        <v>11500060</v>
      </c>
      <c r="K296" t="s">
        <v>30</v>
      </c>
      <c r="L296" s="4">
        <v>5148.45</v>
      </c>
      <c r="M296" t="s">
        <v>31</v>
      </c>
      <c r="N296" s="4">
        <v>5148.45</v>
      </c>
      <c r="O296" t="s">
        <v>31</v>
      </c>
      <c r="X296" t="s">
        <v>28</v>
      </c>
      <c r="Y296"/>
      <c r="Z296">
        <v>20200131</v>
      </c>
      <c r="AA296">
        <f t="shared" si="5"/>
        <v>5148.45</v>
      </c>
      <c r="AC296"/>
      <c r="AF296"/>
      <c r="AL296">
        <v>340110590</v>
      </c>
      <c r="AM296" t="s">
        <v>37</v>
      </c>
    </row>
    <row r="297" spans="1:39" x14ac:dyDescent="0.35">
      <c r="A297">
        <v>3403</v>
      </c>
      <c r="B297" t="s">
        <v>28</v>
      </c>
      <c r="C297">
        <v>2020</v>
      </c>
      <c r="D297" s="1">
        <v>43831</v>
      </c>
      <c r="E297">
        <v>22</v>
      </c>
      <c r="F297">
        <v>300017689</v>
      </c>
      <c r="G297" t="s">
        <v>29</v>
      </c>
      <c r="H297">
        <v>81</v>
      </c>
      <c r="I297">
        <v>71101060</v>
      </c>
      <c r="J297">
        <v>11500060</v>
      </c>
      <c r="K297" t="s">
        <v>30</v>
      </c>
      <c r="L297" s="4">
        <v>2136</v>
      </c>
      <c r="M297" t="s">
        <v>31</v>
      </c>
      <c r="N297" s="4">
        <v>2136</v>
      </c>
      <c r="O297" t="s">
        <v>31</v>
      </c>
      <c r="X297" t="s">
        <v>28</v>
      </c>
      <c r="Y297"/>
      <c r="Z297">
        <v>20200131</v>
      </c>
      <c r="AA297">
        <f t="shared" si="5"/>
        <v>2136</v>
      </c>
      <c r="AC297"/>
      <c r="AF297"/>
      <c r="AL297">
        <v>340312890</v>
      </c>
      <c r="AM297" t="s">
        <v>40</v>
      </c>
    </row>
    <row r="298" spans="1:39" x14ac:dyDescent="0.35">
      <c r="A298">
        <v>3403</v>
      </c>
      <c r="B298" t="s">
        <v>28</v>
      </c>
      <c r="C298">
        <v>2020</v>
      </c>
      <c r="D298" s="1">
        <v>43831</v>
      </c>
      <c r="E298">
        <v>24</v>
      </c>
      <c r="F298">
        <v>300017689</v>
      </c>
      <c r="G298" t="s">
        <v>29</v>
      </c>
      <c r="H298">
        <v>81</v>
      </c>
      <c r="I298">
        <v>71101060</v>
      </c>
      <c r="J298">
        <v>11500060</v>
      </c>
      <c r="K298" t="s">
        <v>30</v>
      </c>
      <c r="L298" s="4">
        <v>278.88</v>
      </c>
      <c r="M298" t="s">
        <v>31</v>
      </c>
      <c r="N298" s="4">
        <v>278.88</v>
      </c>
      <c r="O298" t="s">
        <v>31</v>
      </c>
      <c r="X298" t="s">
        <v>28</v>
      </c>
      <c r="Y298"/>
      <c r="Z298">
        <v>20200131</v>
      </c>
      <c r="AA298">
        <f t="shared" si="5"/>
        <v>278.88</v>
      </c>
      <c r="AC298"/>
      <c r="AF298"/>
      <c r="AL298">
        <v>340312890</v>
      </c>
      <c r="AM298" t="s">
        <v>40</v>
      </c>
    </row>
    <row r="299" spans="1:39" x14ac:dyDescent="0.35">
      <c r="A299">
        <v>3403</v>
      </c>
      <c r="B299" t="s">
        <v>28</v>
      </c>
      <c r="C299">
        <v>2020</v>
      </c>
      <c r="D299" s="1">
        <v>43831</v>
      </c>
      <c r="E299">
        <v>26</v>
      </c>
      <c r="F299">
        <v>300017689</v>
      </c>
      <c r="G299" t="s">
        <v>29</v>
      </c>
      <c r="H299">
        <v>81</v>
      </c>
      <c r="I299">
        <v>71101060</v>
      </c>
      <c r="J299">
        <v>11500060</v>
      </c>
      <c r="K299" t="s">
        <v>30</v>
      </c>
      <c r="L299" s="4">
        <v>456</v>
      </c>
      <c r="M299" t="s">
        <v>31</v>
      </c>
      <c r="N299" s="4">
        <v>456</v>
      </c>
      <c r="O299" t="s">
        <v>31</v>
      </c>
      <c r="X299" t="s">
        <v>28</v>
      </c>
      <c r="Y299"/>
      <c r="Z299">
        <v>20200131</v>
      </c>
      <c r="AA299">
        <f t="shared" si="5"/>
        <v>456</v>
      </c>
      <c r="AC299"/>
      <c r="AF299"/>
      <c r="AL299">
        <v>340312890</v>
      </c>
      <c r="AM299" t="s">
        <v>40</v>
      </c>
    </row>
    <row r="300" spans="1:39" x14ac:dyDescent="0.35">
      <c r="A300">
        <v>3403</v>
      </c>
      <c r="B300" t="s">
        <v>28</v>
      </c>
      <c r="C300">
        <v>2020</v>
      </c>
      <c r="D300" s="1">
        <v>43831</v>
      </c>
      <c r="E300">
        <v>28</v>
      </c>
      <c r="F300">
        <v>300017689</v>
      </c>
      <c r="G300" t="s">
        <v>29</v>
      </c>
      <c r="H300">
        <v>81</v>
      </c>
      <c r="I300">
        <v>71101060</v>
      </c>
      <c r="J300">
        <v>11500060</v>
      </c>
      <c r="K300" t="s">
        <v>30</v>
      </c>
      <c r="L300" s="4">
        <v>1410</v>
      </c>
      <c r="M300" t="s">
        <v>31</v>
      </c>
      <c r="N300" s="4">
        <v>1410</v>
      </c>
      <c r="O300" t="s">
        <v>31</v>
      </c>
      <c r="X300" t="s">
        <v>28</v>
      </c>
      <c r="Y300"/>
      <c r="Z300">
        <v>20200131</v>
      </c>
      <c r="AA300">
        <f t="shared" si="5"/>
        <v>1410</v>
      </c>
      <c r="AC300"/>
      <c r="AF300"/>
      <c r="AL300">
        <v>340312890</v>
      </c>
      <c r="AM300" t="s">
        <v>40</v>
      </c>
    </row>
    <row r="301" spans="1:39" x14ac:dyDescent="0.35">
      <c r="A301">
        <v>3403</v>
      </c>
      <c r="B301" t="s">
        <v>28</v>
      </c>
      <c r="C301">
        <v>2020</v>
      </c>
      <c r="D301" s="1">
        <v>43831</v>
      </c>
      <c r="E301">
        <v>30</v>
      </c>
      <c r="F301">
        <v>300017689</v>
      </c>
      <c r="G301" t="s">
        <v>29</v>
      </c>
      <c r="H301">
        <v>81</v>
      </c>
      <c r="I301">
        <v>71101060</v>
      </c>
      <c r="J301">
        <v>11500060</v>
      </c>
      <c r="K301" t="s">
        <v>30</v>
      </c>
      <c r="L301" s="4">
        <v>877.8</v>
      </c>
      <c r="M301" t="s">
        <v>31</v>
      </c>
      <c r="N301" s="4">
        <v>877.8</v>
      </c>
      <c r="O301" t="s">
        <v>31</v>
      </c>
      <c r="X301" t="s">
        <v>28</v>
      </c>
      <c r="Y301"/>
      <c r="Z301">
        <v>20200131</v>
      </c>
      <c r="AA301">
        <f t="shared" si="5"/>
        <v>877.8</v>
      </c>
      <c r="AC301"/>
      <c r="AF301"/>
      <c r="AL301">
        <v>340312890</v>
      </c>
      <c r="AM301" t="s">
        <v>40</v>
      </c>
    </row>
    <row r="302" spans="1:39" x14ac:dyDescent="0.35">
      <c r="A302">
        <v>3403</v>
      </c>
      <c r="B302" t="s">
        <v>28</v>
      </c>
      <c r="C302">
        <v>2020</v>
      </c>
      <c r="D302" s="1">
        <v>43831</v>
      </c>
      <c r="E302">
        <v>32</v>
      </c>
      <c r="F302">
        <v>300017689</v>
      </c>
      <c r="G302" t="s">
        <v>29</v>
      </c>
      <c r="H302">
        <v>81</v>
      </c>
      <c r="I302">
        <v>71101060</v>
      </c>
      <c r="J302">
        <v>11500060</v>
      </c>
      <c r="K302" t="s">
        <v>30</v>
      </c>
      <c r="L302" s="4">
        <v>66.400000000000006</v>
      </c>
      <c r="M302" t="s">
        <v>31</v>
      </c>
      <c r="N302" s="4">
        <v>66.400000000000006</v>
      </c>
      <c r="O302" t="s">
        <v>31</v>
      </c>
      <c r="X302" t="s">
        <v>28</v>
      </c>
      <c r="Y302"/>
      <c r="Z302">
        <v>20200131</v>
      </c>
      <c r="AA302">
        <f t="shared" si="5"/>
        <v>66.400000000000006</v>
      </c>
      <c r="AC302"/>
      <c r="AF302"/>
      <c r="AL302">
        <v>340312890</v>
      </c>
      <c r="AM302" t="s">
        <v>40</v>
      </c>
    </row>
    <row r="303" spans="1:39" x14ac:dyDescent="0.35">
      <c r="A303">
        <v>3403</v>
      </c>
      <c r="B303" t="s">
        <v>28</v>
      </c>
      <c r="C303">
        <v>2020</v>
      </c>
      <c r="D303" s="1">
        <v>43831</v>
      </c>
      <c r="E303">
        <v>34</v>
      </c>
      <c r="F303">
        <v>300017689</v>
      </c>
      <c r="G303" t="s">
        <v>29</v>
      </c>
      <c r="H303">
        <v>81</v>
      </c>
      <c r="I303">
        <v>71101060</v>
      </c>
      <c r="J303">
        <v>11500060</v>
      </c>
      <c r="K303" t="s">
        <v>30</v>
      </c>
      <c r="L303" s="4">
        <v>67</v>
      </c>
      <c r="M303" t="s">
        <v>31</v>
      </c>
      <c r="N303" s="4">
        <v>67</v>
      </c>
      <c r="O303" t="s">
        <v>31</v>
      </c>
      <c r="X303" t="s">
        <v>28</v>
      </c>
      <c r="Y303"/>
      <c r="Z303">
        <v>20200131</v>
      </c>
      <c r="AA303">
        <f t="shared" si="5"/>
        <v>67</v>
      </c>
      <c r="AC303"/>
      <c r="AF303"/>
      <c r="AL303">
        <v>340312890</v>
      </c>
      <c r="AM303" t="s">
        <v>40</v>
      </c>
    </row>
    <row r="304" spans="1:39" x14ac:dyDescent="0.35">
      <c r="A304">
        <v>3403</v>
      </c>
      <c r="B304" t="s">
        <v>28</v>
      </c>
      <c r="C304">
        <v>2020</v>
      </c>
      <c r="D304" s="1">
        <v>43831</v>
      </c>
      <c r="E304">
        <v>36</v>
      </c>
      <c r="F304">
        <v>300017689</v>
      </c>
      <c r="G304" t="s">
        <v>29</v>
      </c>
      <c r="H304">
        <v>81</v>
      </c>
      <c r="I304">
        <v>71101060</v>
      </c>
      <c r="J304">
        <v>11500060</v>
      </c>
      <c r="K304" t="s">
        <v>30</v>
      </c>
      <c r="L304" s="4">
        <v>142</v>
      </c>
      <c r="M304" t="s">
        <v>31</v>
      </c>
      <c r="N304" s="4">
        <v>142</v>
      </c>
      <c r="O304" t="s">
        <v>31</v>
      </c>
      <c r="X304" t="s">
        <v>28</v>
      </c>
      <c r="Y304"/>
      <c r="Z304">
        <v>20200131</v>
      </c>
      <c r="AA304">
        <f t="shared" si="5"/>
        <v>142</v>
      </c>
      <c r="AC304"/>
      <c r="AF304"/>
      <c r="AL304">
        <v>340312890</v>
      </c>
      <c r="AM304" t="s">
        <v>40</v>
      </c>
    </row>
    <row r="305" spans="1:39" x14ac:dyDescent="0.35">
      <c r="A305">
        <v>3403</v>
      </c>
      <c r="B305" t="s">
        <v>28</v>
      </c>
      <c r="C305">
        <v>2020</v>
      </c>
      <c r="D305" s="1">
        <v>43831</v>
      </c>
      <c r="E305">
        <v>38</v>
      </c>
      <c r="F305">
        <v>300017689</v>
      </c>
      <c r="G305" t="s">
        <v>29</v>
      </c>
      <c r="H305">
        <v>81</v>
      </c>
      <c r="I305">
        <v>71101060</v>
      </c>
      <c r="J305">
        <v>11500060</v>
      </c>
      <c r="K305" t="s">
        <v>30</v>
      </c>
      <c r="L305" s="4">
        <v>142</v>
      </c>
      <c r="M305" t="s">
        <v>31</v>
      </c>
      <c r="N305" s="4">
        <v>142</v>
      </c>
      <c r="O305" t="s">
        <v>31</v>
      </c>
      <c r="X305" t="s">
        <v>28</v>
      </c>
      <c r="Y305"/>
      <c r="Z305">
        <v>20200131</v>
      </c>
      <c r="AA305">
        <f t="shared" si="5"/>
        <v>142</v>
      </c>
      <c r="AC305"/>
      <c r="AF305"/>
      <c r="AL305">
        <v>340312890</v>
      </c>
      <c r="AM305" t="s">
        <v>40</v>
      </c>
    </row>
    <row r="306" spans="1:39" x14ac:dyDescent="0.35">
      <c r="A306">
        <v>3403</v>
      </c>
      <c r="B306" t="s">
        <v>28</v>
      </c>
      <c r="C306">
        <v>2020</v>
      </c>
      <c r="D306" s="1">
        <v>43831</v>
      </c>
      <c r="E306">
        <v>40</v>
      </c>
      <c r="F306">
        <v>300017689</v>
      </c>
      <c r="G306" t="s">
        <v>29</v>
      </c>
      <c r="H306">
        <v>81</v>
      </c>
      <c r="I306">
        <v>71101060</v>
      </c>
      <c r="J306">
        <v>11500060</v>
      </c>
      <c r="K306" t="s">
        <v>30</v>
      </c>
      <c r="L306" s="4">
        <v>142</v>
      </c>
      <c r="M306" t="s">
        <v>31</v>
      </c>
      <c r="N306" s="4">
        <v>142</v>
      </c>
      <c r="O306" t="s">
        <v>31</v>
      </c>
      <c r="X306" t="s">
        <v>28</v>
      </c>
      <c r="Y306"/>
      <c r="Z306">
        <v>20200131</v>
      </c>
      <c r="AA306">
        <f t="shared" si="5"/>
        <v>142</v>
      </c>
      <c r="AC306"/>
      <c r="AF306"/>
      <c r="AL306">
        <v>340312890</v>
      </c>
      <c r="AM306" t="s">
        <v>40</v>
      </c>
    </row>
    <row r="307" spans="1:39" x14ac:dyDescent="0.35">
      <c r="A307">
        <v>3403</v>
      </c>
      <c r="B307" t="s">
        <v>28</v>
      </c>
      <c r="C307">
        <v>2020</v>
      </c>
      <c r="D307" s="1">
        <v>43831</v>
      </c>
      <c r="E307">
        <v>42</v>
      </c>
      <c r="F307">
        <v>300017689</v>
      </c>
      <c r="G307" t="s">
        <v>29</v>
      </c>
      <c r="H307">
        <v>81</v>
      </c>
      <c r="I307">
        <v>71101060</v>
      </c>
      <c r="J307">
        <v>11500060</v>
      </c>
      <c r="K307" t="s">
        <v>30</v>
      </c>
      <c r="L307" s="4">
        <v>190</v>
      </c>
      <c r="M307" t="s">
        <v>31</v>
      </c>
      <c r="N307" s="4">
        <v>190</v>
      </c>
      <c r="O307" t="s">
        <v>31</v>
      </c>
      <c r="X307" t="s">
        <v>28</v>
      </c>
      <c r="Y307"/>
      <c r="Z307">
        <v>20200131</v>
      </c>
      <c r="AA307">
        <f t="shared" si="5"/>
        <v>190</v>
      </c>
      <c r="AC307"/>
      <c r="AF307"/>
      <c r="AL307">
        <v>340312890</v>
      </c>
      <c r="AM307" t="s">
        <v>40</v>
      </c>
    </row>
    <row r="308" spans="1:39" x14ac:dyDescent="0.35">
      <c r="A308">
        <v>3403</v>
      </c>
      <c r="B308" t="s">
        <v>28</v>
      </c>
      <c r="C308">
        <v>2020</v>
      </c>
      <c r="D308" s="1">
        <v>43831</v>
      </c>
      <c r="E308">
        <v>44</v>
      </c>
      <c r="F308">
        <v>300017689</v>
      </c>
      <c r="G308" t="s">
        <v>29</v>
      </c>
      <c r="H308">
        <v>81</v>
      </c>
      <c r="I308">
        <v>71101060</v>
      </c>
      <c r="J308">
        <v>11500060</v>
      </c>
      <c r="K308" t="s">
        <v>30</v>
      </c>
      <c r="L308" s="4">
        <v>477.6</v>
      </c>
      <c r="M308" t="s">
        <v>31</v>
      </c>
      <c r="N308" s="4">
        <v>477.6</v>
      </c>
      <c r="O308" t="s">
        <v>31</v>
      </c>
      <c r="X308" t="s">
        <v>28</v>
      </c>
      <c r="Y308"/>
      <c r="Z308">
        <v>20200131</v>
      </c>
      <c r="AA308">
        <f t="shared" si="5"/>
        <v>477.6</v>
      </c>
      <c r="AC308"/>
      <c r="AF308"/>
      <c r="AL308">
        <v>340312890</v>
      </c>
      <c r="AM308" t="s">
        <v>40</v>
      </c>
    </row>
    <row r="309" spans="1:39" x14ac:dyDescent="0.35">
      <c r="A309">
        <v>3403</v>
      </c>
      <c r="B309" t="s">
        <v>28</v>
      </c>
      <c r="C309">
        <v>2020</v>
      </c>
      <c r="D309" s="1">
        <v>43831</v>
      </c>
      <c r="E309">
        <v>48</v>
      </c>
      <c r="F309">
        <v>300017689</v>
      </c>
      <c r="G309" t="s">
        <v>29</v>
      </c>
      <c r="H309">
        <v>81</v>
      </c>
      <c r="I309">
        <v>71101060</v>
      </c>
      <c r="J309">
        <v>11500060</v>
      </c>
      <c r="K309" t="s">
        <v>30</v>
      </c>
      <c r="L309" s="4">
        <v>3350.65</v>
      </c>
      <c r="M309" t="s">
        <v>31</v>
      </c>
      <c r="N309" s="4">
        <v>3350.65</v>
      </c>
      <c r="O309" t="s">
        <v>31</v>
      </c>
      <c r="X309" t="s">
        <v>28</v>
      </c>
      <c r="Y309"/>
      <c r="Z309">
        <v>20200131</v>
      </c>
      <c r="AA309">
        <f t="shared" si="5"/>
        <v>3350.65</v>
      </c>
      <c r="AC309"/>
      <c r="AF309"/>
      <c r="AL309">
        <v>340312890</v>
      </c>
      <c r="AM309" t="s">
        <v>40</v>
      </c>
    </row>
    <row r="310" spans="1:39" x14ac:dyDescent="0.35">
      <c r="A310">
        <v>3403</v>
      </c>
      <c r="B310" t="s">
        <v>28</v>
      </c>
      <c r="C310">
        <v>2020</v>
      </c>
      <c r="D310" s="1">
        <v>43831</v>
      </c>
      <c r="E310">
        <v>52</v>
      </c>
      <c r="F310">
        <v>300017689</v>
      </c>
      <c r="G310" t="s">
        <v>29</v>
      </c>
      <c r="H310">
        <v>81</v>
      </c>
      <c r="I310">
        <v>71101060</v>
      </c>
      <c r="J310">
        <v>11500060</v>
      </c>
      <c r="K310" t="s">
        <v>30</v>
      </c>
      <c r="L310" s="4">
        <v>1160</v>
      </c>
      <c r="M310" t="s">
        <v>31</v>
      </c>
      <c r="N310" s="4">
        <v>1160</v>
      </c>
      <c r="O310" t="s">
        <v>31</v>
      </c>
      <c r="X310" t="s">
        <v>28</v>
      </c>
      <c r="Y310"/>
      <c r="Z310">
        <v>20200131</v>
      </c>
      <c r="AA310">
        <f t="shared" si="5"/>
        <v>1160</v>
      </c>
      <c r="AC310"/>
      <c r="AF310"/>
      <c r="AL310">
        <v>340312890</v>
      </c>
      <c r="AM310" t="s">
        <v>40</v>
      </c>
    </row>
    <row r="311" spans="1:39" x14ac:dyDescent="0.35">
      <c r="A311">
        <v>3403</v>
      </c>
      <c r="B311" t="s">
        <v>28</v>
      </c>
      <c r="C311">
        <v>2020</v>
      </c>
      <c r="D311" s="1">
        <v>43831</v>
      </c>
      <c r="E311">
        <v>54</v>
      </c>
      <c r="F311">
        <v>300017689</v>
      </c>
      <c r="G311" t="s">
        <v>29</v>
      </c>
      <c r="H311">
        <v>81</v>
      </c>
      <c r="I311">
        <v>71101060</v>
      </c>
      <c r="J311">
        <v>11500060</v>
      </c>
      <c r="K311" t="s">
        <v>30</v>
      </c>
      <c r="L311" s="4">
        <v>1852</v>
      </c>
      <c r="M311" t="s">
        <v>31</v>
      </c>
      <c r="N311" s="4">
        <v>1852</v>
      </c>
      <c r="O311" t="s">
        <v>31</v>
      </c>
      <c r="X311" t="s">
        <v>28</v>
      </c>
      <c r="Y311"/>
      <c r="Z311">
        <v>20200131</v>
      </c>
      <c r="AA311">
        <f t="shared" si="5"/>
        <v>1852</v>
      </c>
      <c r="AC311"/>
      <c r="AF311"/>
      <c r="AL311">
        <v>340312890</v>
      </c>
      <c r="AM311" t="s">
        <v>40</v>
      </c>
    </row>
    <row r="312" spans="1:39" x14ac:dyDescent="0.35">
      <c r="A312">
        <v>3403</v>
      </c>
      <c r="B312" t="s">
        <v>28</v>
      </c>
      <c r="C312">
        <v>2020</v>
      </c>
      <c r="D312" s="1">
        <v>43831</v>
      </c>
      <c r="E312">
        <v>56</v>
      </c>
      <c r="F312">
        <v>300017689</v>
      </c>
      <c r="G312" t="s">
        <v>29</v>
      </c>
      <c r="H312">
        <v>81</v>
      </c>
      <c r="I312">
        <v>71101060</v>
      </c>
      <c r="J312">
        <v>11500060</v>
      </c>
      <c r="K312" t="s">
        <v>30</v>
      </c>
      <c r="L312" s="4">
        <v>2513.2800000000002</v>
      </c>
      <c r="M312" t="s">
        <v>31</v>
      </c>
      <c r="N312" s="4">
        <v>2513.2800000000002</v>
      </c>
      <c r="O312" t="s">
        <v>31</v>
      </c>
      <c r="X312" t="s">
        <v>28</v>
      </c>
      <c r="Y312"/>
      <c r="Z312">
        <v>20200131</v>
      </c>
      <c r="AA312">
        <f t="shared" si="5"/>
        <v>2513.2800000000002</v>
      </c>
      <c r="AC312"/>
      <c r="AF312"/>
      <c r="AL312">
        <v>340312890</v>
      </c>
      <c r="AM312" t="s">
        <v>40</v>
      </c>
    </row>
    <row r="313" spans="1:39" x14ac:dyDescent="0.35">
      <c r="A313">
        <v>3403</v>
      </c>
      <c r="B313" t="s">
        <v>28</v>
      </c>
      <c r="C313">
        <v>2020</v>
      </c>
      <c r="D313" s="1">
        <v>43831</v>
      </c>
      <c r="E313">
        <v>64</v>
      </c>
      <c r="F313">
        <v>300017689</v>
      </c>
      <c r="G313" t="s">
        <v>29</v>
      </c>
      <c r="H313">
        <v>81</v>
      </c>
      <c r="I313">
        <v>71101060</v>
      </c>
      <c r="J313">
        <v>11500060</v>
      </c>
      <c r="K313" t="s">
        <v>30</v>
      </c>
      <c r="L313" s="4">
        <v>2968.4</v>
      </c>
      <c r="M313" t="s">
        <v>31</v>
      </c>
      <c r="N313" s="4">
        <v>2968.4</v>
      </c>
      <c r="O313" t="s">
        <v>31</v>
      </c>
      <c r="X313" t="s">
        <v>28</v>
      </c>
      <c r="Y313"/>
      <c r="Z313">
        <v>20200131</v>
      </c>
      <c r="AA313">
        <f t="shared" si="5"/>
        <v>2968.4</v>
      </c>
      <c r="AC313"/>
      <c r="AF313"/>
      <c r="AL313">
        <v>340312890</v>
      </c>
      <c r="AM313" t="s">
        <v>40</v>
      </c>
    </row>
    <row r="314" spans="1:39" x14ac:dyDescent="0.35">
      <c r="A314">
        <v>3403</v>
      </c>
      <c r="B314" t="s">
        <v>28</v>
      </c>
      <c r="C314">
        <v>2020</v>
      </c>
      <c r="D314" s="1">
        <v>43831</v>
      </c>
      <c r="E314">
        <v>66</v>
      </c>
      <c r="F314">
        <v>300017689</v>
      </c>
      <c r="G314" t="s">
        <v>29</v>
      </c>
      <c r="H314">
        <v>81</v>
      </c>
      <c r="I314">
        <v>71101060</v>
      </c>
      <c r="J314">
        <v>11500060</v>
      </c>
      <c r="K314" t="s">
        <v>30</v>
      </c>
      <c r="L314" s="4">
        <v>1925.4</v>
      </c>
      <c r="M314" t="s">
        <v>31</v>
      </c>
      <c r="N314" s="4">
        <v>1925.4</v>
      </c>
      <c r="O314" t="s">
        <v>31</v>
      </c>
      <c r="X314" t="s">
        <v>28</v>
      </c>
      <c r="Y314"/>
      <c r="Z314">
        <v>20200131</v>
      </c>
      <c r="AA314">
        <f t="shared" si="5"/>
        <v>1925.4</v>
      </c>
      <c r="AC314"/>
      <c r="AF314"/>
      <c r="AL314">
        <v>340312890</v>
      </c>
      <c r="AM314" t="s">
        <v>40</v>
      </c>
    </row>
    <row r="315" spans="1:39" x14ac:dyDescent="0.35">
      <c r="A315">
        <v>3403</v>
      </c>
      <c r="B315" t="s">
        <v>28</v>
      </c>
      <c r="C315">
        <v>2020</v>
      </c>
      <c r="D315" s="1">
        <v>43831</v>
      </c>
      <c r="E315">
        <v>68</v>
      </c>
      <c r="F315">
        <v>300017689</v>
      </c>
      <c r="G315" t="s">
        <v>29</v>
      </c>
      <c r="H315">
        <v>81</v>
      </c>
      <c r="I315">
        <v>71101060</v>
      </c>
      <c r="J315">
        <v>11500060</v>
      </c>
      <c r="K315" t="s">
        <v>30</v>
      </c>
      <c r="L315" s="4">
        <v>1758.84</v>
      </c>
      <c r="M315" t="s">
        <v>31</v>
      </c>
      <c r="N315" s="4">
        <v>1758.84</v>
      </c>
      <c r="O315" t="s">
        <v>31</v>
      </c>
      <c r="X315" t="s">
        <v>28</v>
      </c>
      <c r="Y315"/>
      <c r="Z315">
        <v>20200131</v>
      </c>
      <c r="AA315">
        <f t="shared" si="5"/>
        <v>1758.84</v>
      </c>
      <c r="AC315"/>
      <c r="AF315"/>
      <c r="AL315">
        <v>340312890</v>
      </c>
      <c r="AM315" t="s">
        <v>40</v>
      </c>
    </row>
    <row r="316" spans="1:39" x14ac:dyDescent="0.35">
      <c r="A316">
        <v>3403</v>
      </c>
      <c r="B316" t="s">
        <v>28</v>
      </c>
      <c r="C316">
        <v>2020</v>
      </c>
      <c r="D316" s="1">
        <v>43831</v>
      </c>
      <c r="E316">
        <v>70</v>
      </c>
      <c r="F316">
        <v>300017689</v>
      </c>
      <c r="G316" t="s">
        <v>29</v>
      </c>
      <c r="H316">
        <v>81</v>
      </c>
      <c r="I316">
        <v>71101060</v>
      </c>
      <c r="J316">
        <v>11500060</v>
      </c>
      <c r="K316" t="s">
        <v>30</v>
      </c>
      <c r="L316" s="4">
        <v>9507.0400000000009</v>
      </c>
      <c r="M316" t="s">
        <v>31</v>
      </c>
      <c r="N316" s="4">
        <v>9507.0400000000009</v>
      </c>
      <c r="O316" t="s">
        <v>31</v>
      </c>
      <c r="X316" t="s">
        <v>28</v>
      </c>
      <c r="Y316"/>
      <c r="Z316">
        <v>20200131</v>
      </c>
      <c r="AA316">
        <f t="shared" si="5"/>
        <v>9507.0400000000009</v>
      </c>
      <c r="AC316"/>
      <c r="AF316"/>
      <c r="AL316">
        <v>340312890</v>
      </c>
      <c r="AM316" t="s">
        <v>40</v>
      </c>
    </row>
    <row r="317" spans="1:39" x14ac:dyDescent="0.35">
      <c r="A317">
        <v>3403</v>
      </c>
      <c r="B317" t="s">
        <v>28</v>
      </c>
      <c r="C317">
        <v>2020</v>
      </c>
      <c r="D317" s="1">
        <v>43831</v>
      </c>
      <c r="E317">
        <v>72</v>
      </c>
      <c r="F317">
        <v>300017689</v>
      </c>
      <c r="G317" t="s">
        <v>29</v>
      </c>
      <c r="H317">
        <v>81</v>
      </c>
      <c r="I317">
        <v>71101060</v>
      </c>
      <c r="J317">
        <v>11500060</v>
      </c>
      <c r="K317" t="s">
        <v>30</v>
      </c>
      <c r="L317" s="4">
        <v>6257.8</v>
      </c>
      <c r="M317" t="s">
        <v>31</v>
      </c>
      <c r="N317" s="4">
        <v>6257.8</v>
      </c>
      <c r="O317" t="s">
        <v>31</v>
      </c>
      <c r="X317" t="s">
        <v>28</v>
      </c>
      <c r="Y317"/>
      <c r="Z317">
        <v>20200131</v>
      </c>
      <c r="AA317">
        <f t="shared" si="5"/>
        <v>6257.8</v>
      </c>
      <c r="AC317"/>
      <c r="AF317"/>
      <c r="AL317">
        <v>340312890</v>
      </c>
      <c r="AM317" t="s">
        <v>40</v>
      </c>
    </row>
    <row r="318" spans="1:39" x14ac:dyDescent="0.35">
      <c r="A318">
        <v>3403</v>
      </c>
      <c r="B318" t="s">
        <v>28</v>
      </c>
      <c r="C318">
        <v>2020</v>
      </c>
      <c r="D318" s="1">
        <v>43831</v>
      </c>
      <c r="E318">
        <v>74</v>
      </c>
      <c r="F318">
        <v>300017689</v>
      </c>
      <c r="G318" t="s">
        <v>29</v>
      </c>
      <c r="H318">
        <v>81</v>
      </c>
      <c r="I318">
        <v>71101060</v>
      </c>
      <c r="J318">
        <v>11500060</v>
      </c>
      <c r="K318" t="s">
        <v>30</v>
      </c>
      <c r="L318" s="4">
        <v>5746.88</v>
      </c>
      <c r="M318" t="s">
        <v>31</v>
      </c>
      <c r="N318" s="4">
        <v>5746.88</v>
      </c>
      <c r="O318" t="s">
        <v>31</v>
      </c>
      <c r="X318" t="s">
        <v>28</v>
      </c>
      <c r="Y318"/>
      <c r="Z318">
        <v>20200131</v>
      </c>
      <c r="AA318">
        <f t="shared" si="5"/>
        <v>5746.88</v>
      </c>
      <c r="AC318"/>
      <c r="AF318"/>
      <c r="AL318">
        <v>340312890</v>
      </c>
      <c r="AM318" t="s">
        <v>40</v>
      </c>
    </row>
    <row r="319" spans="1:39" x14ac:dyDescent="0.35">
      <c r="A319">
        <v>3403</v>
      </c>
      <c r="B319" t="s">
        <v>28</v>
      </c>
      <c r="C319">
        <v>2020</v>
      </c>
      <c r="D319" s="1">
        <v>43831</v>
      </c>
      <c r="E319">
        <v>76</v>
      </c>
      <c r="F319">
        <v>300017689</v>
      </c>
      <c r="G319" t="s">
        <v>29</v>
      </c>
      <c r="H319">
        <v>81</v>
      </c>
      <c r="I319">
        <v>71101060</v>
      </c>
      <c r="J319">
        <v>11500060</v>
      </c>
      <c r="K319" t="s">
        <v>30</v>
      </c>
      <c r="L319" s="4">
        <v>12701.79</v>
      </c>
      <c r="M319" t="s">
        <v>31</v>
      </c>
      <c r="N319" s="4">
        <v>12701.79</v>
      </c>
      <c r="O319" t="s">
        <v>31</v>
      </c>
      <c r="X319" t="s">
        <v>28</v>
      </c>
      <c r="Y319"/>
      <c r="Z319">
        <v>20200131</v>
      </c>
      <c r="AA319">
        <f t="shared" si="5"/>
        <v>12701.79</v>
      </c>
      <c r="AC319"/>
      <c r="AF319"/>
      <c r="AL319">
        <v>340312890</v>
      </c>
      <c r="AM319" t="s">
        <v>40</v>
      </c>
    </row>
    <row r="320" spans="1:39" x14ac:dyDescent="0.35">
      <c r="A320">
        <v>3403</v>
      </c>
      <c r="B320" t="s">
        <v>28</v>
      </c>
      <c r="C320">
        <v>2020</v>
      </c>
      <c r="D320" s="1">
        <v>43831</v>
      </c>
      <c r="E320">
        <v>78</v>
      </c>
      <c r="F320">
        <v>300017689</v>
      </c>
      <c r="G320" t="s">
        <v>29</v>
      </c>
      <c r="H320">
        <v>81</v>
      </c>
      <c r="I320">
        <v>71101060</v>
      </c>
      <c r="J320">
        <v>11500060</v>
      </c>
      <c r="K320" t="s">
        <v>30</v>
      </c>
      <c r="L320" s="4">
        <v>10794</v>
      </c>
      <c r="M320" t="s">
        <v>31</v>
      </c>
      <c r="N320" s="4">
        <v>10794</v>
      </c>
      <c r="O320" t="s">
        <v>31</v>
      </c>
      <c r="X320" t="s">
        <v>28</v>
      </c>
      <c r="Y320"/>
      <c r="Z320">
        <v>20200131</v>
      </c>
      <c r="AA320">
        <f t="shared" si="5"/>
        <v>10794</v>
      </c>
      <c r="AC320"/>
      <c r="AF320"/>
      <c r="AL320">
        <v>340312890</v>
      </c>
      <c r="AM320" t="s">
        <v>40</v>
      </c>
    </row>
    <row r="321" spans="1:39" x14ac:dyDescent="0.35">
      <c r="A321">
        <v>3403</v>
      </c>
      <c r="B321" t="s">
        <v>28</v>
      </c>
      <c r="C321">
        <v>2020</v>
      </c>
      <c r="D321" s="1">
        <v>43831</v>
      </c>
      <c r="E321">
        <v>80</v>
      </c>
      <c r="F321">
        <v>300017689</v>
      </c>
      <c r="G321" t="s">
        <v>29</v>
      </c>
      <c r="H321">
        <v>81</v>
      </c>
      <c r="I321">
        <v>71101060</v>
      </c>
      <c r="J321">
        <v>11500060</v>
      </c>
      <c r="K321" t="s">
        <v>30</v>
      </c>
      <c r="L321" s="4">
        <v>404.25</v>
      </c>
      <c r="M321" t="s">
        <v>31</v>
      </c>
      <c r="N321" s="4">
        <v>404.25</v>
      </c>
      <c r="O321" t="s">
        <v>31</v>
      </c>
      <c r="X321" t="s">
        <v>28</v>
      </c>
      <c r="Y321"/>
      <c r="Z321">
        <v>20200131</v>
      </c>
      <c r="AA321">
        <f t="shared" si="5"/>
        <v>404.25</v>
      </c>
      <c r="AC321"/>
      <c r="AF321"/>
      <c r="AL321">
        <v>340312890</v>
      </c>
      <c r="AM321" t="s">
        <v>40</v>
      </c>
    </row>
    <row r="322" spans="1:39" x14ac:dyDescent="0.35">
      <c r="A322">
        <v>3403</v>
      </c>
      <c r="B322" t="s">
        <v>28</v>
      </c>
      <c r="C322">
        <v>2020</v>
      </c>
      <c r="D322" s="1">
        <v>43831</v>
      </c>
      <c r="E322">
        <v>82</v>
      </c>
      <c r="F322">
        <v>300017689</v>
      </c>
      <c r="G322" t="s">
        <v>29</v>
      </c>
      <c r="H322">
        <v>81</v>
      </c>
      <c r="I322">
        <v>71101060</v>
      </c>
      <c r="J322">
        <v>11500060</v>
      </c>
      <c r="K322" t="s">
        <v>30</v>
      </c>
      <c r="L322" s="4">
        <v>1680</v>
      </c>
      <c r="M322" t="s">
        <v>31</v>
      </c>
      <c r="N322" s="4">
        <v>1680</v>
      </c>
      <c r="O322" t="s">
        <v>31</v>
      </c>
      <c r="X322" t="s">
        <v>28</v>
      </c>
      <c r="Y322"/>
      <c r="Z322">
        <v>20200131</v>
      </c>
      <c r="AA322">
        <f t="shared" si="5"/>
        <v>1680</v>
      </c>
      <c r="AC322"/>
      <c r="AF322"/>
      <c r="AL322">
        <v>340312890</v>
      </c>
      <c r="AM322" t="s">
        <v>40</v>
      </c>
    </row>
    <row r="323" spans="1:39" x14ac:dyDescent="0.35">
      <c r="A323">
        <v>3403</v>
      </c>
      <c r="B323" t="s">
        <v>28</v>
      </c>
      <c r="C323">
        <v>2020</v>
      </c>
      <c r="D323" s="1">
        <v>43831</v>
      </c>
      <c r="E323">
        <v>84</v>
      </c>
      <c r="F323">
        <v>300017689</v>
      </c>
      <c r="G323" t="s">
        <v>29</v>
      </c>
      <c r="H323">
        <v>81</v>
      </c>
      <c r="I323">
        <v>71101060</v>
      </c>
      <c r="J323">
        <v>11500060</v>
      </c>
      <c r="K323" t="s">
        <v>30</v>
      </c>
      <c r="L323" s="4">
        <v>4630.3500000000004</v>
      </c>
      <c r="M323" t="s">
        <v>31</v>
      </c>
      <c r="N323" s="4">
        <v>4630.3500000000004</v>
      </c>
      <c r="O323" t="s">
        <v>31</v>
      </c>
      <c r="X323" t="s">
        <v>28</v>
      </c>
      <c r="Y323"/>
      <c r="Z323">
        <v>20200131</v>
      </c>
      <c r="AA323">
        <f t="shared" si="5"/>
        <v>4630.3500000000004</v>
      </c>
      <c r="AC323"/>
      <c r="AF323"/>
      <c r="AL323">
        <v>340312890</v>
      </c>
      <c r="AM323" t="s">
        <v>40</v>
      </c>
    </row>
    <row r="324" spans="1:39" x14ac:dyDescent="0.35">
      <c r="A324">
        <v>3403</v>
      </c>
      <c r="B324" t="s">
        <v>28</v>
      </c>
      <c r="C324">
        <v>2020</v>
      </c>
      <c r="D324" s="1">
        <v>43831</v>
      </c>
      <c r="E324">
        <v>86</v>
      </c>
      <c r="F324">
        <v>300017689</v>
      </c>
      <c r="G324" t="s">
        <v>29</v>
      </c>
      <c r="H324">
        <v>81</v>
      </c>
      <c r="I324">
        <v>71101060</v>
      </c>
      <c r="J324">
        <v>11500060</v>
      </c>
      <c r="K324" t="s">
        <v>30</v>
      </c>
      <c r="L324" s="4">
        <v>6000</v>
      </c>
      <c r="M324" t="s">
        <v>31</v>
      </c>
      <c r="N324" s="4">
        <v>6000</v>
      </c>
      <c r="O324" t="s">
        <v>31</v>
      </c>
      <c r="X324" t="s">
        <v>28</v>
      </c>
      <c r="Y324"/>
      <c r="Z324">
        <v>20200131</v>
      </c>
      <c r="AA324">
        <f t="shared" si="5"/>
        <v>6000</v>
      </c>
      <c r="AC324"/>
      <c r="AF324"/>
      <c r="AL324">
        <v>340312890</v>
      </c>
      <c r="AM324" t="s">
        <v>40</v>
      </c>
    </row>
    <row r="325" spans="1:39" x14ac:dyDescent="0.35">
      <c r="A325">
        <v>3401</v>
      </c>
      <c r="B325" t="s">
        <v>28</v>
      </c>
      <c r="C325">
        <v>2020</v>
      </c>
      <c r="D325" s="1">
        <v>43831</v>
      </c>
      <c r="E325">
        <v>2</v>
      </c>
      <c r="F325">
        <v>100032657</v>
      </c>
      <c r="G325" t="s">
        <v>29</v>
      </c>
      <c r="H325">
        <v>81</v>
      </c>
      <c r="I325">
        <v>71101060</v>
      </c>
      <c r="J325">
        <v>11500060</v>
      </c>
      <c r="K325" t="s">
        <v>30</v>
      </c>
      <c r="L325" s="4">
        <v>4557.87</v>
      </c>
      <c r="M325" t="s">
        <v>31</v>
      </c>
      <c r="N325" s="4">
        <v>4557.87</v>
      </c>
      <c r="O325" t="s">
        <v>31</v>
      </c>
      <c r="X325" t="s">
        <v>35</v>
      </c>
      <c r="Y325"/>
      <c r="Z325">
        <v>20200131</v>
      </c>
      <c r="AA325">
        <f t="shared" si="5"/>
        <v>4557.87</v>
      </c>
      <c r="AC325"/>
      <c r="AF325"/>
      <c r="AL325">
        <v>340110490</v>
      </c>
      <c r="AM325" t="s">
        <v>37</v>
      </c>
    </row>
    <row r="326" spans="1:39" x14ac:dyDescent="0.35">
      <c r="A326">
        <v>3401</v>
      </c>
      <c r="B326" t="s">
        <v>28</v>
      </c>
      <c r="C326">
        <v>2020</v>
      </c>
      <c r="D326" s="1">
        <v>43831</v>
      </c>
      <c r="E326">
        <v>4</v>
      </c>
      <c r="F326">
        <v>100032657</v>
      </c>
      <c r="G326" t="s">
        <v>29</v>
      </c>
      <c r="H326">
        <v>81</v>
      </c>
      <c r="I326">
        <v>71101060</v>
      </c>
      <c r="J326">
        <v>11500060</v>
      </c>
      <c r="K326" t="s">
        <v>30</v>
      </c>
      <c r="L326" s="4">
        <v>10756.6</v>
      </c>
      <c r="M326" t="s">
        <v>31</v>
      </c>
      <c r="N326" s="4">
        <v>10756.6</v>
      </c>
      <c r="O326" t="s">
        <v>31</v>
      </c>
      <c r="X326" t="s">
        <v>35</v>
      </c>
      <c r="Y326"/>
      <c r="Z326">
        <v>20200131</v>
      </c>
      <c r="AA326">
        <f t="shared" si="5"/>
        <v>10756.6</v>
      </c>
      <c r="AC326"/>
      <c r="AF326"/>
      <c r="AL326">
        <v>340110490</v>
      </c>
      <c r="AM326" t="s">
        <v>37</v>
      </c>
    </row>
    <row r="327" spans="1:39" x14ac:dyDescent="0.35">
      <c r="A327">
        <v>3401</v>
      </c>
      <c r="B327" t="s">
        <v>28</v>
      </c>
      <c r="C327">
        <v>2020</v>
      </c>
      <c r="D327" s="1">
        <v>43831</v>
      </c>
      <c r="E327">
        <v>6</v>
      </c>
      <c r="F327">
        <v>100032657</v>
      </c>
      <c r="G327" t="s">
        <v>29</v>
      </c>
      <c r="H327">
        <v>81</v>
      </c>
      <c r="I327">
        <v>71101060</v>
      </c>
      <c r="J327">
        <v>11500060</v>
      </c>
      <c r="K327" t="s">
        <v>30</v>
      </c>
      <c r="L327" s="4">
        <v>2198.5500000000002</v>
      </c>
      <c r="M327" t="s">
        <v>31</v>
      </c>
      <c r="N327" s="4">
        <v>2198.5500000000002</v>
      </c>
      <c r="O327" t="s">
        <v>31</v>
      </c>
      <c r="X327" t="s">
        <v>35</v>
      </c>
      <c r="Y327"/>
      <c r="Z327">
        <v>20200131</v>
      </c>
      <c r="AA327">
        <f t="shared" si="5"/>
        <v>2198.5500000000002</v>
      </c>
      <c r="AC327"/>
      <c r="AF327"/>
      <c r="AL327">
        <v>340110490</v>
      </c>
      <c r="AM327" t="s">
        <v>37</v>
      </c>
    </row>
    <row r="328" spans="1:39" x14ac:dyDescent="0.35">
      <c r="A328">
        <v>3401</v>
      </c>
      <c r="B328" t="s">
        <v>28</v>
      </c>
      <c r="C328">
        <v>2020</v>
      </c>
      <c r="D328" s="1">
        <v>43831</v>
      </c>
      <c r="E328">
        <v>8</v>
      </c>
      <c r="F328">
        <v>100032657</v>
      </c>
      <c r="G328" t="s">
        <v>29</v>
      </c>
      <c r="H328">
        <v>81</v>
      </c>
      <c r="I328">
        <v>71101060</v>
      </c>
      <c r="J328">
        <v>11500060</v>
      </c>
      <c r="K328" t="s">
        <v>30</v>
      </c>
      <c r="L328" s="4">
        <v>1411.31</v>
      </c>
      <c r="M328" t="s">
        <v>31</v>
      </c>
      <c r="N328" s="4">
        <v>1411.31</v>
      </c>
      <c r="O328" t="s">
        <v>31</v>
      </c>
      <c r="X328" t="s">
        <v>35</v>
      </c>
      <c r="Y328"/>
      <c r="Z328">
        <v>20200131</v>
      </c>
      <c r="AA328">
        <f t="shared" si="5"/>
        <v>1411.31</v>
      </c>
      <c r="AC328"/>
      <c r="AF328"/>
      <c r="AL328">
        <v>340110490</v>
      </c>
      <c r="AM328" t="s">
        <v>37</v>
      </c>
    </row>
    <row r="329" spans="1:39" x14ac:dyDescent="0.35">
      <c r="A329">
        <v>3401</v>
      </c>
      <c r="B329" t="s">
        <v>28</v>
      </c>
      <c r="C329">
        <v>2020</v>
      </c>
      <c r="D329" s="1">
        <v>43831</v>
      </c>
      <c r="E329">
        <v>10</v>
      </c>
      <c r="F329">
        <v>100032657</v>
      </c>
      <c r="G329" t="s">
        <v>29</v>
      </c>
      <c r="H329">
        <v>81</v>
      </c>
      <c r="I329">
        <v>71101060</v>
      </c>
      <c r="J329">
        <v>11500060</v>
      </c>
      <c r="K329" t="s">
        <v>30</v>
      </c>
      <c r="L329" s="4">
        <v>715.06</v>
      </c>
      <c r="M329" t="s">
        <v>31</v>
      </c>
      <c r="N329" s="4">
        <v>715.06</v>
      </c>
      <c r="O329" t="s">
        <v>31</v>
      </c>
      <c r="X329" t="s">
        <v>35</v>
      </c>
      <c r="Y329"/>
      <c r="Z329">
        <v>20200131</v>
      </c>
      <c r="AA329">
        <f t="shared" si="5"/>
        <v>715.06</v>
      </c>
      <c r="AC329"/>
      <c r="AF329"/>
      <c r="AL329">
        <v>340110490</v>
      </c>
      <c r="AM329" t="s">
        <v>37</v>
      </c>
    </row>
    <row r="330" spans="1:39" x14ac:dyDescent="0.35">
      <c r="A330">
        <v>3401</v>
      </c>
      <c r="B330" t="s">
        <v>28</v>
      </c>
      <c r="C330">
        <v>2020</v>
      </c>
      <c r="D330" s="1">
        <v>43831</v>
      </c>
      <c r="E330">
        <v>12</v>
      </c>
      <c r="F330">
        <v>100032657</v>
      </c>
      <c r="G330" t="s">
        <v>29</v>
      </c>
      <c r="H330">
        <v>81</v>
      </c>
      <c r="I330">
        <v>71101060</v>
      </c>
      <c r="J330">
        <v>11500060</v>
      </c>
      <c r="K330" t="s">
        <v>30</v>
      </c>
      <c r="L330" s="4">
        <v>1315.44</v>
      </c>
      <c r="M330" t="s">
        <v>31</v>
      </c>
      <c r="N330" s="4">
        <v>1315.44</v>
      </c>
      <c r="O330" t="s">
        <v>31</v>
      </c>
      <c r="X330" t="s">
        <v>35</v>
      </c>
      <c r="Y330"/>
      <c r="Z330">
        <v>20200131</v>
      </c>
      <c r="AA330">
        <f t="shared" si="5"/>
        <v>1315.44</v>
      </c>
      <c r="AC330"/>
      <c r="AF330"/>
      <c r="AL330">
        <v>340110490</v>
      </c>
      <c r="AM330" t="s">
        <v>37</v>
      </c>
    </row>
    <row r="331" spans="1:39" x14ac:dyDescent="0.35">
      <c r="A331">
        <v>3401</v>
      </c>
      <c r="B331" t="s">
        <v>28</v>
      </c>
      <c r="C331">
        <v>2020</v>
      </c>
      <c r="D331" s="1">
        <v>43831</v>
      </c>
      <c r="E331">
        <v>14</v>
      </c>
      <c r="F331">
        <v>100032657</v>
      </c>
      <c r="G331" t="s">
        <v>29</v>
      </c>
      <c r="H331">
        <v>81</v>
      </c>
      <c r="I331">
        <v>71101060</v>
      </c>
      <c r="J331">
        <v>11500060</v>
      </c>
      <c r="K331" t="s">
        <v>30</v>
      </c>
      <c r="L331" s="4">
        <v>554.78</v>
      </c>
      <c r="M331" t="s">
        <v>31</v>
      </c>
      <c r="N331" s="4">
        <v>554.78</v>
      </c>
      <c r="O331" t="s">
        <v>31</v>
      </c>
      <c r="X331" t="s">
        <v>35</v>
      </c>
      <c r="Y331"/>
      <c r="Z331">
        <v>20200131</v>
      </c>
      <c r="AA331">
        <f t="shared" si="5"/>
        <v>554.78</v>
      </c>
      <c r="AC331"/>
      <c r="AF331"/>
      <c r="AL331">
        <v>340110490</v>
      </c>
      <c r="AM331" t="s">
        <v>37</v>
      </c>
    </row>
    <row r="332" spans="1:39" x14ac:dyDescent="0.35">
      <c r="A332">
        <v>3401</v>
      </c>
      <c r="B332" t="s">
        <v>28</v>
      </c>
      <c r="C332">
        <v>2020</v>
      </c>
      <c r="D332" s="1">
        <v>43831</v>
      </c>
      <c r="E332">
        <v>16</v>
      </c>
      <c r="F332">
        <v>100032657</v>
      </c>
      <c r="G332" t="s">
        <v>29</v>
      </c>
      <c r="H332">
        <v>81</v>
      </c>
      <c r="I332">
        <v>71101060</v>
      </c>
      <c r="J332">
        <v>11500060</v>
      </c>
      <c r="K332" t="s">
        <v>30</v>
      </c>
      <c r="L332" s="4">
        <v>6483.61</v>
      </c>
      <c r="M332" t="s">
        <v>31</v>
      </c>
      <c r="N332" s="4">
        <v>6483.61</v>
      </c>
      <c r="O332" t="s">
        <v>31</v>
      </c>
      <c r="X332" t="s">
        <v>35</v>
      </c>
      <c r="Y332"/>
      <c r="Z332">
        <v>20200131</v>
      </c>
      <c r="AA332">
        <f t="shared" si="5"/>
        <v>6483.61</v>
      </c>
      <c r="AC332"/>
      <c r="AF332"/>
      <c r="AL332">
        <v>340110490</v>
      </c>
      <c r="AM332" t="s">
        <v>37</v>
      </c>
    </row>
    <row r="333" spans="1:39" x14ac:dyDescent="0.35">
      <c r="A333">
        <v>3401</v>
      </c>
      <c r="B333" t="s">
        <v>28</v>
      </c>
      <c r="C333">
        <v>2020</v>
      </c>
      <c r="D333" s="1">
        <v>43831</v>
      </c>
      <c r="E333">
        <v>18</v>
      </c>
      <c r="F333">
        <v>100032657</v>
      </c>
      <c r="G333" t="s">
        <v>29</v>
      </c>
      <c r="H333">
        <v>81</v>
      </c>
      <c r="I333">
        <v>71101060</v>
      </c>
      <c r="J333">
        <v>11500060</v>
      </c>
      <c r="K333" t="s">
        <v>30</v>
      </c>
      <c r="L333" s="4">
        <v>1136.72</v>
      </c>
      <c r="M333" t="s">
        <v>31</v>
      </c>
      <c r="N333" s="4">
        <v>1136.72</v>
      </c>
      <c r="O333" t="s">
        <v>31</v>
      </c>
      <c r="X333" t="s">
        <v>35</v>
      </c>
      <c r="Y333"/>
      <c r="Z333">
        <v>20200131</v>
      </c>
      <c r="AA333">
        <f t="shared" si="5"/>
        <v>1136.72</v>
      </c>
      <c r="AC333"/>
      <c r="AF333"/>
      <c r="AL333">
        <v>340110490</v>
      </c>
      <c r="AM333" t="s">
        <v>37</v>
      </c>
    </row>
    <row r="334" spans="1:39" x14ac:dyDescent="0.35">
      <c r="A334">
        <v>3401</v>
      </c>
      <c r="B334" t="s">
        <v>28</v>
      </c>
      <c r="C334">
        <v>2020</v>
      </c>
      <c r="D334" s="1">
        <v>43831</v>
      </c>
      <c r="E334">
        <v>20</v>
      </c>
      <c r="F334">
        <v>100032657</v>
      </c>
      <c r="G334" t="s">
        <v>29</v>
      </c>
      <c r="H334">
        <v>81</v>
      </c>
      <c r="I334">
        <v>71101060</v>
      </c>
      <c r="J334">
        <v>11500060</v>
      </c>
      <c r="K334" t="s">
        <v>30</v>
      </c>
      <c r="L334" s="4">
        <v>8997.6</v>
      </c>
      <c r="M334" t="s">
        <v>31</v>
      </c>
      <c r="N334" s="4">
        <v>8997.6</v>
      </c>
      <c r="O334" t="s">
        <v>31</v>
      </c>
      <c r="X334" t="s">
        <v>35</v>
      </c>
      <c r="Y334"/>
      <c r="Z334">
        <v>20200131</v>
      </c>
      <c r="AA334">
        <f t="shared" si="5"/>
        <v>8997.6</v>
      </c>
      <c r="AC334"/>
      <c r="AF334"/>
      <c r="AL334">
        <v>340110490</v>
      </c>
      <c r="AM334" t="s">
        <v>37</v>
      </c>
    </row>
    <row r="335" spans="1:39" x14ac:dyDescent="0.35">
      <c r="A335">
        <v>3401</v>
      </c>
      <c r="B335" t="s">
        <v>28</v>
      </c>
      <c r="C335">
        <v>2020</v>
      </c>
      <c r="D335" s="1">
        <v>43831</v>
      </c>
      <c r="E335">
        <v>22</v>
      </c>
      <c r="F335">
        <v>100032657</v>
      </c>
      <c r="G335" t="s">
        <v>29</v>
      </c>
      <c r="H335">
        <v>81</v>
      </c>
      <c r="I335">
        <v>71101060</v>
      </c>
      <c r="J335">
        <v>11500060</v>
      </c>
      <c r="K335" t="s">
        <v>30</v>
      </c>
      <c r="L335" s="4">
        <v>1054.46</v>
      </c>
      <c r="M335" t="s">
        <v>31</v>
      </c>
      <c r="N335" s="4">
        <v>1054.46</v>
      </c>
      <c r="O335" t="s">
        <v>31</v>
      </c>
      <c r="X335" t="s">
        <v>35</v>
      </c>
      <c r="Y335"/>
      <c r="Z335">
        <v>20200131</v>
      </c>
      <c r="AA335">
        <f t="shared" si="5"/>
        <v>1054.46</v>
      </c>
      <c r="AC335"/>
      <c r="AF335"/>
      <c r="AL335">
        <v>340110490</v>
      </c>
      <c r="AM335" t="s">
        <v>37</v>
      </c>
    </row>
    <row r="336" spans="1:39" x14ac:dyDescent="0.35">
      <c r="A336">
        <v>3401</v>
      </c>
      <c r="B336" t="s">
        <v>28</v>
      </c>
      <c r="C336">
        <v>2020</v>
      </c>
      <c r="D336" s="1">
        <v>43831</v>
      </c>
      <c r="E336">
        <v>24</v>
      </c>
      <c r="F336">
        <v>100032657</v>
      </c>
      <c r="G336" t="s">
        <v>29</v>
      </c>
      <c r="H336">
        <v>81</v>
      </c>
      <c r="I336">
        <v>71101060</v>
      </c>
      <c r="J336">
        <v>11500060</v>
      </c>
      <c r="K336" t="s">
        <v>30</v>
      </c>
      <c r="L336" s="4">
        <v>2773.33</v>
      </c>
      <c r="M336" t="s">
        <v>31</v>
      </c>
      <c r="N336" s="4">
        <v>2773.33</v>
      </c>
      <c r="O336" t="s">
        <v>31</v>
      </c>
      <c r="X336" t="s">
        <v>35</v>
      </c>
      <c r="Y336"/>
      <c r="Z336">
        <v>20200131</v>
      </c>
      <c r="AA336">
        <f t="shared" si="5"/>
        <v>2773.33</v>
      </c>
      <c r="AC336"/>
      <c r="AF336"/>
      <c r="AL336">
        <v>340110490</v>
      </c>
      <c r="AM336" t="s">
        <v>37</v>
      </c>
    </row>
    <row r="337" spans="1:39" x14ac:dyDescent="0.35">
      <c r="A337">
        <v>3400</v>
      </c>
      <c r="B337" t="s">
        <v>28</v>
      </c>
      <c r="C337">
        <v>2020</v>
      </c>
      <c r="D337" s="1">
        <v>43831</v>
      </c>
      <c r="E337">
        <v>4</v>
      </c>
      <c r="F337">
        <v>100010846</v>
      </c>
      <c r="G337" t="s">
        <v>29</v>
      </c>
      <c r="H337">
        <v>81</v>
      </c>
      <c r="I337">
        <v>71101060</v>
      </c>
      <c r="J337">
        <v>11500020</v>
      </c>
      <c r="K337" t="s">
        <v>30</v>
      </c>
      <c r="L337" s="4">
        <v>1512.45</v>
      </c>
      <c r="M337" t="s">
        <v>31</v>
      </c>
      <c r="N337" s="4">
        <v>1512.45</v>
      </c>
      <c r="O337" t="s">
        <v>31</v>
      </c>
      <c r="X337" t="s">
        <v>35</v>
      </c>
      <c r="Y337"/>
      <c r="Z337">
        <v>20200131</v>
      </c>
      <c r="AA337">
        <f t="shared" si="5"/>
        <v>1512.45</v>
      </c>
      <c r="AC337"/>
      <c r="AF337"/>
      <c r="AL337">
        <v>340041450</v>
      </c>
      <c r="AM337" t="s">
        <v>58</v>
      </c>
    </row>
    <row r="338" spans="1:39" x14ac:dyDescent="0.35">
      <c r="A338">
        <v>3402</v>
      </c>
      <c r="B338" t="s">
        <v>28</v>
      </c>
      <c r="C338">
        <v>2020</v>
      </c>
      <c r="D338" s="1">
        <v>43831</v>
      </c>
      <c r="E338">
        <v>2</v>
      </c>
      <c r="F338">
        <v>200114493</v>
      </c>
      <c r="G338" t="s">
        <v>29</v>
      </c>
      <c r="H338">
        <v>81</v>
      </c>
      <c r="I338">
        <v>71101060</v>
      </c>
      <c r="J338">
        <v>11500020</v>
      </c>
      <c r="K338" t="s">
        <v>30</v>
      </c>
      <c r="L338" s="4">
        <v>428</v>
      </c>
      <c r="M338" t="s">
        <v>31</v>
      </c>
      <c r="N338" s="4">
        <v>428</v>
      </c>
      <c r="O338" t="s">
        <v>31</v>
      </c>
      <c r="X338" t="s">
        <v>35</v>
      </c>
      <c r="Y338"/>
      <c r="Z338">
        <v>20200131</v>
      </c>
      <c r="AA338">
        <f t="shared" ref="AA338:AA401" si="6">L338</f>
        <v>428</v>
      </c>
      <c r="AC338"/>
      <c r="AF338"/>
      <c r="AL338">
        <v>340213190</v>
      </c>
      <c r="AM338" t="s">
        <v>38</v>
      </c>
    </row>
    <row r="339" spans="1:39" x14ac:dyDescent="0.35">
      <c r="A339">
        <v>3402</v>
      </c>
      <c r="B339" t="s">
        <v>28</v>
      </c>
      <c r="C339">
        <v>2020</v>
      </c>
      <c r="D339" s="1">
        <v>43831</v>
      </c>
      <c r="E339">
        <v>2</v>
      </c>
      <c r="F339">
        <v>200114518</v>
      </c>
      <c r="G339" t="s">
        <v>29</v>
      </c>
      <c r="H339">
        <v>81</v>
      </c>
      <c r="I339">
        <v>71101060</v>
      </c>
      <c r="J339">
        <v>11500050</v>
      </c>
      <c r="K339" t="s">
        <v>30</v>
      </c>
      <c r="L339" s="4">
        <v>788.96</v>
      </c>
      <c r="M339" t="s">
        <v>31</v>
      </c>
      <c r="N339" s="4">
        <v>788.96</v>
      </c>
      <c r="O339" t="s">
        <v>31</v>
      </c>
      <c r="X339" t="s">
        <v>35</v>
      </c>
      <c r="Y339"/>
      <c r="Z339">
        <v>20200131</v>
      </c>
      <c r="AA339">
        <f t="shared" si="6"/>
        <v>788.96</v>
      </c>
      <c r="AC339"/>
      <c r="AF339"/>
      <c r="AL339">
        <v>340255290</v>
      </c>
      <c r="AM339" t="s">
        <v>38</v>
      </c>
    </row>
    <row r="340" spans="1:39" x14ac:dyDescent="0.35">
      <c r="A340">
        <v>3402</v>
      </c>
      <c r="B340" t="s">
        <v>28</v>
      </c>
      <c r="C340">
        <v>2020</v>
      </c>
      <c r="D340" s="1">
        <v>43831</v>
      </c>
      <c r="E340">
        <v>4</v>
      </c>
      <c r="F340">
        <v>200114518</v>
      </c>
      <c r="G340" t="s">
        <v>29</v>
      </c>
      <c r="H340">
        <v>81</v>
      </c>
      <c r="I340">
        <v>71101060</v>
      </c>
      <c r="J340">
        <v>11500050</v>
      </c>
      <c r="K340" t="s">
        <v>30</v>
      </c>
      <c r="L340" s="4">
        <v>2429.9899999999998</v>
      </c>
      <c r="M340" t="s">
        <v>31</v>
      </c>
      <c r="N340" s="4">
        <v>2429.9899999999998</v>
      </c>
      <c r="O340" t="s">
        <v>31</v>
      </c>
      <c r="X340" t="s">
        <v>35</v>
      </c>
      <c r="Y340"/>
      <c r="Z340">
        <v>20200131</v>
      </c>
      <c r="AA340">
        <f t="shared" si="6"/>
        <v>2429.9899999999998</v>
      </c>
      <c r="AC340"/>
      <c r="AF340"/>
      <c r="AL340">
        <v>340255290</v>
      </c>
      <c r="AM340" t="s">
        <v>38</v>
      </c>
    </row>
    <row r="341" spans="1:39" x14ac:dyDescent="0.35">
      <c r="A341">
        <v>3402</v>
      </c>
      <c r="B341" t="s">
        <v>28</v>
      </c>
      <c r="C341">
        <v>2020</v>
      </c>
      <c r="D341" s="1">
        <v>43831</v>
      </c>
      <c r="E341">
        <v>6</v>
      </c>
      <c r="F341">
        <v>200114518</v>
      </c>
      <c r="G341" t="s">
        <v>29</v>
      </c>
      <c r="H341">
        <v>81</v>
      </c>
      <c r="I341">
        <v>71101060</v>
      </c>
      <c r="J341">
        <v>11500050</v>
      </c>
      <c r="K341" t="s">
        <v>30</v>
      </c>
      <c r="L341" s="4">
        <v>810</v>
      </c>
      <c r="M341" t="s">
        <v>31</v>
      </c>
      <c r="N341" s="4">
        <v>810</v>
      </c>
      <c r="O341" t="s">
        <v>31</v>
      </c>
      <c r="X341" t="s">
        <v>35</v>
      </c>
      <c r="Y341"/>
      <c r="Z341">
        <v>20200131</v>
      </c>
      <c r="AA341">
        <f t="shared" si="6"/>
        <v>810</v>
      </c>
      <c r="AC341"/>
      <c r="AF341"/>
      <c r="AL341">
        <v>340255290</v>
      </c>
      <c r="AM341" t="s">
        <v>38</v>
      </c>
    </row>
    <row r="342" spans="1:39" x14ac:dyDescent="0.35">
      <c r="A342">
        <v>3402</v>
      </c>
      <c r="B342" t="s">
        <v>28</v>
      </c>
      <c r="C342">
        <v>2020</v>
      </c>
      <c r="D342" s="1">
        <v>43831</v>
      </c>
      <c r="E342">
        <v>8</v>
      </c>
      <c r="F342">
        <v>200114518</v>
      </c>
      <c r="G342" t="s">
        <v>29</v>
      </c>
      <c r="H342">
        <v>81</v>
      </c>
      <c r="I342">
        <v>71101060</v>
      </c>
      <c r="J342">
        <v>11500050</v>
      </c>
      <c r="K342" t="s">
        <v>30</v>
      </c>
      <c r="L342" s="4">
        <v>2656.2</v>
      </c>
      <c r="M342" t="s">
        <v>31</v>
      </c>
      <c r="N342" s="4">
        <v>2656.2</v>
      </c>
      <c r="O342" t="s">
        <v>31</v>
      </c>
      <c r="X342" t="s">
        <v>35</v>
      </c>
      <c r="Y342"/>
      <c r="Z342">
        <v>20200131</v>
      </c>
      <c r="AA342">
        <f t="shared" si="6"/>
        <v>2656.2</v>
      </c>
      <c r="AC342"/>
      <c r="AF342"/>
      <c r="AL342">
        <v>340255290</v>
      </c>
      <c r="AM342" t="s">
        <v>38</v>
      </c>
    </row>
    <row r="343" spans="1:39" x14ac:dyDescent="0.35">
      <c r="A343">
        <v>3402</v>
      </c>
      <c r="B343" t="s">
        <v>28</v>
      </c>
      <c r="C343">
        <v>2020</v>
      </c>
      <c r="D343" s="1">
        <v>43831</v>
      </c>
      <c r="E343">
        <v>2</v>
      </c>
      <c r="F343">
        <v>200114520</v>
      </c>
      <c r="G343" t="s">
        <v>29</v>
      </c>
      <c r="H343">
        <v>81</v>
      </c>
      <c r="I343">
        <v>71101060</v>
      </c>
      <c r="J343">
        <v>11500060</v>
      </c>
      <c r="K343" t="s">
        <v>30</v>
      </c>
      <c r="L343" s="4">
        <v>120</v>
      </c>
      <c r="M343" t="s">
        <v>31</v>
      </c>
      <c r="N343" s="4">
        <v>120</v>
      </c>
      <c r="O343" t="s">
        <v>31</v>
      </c>
      <c r="X343" t="s">
        <v>35</v>
      </c>
      <c r="Y343"/>
      <c r="Z343">
        <v>20200131</v>
      </c>
      <c r="AA343">
        <f t="shared" si="6"/>
        <v>120</v>
      </c>
      <c r="AC343"/>
      <c r="AF343"/>
      <c r="AL343">
        <v>340255290</v>
      </c>
      <c r="AM343" t="s">
        <v>38</v>
      </c>
    </row>
    <row r="344" spans="1:39" x14ac:dyDescent="0.35">
      <c r="A344">
        <v>3402</v>
      </c>
      <c r="B344" t="s">
        <v>28</v>
      </c>
      <c r="C344">
        <v>2020</v>
      </c>
      <c r="D344" s="1">
        <v>43831</v>
      </c>
      <c r="E344">
        <v>4</v>
      </c>
      <c r="F344">
        <v>200114520</v>
      </c>
      <c r="G344" t="s">
        <v>29</v>
      </c>
      <c r="H344">
        <v>81</v>
      </c>
      <c r="I344">
        <v>71101060</v>
      </c>
      <c r="J344">
        <v>11500060</v>
      </c>
      <c r="K344" t="s">
        <v>30</v>
      </c>
      <c r="L344" s="4">
        <v>991.74</v>
      </c>
      <c r="M344" t="s">
        <v>31</v>
      </c>
      <c r="N344" s="4">
        <v>991.74</v>
      </c>
      <c r="O344" t="s">
        <v>31</v>
      </c>
      <c r="X344" t="s">
        <v>35</v>
      </c>
      <c r="Y344"/>
      <c r="Z344">
        <v>20200131</v>
      </c>
      <c r="AA344">
        <f t="shared" si="6"/>
        <v>991.74</v>
      </c>
      <c r="AC344"/>
      <c r="AF344"/>
      <c r="AL344">
        <v>340255290</v>
      </c>
      <c r="AM344" t="s">
        <v>38</v>
      </c>
    </row>
    <row r="345" spans="1:39" x14ac:dyDescent="0.35">
      <c r="A345">
        <v>3402</v>
      </c>
      <c r="B345" t="s">
        <v>28</v>
      </c>
      <c r="C345">
        <v>2020</v>
      </c>
      <c r="D345" s="1">
        <v>43831</v>
      </c>
      <c r="E345">
        <v>6</v>
      </c>
      <c r="F345">
        <v>200114520</v>
      </c>
      <c r="G345" t="s">
        <v>29</v>
      </c>
      <c r="H345">
        <v>81</v>
      </c>
      <c r="I345">
        <v>71101060</v>
      </c>
      <c r="J345">
        <v>11500060</v>
      </c>
      <c r="K345" t="s">
        <v>30</v>
      </c>
      <c r="L345" s="4">
        <v>48.28</v>
      </c>
      <c r="M345" t="s">
        <v>31</v>
      </c>
      <c r="N345" s="4">
        <v>48.28</v>
      </c>
      <c r="O345" t="s">
        <v>31</v>
      </c>
      <c r="X345" t="s">
        <v>35</v>
      </c>
      <c r="Y345"/>
      <c r="Z345">
        <v>20200131</v>
      </c>
      <c r="AA345">
        <f t="shared" si="6"/>
        <v>48.28</v>
      </c>
      <c r="AC345"/>
      <c r="AF345"/>
      <c r="AL345">
        <v>340255290</v>
      </c>
      <c r="AM345" t="s">
        <v>38</v>
      </c>
    </row>
    <row r="346" spans="1:39" x14ac:dyDescent="0.35">
      <c r="A346">
        <v>3402</v>
      </c>
      <c r="B346" t="s">
        <v>28</v>
      </c>
      <c r="C346">
        <v>2020</v>
      </c>
      <c r="D346" s="1">
        <v>43831</v>
      </c>
      <c r="E346">
        <v>8</v>
      </c>
      <c r="F346">
        <v>200114520</v>
      </c>
      <c r="G346" t="s">
        <v>29</v>
      </c>
      <c r="H346">
        <v>81</v>
      </c>
      <c r="I346">
        <v>71101060</v>
      </c>
      <c r="J346">
        <v>11500060</v>
      </c>
      <c r="K346" t="s">
        <v>30</v>
      </c>
      <c r="L346" s="4">
        <v>676.2</v>
      </c>
      <c r="M346" t="s">
        <v>31</v>
      </c>
      <c r="N346" s="4">
        <v>676.2</v>
      </c>
      <c r="O346" t="s">
        <v>31</v>
      </c>
      <c r="X346" t="s">
        <v>35</v>
      </c>
      <c r="Y346"/>
      <c r="Z346">
        <v>20200131</v>
      </c>
      <c r="AA346">
        <f t="shared" si="6"/>
        <v>676.2</v>
      </c>
      <c r="AC346"/>
      <c r="AF346"/>
      <c r="AL346">
        <v>340255290</v>
      </c>
      <c r="AM346" t="s">
        <v>38</v>
      </c>
    </row>
    <row r="347" spans="1:39" x14ac:dyDescent="0.35">
      <c r="A347">
        <v>3402</v>
      </c>
      <c r="B347" t="s">
        <v>28</v>
      </c>
      <c r="C347">
        <v>2020</v>
      </c>
      <c r="D347" s="1">
        <v>43831</v>
      </c>
      <c r="E347">
        <v>14</v>
      </c>
      <c r="F347">
        <v>200114520</v>
      </c>
      <c r="G347" t="s">
        <v>29</v>
      </c>
      <c r="H347">
        <v>81</v>
      </c>
      <c r="I347">
        <v>71101060</v>
      </c>
      <c r="J347">
        <v>11500060</v>
      </c>
      <c r="K347" t="s">
        <v>30</v>
      </c>
      <c r="L347" s="4">
        <v>439.71</v>
      </c>
      <c r="M347" t="s">
        <v>31</v>
      </c>
      <c r="N347" s="4">
        <v>439.71</v>
      </c>
      <c r="O347" t="s">
        <v>31</v>
      </c>
      <c r="X347" t="s">
        <v>35</v>
      </c>
      <c r="Y347"/>
      <c r="Z347">
        <v>20200131</v>
      </c>
      <c r="AA347">
        <f t="shared" si="6"/>
        <v>439.71</v>
      </c>
      <c r="AC347"/>
      <c r="AF347"/>
      <c r="AL347">
        <v>340255290</v>
      </c>
      <c r="AM347" t="s">
        <v>38</v>
      </c>
    </row>
    <row r="348" spans="1:39" x14ac:dyDescent="0.35">
      <c r="A348">
        <v>3402</v>
      </c>
      <c r="B348" t="s">
        <v>28</v>
      </c>
      <c r="C348">
        <v>2020</v>
      </c>
      <c r="D348" s="1">
        <v>43831</v>
      </c>
      <c r="E348">
        <v>16</v>
      </c>
      <c r="F348">
        <v>200114520</v>
      </c>
      <c r="G348" t="s">
        <v>29</v>
      </c>
      <c r="H348">
        <v>81</v>
      </c>
      <c r="I348">
        <v>71101060</v>
      </c>
      <c r="J348">
        <v>11500060</v>
      </c>
      <c r="K348" t="s">
        <v>30</v>
      </c>
      <c r="L348" s="4">
        <v>657.72</v>
      </c>
      <c r="M348" t="s">
        <v>31</v>
      </c>
      <c r="N348" s="4">
        <v>657.72</v>
      </c>
      <c r="O348" t="s">
        <v>31</v>
      </c>
      <c r="X348" t="s">
        <v>35</v>
      </c>
      <c r="Y348"/>
      <c r="Z348">
        <v>20200131</v>
      </c>
      <c r="AA348">
        <f t="shared" si="6"/>
        <v>657.72</v>
      </c>
      <c r="AC348"/>
      <c r="AF348"/>
      <c r="AL348">
        <v>340255290</v>
      </c>
      <c r="AM348" t="s">
        <v>38</v>
      </c>
    </row>
    <row r="349" spans="1:39" x14ac:dyDescent="0.35">
      <c r="A349">
        <v>3402</v>
      </c>
      <c r="B349" t="s">
        <v>28</v>
      </c>
      <c r="C349">
        <v>2020</v>
      </c>
      <c r="D349" s="1">
        <v>43831</v>
      </c>
      <c r="E349">
        <v>18</v>
      </c>
      <c r="F349">
        <v>200114520</v>
      </c>
      <c r="G349" t="s">
        <v>29</v>
      </c>
      <c r="H349">
        <v>81</v>
      </c>
      <c r="I349">
        <v>71101060</v>
      </c>
      <c r="J349">
        <v>11500060</v>
      </c>
      <c r="K349" t="s">
        <v>30</v>
      </c>
      <c r="L349" s="4">
        <v>243.3</v>
      </c>
      <c r="M349" t="s">
        <v>31</v>
      </c>
      <c r="N349" s="4">
        <v>243.3</v>
      </c>
      <c r="O349" t="s">
        <v>31</v>
      </c>
      <c r="X349" t="s">
        <v>35</v>
      </c>
      <c r="Y349"/>
      <c r="Z349">
        <v>20200131</v>
      </c>
      <c r="AA349">
        <f t="shared" si="6"/>
        <v>243.3</v>
      </c>
      <c r="AC349"/>
      <c r="AF349"/>
      <c r="AL349">
        <v>340255290</v>
      </c>
      <c r="AM349" t="s">
        <v>38</v>
      </c>
    </row>
    <row r="350" spans="1:39" x14ac:dyDescent="0.35">
      <c r="A350">
        <v>3402</v>
      </c>
      <c r="B350" t="s">
        <v>28</v>
      </c>
      <c r="C350">
        <v>2020</v>
      </c>
      <c r="D350" s="1">
        <v>43831</v>
      </c>
      <c r="E350">
        <v>20</v>
      </c>
      <c r="F350">
        <v>200114520</v>
      </c>
      <c r="G350" t="s">
        <v>29</v>
      </c>
      <c r="H350">
        <v>81</v>
      </c>
      <c r="I350">
        <v>71101060</v>
      </c>
      <c r="J350">
        <v>11500060</v>
      </c>
      <c r="K350" t="s">
        <v>30</v>
      </c>
      <c r="L350" s="4">
        <v>4118.76</v>
      </c>
      <c r="M350" t="s">
        <v>31</v>
      </c>
      <c r="N350" s="4">
        <v>4118.76</v>
      </c>
      <c r="O350" t="s">
        <v>31</v>
      </c>
      <c r="X350" t="s">
        <v>35</v>
      </c>
      <c r="Y350"/>
      <c r="Z350">
        <v>20200131</v>
      </c>
      <c r="AA350">
        <f t="shared" si="6"/>
        <v>4118.76</v>
      </c>
      <c r="AC350"/>
      <c r="AF350"/>
      <c r="AL350">
        <v>340255290</v>
      </c>
      <c r="AM350" t="s">
        <v>38</v>
      </c>
    </row>
    <row r="351" spans="1:39" x14ac:dyDescent="0.35">
      <c r="A351">
        <v>3406</v>
      </c>
      <c r="B351" t="s">
        <v>28</v>
      </c>
      <c r="C351">
        <v>2020</v>
      </c>
      <c r="D351" s="1">
        <v>43831</v>
      </c>
      <c r="E351">
        <v>2</v>
      </c>
      <c r="F351">
        <v>600031451</v>
      </c>
      <c r="G351" t="s">
        <v>29</v>
      </c>
      <c r="H351">
        <v>81</v>
      </c>
      <c r="I351">
        <v>71101060</v>
      </c>
      <c r="J351">
        <v>11500060</v>
      </c>
      <c r="K351" t="s">
        <v>30</v>
      </c>
      <c r="L351" s="4">
        <v>278.88</v>
      </c>
      <c r="M351" t="s">
        <v>31</v>
      </c>
      <c r="N351" s="4">
        <v>278.88</v>
      </c>
      <c r="O351" t="s">
        <v>31</v>
      </c>
      <c r="X351" t="s">
        <v>35</v>
      </c>
      <c r="Y351"/>
      <c r="Z351">
        <v>20200131</v>
      </c>
      <c r="AA351">
        <f t="shared" si="6"/>
        <v>278.88</v>
      </c>
      <c r="AC351"/>
      <c r="AF351"/>
      <c r="AL351">
        <v>340632290</v>
      </c>
      <c r="AM351" t="s">
        <v>36</v>
      </c>
    </row>
    <row r="352" spans="1:39" x14ac:dyDescent="0.35">
      <c r="A352">
        <v>3406</v>
      </c>
      <c r="B352" t="s">
        <v>28</v>
      </c>
      <c r="C352">
        <v>2020</v>
      </c>
      <c r="D352" s="1">
        <v>43831</v>
      </c>
      <c r="E352">
        <v>4</v>
      </c>
      <c r="F352">
        <v>600031451</v>
      </c>
      <c r="G352" t="s">
        <v>29</v>
      </c>
      <c r="H352">
        <v>81</v>
      </c>
      <c r="I352">
        <v>71101060</v>
      </c>
      <c r="J352">
        <v>11500060</v>
      </c>
      <c r="K352" t="s">
        <v>30</v>
      </c>
      <c r="L352" s="4">
        <v>376.32</v>
      </c>
      <c r="M352" t="s">
        <v>31</v>
      </c>
      <c r="N352" s="4">
        <v>376.32</v>
      </c>
      <c r="O352" t="s">
        <v>31</v>
      </c>
      <c r="X352" t="s">
        <v>35</v>
      </c>
      <c r="Y352"/>
      <c r="Z352">
        <v>20200131</v>
      </c>
      <c r="AA352">
        <f t="shared" si="6"/>
        <v>376.32</v>
      </c>
      <c r="AC352"/>
      <c r="AF352"/>
      <c r="AL352">
        <v>340632290</v>
      </c>
      <c r="AM352" t="s">
        <v>36</v>
      </c>
    </row>
    <row r="353" spans="1:39" x14ac:dyDescent="0.35">
      <c r="A353">
        <v>3406</v>
      </c>
      <c r="B353" t="s">
        <v>28</v>
      </c>
      <c r="C353">
        <v>2020</v>
      </c>
      <c r="D353" s="1">
        <v>43831</v>
      </c>
      <c r="E353">
        <v>6</v>
      </c>
      <c r="F353">
        <v>600031451</v>
      </c>
      <c r="G353" t="s">
        <v>29</v>
      </c>
      <c r="H353">
        <v>81</v>
      </c>
      <c r="I353">
        <v>71101060</v>
      </c>
      <c r="J353">
        <v>11500060</v>
      </c>
      <c r="K353" t="s">
        <v>30</v>
      </c>
      <c r="L353" s="4">
        <v>242.4</v>
      </c>
      <c r="M353" t="s">
        <v>31</v>
      </c>
      <c r="N353" s="4">
        <v>242.4</v>
      </c>
      <c r="O353" t="s">
        <v>31</v>
      </c>
      <c r="X353" t="s">
        <v>35</v>
      </c>
      <c r="Y353"/>
      <c r="Z353">
        <v>20200131</v>
      </c>
      <c r="AA353">
        <f t="shared" si="6"/>
        <v>242.4</v>
      </c>
      <c r="AC353"/>
      <c r="AF353"/>
      <c r="AL353">
        <v>340632290</v>
      </c>
      <c r="AM353" t="s">
        <v>36</v>
      </c>
    </row>
    <row r="354" spans="1:39" x14ac:dyDescent="0.35">
      <c r="A354">
        <v>3406</v>
      </c>
      <c r="B354" t="s">
        <v>28</v>
      </c>
      <c r="C354">
        <v>2020</v>
      </c>
      <c r="D354" s="1">
        <v>43831</v>
      </c>
      <c r="E354">
        <v>8</v>
      </c>
      <c r="F354">
        <v>600031451</v>
      </c>
      <c r="G354" t="s">
        <v>29</v>
      </c>
      <c r="H354">
        <v>81</v>
      </c>
      <c r="I354">
        <v>71101060</v>
      </c>
      <c r="J354">
        <v>11500060</v>
      </c>
      <c r="K354" t="s">
        <v>30</v>
      </c>
      <c r="L354" s="4">
        <v>232.8</v>
      </c>
      <c r="M354" t="s">
        <v>31</v>
      </c>
      <c r="N354" s="4">
        <v>232.8</v>
      </c>
      <c r="O354" t="s">
        <v>31</v>
      </c>
      <c r="X354" t="s">
        <v>35</v>
      </c>
      <c r="Y354"/>
      <c r="Z354">
        <v>20200131</v>
      </c>
      <c r="AA354">
        <f t="shared" si="6"/>
        <v>232.8</v>
      </c>
      <c r="AC354"/>
      <c r="AF354"/>
      <c r="AL354">
        <v>340632290</v>
      </c>
      <c r="AM354" t="s">
        <v>36</v>
      </c>
    </row>
    <row r="355" spans="1:39" x14ac:dyDescent="0.35">
      <c r="A355">
        <v>3406</v>
      </c>
      <c r="B355" t="s">
        <v>28</v>
      </c>
      <c r="C355">
        <v>2020</v>
      </c>
      <c r="D355" s="1">
        <v>43831</v>
      </c>
      <c r="E355">
        <v>10</v>
      </c>
      <c r="F355">
        <v>600031451</v>
      </c>
      <c r="G355" t="s">
        <v>29</v>
      </c>
      <c r="H355">
        <v>81</v>
      </c>
      <c r="I355">
        <v>71101060</v>
      </c>
      <c r="J355">
        <v>11500060</v>
      </c>
      <c r="K355" t="s">
        <v>30</v>
      </c>
      <c r="L355" s="4">
        <v>608</v>
      </c>
      <c r="M355" t="s">
        <v>31</v>
      </c>
      <c r="N355" s="4">
        <v>608</v>
      </c>
      <c r="O355" t="s">
        <v>31</v>
      </c>
      <c r="X355" t="s">
        <v>35</v>
      </c>
      <c r="Y355"/>
      <c r="Z355">
        <v>20200131</v>
      </c>
      <c r="AA355">
        <f t="shared" si="6"/>
        <v>608</v>
      </c>
      <c r="AC355"/>
      <c r="AF355"/>
      <c r="AL355">
        <v>340632290</v>
      </c>
      <c r="AM355" t="s">
        <v>36</v>
      </c>
    </row>
    <row r="356" spans="1:39" x14ac:dyDescent="0.35">
      <c r="A356">
        <v>3402</v>
      </c>
      <c r="B356" t="s">
        <v>28</v>
      </c>
      <c r="C356">
        <v>2020</v>
      </c>
      <c r="D356" s="1">
        <v>43831</v>
      </c>
      <c r="E356">
        <v>2</v>
      </c>
      <c r="F356">
        <v>200114559</v>
      </c>
      <c r="G356" t="s">
        <v>29</v>
      </c>
      <c r="H356">
        <v>81</v>
      </c>
      <c r="I356">
        <v>71101060</v>
      </c>
      <c r="J356">
        <v>11500060</v>
      </c>
      <c r="K356" t="s">
        <v>30</v>
      </c>
      <c r="L356" s="4">
        <v>30.8</v>
      </c>
      <c r="M356" t="s">
        <v>31</v>
      </c>
      <c r="N356" s="4">
        <v>30.8</v>
      </c>
      <c r="O356" t="s">
        <v>31</v>
      </c>
      <c r="X356" t="s">
        <v>35</v>
      </c>
      <c r="Y356"/>
      <c r="Z356">
        <v>20200131</v>
      </c>
      <c r="AA356">
        <f t="shared" si="6"/>
        <v>30.8</v>
      </c>
      <c r="AC356"/>
      <c r="AF356"/>
      <c r="AL356">
        <v>340220490</v>
      </c>
      <c r="AM356" t="s">
        <v>41</v>
      </c>
    </row>
    <row r="357" spans="1:39" x14ac:dyDescent="0.35">
      <c r="A357">
        <v>3402</v>
      </c>
      <c r="B357" t="s">
        <v>28</v>
      </c>
      <c r="C357">
        <v>2020</v>
      </c>
      <c r="D357" s="1">
        <v>43831</v>
      </c>
      <c r="E357">
        <v>4</v>
      </c>
      <c r="F357">
        <v>200114559</v>
      </c>
      <c r="G357" t="s">
        <v>29</v>
      </c>
      <c r="H357">
        <v>81</v>
      </c>
      <c r="I357">
        <v>71101060</v>
      </c>
      <c r="J357">
        <v>11500060</v>
      </c>
      <c r="K357" t="s">
        <v>30</v>
      </c>
      <c r="L357" s="4">
        <v>16.5</v>
      </c>
      <c r="M357" t="s">
        <v>31</v>
      </c>
      <c r="N357" s="4">
        <v>16.5</v>
      </c>
      <c r="O357" t="s">
        <v>31</v>
      </c>
      <c r="X357" t="s">
        <v>35</v>
      </c>
      <c r="Y357"/>
      <c r="Z357">
        <v>20200131</v>
      </c>
      <c r="AA357">
        <f t="shared" si="6"/>
        <v>16.5</v>
      </c>
      <c r="AC357"/>
      <c r="AF357"/>
      <c r="AL357">
        <v>340220490</v>
      </c>
      <c r="AM357" t="s">
        <v>41</v>
      </c>
    </row>
    <row r="358" spans="1:39" x14ac:dyDescent="0.35">
      <c r="A358">
        <v>3402</v>
      </c>
      <c r="B358" t="s">
        <v>28</v>
      </c>
      <c r="C358">
        <v>2020</v>
      </c>
      <c r="D358" s="1">
        <v>43831</v>
      </c>
      <c r="E358">
        <v>8</v>
      </c>
      <c r="F358">
        <v>200114559</v>
      </c>
      <c r="G358" t="s">
        <v>29</v>
      </c>
      <c r="H358">
        <v>81</v>
      </c>
      <c r="I358">
        <v>71101060</v>
      </c>
      <c r="J358">
        <v>11500060</v>
      </c>
      <c r="K358" t="s">
        <v>30</v>
      </c>
      <c r="L358" s="4">
        <v>10.01</v>
      </c>
      <c r="M358" t="s">
        <v>31</v>
      </c>
      <c r="N358" s="4">
        <v>10.01</v>
      </c>
      <c r="O358" t="s">
        <v>31</v>
      </c>
      <c r="X358" t="s">
        <v>35</v>
      </c>
      <c r="Y358"/>
      <c r="Z358">
        <v>20200131</v>
      </c>
      <c r="AA358">
        <f t="shared" si="6"/>
        <v>10.01</v>
      </c>
      <c r="AC358"/>
      <c r="AF358"/>
      <c r="AL358">
        <v>340220490</v>
      </c>
      <c r="AM358" t="s">
        <v>41</v>
      </c>
    </row>
    <row r="359" spans="1:39" x14ac:dyDescent="0.35">
      <c r="A359">
        <v>3402</v>
      </c>
      <c r="B359" t="s">
        <v>28</v>
      </c>
      <c r="C359">
        <v>2020</v>
      </c>
      <c r="D359" s="1">
        <v>43831</v>
      </c>
      <c r="E359">
        <v>12</v>
      </c>
      <c r="F359">
        <v>200114559</v>
      </c>
      <c r="G359" t="s">
        <v>29</v>
      </c>
      <c r="H359">
        <v>81</v>
      </c>
      <c r="I359">
        <v>71101060</v>
      </c>
      <c r="J359">
        <v>11500060</v>
      </c>
      <c r="K359" t="s">
        <v>30</v>
      </c>
      <c r="L359" s="4">
        <v>48.66</v>
      </c>
      <c r="M359" t="s">
        <v>31</v>
      </c>
      <c r="N359" s="4">
        <v>48.66</v>
      </c>
      <c r="O359" t="s">
        <v>31</v>
      </c>
      <c r="X359" t="s">
        <v>35</v>
      </c>
      <c r="Y359"/>
      <c r="Z359">
        <v>20200131</v>
      </c>
      <c r="AA359">
        <f t="shared" si="6"/>
        <v>48.66</v>
      </c>
      <c r="AC359"/>
      <c r="AF359"/>
      <c r="AL359">
        <v>340220490</v>
      </c>
      <c r="AM359" t="s">
        <v>41</v>
      </c>
    </row>
    <row r="360" spans="1:39" x14ac:dyDescent="0.35">
      <c r="A360">
        <v>3402</v>
      </c>
      <c r="B360" t="s">
        <v>28</v>
      </c>
      <c r="C360">
        <v>2020</v>
      </c>
      <c r="D360" s="1">
        <v>43831</v>
      </c>
      <c r="E360">
        <v>16</v>
      </c>
      <c r="F360">
        <v>200114559</v>
      </c>
      <c r="G360" t="s">
        <v>29</v>
      </c>
      <c r="H360">
        <v>81</v>
      </c>
      <c r="I360">
        <v>71101060</v>
      </c>
      <c r="J360">
        <v>11500060</v>
      </c>
      <c r="K360" t="s">
        <v>30</v>
      </c>
      <c r="L360" s="4">
        <v>1093.3399999999999</v>
      </c>
      <c r="M360" t="s">
        <v>31</v>
      </c>
      <c r="N360" s="4">
        <v>1093.3399999999999</v>
      </c>
      <c r="O360" t="s">
        <v>31</v>
      </c>
      <c r="X360" t="s">
        <v>35</v>
      </c>
      <c r="Y360"/>
      <c r="Z360">
        <v>20200131</v>
      </c>
      <c r="AA360">
        <f t="shared" si="6"/>
        <v>1093.3399999999999</v>
      </c>
      <c r="AC360"/>
      <c r="AF360"/>
      <c r="AL360">
        <v>340220490</v>
      </c>
      <c r="AM360" t="s">
        <v>41</v>
      </c>
    </row>
    <row r="361" spans="1:39" x14ac:dyDescent="0.35">
      <c r="A361">
        <v>3403</v>
      </c>
      <c r="B361" t="s">
        <v>28</v>
      </c>
      <c r="C361">
        <v>2020</v>
      </c>
      <c r="D361" s="1">
        <v>43831</v>
      </c>
      <c r="E361">
        <v>6</v>
      </c>
      <c r="F361">
        <v>300018440</v>
      </c>
      <c r="G361" t="s">
        <v>29</v>
      </c>
      <c r="H361">
        <v>81</v>
      </c>
      <c r="I361">
        <v>71101060</v>
      </c>
      <c r="J361">
        <v>11500060</v>
      </c>
      <c r="K361" t="s">
        <v>30</v>
      </c>
      <c r="L361" s="4">
        <v>40</v>
      </c>
      <c r="M361" t="s">
        <v>31</v>
      </c>
      <c r="N361" s="4">
        <v>40</v>
      </c>
      <c r="O361" t="s">
        <v>31</v>
      </c>
      <c r="X361" t="s">
        <v>35</v>
      </c>
      <c r="Y361"/>
      <c r="Z361">
        <v>20200131</v>
      </c>
      <c r="AA361">
        <f t="shared" si="6"/>
        <v>40</v>
      </c>
      <c r="AC361"/>
      <c r="AF361"/>
      <c r="AL361">
        <v>340310590</v>
      </c>
      <c r="AM361" t="s">
        <v>40</v>
      </c>
    </row>
    <row r="362" spans="1:39" x14ac:dyDescent="0.35">
      <c r="A362">
        <v>3403</v>
      </c>
      <c r="B362" t="s">
        <v>28</v>
      </c>
      <c r="C362">
        <v>2020</v>
      </c>
      <c r="D362" s="1">
        <v>43831</v>
      </c>
      <c r="E362">
        <v>8</v>
      </c>
      <c r="F362">
        <v>300018440</v>
      </c>
      <c r="G362" t="s">
        <v>29</v>
      </c>
      <c r="H362">
        <v>81</v>
      </c>
      <c r="I362">
        <v>71101060</v>
      </c>
      <c r="J362">
        <v>11500060</v>
      </c>
      <c r="K362" t="s">
        <v>30</v>
      </c>
      <c r="L362" s="4">
        <v>152</v>
      </c>
      <c r="M362" t="s">
        <v>31</v>
      </c>
      <c r="N362" s="4">
        <v>152</v>
      </c>
      <c r="O362" t="s">
        <v>31</v>
      </c>
      <c r="X362" t="s">
        <v>35</v>
      </c>
      <c r="Y362"/>
      <c r="Z362">
        <v>20200131</v>
      </c>
      <c r="AA362">
        <f t="shared" si="6"/>
        <v>152</v>
      </c>
      <c r="AC362"/>
      <c r="AF362"/>
      <c r="AL362">
        <v>340310590</v>
      </c>
      <c r="AM362" t="s">
        <v>40</v>
      </c>
    </row>
    <row r="363" spans="1:39" x14ac:dyDescent="0.35">
      <c r="A363">
        <v>3403</v>
      </c>
      <c r="B363" t="s">
        <v>28</v>
      </c>
      <c r="C363">
        <v>2020</v>
      </c>
      <c r="D363" s="1">
        <v>43831</v>
      </c>
      <c r="E363">
        <v>14</v>
      </c>
      <c r="F363">
        <v>300018440</v>
      </c>
      <c r="G363" t="s">
        <v>29</v>
      </c>
      <c r="H363">
        <v>81</v>
      </c>
      <c r="I363">
        <v>71101060</v>
      </c>
      <c r="J363">
        <v>11500060</v>
      </c>
      <c r="K363" t="s">
        <v>30</v>
      </c>
      <c r="L363" s="4">
        <v>2077.5300000000002</v>
      </c>
      <c r="M363" t="s">
        <v>31</v>
      </c>
      <c r="N363" s="4">
        <v>2077.5300000000002</v>
      </c>
      <c r="O363" t="s">
        <v>31</v>
      </c>
      <c r="X363" t="s">
        <v>35</v>
      </c>
      <c r="Y363"/>
      <c r="Z363">
        <v>20200131</v>
      </c>
      <c r="AA363">
        <f t="shared" si="6"/>
        <v>2077.5300000000002</v>
      </c>
      <c r="AC363"/>
      <c r="AF363"/>
      <c r="AL363">
        <v>340310590</v>
      </c>
      <c r="AM363" t="s">
        <v>40</v>
      </c>
    </row>
    <row r="364" spans="1:39" x14ac:dyDescent="0.35">
      <c r="A364">
        <v>3403</v>
      </c>
      <c r="B364" t="s">
        <v>28</v>
      </c>
      <c r="C364">
        <v>2020</v>
      </c>
      <c r="D364" s="1">
        <v>43831</v>
      </c>
      <c r="E364">
        <v>16</v>
      </c>
      <c r="F364">
        <v>300018440</v>
      </c>
      <c r="G364" t="s">
        <v>29</v>
      </c>
      <c r="H364">
        <v>81</v>
      </c>
      <c r="I364">
        <v>71101060</v>
      </c>
      <c r="J364">
        <v>11500060</v>
      </c>
      <c r="K364" t="s">
        <v>30</v>
      </c>
      <c r="L364" s="4">
        <v>3784</v>
      </c>
      <c r="M364" t="s">
        <v>31</v>
      </c>
      <c r="N364" s="4">
        <v>3784</v>
      </c>
      <c r="O364" t="s">
        <v>31</v>
      </c>
      <c r="X364" t="s">
        <v>35</v>
      </c>
      <c r="Y364"/>
      <c r="Z364">
        <v>20200131</v>
      </c>
      <c r="AA364">
        <f t="shared" si="6"/>
        <v>3784</v>
      </c>
      <c r="AC364"/>
      <c r="AF364"/>
      <c r="AL364">
        <v>340310590</v>
      </c>
      <c r="AM364" t="s">
        <v>40</v>
      </c>
    </row>
    <row r="365" spans="1:39" x14ac:dyDescent="0.35">
      <c r="A365">
        <v>3403</v>
      </c>
      <c r="B365" t="s">
        <v>28</v>
      </c>
      <c r="C365">
        <v>2020</v>
      </c>
      <c r="D365" s="1">
        <v>43831</v>
      </c>
      <c r="E365">
        <v>22</v>
      </c>
      <c r="F365">
        <v>300018440</v>
      </c>
      <c r="G365" t="s">
        <v>29</v>
      </c>
      <c r="H365">
        <v>81</v>
      </c>
      <c r="I365">
        <v>71101060</v>
      </c>
      <c r="J365">
        <v>11500060</v>
      </c>
      <c r="K365" t="s">
        <v>30</v>
      </c>
      <c r="L365" s="4">
        <v>1200</v>
      </c>
      <c r="M365" t="s">
        <v>31</v>
      </c>
      <c r="N365" s="4">
        <v>1200</v>
      </c>
      <c r="O365" t="s">
        <v>31</v>
      </c>
      <c r="X365" t="s">
        <v>35</v>
      </c>
      <c r="Y365"/>
      <c r="Z365">
        <v>20200131</v>
      </c>
      <c r="AA365">
        <f t="shared" si="6"/>
        <v>1200</v>
      </c>
      <c r="AC365"/>
      <c r="AF365"/>
      <c r="AL365">
        <v>340310590</v>
      </c>
      <c r="AM365" t="s">
        <v>40</v>
      </c>
    </row>
    <row r="366" spans="1:39" x14ac:dyDescent="0.35">
      <c r="A366">
        <v>3403</v>
      </c>
      <c r="B366" t="s">
        <v>28</v>
      </c>
      <c r="C366">
        <v>2020</v>
      </c>
      <c r="D366" s="1">
        <v>43831</v>
      </c>
      <c r="E366">
        <v>24</v>
      </c>
      <c r="F366">
        <v>300018440</v>
      </c>
      <c r="G366" t="s">
        <v>29</v>
      </c>
      <c r="H366">
        <v>81</v>
      </c>
      <c r="I366">
        <v>71101060</v>
      </c>
      <c r="J366">
        <v>11500060</v>
      </c>
      <c r="K366" t="s">
        <v>30</v>
      </c>
      <c r="L366" s="4">
        <v>600</v>
      </c>
      <c r="M366" t="s">
        <v>31</v>
      </c>
      <c r="N366" s="4">
        <v>600</v>
      </c>
      <c r="O366" t="s">
        <v>31</v>
      </c>
      <c r="X366" t="s">
        <v>35</v>
      </c>
      <c r="Y366"/>
      <c r="Z366">
        <v>20200131</v>
      </c>
      <c r="AA366">
        <f t="shared" si="6"/>
        <v>600</v>
      </c>
      <c r="AC366"/>
      <c r="AF366"/>
      <c r="AL366">
        <v>340310590</v>
      </c>
      <c r="AM366" t="s">
        <v>40</v>
      </c>
    </row>
    <row r="367" spans="1:39" x14ac:dyDescent="0.35">
      <c r="A367">
        <v>3403</v>
      </c>
      <c r="B367" t="s">
        <v>28</v>
      </c>
      <c r="C367">
        <v>2020</v>
      </c>
      <c r="D367" s="1">
        <v>43831</v>
      </c>
      <c r="E367">
        <v>26</v>
      </c>
      <c r="F367">
        <v>300018440</v>
      </c>
      <c r="G367" t="s">
        <v>29</v>
      </c>
      <c r="H367">
        <v>81</v>
      </c>
      <c r="I367">
        <v>71101060</v>
      </c>
      <c r="J367">
        <v>11500060</v>
      </c>
      <c r="K367" t="s">
        <v>30</v>
      </c>
      <c r="L367" s="4">
        <v>3089.07</v>
      </c>
      <c r="M367" t="s">
        <v>31</v>
      </c>
      <c r="N367" s="4">
        <v>3089.07</v>
      </c>
      <c r="O367" t="s">
        <v>31</v>
      </c>
      <c r="X367" t="s">
        <v>35</v>
      </c>
      <c r="Y367"/>
      <c r="Z367">
        <v>20200131</v>
      </c>
      <c r="AA367">
        <f t="shared" si="6"/>
        <v>3089.07</v>
      </c>
      <c r="AC367"/>
      <c r="AF367"/>
      <c r="AL367">
        <v>340310590</v>
      </c>
      <c r="AM367" t="s">
        <v>40</v>
      </c>
    </row>
    <row r="368" spans="1:39" x14ac:dyDescent="0.35">
      <c r="A368">
        <v>3403</v>
      </c>
      <c r="B368" t="s">
        <v>28</v>
      </c>
      <c r="C368">
        <v>2020</v>
      </c>
      <c r="D368" s="1">
        <v>43831</v>
      </c>
      <c r="E368">
        <v>24</v>
      </c>
      <c r="F368">
        <v>300018441</v>
      </c>
      <c r="G368" t="s">
        <v>29</v>
      </c>
      <c r="H368">
        <v>81</v>
      </c>
      <c r="I368">
        <v>71101060</v>
      </c>
      <c r="J368">
        <v>11500060</v>
      </c>
      <c r="K368" t="s">
        <v>30</v>
      </c>
      <c r="L368" s="4">
        <v>80</v>
      </c>
      <c r="M368" t="s">
        <v>31</v>
      </c>
      <c r="N368" s="4">
        <v>80</v>
      </c>
      <c r="O368" t="s">
        <v>31</v>
      </c>
      <c r="X368" t="s">
        <v>35</v>
      </c>
      <c r="Y368"/>
      <c r="Z368">
        <v>20200131</v>
      </c>
      <c r="AA368">
        <f t="shared" si="6"/>
        <v>80</v>
      </c>
      <c r="AC368"/>
      <c r="AF368"/>
      <c r="AL368">
        <v>340325290</v>
      </c>
      <c r="AM368" t="s">
        <v>40</v>
      </c>
    </row>
    <row r="369" spans="1:39" x14ac:dyDescent="0.35">
      <c r="A369">
        <v>3406</v>
      </c>
      <c r="B369" t="s">
        <v>28</v>
      </c>
      <c r="C369">
        <v>2020</v>
      </c>
      <c r="D369" s="1">
        <v>43831</v>
      </c>
      <c r="E369">
        <v>2</v>
      </c>
      <c r="F369">
        <v>600031518</v>
      </c>
      <c r="G369" t="s">
        <v>29</v>
      </c>
      <c r="H369">
        <v>81</v>
      </c>
      <c r="I369">
        <v>71101060</v>
      </c>
      <c r="J369">
        <v>11500060</v>
      </c>
      <c r="K369" t="s">
        <v>30</v>
      </c>
      <c r="L369" s="4">
        <v>4693.3500000000004</v>
      </c>
      <c r="M369" t="s">
        <v>31</v>
      </c>
      <c r="N369" s="4">
        <v>4693.3500000000004</v>
      </c>
      <c r="O369" t="s">
        <v>31</v>
      </c>
      <c r="X369" t="s">
        <v>35</v>
      </c>
      <c r="Y369"/>
      <c r="Z369">
        <v>20200131</v>
      </c>
      <c r="AA369">
        <f t="shared" si="6"/>
        <v>4693.3500000000004</v>
      </c>
      <c r="AC369"/>
      <c r="AF369"/>
      <c r="AL369">
        <v>340612890</v>
      </c>
      <c r="AM369" t="s">
        <v>36</v>
      </c>
    </row>
    <row r="370" spans="1:39" x14ac:dyDescent="0.35">
      <c r="A370">
        <v>3406</v>
      </c>
      <c r="B370" t="s">
        <v>28</v>
      </c>
      <c r="C370">
        <v>2020</v>
      </c>
      <c r="D370" s="1">
        <v>43831</v>
      </c>
      <c r="E370">
        <v>4</v>
      </c>
      <c r="F370">
        <v>600031518</v>
      </c>
      <c r="G370" t="s">
        <v>29</v>
      </c>
      <c r="H370">
        <v>81</v>
      </c>
      <c r="I370">
        <v>71101060</v>
      </c>
      <c r="J370">
        <v>11500060</v>
      </c>
      <c r="K370" t="s">
        <v>30</v>
      </c>
      <c r="L370" s="4">
        <v>2873.44</v>
      </c>
      <c r="M370" t="s">
        <v>31</v>
      </c>
      <c r="N370" s="4">
        <v>2873.44</v>
      </c>
      <c r="O370" t="s">
        <v>31</v>
      </c>
      <c r="X370" t="s">
        <v>35</v>
      </c>
      <c r="Y370"/>
      <c r="Z370">
        <v>20200131</v>
      </c>
      <c r="AA370">
        <f t="shared" si="6"/>
        <v>2873.44</v>
      </c>
      <c r="AC370"/>
      <c r="AF370"/>
      <c r="AL370">
        <v>340612890</v>
      </c>
      <c r="AM370" t="s">
        <v>36</v>
      </c>
    </row>
    <row r="371" spans="1:39" x14ac:dyDescent="0.35">
      <c r="A371">
        <v>3406</v>
      </c>
      <c r="B371" t="s">
        <v>28</v>
      </c>
      <c r="C371">
        <v>2020</v>
      </c>
      <c r="D371" s="1">
        <v>43831</v>
      </c>
      <c r="E371">
        <v>6</v>
      </c>
      <c r="F371">
        <v>600031518</v>
      </c>
      <c r="G371" t="s">
        <v>29</v>
      </c>
      <c r="H371">
        <v>81</v>
      </c>
      <c r="I371">
        <v>71101060</v>
      </c>
      <c r="J371">
        <v>11500060</v>
      </c>
      <c r="K371" t="s">
        <v>30</v>
      </c>
      <c r="L371" s="4">
        <v>11553</v>
      </c>
      <c r="M371" t="s">
        <v>31</v>
      </c>
      <c r="N371" s="4">
        <v>11553</v>
      </c>
      <c r="O371" t="s">
        <v>31</v>
      </c>
      <c r="X371" t="s">
        <v>35</v>
      </c>
      <c r="Y371"/>
      <c r="Z371">
        <v>20200131</v>
      </c>
      <c r="AA371">
        <f t="shared" si="6"/>
        <v>11553</v>
      </c>
      <c r="AC371"/>
      <c r="AF371"/>
      <c r="AL371">
        <v>340612890</v>
      </c>
      <c r="AM371" t="s">
        <v>36</v>
      </c>
    </row>
    <row r="372" spans="1:39" x14ac:dyDescent="0.35">
      <c r="A372">
        <v>3406</v>
      </c>
      <c r="B372" t="s">
        <v>28</v>
      </c>
      <c r="C372">
        <v>2020</v>
      </c>
      <c r="D372" s="1">
        <v>43831</v>
      </c>
      <c r="E372">
        <v>8</v>
      </c>
      <c r="F372">
        <v>600031518</v>
      </c>
      <c r="G372" t="s">
        <v>29</v>
      </c>
      <c r="H372">
        <v>81</v>
      </c>
      <c r="I372">
        <v>71101060</v>
      </c>
      <c r="J372">
        <v>11500060</v>
      </c>
      <c r="K372" t="s">
        <v>30</v>
      </c>
      <c r="L372" s="4">
        <v>1455.03</v>
      </c>
      <c r="M372" t="s">
        <v>31</v>
      </c>
      <c r="N372" s="4">
        <v>1455.03</v>
      </c>
      <c r="O372" t="s">
        <v>31</v>
      </c>
      <c r="X372" t="s">
        <v>35</v>
      </c>
      <c r="Y372"/>
      <c r="Z372">
        <v>20200131</v>
      </c>
      <c r="AA372">
        <f t="shared" si="6"/>
        <v>1455.03</v>
      </c>
      <c r="AC372"/>
      <c r="AF372"/>
      <c r="AL372">
        <v>340612890</v>
      </c>
      <c r="AM372" t="s">
        <v>36</v>
      </c>
    </row>
    <row r="373" spans="1:39" x14ac:dyDescent="0.35">
      <c r="A373">
        <v>3406</v>
      </c>
      <c r="B373" t="s">
        <v>28</v>
      </c>
      <c r="C373">
        <v>2020</v>
      </c>
      <c r="D373" s="1">
        <v>43831</v>
      </c>
      <c r="E373">
        <v>10</v>
      </c>
      <c r="F373">
        <v>600031518</v>
      </c>
      <c r="G373" t="s">
        <v>29</v>
      </c>
      <c r="H373">
        <v>81</v>
      </c>
      <c r="I373">
        <v>71101060</v>
      </c>
      <c r="J373">
        <v>11500060</v>
      </c>
      <c r="K373" t="s">
        <v>30</v>
      </c>
      <c r="L373" s="4">
        <v>4233.93</v>
      </c>
      <c r="M373" t="s">
        <v>31</v>
      </c>
      <c r="N373" s="4">
        <v>4233.93</v>
      </c>
      <c r="O373" t="s">
        <v>31</v>
      </c>
      <c r="X373" t="s">
        <v>35</v>
      </c>
      <c r="Y373"/>
      <c r="Z373">
        <v>20200131</v>
      </c>
      <c r="AA373">
        <f t="shared" si="6"/>
        <v>4233.93</v>
      </c>
      <c r="AC373"/>
      <c r="AF373"/>
      <c r="AL373">
        <v>340612890</v>
      </c>
      <c r="AM373" t="s">
        <v>36</v>
      </c>
    </row>
    <row r="374" spans="1:39" x14ac:dyDescent="0.35">
      <c r="A374">
        <v>3406</v>
      </c>
      <c r="B374" t="s">
        <v>28</v>
      </c>
      <c r="C374">
        <v>2020</v>
      </c>
      <c r="D374" s="1">
        <v>43831</v>
      </c>
      <c r="E374">
        <v>12</v>
      </c>
      <c r="F374">
        <v>600031518</v>
      </c>
      <c r="G374" t="s">
        <v>29</v>
      </c>
      <c r="H374">
        <v>81</v>
      </c>
      <c r="I374">
        <v>71101060</v>
      </c>
      <c r="J374">
        <v>11500060</v>
      </c>
      <c r="K374" t="s">
        <v>30</v>
      </c>
      <c r="L374" s="4">
        <v>2698.5</v>
      </c>
      <c r="M374" t="s">
        <v>31</v>
      </c>
      <c r="N374" s="4">
        <v>2698.5</v>
      </c>
      <c r="O374" t="s">
        <v>31</v>
      </c>
      <c r="X374" t="s">
        <v>35</v>
      </c>
      <c r="Y374"/>
      <c r="Z374">
        <v>20200131</v>
      </c>
      <c r="AA374">
        <f t="shared" si="6"/>
        <v>2698.5</v>
      </c>
      <c r="AC374"/>
      <c r="AF374"/>
      <c r="AL374">
        <v>340612890</v>
      </c>
      <c r="AM374" t="s">
        <v>36</v>
      </c>
    </row>
    <row r="375" spans="1:39" x14ac:dyDescent="0.35">
      <c r="A375">
        <v>3406</v>
      </c>
      <c r="B375" t="s">
        <v>28</v>
      </c>
      <c r="C375">
        <v>2020</v>
      </c>
      <c r="D375" s="1">
        <v>43831</v>
      </c>
      <c r="E375">
        <v>14</v>
      </c>
      <c r="F375">
        <v>600031518</v>
      </c>
      <c r="G375" t="s">
        <v>29</v>
      </c>
      <c r="H375">
        <v>81</v>
      </c>
      <c r="I375">
        <v>71101060</v>
      </c>
      <c r="J375">
        <v>11500060</v>
      </c>
      <c r="K375" t="s">
        <v>30</v>
      </c>
      <c r="L375" s="4">
        <v>404.25</v>
      </c>
      <c r="M375" t="s">
        <v>31</v>
      </c>
      <c r="N375" s="4">
        <v>404.25</v>
      </c>
      <c r="O375" t="s">
        <v>31</v>
      </c>
      <c r="X375" t="s">
        <v>35</v>
      </c>
      <c r="Y375"/>
      <c r="Z375">
        <v>20200131</v>
      </c>
      <c r="AA375">
        <f t="shared" si="6"/>
        <v>404.25</v>
      </c>
      <c r="AC375"/>
      <c r="AF375"/>
      <c r="AL375">
        <v>340612890</v>
      </c>
      <c r="AM375" t="s">
        <v>36</v>
      </c>
    </row>
    <row r="376" spans="1:39" x14ac:dyDescent="0.35">
      <c r="A376">
        <v>3406</v>
      </c>
      <c r="B376" t="s">
        <v>28</v>
      </c>
      <c r="C376">
        <v>2020</v>
      </c>
      <c r="D376" s="1">
        <v>43831</v>
      </c>
      <c r="E376">
        <v>16</v>
      </c>
      <c r="F376">
        <v>600031518</v>
      </c>
      <c r="G376" t="s">
        <v>29</v>
      </c>
      <c r="H376">
        <v>81</v>
      </c>
      <c r="I376">
        <v>71101060</v>
      </c>
      <c r="J376">
        <v>11500060</v>
      </c>
      <c r="K376" t="s">
        <v>30</v>
      </c>
      <c r="L376" s="4">
        <v>3611.56</v>
      </c>
      <c r="M376" t="s">
        <v>31</v>
      </c>
      <c r="N376" s="4">
        <v>3611.56</v>
      </c>
      <c r="O376" t="s">
        <v>31</v>
      </c>
      <c r="X376" t="s">
        <v>35</v>
      </c>
      <c r="Y376"/>
      <c r="Z376">
        <v>20200131</v>
      </c>
      <c r="AA376">
        <f t="shared" si="6"/>
        <v>3611.56</v>
      </c>
      <c r="AC376"/>
      <c r="AF376"/>
      <c r="AL376">
        <v>340612890</v>
      </c>
      <c r="AM376" t="s">
        <v>36</v>
      </c>
    </row>
    <row r="377" spans="1:39" x14ac:dyDescent="0.35">
      <c r="A377">
        <v>3406</v>
      </c>
      <c r="B377" t="s">
        <v>28</v>
      </c>
      <c r="C377">
        <v>2020</v>
      </c>
      <c r="D377" s="1">
        <v>43831</v>
      </c>
      <c r="E377">
        <v>18</v>
      </c>
      <c r="F377">
        <v>600031518</v>
      </c>
      <c r="G377" t="s">
        <v>29</v>
      </c>
      <c r="H377">
        <v>81</v>
      </c>
      <c r="I377">
        <v>71101060</v>
      </c>
      <c r="J377">
        <v>11500060</v>
      </c>
      <c r="K377" t="s">
        <v>30</v>
      </c>
      <c r="L377" s="4">
        <v>909.62</v>
      </c>
      <c r="M377" t="s">
        <v>31</v>
      </c>
      <c r="N377" s="4">
        <v>909.62</v>
      </c>
      <c r="O377" t="s">
        <v>31</v>
      </c>
      <c r="X377" t="s">
        <v>35</v>
      </c>
      <c r="Y377"/>
      <c r="Z377">
        <v>20200131</v>
      </c>
      <c r="AA377">
        <f t="shared" si="6"/>
        <v>909.62</v>
      </c>
      <c r="AC377"/>
      <c r="AF377"/>
      <c r="AL377">
        <v>340612890</v>
      </c>
      <c r="AM377" t="s">
        <v>36</v>
      </c>
    </row>
    <row r="378" spans="1:39" x14ac:dyDescent="0.35">
      <c r="A378">
        <v>3406</v>
      </c>
      <c r="B378" t="s">
        <v>28</v>
      </c>
      <c r="C378">
        <v>2020</v>
      </c>
      <c r="D378" s="1">
        <v>43831</v>
      </c>
      <c r="E378">
        <v>20</v>
      </c>
      <c r="F378">
        <v>600031518</v>
      </c>
      <c r="G378" t="s">
        <v>29</v>
      </c>
      <c r="H378">
        <v>81</v>
      </c>
      <c r="I378">
        <v>71101060</v>
      </c>
      <c r="J378">
        <v>11500060</v>
      </c>
      <c r="K378" t="s">
        <v>30</v>
      </c>
      <c r="L378" s="4">
        <v>145.97999999999999</v>
      </c>
      <c r="M378" t="s">
        <v>31</v>
      </c>
      <c r="N378" s="4">
        <v>145.97999999999999</v>
      </c>
      <c r="O378" t="s">
        <v>31</v>
      </c>
      <c r="X378" t="s">
        <v>35</v>
      </c>
      <c r="Y378"/>
      <c r="Z378">
        <v>20200131</v>
      </c>
      <c r="AA378">
        <f t="shared" si="6"/>
        <v>145.97999999999999</v>
      </c>
      <c r="AC378"/>
      <c r="AF378"/>
      <c r="AL378">
        <v>340612890</v>
      </c>
      <c r="AM378" t="s">
        <v>36</v>
      </c>
    </row>
    <row r="379" spans="1:39" x14ac:dyDescent="0.35">
      <c r="A379">
        <v>3406</v>
      </c>
      <c r="B379" t="s">
        <v>28</v>
      </c>
      <c r="C379">
        <v>2020</v>
      </c>
      <c r="D379" s="1">
        <v>43831</v>
      </c>
      <c r="E379">
        <v>22</v>
      </c>
      <c r="F379">
        <v>600031518</v>
      </c>
      <c r="G379" t="s">
        <v>29</v>
      </c>
      <c r="H379">
        <v>81</v>
      </c>
      <c r="I379">
        <v>71101060</v>
      </c>
      <c r="J379">
        <v>11500060</v>
      </c>
      <c r="K379" t="s">
        <v>30</v>
      </c>
      <c r="L379" s="4">
        <v>3922.5</v>
      </c>
      <c r="M379" t="s">
        <v>31</v>
      </c>
      <c r="N379" s="4">
        <v>3922.5</v>
      </c>
      <c r="O379" t="s">
        <v>31</v>
      </c>
      <c r="X379" t="s">
        <v>35</v>
      </c>
      <c r="Y379"/>
      <c r="Z379">
        <v>20200131</v>
      </c>
      <c r="AA379">
        <f t="shared" si="6"/>
        <v>3922.5</v>
      </c>
      <c r="AC379"/>
      <c r="AF379"/>
      <c r="AL379">
        <v>340612890</v>
      </c>
      <c r="AM379" t="s">
        <v>36</v>
      </c>
    </row>
    <row r="380" spans="1:39" x14ac:dyDescent="0.35">
      <c r="A380">
        <v>3406</v>
      </c>
      <c r="B380" t="s">
        <v>28</v>
      </c>
      <c r="C380">
        <v>2020</v>
      </c>
      <c r="D380" s="1">
        <v>43831</v>
      </c>
      <c r="E380">
        <v>24</v>
      </c>
      <c r="F380">
        <v>600031518</v>
      </c>
      <c r="G380" t="s">
        <v>29</v>
      </c>
      <c r="H380">
        <v>81</v>
      </c>
      <c r="I380">
        <v>71101060</v>
      </c>
      <c r="J380">
        <v>11500060</v>
      </c>
      <c r="K380" t="s">
        <v>30</v>
      </c>
      <c r="L380" s="4">
        <v>4104</v>
      </c>
      <c r="M380" t="s">
        <v>31</v>
      </c>
      <c r="N380" s="4">
        <v>4104</v>
      </c>
      <c r="O380" t="s">
        <v>31</v>
      </c>
      <c r="X380" t="s">
        <v>35</v>
      </c>
      <c r="Y380"/>
      <c r="Z380">
        <v>20200131</v>
      </c>
      <c r="AA380">
        <f t="shared" si="6"/>
        <v>4104</v>
      </c>
      <c r="AC380"/>
      <c r="AF380"/>
      <c r="AL380">
        <v>340612890</v>
      </c>
      <c r="AM380" t="s">
        <v>36</v>
      </c>
    </row>
    <row r="381" spans="1:39" x14ac:dyDescent="0.35">
      <c r="A381">
        <v>3406</v>
      </c>
      <c r="B381" t="s">
        <v>28</v>
      </c>
      <c r="C381">
        <v>2020</v>
      </c>
      <c r="D381" s="1">
        <v>43831</v>
      </c>
      <c r="E381">
        <v>26</v>
      </c>
      <c r="F381">
        <v>600031518</v>
      </c>
      <c r="G381" t="s">
        <v>29</v>
      </c>
      <c r="H381">
        <v>81</v>
      </c>
      <c r="I381">
        <v>71101060</v>
      </c>
      <c r="J381">
        <v>11500060</v>
      </c>
      <c r="K381" t="s">
        <v>30</v>
      </c>
      <c r="L381" s="4">
        <v>16400.099999999999</v>
      </c>
      <c r="M381" t="s">
        <v>31</v>
      </c>
      <c r="N381" s="4">
        <v>16400.099999999999</v>
      </c>
      <c r="O381" t="s">
        <v>31</v>
      </c>
      <c r="X381" t="s">
        <v>35</v>
      </c>
      <c r="Y381"/>
      <c r="Z381">
        <v>20200131</v>
      </c>
      <c r="AA381">
        <f t="shared" si="6"/>
        <v>16400.099999999999</v>
      </c>
      <c r="AC381"/>
      <c r="AF381"/>
      <c r="AL381">
        <v>340612890</v>
      </c>
      <c r="AM381" t="s">
        <v>36</v>
      </c>
    </row>
    <row r="382" spans="1:39" x14ac:dyDescent="0.35">
      <c r="A382">
        <v>3406</v>
      </c>
      <c r="B382" t="s">
        <v>28</v>
      </c>
      <c r="C382">
        <v>2020</v>
      </c>
      <c r="D382" s="1">
        <v>43831</v>
      </c>
      <c r="E382">
        <v>30</v>
      </c>
      <c r="F382">
        <v>600031518</v>
      </c>
      <c r="G382" t="s">
        <v>29</v>
      </c>
      <c r="H382">
        <v>81</v>
      </c>
      <c r="I382">
        <v>71101060</v>
      </c>
      <c r="J382">
        <v>11500060</v>
      </c>
      <c r="K382" t="s">
        <v>30</v>
      </c>
      <c r="L382" s="4">
        <v>6178.14</v>
      </c>
      <c r="M382" t="s">
        <v>31</v>
      </c>
      <c r="N382" s="4">
        <v>6178.14</v>
      </c>
      <c r="O382" t="s">
        <v>31</v>
      </c>
      <c r="X382" t="s">
        <v>35</v>
      </c>
      <c r="Y382"/>
      <c r="Z382">
        <v>20200131</v>
      </c>
      <c r="AA382">
        <f t="shared" si="6"/>
        <v>6178.14</v>
      </c>
      <c r="AC382"/>
      <c r="AF382"/>
      <c r="AL382">
        <v>340612890</v>
      </c>
      <c r="AM382" t="s">
        <v>36</v>
      </c>
    </row>
    <row r="383" spans="1:39" x14ac:dyDescent="0.35">
      <c r="A383">
        <v>3406</v>
      </c>
      <c r="B383" t="s">
        <v>28</v>
      </c>
      <c r="C383">
        <v>2020</v>
      </c>
      <c r="D383" s="1">
        <v>43831</v>
      </c>
      <c r="E383">
        <v>44</v>
      </c>
      <c r="F383">
        <v>600031518</v>
      </c>
      <c r="G383" t="s">
        <v>29</v>
      </c>
      <c r="H383">
        <v>81</v>
      </c>
      <c r="I383">
        <v>71101060</v>
      </c>
      <c r="J383">
        <v>11500060</v>
      </c>
      <c r="K383" t="s">
        <v>30</v>
      </c>
      <c r="L383" s="4">
        <v>369.6</v>
      </c>
      <c r="M383" t="s">
        <v>31</v>
      </c>
      <c r="N383" s="4">
        <v>369.6</v>
      </c>
      <c r="O383" t="s">
        <v>31</v>
      </c>
      <c r="X383" t="s">
        <v>35</v>
      </c>
      <c r="Y383"/>
      <c r="Z383">
        <v>20200131</v>
      </c>
      <c r="AA383">
        <f t="shared" si="6"/>
        <v>369.6</v>
      </c>
      <c r="AC383"/>
      <c r="AF383"/>
      <c r="AL383">
        <v>340612890</v>
      </c>
      <c r="AM383" t="s">
        <v>36</v>
      </c>
    </row>
    <row r="384" spans="1:39" x14ac:dyDescent="0.35">
      <c r="A384">
        <v>3406</v>
      </c>
      <c r="B384" t="s">
        <v>28</v>
      </c>
      <c r="C384">
        <v>2020</v>
      </c>
      <c r="D384" s="1">
        <v>43831</v>
      </c>
      <c r="E384">
        <v>46</v>
      </c>
      <c r="F384">
        <v>600031518</v>
      </c>
      <c r="G384" t="s">
        <v>29</v>
      </c>
      <c r="H384">
        <v>81</v>
      </c>
      <c r="I384">
        <v>71101060</v>
      </c>
      <c r="J384">
        <v>11500060</v>
      </c>
      <c r="K384" t="s">
        <v>30</v>
      </c>
      <c r="L384" s="4">
        <v>92.36</v>
      </c>
      <c r="M384" t="s">
        <v>31</v>
      </c>
      <c r="N384" s="4">
        <v>92.36</v>
      </c>
      <c r="O384" t="s">
        <v>31</v>
      </c>
      <c r="X384" t="s">
        <v>35</v>
      </c>
      <c r="Y384"/>
      <c r="Z384">
        <v>20200131</v>
      </c>
      <c r="AA384">
        <f t="shared" si="6"/>
        <v>92.36</v>
      </c>
      <c r="AC384"/>
      <c r="AF384"/>
      <c r="AL384">
        <v>340612890</v>
      </c>
      <c r="AM384" t="s">
        <v>36</v>
      </c>
    </row>
    <row r="385" spans="1:39" x14ac:dyDescent="0.35">
      <c r="A385">
        <v>3406</v>
      </c>
      <c r="B385" t="s">
        <v>28</v>
      </c>
      <c r="C385">
        <v>2020</v>
      </c>
      <c r="D385" s="1">
        <v>43831</v>
      </c>
      <c r="E385">
        <v>48</v>
      </c>
      <c r="F385">
        <v>600031518</v>
      </c>
      <c r="G385" t="s">
        <v>29</v>
      </c>
      <c r="H385">
        <v>81</v>
      </c>
      <c r="I385">
        <v>71101060</v>
      </c>
      <c r="J385">
        <v>11500060</v>
      </c>
      <c r="K385" t="s">
        <v>30</v>
      </c>
      <c r="L385" s="4">
        <v>1628.2</v>
      </c>
      <c r="M385" t="s">
        <v>31</v>
      </c>
      <c r="N385" s="4">
        <v>1628.2</v>
      </c>
      <c r="O385" t="s">
        <v>31</v>
      </c>
      <c r="X385" t="s">
        <v>35</v>
      </c>
      <c r="Y385"/>
      <c r="Z385">
        <v>20200131</v>
      </c>
      <c r="AA385">
        <f t="shared" si="6"/>
        <v>1628.2</v>
      </c>
      <c r="AC385"/>
      <c r="AF385"/>
      <c r="AL385">
        <v>340612890</v>
      </c>
      <c r="AM385" t="s">
        <v>36</v>
      </c>
    </row>
    <row r="386" spans="1:39" x14ac:dyDescent="0.35">
      <c r="A386">
        <v>3406</v>
      </c>
      <c r="B386" t="s">
        <v>28</v>
      </c>
      <c r="C386">
        <v>2020</v>
      </c>
      <c r="D386" s="1">
        <v>43831</v>
      </c>
      <c r="E386">
        <v>50</v>
      </c>
      <c r="F386">
        <v>600031518</v>
      </c>
      <c r="G386" t="s">
        <v>29</v>
      </c>
      <c r="H386">
        <v>81</v>
      </c>
      <c r="I386">
        <v>71101060</v>
      </c>
      <c r="J386">
        <v>11500060</v>
      </c>
      <c r="K386" t="s">
        <v>30</v>
      </c>
      <c r="L386" s="4">
        <v>580</v>
      </c>
      <c r="M386" t="s">
        <v>31</v>
      </c>
      <c r="N386" s="4">
        <v>580</v>
      </c>
      <c r="O386" t="s">
        <v>31</v>
      </c>
      <c r="X386" t="s">
        <v>35</v>
      </c>
      <c r="Y386"/>
      <c r="Z386">
        <v>20200131</v>
      </c>
      <c r="AA386">
        <f t="shared" si="6"/>
        <v>580</v>
      </c>
      <c r="AC386"/>
      <c r="AF386"/>
      <c r="AL386">
        <v>340612890</v>
      </c>
      <c r="AM386" t="s">
        <v>36</v>
      </c>
    </row>
    <row r="387" spans="1:39" x14ac:dyDescent="0.35">
      <c r="A387">
        <v>3406</v>
      </c>
      <c r="B387" t="s">
        <v>28</v>
      </c>
      <c r="C387">
        <v>2020</v>
      </c>
      <c r="D387" s="1">
        <v>43831</v>
      </c>
      <c r="E387">
        <v>52</v>
      </c>
      <c r="F387">
        <v>600031518</v>
      </c>
      <c r="G387" t="s">
        <v>29</v>
      </c>
      <c r="H387">
        <v>81</v>
      </c>
      <c r="I387">
        <v>71101060</v>
      </c>
      <c r="J387">
        <v>11500060</v>
      </c>
      <c r="K387" t="s">
        <v>30</v>
      </c>
      <c r="L387" s="4">
        <v>856.5</v>
      </c>
      <c r="M387" t="s">
        <v>31</v>
      </c>
      <c r="N387" s="4">
        <v>856.5</v>
      </c>
      <c r="O387" t="s">
        <v>31</v>
      </c>
      <c r="X387" t="s">
        <v>35</v>
      </c>
      <c r="Y387"/>
      <c r="Z387">
        <v>20200131</v>
      </c>
      <c r="AA387">
        <f t="shared" si="6"/>
        <v>856.5</v>
      </c>
      <c r="AC387"/>
      <c r="AF387"/>
      <c r="AL387">
        <v>340612890</v>
      </c>
      <c r="AM387" t="s">
        <v>36</v>
      </c>
    </row>
    <row r="388" spans="1:39" x14ac:dyDescent="0.35">
      <c r="A388">
        <v>3406</v>
      </c>
      <c r="B388" t="s">
        <v>28</v>
      </c>
      <c r="C388">
        <v>2020</v>
      </c>
      <c r="D388" s="1">
        <v>43831</v>
      </c>
      <c r="E388">
        <v>54</v>
      </c>
      <c r="F388">
        <v>600031518</v>
      </c>
      <c r="G388" t="s">
        <v>29</v>
      </c>
      <c r="H388">
        <v>81</v>
      </c>
      <c r="I388">
        <v>71101060</v>
      </c>
      <c r="J388">
        <v>11500060</v>
      </c>
      <c r="K388" t="s">
        <v>30</v>
      </c>
      <c r="L388" s="4">
        <v>495.87</v>
      </c>
      <c r="M388" t="s">
        <v>31</v>
      </c>
      <c r="N388" s="4">
        <v>495.87</v>
      </c>
      <c r="O388" t="s">
        <v>31</v>
      </c>
      <c r="X388" t="s">
        <v>35</v>
      </c>
      <c r="Y388"/>
      <c r="Z388">
        <v>20200131</v>
      </c>
      <c r="AA388">
        <f t="shared" si="6"/>
        <v>495.87</v>
      </c>
      <c r="AC388"/>
      <c r="AF388"/>
      <c r="AL388">
        <v>340612890</v>
      </c>
      <c r="AM388" t="s">
        <v>36</v>
      </c>
    </row>
    <row r="389" spans="1:39" x14ac:dyDescent="0.35">
      <c r="A389">
        <v>3406</v>
      </c>
      <c r="B389" t="s">
        <v>28</v>
      </c>
      <c r="C389">
        <v>2020</v>
      </c>
      <c r="D389" s="1">
        <v>43831</v>
      </c>
      <c r="E389">
        <v>56</v>
      </c>
      <c r="F389">
        <v>600031518</v>
      </c>
      <c r="G389" t="s">
        <v>29</v>
      </c>
      <c r="H389">
        <v>81</v>
      </c>
      <c r="I389">
        <v>71101060</v>
      </c>
      <c r="J389">
        <v>11500060</v>
      </c>
      <c r="K389" t="s">
        <v>30</v>
      </c>
      <c r="L389" s="4">
        <v>19</v>
      </c>
      <c r="M389" t="s">
        <v>31</v>
      </c>
      <c r="N389" s="4">
        <v>19</v>
      </c>
      <c r="O389" t="s">
        <v>31</v>
      </c>
      <c r="X389" t="s">
        <v>35</v>
      </c>
      <c r="Y389"/>
      <c r="Z389">
        <v>20200131</v>
      </c>
      <c r="AA389">
        <f t="shared" si="6"/>
        <v>19</v>
      </c>
      <c r="AC389"/>
      <c r="AF389"/>
      <c r="AL389">
        <v>340612890</v>
      </c>
      <c r="AM389" t="s">
        <v>36</v>
      </c>
    </row>
    <row r="390" spans="1:39" x14ac:dyDescent="0.35">
      <c r="A390">
        <v>3406</v>
      </c>
      <c r="B390" t="s">
        <v>28</v>
      </c>
      <c r="C390">
        <v>2020</v>
      </c>
      <c r="D390" s="1">
        <v>43831</v>
      </c>
      <c r="E390">
        <v>58</v>
      </c>
      <c r="F390">
        <v>600031518</v>
      </c>
      <c r="G390" t="s">
        <v>29</v>
      </c>
      <c r="H390">
        <v>81</v>
      </c>
      <c r="I390">
        <v>71101060</v>
      </c>
      <c r="J390">
        <v>11500060</v>
      </c>
      <c r="K390" t="s">
        <v>30</v>
      </c>
      <c r="L390" s="4">
        <v>1033.75</v>
      </c>
      <c r="M390" t="s">
        <v>31</v>
      </c>
      <c r="N390" s="4">
        <v>1033.75</v>
      </c>
      <c r="O390" t="s">
        <v>31</v>
      </c>
      <c r="X390" t="s">
        <v>35</v>
      </c>
      <c r="Y390"/>
      <c r="Z390">
        <v>20200131</v>
      </c>
      <c r="AA390">
        <f t="shared" si="6"/>
        <v>1033.75</v>
      </c>
      <c r="AC390"/>
      <c r="AF390"/>
      <c r="AL390">
        <v>340612890</v>
      </c>
      <c r="AM390" t="s">
        <v>36</v>
      </c>
    </row>
    <row r="391" spans="1:39" x14ac:dyDescent="0.35">
      <c r="A391">
        <v>3406</v>
      </c>
      <c r="B391" t="s">
        <v>28</v>
      </c>
      <c r="C391">
        <v>2020</v>
      </c>
      <c r="D391" s="1">
        <v>43831</v>
      </c>
      <c r="E391">
        <v>60</v>
      </c>
      <c r="F391">
        <v>600031518</v>
      </c>
      <c r="G391" t="s">
        <v>29</v>
      </c>
      <c r="H391">
        <v>81</v>
      </c>
      <c r="I391">
        <v>71101060</v>
      </c>
      <c r="J391">
        <v>11500060</v>
      </c>
      <c r="K391" t="s">
        <v>30</v>
      </c>
      <c r="L391" s="4">
        <v>162.47</v>
      </c>
      <c r="M391" t="s">
        <v>31</v>
      </c>
      <c r="N391" s="4">
        <v>162.47</v>
      </c>
      <c r="O391" t="s">
        <v>31</v>
      </c>
      <c r="X391" t="s">
        <v>35</v>
      </c>
      <c r="Y391"/>
      <c r="Z391">
        <v>20200131</v>
      </c>
      <c r="AA391">
        <f t="shared" si="6"/>
        <v>162.47</v>
      </c>
      <c r="AC391"/>
      <c r="AF391"/>
      <c r="AL391">
        <v>340612890</v>
      </c>
      <c r="AM391" t="s">
        <v>36</v>
      </c>
    </row>
    <row r="392" spans="1:39" x14ac:dyDescent="0.35">
      <c r="A392">
        <v>3406</v>
      </c>
      <c r="B392" t="s">
        <v>28</v>
      </c>
      <c r="C392">
        <v>2020</v>
      </c>
      <c r="D392" s="1">
        <v>43831</v>
      </c>
      <c r="E392">
        <v>62</v>
      </c>
      <c r="F392">
        <v>600031518</v>
      </c>
      <c r="G392" t="s">
        <v>29</v>
      </c>
      <c r="H392">
        <v>81</v>
      </c>
      <c r="I392">
        <v>71101060</v>
      </c>
      <c r="J392">
        <v>11500060</v>
      </c>
      <c r="K392" t="s">
        <v>30</v>
      </c>
      <c r="L392" s="4">
        <v>8.0500000000000007</v>
      </c>
      <c r="M392" t="s">
        <v>31</v>
      </c>
      <c r="N392" s="4">
        <v>8.0500000000000007</v>
      </c>
      <c r="O392" t="s">
        <v>31</v>
      </c>
      <c r="X392" t="s">
        <v>35</v>
      </c>
      <c r="Y392"/>
      <c r="Z392">
        <v>20200131</v>
      </c>
      <c r="AA392">
        <f t="shared" si="6"/>
        <v>8.0500000000000007</v>
      </c>
      <c r="AC392"/>
      <c r="AF392"/>
      <c r="AL392">
        <v>340612890</v>
      </c>
      <c r="AM392" t="s">
        <v>36</v>
      </c>
    </row>
    <row r="393" spans="1:39" x14ac:dyDescent="0.35">
      <c r="A393">
        <v>3406</v>
      </c>
      <c r="B393" t="s">
        <v>28</v>
      </c>
      <c r="C393">
        <v>2020</v>
      </c>
      <c r="D393" s="1">
        <v>43831</v>
      </c>
      <c r="E393">
        <v>64</v>
      </c>
      <c r="F393">
        <v>600031518</v>
      </c>
      <c r="G393" t="s">
        <v>29</v>
      </c>
      <c r="H393">
        <v>81</v>
      </c>
      <c r="I393">
        <v>71101060</v>
      </c>
      <c r="J393">
        <v>11500060</v>
      </c>
      <c r="K393" t="s">
        <v>30</v>
      </c>
      <c r="L393" s="4">
        <v>568</v>
      </c>
      <c r="M393" t="s">
        <v>31</v>
      </c>
      <c r="N393" s="4">
        <v>568</v>
      </c>
      <c r="O393" t="s">
        <v>31</v>
      </c>
      <c r="X393" t="s">
        <v>35</v>
      </c>
      <c r="Y393"/>
      <c r="Z393">
        <v>20200131</v>
      </c>
      <c r="AA393">
        <f t="shared" si="6"/>
        <v>568</v>
      </c>
      <c r="AC393"/>
      <c r="AF393"/>
      <c r="AL393">
        <v>340612890</v>
      </c>
      <c r="AM393" t="s">
        <v>36</v>
      </c>
    </row>
    <row r="394" spans="1:39" x14ac:dyDescent="0.35">
      <c r="A394">
        <v>3406</v>
      </c>
      <c r="B394" t="s">
        <v>28</v>
      </c>
      <c r="C394">
        <v>2020</v>
      </c>
      <c r="D394" s="1">
        <v>43831</v>
      </c>
      <c r="E394">
        <v>66</v>
      </c>
      <c r="F394">
        <v>600031518</v>
      </c>
      <c r="G394" t="s">
        <v>29</v>
      </c>
      <c r="H394">
        <v>81</v>
      </c>
      <c r="I394">
        <v>71101060</v>
      </c>
      <c r="J394">
        <v>11500060</v>
      </c>
      <c r="K394" t="s">
        <v>30</v>
      </c>
      <c r="L394" s="4">
        <v>143.88</v>
      </c>
      <c r="M394" t="s">
        <v>31</v>
      </c>
      <c r="N394" s="4">
        <v>143.88</v>
      </c>
      <c r="O394" t="s">
        <v>31</v>
      </c>
      <c r="X394" t="s">
        <v>35</v>
      </c>
      <c r="Y394"/>
      <c r="Z394">
        <v>20200131</v>
      </c>
      <c r="AA394">
        <f t="shared" si="6"/>
        <v>143.88</v>
      </c>
      <c r="AC394"/>
      <c r="AF394"/>
      <c r="AL394">
        <v>340612890</v>
      </c>
      <c r="AM394" t="s">
        <v>36</v>
      </c>
    </row>
    <row r="395" spans="1:39" x14ac:dyDescent="0.35">
      <c r="A395">
        <v>3406</v>
      </c>
      <c r="B395" t="s">
        <v>28</v>
      </c>
      <c r="C395">
        <v>2020</v>
      </c>
      <c r="D395" s="1">
        <v>43831</v>
      </c>
      <c r="E395">
        <v>68</v>
      </c>
      <c r="F395">
        <v>600031518</v>
      </c>
      <c r="G395" t="s">
        <v>29</v>
      </c>
      <c r="H395">
        <v>81</v>
      </c>
      <c r="I395">
        <v>71101060</v>
      </c>
      <c r="J395">
        <v>11500060</v>
      </c>
      <c r="K395" t="s">
        <v>30</v>
      </c>
      <c r="L395" s="4">
        <v>97.32</v>
      </c>
      <c r="M395" t="s">
        <v>31</v>
      </c>
      <c r="N395" s="4">
        <v>97.32</v>
      </c>
      <c r="O395" t="s">
        <v>31</v>
      </c>
      <c r="X395" t="s">
        <v>35</v>
      </c>
      <c r="Y395"/>
      <c r="Z395">
        <v>20200131</v>
      </c>
      <c r="AA395">
        <f t="shared" si="6"/>
        <v>97.32</v>
      </c>
      <c r="AC395"/>
      <c r="AF395"/>
      <c r="AL395">
        <v>340612890</v>
      </c>
      <c r="AM395" t="s">
        <v>36</v>
      </c>
    </row>
    <row r="396" spans="1:39" x14ac:dyDescent="0.35">
      <c r="A396">
        <v>3406</v>
      </c>
      <c r="B396" t="s">
        <v>28</v>
      </c>
      <c r="C396">
        <v>2020</v>
      </c>
      <c r="D396" s="1">
        <v>43831</v>
      </c>
      <c r="E396">
        <v>70</v>
      </c>
      <c r="F396">
        <v>600031518</v>
      </c>
      <c r="G396" t="s">
        <v>29</v>
      </c>
      <c r="H396">
        <v>81</v>
      </c>
      <c r="I396">
        <v>71101060</v>
      </c>
      <c r="J396">
        <v>11500060</v>
      </c>
      <c r="K396" t="s">
        <v>30</v>
      </c>
      <c r="L396" s="4">
        <v>918</v>
      </c>
      <c r="M396" t="s">
        <v>31</v>
      </c>
      <c r="N396" s="4">
        <v>918</v>
      </c>
      <c r="O396" t="s">
        <v>31</v>
      </c>
      <c r="X396" t="s">
        <v>35</v>
      </c>
      <c r="Y396"/>
      <c r="Z396">
        <v>20200131</v>
      </c>
      <c r="AA396">
        <f t="shared" si="6"/>
        <v>918</v>
      </c>
      <c r="AC396"/>
      <c r="AF396"/>
      <c r="AL396">
        <v>340612890</v>
      </c>
      <c r="AM396" t="s">
        <v>36</v>
      </c>
    </row>
    <row r="397" spans="1:39" x14ac:dyDescent="0.35">
      <c r="A397">
        <v>3406</v>
      </c>
      <c r="B397" t="s">
        <v>28</v>
      </c>
      <c r="C397">
        <v>2020</v>
      </c>
      <c r="D397" s="1">
        <v>43831</v>
      </c>
      <c r="E397">
        <v>76</v>
      </c>
      <c r="F397">
        <v>600031518</v>
      </c>
      <c r="G397" t="s">
        <v>29</v>
      </c>
      <c r="H397">
        <v>81</v>
      </c>
      <c r="I397">
        <v>71101060</v>
      </c>
      <c r="J397">
        <v>11500060</v>
      </c>
      <c r="K397" t="s">
        <v>30</v>
      </c>
      <c r="L397" s="4">
        <v>1673.28</v>
      </c>
      <c r="M397" t="s">
        <v>31</v>
      </c>
      <c r="N397" s="4">
        <v>1673.28</v>
      </c>
      <c r="O397" t="s">
        <v>31</v>
      </c>
      <c r="X397" t="s">
        <v>35</v>
      </c>
      <c r="Y397"/>
      <c r="Z397">
        <v>20200131</v>
      </c>
      <c r="AA397">
        <f t="shared" si="6"/>
        <v>1673.28</v>
      </c>
      <c r="AC397"/>
      <c r="AF397"/>
      <c r="AL397">
        <v>340612890</v>
      </c>
      <c r="AM397" t="s">
        <v>36</v>
      </c>
    </row>
    <row r="398" spans="1:39" x14ac:dyDescent="0.35">
      <c r="A398">
        <v>3406</v>
      </c>
      <c r="B398" t="s">
        <v>28</v>
      </c>
      <c r="C398">
        <v>2020</v>
      </c>
      <c r="D398" s="1">
        <v>43831</v>
      </c>
      <c r="E398">
        <v>78</v>
      </c>
      <c r="F398">
        <v>600031518</v>
      </c>
      <c r="G398" t="s">
        <v>29</v>
      </c>
      <c r="H398">
        <v>81</v>
      </c>
      <c r="I398">
        <v>71101060</v>
      </c>
      <c r="J398">
        <v>11500060</v>
      </c>
      <c r="K398" t="s">
        <v>30</v>
      </c>
      <c r="L398" s="4">
        <v>848.4</v>
      </c>
      <c r="M398" t="s">
        <v>31</v>
      </c>
      <c r="N398" s="4">
        <v>848.4</v>
      </c>
      <c r="O398" t="s">
        <v>31</v>
      </c>
      <c r="X398" t="s">
        <v>35</v>
      </c>
      <c r="Y398"/>
      <c r="Z398">
        <v>20200131</v>
      </c>
      <c r="AA398">
        <f t="shared" si="6"/>
        <v>848.4</v>
      </c>
      <c r="AC398"/>
      <c r="AF398"/>
      <c r="AL398">
        <v>340612890</v>
      </c>
      <c r="AM398" t="s">
        <v>36</v>
      </c>
    </row>
    <row r="399" spans="1:39" x14ac:dyDescent="0.35">
      <c r="A399">
        <v>3406</v>
      </c>
      <c r="B399" t="s">
        <v>28</v>
      </c>
      <c r="C399">
        <v>2020</v>
      </c>
      <c r="D399" s="1">
        <v>43831</v>
      </c>
      <c r="E399">
        <v>82</v>
      </c>
      <c r="F399">
        <v>600031518</v>
      </c>
      <c r="G399" t="s">
        <v>29</v>
      </c>
      <c r="H399">
        <v>81</v>
      </c>
      <c r="I399">
        <v>71101060</v>
      </c>
      <c r="J399">
        <v>11500060</v>
      </c>
      <c r="K399" t="s">
        <v>30</v>
      </c>
      <c r="L399" s="4">
        <v>9627</v>
      </c>
      <c r="M399" t="s">
        <v>31</v>
      </c>
      <c r="N399" s="4">
        <v>9627</v>
      </c>
      <c r="O399" t="s">
        <v>31</v>
      </c>
      <c r="X399" t="s">
        <v>35</v>
      </c>
      <c r="Y399"/>
      <c r="Z399">
        <v>20200131</v>
      </c>
      <c r="AA399">
        <f t="shared" si="6"/>
        <v>9627</v>
      </c>
      <c r="AC399"/>
      <c r="AF399"/>
      <c r="AL399">
        <v>340612890</v>
      </c>
      <c r="AM399" t="s">
        <v>36</v>
      </c>
    </row>
    <row r="400" spans="1:39" x14ac:dyDescent="0.35">
      <c r="A400">
        <v>3406</v>
      </c>
      <c r="B400" t="s">
        <v>28</v>
      </c>
      <c r="C400">
        <v>2020</v>
      </c>
      <c r="D400" s="1">
        <v>43831</v>
      </c>
      <c r="E400">
        <v>84</v>
      </c>
      <c r="F400">
        <v>600031518</v>
      </c>
      <c r="G400" t="s">
        <v>29</v>
      </c>
      <c r="H400">
        <v>81</v>
      </c>
      <c r="I400">
        <v>71101060</v>
      </c>
      <c r="J400">
        <v>11500060</v>
      </c>
      <c r="K400" t="s">
        <v>30</v>
      </c>
      <c r="L400" s="4">
        <v>1758.84</v>
      </c>
      <c r="M400" t="s">
        <v>31</v>
      </c>
      <c r="N400" s="4">
        <v>1758.84</v>
      </c>
      <c r="O400" t="s">
        <v>31</v>
      </c>
      <c r="X400" t="s">
        <v>35</v>
      </c>
      <c r="Y400"/>
      <c r="Z400">
        <v>20200131</v>
      </c>
      <c r="AA400">
        <f t="shared" si="6"/>
        <v>1758.84</v>
      </c>
      <c r="AC400"/>
      <c r="AF400"/>
      <c r="AL400">
        <v>340612890</v>
      </c>
      <c r="AM400" t="s">
        <v>36</v>
      </c>
    </row>
    <row r="401" spans="1:39" x14ac:dyDescent="0.35">
      <c r="A401">
        <v>3406</v>
      </c>
      <c r="B401" t="s">
        <v>28</v>
      </c>
      <c r="C401">
        <v>2020</v>
      </c>
      <c r="D401" s="1">
        <v>43831</v>
      </c>
      <c r="E401">
        <v>86</v>
      </c>
      <c r="F401">
        <v>600031518</v>
      </c>
      <c r="G401" t="s">
        <v>29</v>
      </c>
      <c r="H401">
        <v>81</v>
      </c>
      <c r="I401">
        <v>71101060</v>
      </c>
      <c r="J401">
        <v>11500060</v>
      </c>
      <c r="K401" t="s">
        <v>30</v>
      </c>
      <c r="L401" s="4">
        <v>594.19000000000005</v>
      </c>
      <c r="M401" t="s">
        <v>31</v>
      </c>
      <c r="N401" s="4">
        <v>594.19000000000005</v>
      </c>
      <c r="O401" t="s">
        <v>31</v>
      </c>
      <c r="X401" t="s">
        <v>35</v>
      </c>
      <c r="Y401"/>
      <c r="Z401">
        <v>20200131</v>
      </c>
      <c r="AA401">
        <f t="shared" si="6"/>
        <v>594.19000000000005</v>
      </c>
      <c r="AC401"/>
      <c r="AF401"/>
      <c r="AL401">
        <v>340612890</v>
      </c>
      <c r="AM401" t="s">
        <v>36</v>
      </c>
    </row>
    <row r="402" spans="1:39" x14ac:dyDescent="0.35">
      <c r="A402">
        <v>3406</v>
      </c>
      <c r="B402" t="s">
        <v>28</v>
      </c>
      <c r="C402">
        <v>2020</v>
      </c>
      <c r="D402" s="1">
        <v>43831</v>
      </c>
      <c r="E402">
        <v>88</v>
      </c>
      <c r="F402">
        <v>600031518</v>
      </c>
      <c r="G402" t="s">
        <v>29</v>
      </c>
      <c r="H402">
        <v>81</v>
      </c>
      <c r="I402">
        <v>71101060</v>
      </c>
      <c r="J402">
        <v>11500060</v>
      </c>
      <c r="K402" t="s">
        <v>30</v>
      </c>
      <c r="L402" s="4">
        <v>5571.36</v>
      </c>
      <c r="M402" t="s">
        <v>31</v>
      </c>
      <c r="N402" s="4">
        <v>5571.36</v>
      </c>
      <c r="O402" t="s">
        <v>31</v>
      </c>
      <c r="X402" t="s">
        <v>35</v>
      </c>
      <c r="Y402"/>
      <c r="Z402">
        <v>20200131</v>
      </c>
      <c r="AA402">
        <f t="shared" ref="AA402:AA465" si="7">L402</f>
        <v>5571.36</v>
      </c>
      <c r="AC402"/>
      <c r="AF402"/>
      <c r="AL402">
        <v>340612890</v>
      </c>
      <c r="AM402" t="s">
        <v>36</v>
      </c>
    </row>
    <row r="403" spans="1:39" x14ac:dyDescent="0.35">
      <c r="A403">
        <v>3406</v>
      </c>
      <c r="B403" t="s">
        <v>28</v>
      </c>
      <c r="C403">
        <v>2020</v>
      </c>
      <c r="D403" s="1">
        <v>43831</v>
      </c>
      <c r="E403">
        <v>4</v>
      </c>
      <c r="F403">
        <v>600031528</v>
      </c>
      <c r="G403" t="s">
        <v>29</v>
      </c>
      <c r="H403">
        <v>81</v>
      </c>
      <c r="I403">
        <v>71101060</v>
      </c>
      <c r="J403">
        <v>11500060</v>
      </c>
      <c r="K403" t="s">
        <v>30</v>
      </c>
      <c r="L403" s="4">
        <v>7207.83</v>
      </c>
      <c r="M403" t="s">
        <v>31</v>
      </c>
      <c r="N403" s="4">
        <v>7207.83</v>
      </c>
      <c r="O403" t="s">
        <v>31</v>
      </c>
      <c r="X403" t="s">
        <v>35</v>
      </c>
      <c r="Y403"/>
      <c r="Z403">
        <v>20200131</v>
      </c>
      <c r="AA403">
        <f t="shared" si="7"/>
        <v>7207.83</v>
      </c>
      <c r="AC403"/>
      <c r="AF403"/>
      <c r="AL403">
        <v>340610590</v>
      </c>
      <c r="AM403" t="s">
        <v>36</v>
      </c>
    </row>
    <row r="404" spans="1:39" x14ac:dyDescent="0.35">
      <c r="A404">
        <v>3406</v>
      </c>
      <c r="B404" t="s">
        <v>28</v>
      </c>
      <c r="C404">
        <v>2020</v>
      </c>
      <c r="D404" s="1">
        <v>43831</v>
      </c>
      <c r="E404">
        <v>6</v>
      </c>
      <c r="F404">
        <v>600031528</v>
      </c>
      <c r="G404" t="s">
        <v>29</v>
      </c>
      <c r="H404">
        <v>81</v>
      </c>
      <c r="I404">
        <v>71101060</v>
      </c>
      <c r="J404">
        <v>11500060</v>
      </c>
      <c r="K404" t="s">
        <v>30</v>
      </c>
      <c r="L404" s="4">
        <v>4373.3599999999997</v>
      </c>
      <c r="M404" t="s">
        <v>31</v>
      </c>
      <c r="N404" s="4">
        <v>4373.3599999999997</v>
      </c>
      <c r="O404" t="s">
        <v>31</v>
      </c>
      <c r="X404" t="s">
        <v>35</v>
      </c>
      <c r="Y404"/>
      <c r="Z404">
        <v>20200131</v>
      </c>
      <c r="AA404">
        <f t="shared" si="7"/>
        <v>4373.3599999999997</v>
      </c>
      <c r="AC404"/>
      <c r="AF404"/>
      <c r="AL404">
        <v>340610590</v>
      </c>
      <c r="AM404" t="s">
        <v>36</v>
      </c>
    </row>
    <row r="405" spans="1:39" x14ac:dyDescent="0.35">
      <c r="A405">
        <v>3406</v>
      </c>
      <c r="B405" t="s">
        <v>28</v>
      </c>
      <c r="C405">
        <v>2020</v>
      </c>
      <c r="D405" s="1">
        <v>43831</v>
      </c>
      <c r="E405">
        <v>8</v>
      </c>
      <c r="F405">
        <v>600031528</v>
      </c>
      <c r="G405" t="s">
        <v>29</v>
      </c>
      <c r="H405">
        <v>81</v>
      </c>
      <c r="I405">
        <v>71101060</v>
      </c>
      <c r="J405">
        <v>11500060</v>
      </c>
      <c r="K405" t="s">
        <v>30</v>
      </c>
      <c r="L405" s="4">
        <v>678.33</v>
      </c>
      <c r="M405" t="s">
        <v>31</v>
      </c>
      <c r="N405" s="4">
        <v>678.33</v>
      </c>
      <c r="O405" t="s">
        <v>31</v>
      </c>
      <c r="X405" t="s">
        <v>35</v>
      </c>
      <c r="Y405"/>
      <c r="Z405">
        <v>20200131</v>
      </c>
      <c r="AA405">
        <f t="shared" si="7"/>
        <v>678.33</v>
      </c>
      <c r="AC405"/>
      <c r="AF405"/>
      <c r="AL405">
        <v>340610590</v>
      </c>
      <c r="AM405" t="s">
        <v>36</v>
      </c>
    </row>
    <row r="406" spans="1:39" x14ac:dyDescent="0.35">
      <c r="A406">
        <v>3406</v>
      </c>
      <c r="B406" t="s">
        <v>28</v>
      </c>
      <c r="C406">
        <v>2020</v>
      </c>
      <c r="D406" s="1">
        <v>43831</v>
      </c>
      <c r="E406">
        <v>10</v>
      </c>
      <c r="F406">
        <v>600031528</v>
      </c>
      <c r="G406" t="s">
        <v>29</v>
      </c>
      <c r="H406">
        <v>81</v>
      </c>
      <c r="I406">
        <v>71101060</v>
      </c>
      <c r="J406">
        <v>11500060</v>
      </c>
      <c r="K406" t="s">
        <v>30</v>
      </c>
      <c r="L406" s="4">
        <v>121.65</v>
      </c>
      <c r="M406" t="s">
        <v>31</v>
      </c>
      <c r="N406" s="4">
        <v>121.65</v>
      </c>
      <c r="O406" t="s">
        <v>31</v>
      </c>
      <c r="X406" t="s">
        <v>35</v>
      </c>
      <c r="Y406"/>
      <c r="Z406">
        <v>20200131</v>
      </c>
      <c r="AA406">
        <f t="shared" si="7"/>
        <v>121.65</v>
      </c>
      <c r="AC406"/>
      <c r="AF406"/>
      <c r="AL406">
        <v>340610590</v>
      </c>
      <c r="AM406" t="s">
        <v>36</v>
      </c>
    </row>
    <row r="407" spans="1:39" x14ac:dyDescent="0.35">
      <c r="A407">
        <v>3406</v>
      </c>
      <c r="B407" t="s">
        <v>28</v>
      </c>
      <c r="C407">
        <v>2020</v>
      </c>
      <c r="D407" s="1">
        <v>43831</v>
      </c>
      <c r="E407">
        <v>12</v>
      </c>
      <c r="F407">
        <v>600031528</v>
      </c>
      <c r="G407" t="s">
        <v>29</v>
      </c>
      <c r="H407">
        <v>81</v>
      </c>
      <c r="I407">
        <v>71101060</v>
      </c>
      <c r="J407">
        <v>11500060</v>
      </c>
      <c r="K407" t="s">
        <v>30</v>
      </c>
      <c r="L407" s="4">
        <v>6514.2</v>
      </c>
      <c r="M407" t="s">
        <v>31</v>
      </c>
      <c r="N407" s="4">
        <v>6514.2</v>
      </c>
      <c r="O407" t="s">
        <v>31</v>
      </c>
      <c r="X407" t="s">
        <v>35</v>
      </c>
      <c r="Y407"/>
      <c r="Z407">
        <v>20200131</v>
      </c>
      <c r="AA407">
        <f t="shared" si="7"/>
        <v>6514.2</v>
      </c>
      <c r="AC407"/>
      <c r="AF407"/>
      <c r="AL407">
        <v>340610590</v>
      </c>
      <c r="AM407" t="s">
        <v>36</v>
      </c>
    </row>
    <row r="408" spans="1:39" x14ac:dyDescent="0.35">
      <c r="A408">
        <v>3406</v>
      </c>
      <c r="B408" t="s">
        <v>28</v>
      </c>
      <c r="C408">
        <v>2020</v>
      </c>
      <c r="D408" s="1">
        <v>43831</v>
      </c>
      <c r="E408">
        <v>14</v>
      </c>
      <c r="F408">
        <v>600031528</v>
      </c>
      <c r="G408" t="s">
        <v>29</v>
      </c>
      <c r="H408">
        <v>81</v>
      </c>
      <c r="I408">
        <v>71101060</v>
      </c>
      <c r="J408">
        <v>11500060</v>
      </c>
      <c r="K408" t="s">
        <v>30</v>
      </c>
      <c r="L408" s="4">
        <v>2692.8</v>
      </c>
      <c r="M408" t="s">
        <v>31</v>
      </c>
      <c r="N408" s="4">
        <v>2692.8</v>
      </c>
      <c r="O408" t="s">
        <v>31</v>
      </c>
      <c r="X408" t="s">
        <v>35</v>
      </c>
      <c r="Y408"/>
      <c r="Z408">
        <v>20200131</v>
      </c>
      <c r="AA408">
        <f t="shared" si="7"/>
        <v>2692.8</v>
      </c>
      <c r="AC408"/>
      <c r="AF408"/>
      <c r="AL408">
        <v>340610590</v>
      </c>
      <c r="AM408" t="s">
        <v>36</v>
      </c>
    </row>
    <row r="409" spans="1:39" x14ac:dyDescent="0.35">
      <c r="A409">
        <v>3406</v>
      </c>
      <c r="B409" t="s">
        <v>28</v>
      </c>
      <c r="C409">
        <v>2020</v>
      </c>
      <c r="D409" s="1">
        <v>43831</v>
      </c>
      <c r="E409">
        <v>16</v>
      </c>
      <c r="F409">
        <v>600031528</v>
      </c>
      <c r="G409" t="s">
        <v>29</v>
      </c>
      <c r="H409">
        <v>81</v>
      </c>
      <c r="I409">
        <v>71101060</v>
      </c>
      <c r="J409">
        <v>11500060</v>
      </c>
      <c r="K409" t="s">
        <v>30</v>
      </c>
      <c r="L409" s="4">
        <v>2781.3</v>
      </c>
      <c r="M409" t="s">
        <v>31</v>
      </c>
      <c r="N409" s="4">
        <v>2781.3</v>
      </c>
      <c r="O409" t="s">
        <v>31</v>
      </c>
      <c r="X409" t="s">
        <v>35</v>
      </c>
      <c r="Y409"/>
      <c r="Z409">
        <v>20200131</v>
      </c>
      <c r="AA409">
        <f t="shared" si="7"/>
        <v>2781.3</v>
      </c>
      <c r="AC409"/>
      <c r="AF409"/>
      <c r="AL409">
        <v>340610590</v>
      </c>
      <c r="AM409" t="s">
        <v>36</v>
      </c>
    </row>
    <row r="410" spans="1:39" x14ac:dyDescent="0.35">
      <c r="A410">
        <v>3406</v>
      </c>
      <c r="B410" t="s">
        <v>28</v>
      </c>
      <c r="C410">
        <v>2020</v>
      </c>
      <c r="D410" s="1">
        <v>43831</v>
      </c>
      <c r="E410">
        <v>18</v>
      </c>
      <c r="F410">
        <v>600031528</v>
      </c>
      <c r="G410" t="s">
        <v>29</v>
      </c>
      <c r="H410">
        <v>81</v>
      </c>
      <c r="I410">
        <v>71101060</v>
      </c>
      <c r="J410">
        <v>11500060</v>
      </c>
      <c r="K410" t="s">
        <v>30</v>
      </c>
      <c r="L410" s="4">
        <v>1852.46</v>
      </c>
      <c r="M410" t="s">
        <v>31</v>
      </c>
      <c r="N410" s="4">
        <v>1852.46</v>
      </c>
      <c r="O410" t="s">
        <v>31</v>
      </c>
      <c r="X410" t="s">
        <v>35</v>
      </c>
      <c r="Y410"/>
      <c r="Z410">
        <v>20200131</v>
      </c>
      <c r="AA410">
        <f t="shared" si="7"/>
        <v>1852.46</v>
      </c>
      <c r="AC410"/>
      <c r="AF410"/>
      <c r="AL410">
        <v>340610590</v>
      </c>
      <c r="AM410" t="s">
        <v>36</v>
      </c>
    </row>
    <row r="411" spans="1:39" x14ac:dyDescent="0.35">
      <c r="A411">
        <v>3406</v>
      </c>
      <c r="B411" t="s">
        <v>28</v>
      </c>
      <c r="C411">
        <v>2020</v>
      </c>
      <c r="D411" s="1">
        <v>43831</v>
      </c>
      <c r="E411">
        <v>20</v>
      </c>
      <c r="F411">
        <v>600031528</v>
      </c>
      <c r="G411" t="s">
        <v>29</v>
      </c>
      <c r="H411">
        <v>81</v>
      </c>
      <c r="I411">
        <v>71101060</v>
      </c>
      <c r="J411">
        <v>11500060</v>
      </c>
      <c r="K411" t="s">
        <v>30</v>
      </c>
      <c r="L411" s="4">
        <v>1411.31</v>
      </c>
      <c r="M411" t="s">
        <v>31</v>
      </c>
      <c r="N411" s="4">
        <v>1411.31</v>
      </c>
      <c r="O411" t="s">
        <v>31</v>
      </c>
      <c r="X411" t="s">
        <v>35</v>
      </c>
      <c r="Y411"/>
      <c r="Z411">
        <v>20200131</v>
      </c>
      <c r="AA411">
        <f t="shared" si="7"/>
        <v>1411.31</v>
      </c>
      <c r="AC411"/>
      <c r="AF411"/>
      <c r="AL411">
        <v>340610590</v>
      </c>
      <c r="AM411" t="s">
        <v>36</v>
      </c>
    </row>
    <row r="412" spans="1:39" x14ac:dyDescent="0.35">
      <c r="A412">
        <v>3406</v>
      </c>
      <c r="B412" t="s">
        <v>28</v>
      </c>
      <c r="C412">
        <v>2020</v>
      </c>
      <c r="D412" s="1">
        <v>43831</v>
      </c>
      <c r="E412">
        <v>22</v>
      </c>
      <c r="F412">
        <v>600031528</v>
      </c>
      <c r="G412" t="s">
        <v>29</v>
      </c>
      <c r="H412">
        <v>81</v>
      </c>
      <c r="I412">
        <v>71101060</v>
      </c>
      <c r="J412">
        <v>11500060</v>
      </c>
      <c r="K412" t="s">
        <v>30</v>
      </c>
      <c r="L412" s="4">
        <v>1319.13</v>
      </c>
      <c r="M412" t="s">
        <v>31</v>
      </c>
      <c r="N412" s="4">
        <v>1319.13</v>
      </c>
      <c r="O412" t="s">
        <v>31</v>
      </c>
      <c r="X412" t="s">
        <v>35</v>
      </c>
      <c r="Y412"/>
      <c r="Z412">
        <v>20200131</v>
      </c>
      <c r="AA412">
        <f t="shared" si="7"/>
        <v>1319.13</v>
      </c>
      <c r="AC412"/>
      <c r="AF412"/>
      <c r="AL412">
        <v>340610590</v>
      </c>
      <c r="AM412" t="s">
        <v>36</v>
      </c>
    </row>
    <row r="413" spans="1:39" x14ac:dyDescent="0.35">
      <c r="A413">
        <v>3406</v>
      </c>
      <c r="B413" t="s">
        <v>28</v>
      </c>
      <c r="C413">
        <v>2020</v>
      </c>
      <c r="D413" s="1">
        <v>43831</v>
      </c>
      <c r="E413">
        <v>24</v>
      </c>
      <c r="F413">
        <v>600031528</v>
      </c>
      <c r="G413" t="s">
        <v>29</v>
      </c>
      <c r="H413">
        <v>81</v>
      </c>
      <c r="I413">
        <v>71101060</v>
      </c>
      <c r="J413">
        <v>11500060</v>
      </c>
      <c r="K413" t="s">
        <v>30</v>
      </c>
      <c r="L413" s="4">
        <v>3062.55</v>
      </c>
      <c r="M413" t="s">
        <v>31</v>
      </c>
      <c r="N413" s="4">
        <v>3062.55</v>
      </c>
      <c r="O413" t="s">
        <v>31</v>
      </c>
      <c r="X413" t="s">
        <v>35</v>
      </c>
      <c r="Y413"/>
      <c r="Z413">
        <v>20200131</v>
      </c>
      <c r="AA413">
        <f t="shared" si="7"/>
        <v>3062.55</v>
      </c>
      <c r="AC413"/>
      <c r="AF413"/>
      <c r="AL413">
        <v>340610590</v>
      </c>
      <c r="AM413" t="s">
        <v>36</v>
      </c>
    </row>
    <row r="414" spans="1:39" x14ac:dyDescent="0.35">
      <c r="A414">
        <v>3406</v>
      </c>
      <c r="B414" t="s">
        <v>28</v>
      </c>
      <c r="C414">
        <v>2020</v>
      </c>
      <c r="D414" s="1">
        <v>43831</v>
      </c>
      <c r="E414">
        <v>32</v>
      </c>
      <c r="F414">
        <v>600031528</v>
      </c>
      <c r="G414" t="s">
        <v>29</v>
      </c>
      <c r="H414">
        <v>81</v>
      </c>
      <c r="I414">
        <v>71101060</v>
      </c>
      <c r="J414">
        <v>11500060</v>
      </c>
      <c r="K414" t="s">
        <v>30</v>
      </c>
      <c r="L414" s="4">
        <v>484.8</v>
      </c>
      <c r="M414" t="s">
        <v>31</v>
      </c>
      <c r="N414" s="4">
        <v>484.8</v>
      </c>
      <c r="O414" t="s">
        <v>31</v>
      </c>
      <c r="X414" t="s">
        <v>35</v>
      </c>
      <c r="Y414"/>
      <c r="Z414">
        <v>20200131</v>
      </c>
      <c r="AA414">
        <f t="shared" si="7"/>
        <v>484.8</v>
      </c>
      <c r="AC414"/>
      <c r="AF414"/>
      <c r="AL414">
        <v>340610590</v>
      </c>
      <c r="AM414" t="s">
        <v>36</v>
      </c>
    </row>
    <row r="415" spans="1:39" x14ac:dyDescent="0.35">
      <c r="A415">
        <v>3406</v>
      </c>
      <c r="B415" t="s">
        <v>28</v>
      </c>
      <c r="C415">
        <v>2020</v>
      </c>
      <c r="D415" s="1">
        <v>43831</v>
      </c>
      <c r="E415">
        <v>36</v>
      </c>
      <c r="F415">
        <v>600031528</v>
      </c>
      <c r="G415" t="s">
        <v>29</v>
      </c>
      <c r="H415">
        <v>81</v>
      </c>
      <c r="I415">
        <v>71101060</v>
      </c>
      <c r="J415">
        <v>11500060</v>
      </c>
      <c r="K415" t="s">
        <v>30</v>
      </c>
      <c r="L415" s="4">
        <v>563.5</v>
      </c>
      <c r="M415" t="s">
        <v>31</v>
      </c>
      <c r="N415" s="4">
        <v>563.5</v>
      </c>
      <c r="O415" t="s">
        <v>31</v>
      </c>
      <c r="X415" t="s">
        <v>35</v>
      </c>
      <c r="Y415"/>
      <c r="Z415">
        <v>20200131</v>
      </c>
      <c r="AA415">
        <f t="shared" si="7"/>
        <v>563.5</v>
      </c>
      <c r="AC415"/>
      <c r="AF415"/>
      <c r="AL415">
        <v>340610590</v>
      </c>
      <c r="AM415" t="s">
        <v>36</v>
      </c>
    </row>
    <row r="416" spans="1:39" x14ac:dyDescent="0.35">
      <c r="A416">
        <v>3406</v>
      </c>
      <c r="B416" t="s">
        <v>28</v>
      </c>
      <c r="C416">
        <v>2020</v>
      </c>
      <c r="D416" s="1">
        <v>43831</v>
      </c>
      <c r="E416">
        <v>38</v>
      </c>
      <c r="F416">
        <v>600031528</v>
      </c>
      <c r="G416" t="s">
        <v>29</v>
      </c>
      <c r="H416">
        <v>81</v>
      </c>
      <c r="I416">
        <v>71101060</v>
      </c>
      <c r="J416">
        <v>11500060</v>
      </c>
      <c r="K416" t="s">
        <v>30</v>
      </c>
      <c r="L416" s="4">
        <v>166</v>
      </c>
      <c r="M416" t="s">
        <v>31</v>
      </c>
      <c r="N416" s="4">
        <v>166</v>
      </c>
      <c r="O416" t="s">
        <v>31</v>
      </c>
      <c r="X416" t="s">
        <v>35</v>
      </c>
      <c r="Y416"/>
      <c r="Z416">
        <v>20200131</v>
      </c>
      <c r="AA416">
        <f t="shared" si="7"/>
        <v>166</v>
      </c>
      <c r="AC416"/>
      <c r="AF416"/>
      <c r="AL416">
        <v>340610590</v>
      </c>
      <c r="AM416" t="s">
        <v>36</v>
      </c>
    </row>
    <row r="417" spans="1:39" x14ac:dyDescent="0.35">
      <c r="A417">
        <v>3406</v>
      </c>
      <c r="B417" t="s">
        <v>28</v>
      </c>
      <c r="C417">
        <v>2020</v>
      </c>
      <c r="D417" s="1">
        <v>43831</v>
      </c>
      <c r="E417">
        <v>40</v>
      </c>
      <c r="F417">
        <v>600031528</v>
      </c>
      <c r="G417" t="s">
        <v>29</v>
      </c>
      <c r="H417">
        <v>81</v>
      </c>
      <c r="I417">
        <v>71101060</v>
      </c>
      <c r="J417">
        <v>11500060</v>
      </c>
      <c r="K417" t="s">
        <v>30</v>
      </c>
      <c r="L417" s="4">
        <v>310</v>
      </c>
      <c r="M417" t="s">
        <v>31</v>
      </c>
      <c r="N417" s="4">
        <v>310</v>
      </c>
      <c r="O417" t="s">
        <v>31</v>
      </c>
      <c r="X417" t="s">
        <v>35</v>
      </c>
      <c r="Y417"/>
      <c r="Z417">
        <v>20200131</v>
      </c>
      <c r="AA417">
        <f t="shared" si="7"/>
        <v>310</v>
      </c>
      <c r="AC417"/>
      <c r="AF417"/>
      <c r="AL417">
        <v>340610590</v>
      </c>
      <c r="AM417" t="s">
        <v>36</v>
      </c>
    </row>
    <row r="418" spans="1:39" x14ac:dyDescent="0.35">
      <c r="A418">
        <v>3406</v>
      </c>
      <c r="B418" t="s">
        <v>28</v>
      </c>
      <c r="C418">
        <v>2020</v>
      </c>
      <c r="D418" s="1">
        <v>43831</v>
      </c>
      <c r="E418">
        <v>42</v>
      </c>
      <c r="F418">
        <v>600031528</v>
      </c>
      <c r="G418" t="s">
        <v>29</v>
      </c>
      <c r="H418">
        <v>81</v>
      </c>
      <c r="I418">
        <v>71101060</v>
      </c>
      <c r="J418">
        <v>11500060</v>
      </c>
      <c r="K418" t="s">
        <v>30</v>
      </c>
      <c r="L418" s="4">
        <v>27.5</v>
      </c>
      <c r="M418" t="s">
        <v>31</v>
      </c>
      <c r="N418" s="4">
        <v>27.5</v>
      </c>
      <c r="O418" t="s">
        <v>31</v>
      </c>
      <c r="X418" t="s">
        <v>35</v>
      </c>
      <c r="Y418"/>
      <c r="Z418">
        <v>20200131</v>
      </c>
      <c r="AA418">
        <f t="shared" si="7"/>
        <v>27.5</v>
      </c>
      <c r="AC418"/>
      <c r="AF418"/>
      <c r="AL418">
        <v>340610590</v>
      </c>
      <c r="AM418" t="s">
        <v>36</v>
      </c>
    </row>
    <row r="419" spans="1:39" x14ac:dyDescent="0.35">
      <c r="A419">
        <v>3406</v>
      </c>
      <c r="B419" t="s">
        <v>28</v>
      </c>
      <c r="C419">
        <v>2020</v>
      </c>
      <c r="D419" s="1">
        <v>43831</v>
      </c>
      <c r="E419">
        <v>44</v>
      </c>
      <c r="F419">
        <v>600031528</v>
      </c>
      <c r="G419" t="s">
        <v>29</v>
      </c>
      <c r="H419">
        <v>81</v>
      </c>
      <c r="I419">
        <v>71101060</v>
      </c>
      <c r="J419">
        <v>11500060</v>
      </c>
      <c r="K419" t="s">
        <v>30</v>
      </c>
      <c r="L419" s="4">
        <v>38</v>
      </c>
      <c r="M419" t="s">
        <v>31</v>
      </c>
      <c r="N419" s="4">
        <v>38</v>
      </c>
      <c r="O419" t="s">
        <v>31</v>
      </c>
      <c r="X419" t="s">
        <v>35</v>
      </c>
      <c r="Y419"/>
      <c r="Z419">
        <v>20200131</v>
      </c>
      <c r="AA419">
        <f t="shared" si="7"/>
        <v>38</v>
      </c>
      <c r="AC419"/>
      <c r="AF419"/>
      <c r="AL419">
        <v>340610590</v>
      </c>
      <c r="AM419" t="s">
        <v>36</v>
      </c>
    </row>
    <row r="420" spans="1:39" x14ac:dyDescent="0.35">
      <c r="A420">
        <v>3406</v>
      </c>
      <c r="B420" t="s">
        <v>28</v>
      </c>
      <c r="C420">
        <v>2020</v>
      </c>
      <c r="D420" s="1">
        <v>43831</v>
      </c>
      <c r="E420">
        <v>46</v>
      </c>
      <c r="F420">
        <v>600031528</v>
      </c>
      <c r="G420" t="s">
        <v>29</v>
      </c>
      <c r="H420">
        <v>81</v>
      </c>
      <c r="I420">
        <v>71101060</v>
      </c>
      <c r="J420">
        <v>11500060</v>
      </c>
      <c r="K420" t="s">
        <v>30</v>
      </c>
      <c r="L420" s="4">
        <v>1157.03</v>
      </c>
      <c r="M420" t="s">
        <v>31</v>
      </c>
      <c r="N420" s="4">
        <v>1157.03</v>
      </c>
      <c r="O420" t="s">
        <v>31</v>
      </c>
      <c r="X420" t="s">
        <v>35</v>
      </c>
      <c r="Y420"/>
      <c r="Z420">
        <v>20200131</v>
      </c>
      <c r="AA420">
        <f t="shared" si="7"/>
        <v>1157.03</v>
      </c>
      <c r="AC420"/>
      <c r="AF420"/>
      <c r="AL420">
        <v>340610590</v>
      </c>
      <c r="AM420" t="s">
        <v>36</v>
      </c>
    </row>
    <row r="421" spans="1:39" x14ac:dyDescent="0.35">
      <c r="A421">
        <v>3406</v>
      </c>
      <c r="B421" t="s">
        <v>28</v>
      </c>
      <c r="C421">
        <v>2020</v>
      </c>
      <c r="D421" s="1">
        <v>43831</v>
      </c>
      <c r="E421">
        <v>48</v>
      </c>
      <c r="F421">
        <v>600031528</v>
      </c>
      <c r="G421" t="s">
        <v>29</v>
      </c>
      <c r="H421">
        <v>81</v>
      </c>
      <c r="I421">
        <v>71101060</v>
      </c>
      <c r="J421">
        <v>11500060</v>
      </c>
      <c r="K421" t="s">
        <v>30</v>
      </c>
      <c r="L421" s="4">
        <v>856.5</v>
      </c>
      <c r="M421" t="s">
        <v>31</v>
      </c>
      <c r="N421" s="4">
        <v>856.5</v>
      </c>
      <c r="O421" t="s">
        <v>31</v>
      </c>
      <c r="X421" t="s">
        <v>35</v>
      </c>
      <c r="Y421"/>
      <c r="Z421">
        <v>20200131</v>
      </c>
      <c r="AA421">
        <f t="shared" si="7"/>
        <v>856.5</v>
      </c>
      <c r="AC421"/>
      <c r="AF421"/>
      <c r="AL421">
        <v>340610590</v>
      </c>
      <c r="AM421" t="s">
        <v>36</v>
      </c>
    </row>
    <row r="422" spans="1:39" x14ac:dyDescent="0.35">
      <c r="A422">
        <v>3406</v>
      </c>
      <c r="B422" t="s">
        <v>28</v>
      </c>
      <c r="C422">
        <v>2020</v>
      </c>
      <c r="D422" s="1">
        <v>43831</v>
      </c>
      <c r="E422">
        <v>50</v>
      </c>
      <c r="F422">
        <v>600031528</v>
      </c>
      <c r="G422" t="s">
        <v>29</v>
      </c>
      <c r="H422">
        <v>81</v>
      </c>
      <c r="I422">
        <v>71101060</v>
      </c>
      <c r="J422">
        <v>11500060</v>
      </c>
      <c r="K422" t="s">
        <v>30</v>
      </c>
      <c r="L422" s="4">
        <v>240</v>
      </c>
      <c r="M422" t="s">
        <v>31</v>
      </c>
      <c r="N422" s="4">
        <v>240</v>
      </c>
      <c r="O422" t="s">
        <v>31</v>
      </c>
      <c r="X422" t="s">
        <v>35</v>
      </c>
      <c r="Y422"/>
      <c r="Z422">
        <v>20200131</v>
      </c>
      <c r="AA422">
        <f t="shared" si="7"/>
        <v>240</v>
      </c>
      <c r="AC422"/>
      <c r="AF422"/>
      <c r="AL422">
        <v>340610590</v>
      </c>
      <c r="AM422" t="s">
        <v>36</v>
      </c>
    </row>
    <row r="423" spans="1:39" x14ac:dyDescent="0.35">
      <c r="A423">
        <v>3406</v>
      </c>
      <c r="B423" t="s">
        <v>28</v>
      </c>
      <c r="C423">
        <v>2020</v>
      </c>
      <c r="D423" s="1">
        <v>43831</v>
      </c>
      <c r="E423">
        <v>52</v>
      </c>
      <c r="F423">
        <v>600031528</v>
      </c>
      <c r="G423" t="s">
        <v>29</v>
      </c>
      <c r="H423">
        <v>81</v>
      </c>
      <c r="I423">
        <v>71101060</v>
      </c>
      <c r="J423">
        <v>11500060</v>
      </c>
      <c r="K423" t="s">
        <v>30</v>
      </c>
      <c r="L423" s="4">
        <v>184.73</v>
      </c>
      <c r="M423" t="s">
        <v>31</v>
      </c>
      <c r="N423" s="4">
        <v>184.73</v>
      </c>
      <c r="O423" t="s">
        <v>31</v>
      </c>
      <c r="X423" t="s">
        <v>35</v>
      </c>
      <c r="Y423"/>
      <c r="Z423">
        <v>20200131</v>
      </c>
      <c r="AA423">
        <f t="shared" si="7"/>
        <v>184.73</v>
      </c>
      <c r="AC423"/>
      <c r="AF423"/>
      <c r="AL423">
        <v>340610590</v>
      </c>
      <c r="AM423" t="s">
        <v>36</v>
      </c>
    </row>
    <row r="424" spans="1:39" x14ac:dyDescent="0.35">
      <c r="A424">
        <v>3403</v>
      </c>
      <c r="B424" t="s">
        <v>28</v>
      </c>
      <c r="C424">
        <v>2020</v>
      </c>
      <c r="D424" s="1">
        <v>43831</v>
      </c>
      <c r="E424">
        <v>6</v>
      </c>
      <c r="F424">
        <v>300018501</v>
      </c>
      <c r="G424" t="s">
        <v>29</v>
      </c>
      <c r="H424">
        <v>81</v>
      </c>
      <c r="I424">
        <v>71101060</v>
      </c>
      <c r="J424">
        <v>11500030</v>
      </c>
      <c r="K424" t="s">
        <v>30</v>
      </c>
      <c r="L424" s="4">
        <v>20</v>
      </c>
      <c r="M424" t="s">
        <v>31</v>
      </c>
      <c r="N424" s="4">
        <v>20</v>
      </c>
      <c r="O424" t="s">
        <v>31</v>
      </c>
      <c r="X424" t="s">
        <v>35</v>
      </c>
      <c r="Y424"/>
      <c r="Z424">
        <v>20200131</v>
      </c>
      <c r="AA424">
        <f t="shared" si="7"/>
        <v>20</v>
      </c>
      <c r="AC424"/>
      <c r="AF424"/>
      <c r="AL424">
        <v>340353290</v>
      </c>
      <c r="AM424" t="s">
        <v>40</v>
      </c>
    </row>
    <row r="425" spans="1:39" x14ac:dyDescent="0.35">
      <c r="A425">
        <v>3403</v>
      </c>
      <c r="B425" t="s">
        <v>28</v>
      </c>
      <c r="C425">
        <v>2020</v>
      </c>
      <c r="D425" s="1">
        <v>43831</v>
      </c>
      <c r="E425">
        <v>8</v>
      </c>
      <c r="F425">
        <v>300018501</v>
      </c>
      <c r="G425" t="s">
        <v>29</v>
      </c>
      <c r="H425">
        <v>81</v>
      </c>
      <c r="I425">
        <v>71101060</v>
      </c>
      <c r="J425">
        <v>11500030</v>
      </c>
      <c r="K425" t="s">
        <v>30</v>
      </c>
      <c r="L425" s="4">
        <v>31.9</v>
      </c>
      <c r="M425" t="s">
        <v>31</v>
      </c>
      <c r="N425" s="4">
        <v>31.9</v>
      </c>
      <c r="O425" t="s">
        <v>31</v>
      </c>
      <c r="X425" t="s">
        <v>35</v>
      </c>
      <c r="Y425"/>
      <c r="Z425">
        <v>20200131</v>
      </c>
      <c r="AA425">
        <f t="shared" si="7"/>
        <v>31.9</v>
      </c>
      <c r="AC425"/>
      <c r="AF425"/>
      <c r="AL425">
        <v>340353290</v>
      </c>
      <c r="AM425" t="s">
        <v>40</v>
      </c>
    </row>
    <row r="426" spans="1:39" x14ac:dyDescent="0.35">
      <c r="A426">
        <v>3403</v>
      </c>
      <c r="B426" t="s">
        <v>28</v>
      </c>
      <c r="C426">
        <v>2020</v>
      </c>
      <c r="D426" s="1">
        <v>43831</v>
      </c>
      <c r="E426">
        <v>10</v>
      </c>
      <c r="F426">
        <v>300018501</v>
      </c>
      <c r="G426" t="s">
        <v>29</v>
      </c>
      <c r="H426">
        <v>81</v>
      </c>
      <c r="I426">
        <v>71101060</v>
      </c>
      <c r="J426">
        <v>11500030</v>
      </c>
      <c r="K426" t="s">
        <v>30</v>
      </c>
      <c r="L426" s="4">
        <v>49.36</v>
      </c>
      <c r="M426" t="s">
        <v>31</v>
      </c>
      <c r="N426" s="4">
        <v>49.36</v>
      </c>
      <c r="O426" t="s">
        <v>31</v>
      </c>
      <c r="X426" t="s">
        <v>35</v>
      </c>
      <c r="Y426"/>
      <c r="Z426">
        <v>20200131</v>
      </c>
      <c r="AA426">
        <f t="shared" si="7"/>
        <v>49.36</v>
      </c>
      <c r="AC426"/>
      <c r="AF426"/>
      <c r="AL426">
        <v>340353290</v>
      </c>
      <c r="AM426" t="s">
        <v>40</v>
      </c>
    </row>
    <row r="427" spans="1:39" x14ac:dyDescent="0.35">
      <c r="A427">
        <v>3403</v>
      </c>
      <c r="B427" t="s">
        <v>28</v>
      </c>
      <c r="C427">
        <v>2020</v>
      </c>
      <c r="D427" s="1">
        <v>43831</v>
      </c>
      <c r="E427">
        <v>12</v>
      </c>
      <c r="F427">
        <v>300018501</v>
      </c>
      <c r="G427" t="s">
        <v>29</v>
      </c>
      <c r="H427">
        <v>81</v>
      </c>
      <c r="I427">
        <v>71101060</v>
      </c>
      <c r="J427">
        <v>11500030</v>
      </c>
      <c r="K427" t="s">
        <v>30</v>
      </c>
      <c r="L427" s="4">
        <v>36.33</v>
      </c>
      <c r="M427" t="s">
        <v>31</v>
      </c>
      <c r="N427" s="4">
        <v>36.33</v>
      </c>
      <c r="O427" t="s">
        <v>31</v>
      </c>
      <c r="X427" t="s">
        <v>35</v>
      </c>
      <c r="Y427"/>
      <c r="Z427">
        <v>20200131</v>
      </c>
      <c r="AA427">
        <f t="shared" si="7"/>
        <v>36.33</v>
      </c>
      <c r="AC427"/>
      <c r="AF427"/>
      <c r="AL427">
        <v>340353290</v>
      </c>
      <c r="AM427" t="s">
        <v>40</v>
      </c>
    </row>
    <row r="428" spans="1:39" x14ac:dyDescent="0.35">
      <c r="A428">
        <v>3403</v>
      </c>
      <c r="B428" t="s">
        <v>28</v>
      </c>
      <c r="C428">
        <v>2020</v>
      </c>
      <c r="D428" s="1">
        <v>43831</v>
      </c>
      <c r="E428">
        <v>24</v>
      </c>
      <c r="F428">
        <v>300018501</v>
      </c>
      <c r="G428" t="s">
        <v>29</v>
      </c>
      <c r="H428">
        <v>81</v>
      </c>
      <c r="I428">
        <v>71101060</v>
      </c>
      <c r="J428">
        <v>11500030</v>
      </c>
      <c r="K428" t="s">
        <v>30</v>
      </c>
      <c r="L428" s="4">
        <v>71</v>
      </c>
      <c r="M428" t="s">
        <v>31</v>
      </c>
      <c r="N428" s="4">
        <v>71</v>
      </c>
      <c r="O428" t="s">
        <v>31</v>
      </c>
      <c r="X428" t="s">
        <v>35</v>
      </c>
      <c r="Y428"/>
      <c r="Z428">
        <v>20200131</v>
      </c>
      <c r="AA428">
        <f t="shared" si="7"/>
        <v>71</v>
      </c>
      <c r="AC428"/>
      <c r="AF428"/>
      <c r="AL428">
        <v>340353290</v>
      </c>
      <c r="AM428" t="s">
        <v>40</v>
      </c>
    </row>
    <row r="429" spans="1:39" x14ac:dyDescent="0.35">
      <c r="A429">
        <v>3403</v>
      </c>
      <c r="B429" t="s">
        <v>28</v>
      </c>
      <c r="C429">
        <v>2020</v>
      </c>
      <c r="D429" s="1">
        <v>43831</v>
      </c>
      <c r="E429">
        <v>30</v>
      </c>
      <c r="F429">
        <v>300018501</v>
      </c>
      <c r="G429" t="s">
        <v>29</v>
      </c>
      <c r="H429">
        <v>81</v>
      </c>
      <c r="I429">
        <v>71101060</v>
      </c>
      <c r="J429">
        <v>11500030</v>
      </c>
      <c r="K429" t="s">
        <v>30</v>
      </c>
      <c r="L429" s="4">
        <v>253.84</v>
      </c>
      <c r="M429" t="s">
        <v>31</v>
      </c>
      <c r="N429" s="4">
        <v>253.84</v>
      </c>
      <c r="O429" t="s">
        <v>31</v>
      </c>
      <c r="X429" t="s">
        <v>35</v>
      </c>
      <c r="Y429"/>
      <c r="Z429">
        <v>20200131</v>
      </c>
      <c r="AA429">
        <f t="shared" si="7"/>
        <v>253.84</v>
      </c>
      <c r="AC429"/>
      <c r="AF429"/>
      <c r="AL429">
        <v>340353290</v>
      </c>
      <c r="AM429" t="s">
        <v>40</v>
      </c>
    </row>
    <row r="430" spans="1:39" x14ac:dyDescent="0.35">
      <c r="A430">
        <v>3403</v>
      </c>
      <c r="B430" t="s">
        <v>28</v>
      </c>
      <c r="C430">
        <v>2020</v>
      </c>
      <c r="D430" s="1">
        <v>43831</v>
      </c>
      <c r="E430">
        <v>34</v>
      </c>
      <c r="F430">
        <v>300018501</v>
      </c>
      <c r="G430" t="s">
        <v>29</v>
      </c>
      <c r="H430">
        <v>81</v>
      </c>
      <c r="I430">
        <v>71101060</v>
      </c>
      <c r="J430">
        <v>11500030</v>
      </c>
      <c r="K430" t="s">
        <v>30</v>
      </c>
      <c r="L430" s="4">
        <v>45.32</v>
      </c>
      <c r="M430" t="s">
        <v>31</v>
      </c>
      <c r="N430" s="4">
        <v>45.32</v>
      </c>
      <c r="O430" t="s">
        <v>31</v>
      </c>
      <c r="X430" t="s">
        <v>35</v>
      </c>
      <c r="Y430"/>
      <c r="Z430">
        <v>20200131</v>
      </c>
      <c r="AA430">
        <f t="shared" si="7"/>
        <v>45.32</v>
      </c>
      <c r="AC430"/>
      <c r="AF430"/>
      <c r="AL430">
        <v>340353290</v>
      </c>
      <c r="AM430" t="s">
        <v>40</v>
      </c>
    </row>
    <row r="431" spans="1:39" x14ac:dyDescent="0.35">
      <c r="A431">
        <v>3403</v>
      </c>
      <c r="B431" t="s">
        <v>28</v>
      </c>
      <c r="C431">
        <v>2020</v>
      </c>
      <c r="D431" s="1">
        <v>43831</v>
      </c>
      <c r="E431">
        <v>40</v>
      </c>
      <c r="F431">
        <v>300018501</v>
      </c>
      <c r="G431" t="s">
        <v>29</v>
      </c>
      <c r="H431">
        <v>81</v>
      </c>
      <c r="I431">
        <v>71101060</v>
      </c>
      <c r="J431">
        <v>11500030</v>
      </c>
      <c r="K431" t="s">
        <v>30</v>
      </c>
      <c r="L431" s="4">
        <v>18.45</v>
      </c>
      <c r="M431" t="s">
        <v>31</v>
      </c>
      <c r="N431" s="4">
        <v>18.45</v>
      </c>
      <c r="O431" t="s">
        <v>31</v>
      </c>
      <c r="X431" t="s">
        <v>35</v>
      </c>
      <c r="Y431"/>
      <c r="Z431">
        <v>20200131</v>
      </c>
      <c r="AA431">
        <f t="shared" si="7"/>
        <v>18.45</v>
      </c>
      <c r="AC431"/>
      <c r="AF431"/>
      <c r="AL431">
        <v>340353290</v>
      </c>
      <c r="AM431" t="s">
        <v>40</v>
      </c>
    </row>
    <row r="432" spans="1:39" x14ac:dyDescent="0.35">
      <c r="A432">
        <v>3402</v>
      </c>
      <c r="B432" t="s">
        <v>28</v>
      </c>
      <c r="C432">
        <v>2020</v>
      </c>
      <c r="D432" s="1">
        <v>43831</v>
      </c>
      <c r="E432">
        <v>12</v>
      </c>
      <c r="F432">
        <v>200114624</v>
      </c>
      <c r="G432" t="s">
        <v>29</v>
      </c>
      <c r="H432">
        <v>81</v>
      </c>
      <c r="I432">
        <v>71101060</v>
      </c>
      <c r="J432">
        <v>11500050</v>
      </c>
      <c r="K432" t="s">
        <v>30</v>
      </c>
      <c r="L432" s="4">
        <v>41.34</v>
      </c>
      <c r="M432" t="s">
        <v>31</v>
      </c>
      <c r="N432" s="4">
        <v>41.34</v>
      </c>
      <c r="O432" t="s">
        <v>31</v>
      </c>
      <c r="X432" t="s">
        <v>35</v>
      </c>
      <c r="Y432"/>
      <c r="Z432">
        <v>20200131</v>
      </c>
      <c r="AA432">
        <f t="shared" si="7"/>
        <v>41.34</v>
      </c>
      <c r="AC432"/>
      <c r="AF432"/>
      <c r="AL432">
        <v>340232290</v>
      </c>
      <c r="AM432" t="s">
        <v>38</v>
      </c>
    </row>
    <row r="433" spans="1:39" x14ac:dyDescent="0.35">
      <c r="A433">
        <v>3402</v>
      </c>
      <c r="B433" t="s">
        <v>28</v>
      </c>
      <c r="C433">
        <v>2020</v>
      </c>
      <c r="D433" s="1">
        <v>43831</v>
      </c>
      <c r="E433">
        <v>14</v>
      </c>
      <c r="F433">
        <v>200114624</v>
      </c>
      <c r="G433" t="s">
        <v>29</v>
      </c>
      <c r="H433">
        <v>81</v>
      </c>
      <c r="I433">
        <v>71101060</v>
      </c>
      <c r="J433">
        <v>11500050</v>
      </c>
      <c r="K433" t="s">
        <v>30</v>
      </c>
      <c r="L433" s="4">
        <v>68.5</v>
      </c>
      <c r="M433" t="s">
        <v>31</v>
      </c>
      <c r="N433" s="4">
        <v>68.5</v>
      </c>
      <c r="O433" t="s">
        <v>31</v>
      </c>
      <c r="X433" t="s">
        <v>35</v>
      </c>
      <c r="Y433"/>
      <c r="Z433">
        <v>20200131</v>
      </c>
      <c r="AA433">
        <f t="shared" si="7"/>
        <v>68.5</v>
      </c>
      <c r="AC433"/>
      <c r="AF433"/>
      <c r="AL433">
        <v>340232290</v>
      </c>
      <c r="AM433" t="s">
        <v>38</v>
      </c>
    </row>
    <row r="434" spans="1:39" x14ac:dyDescent="0.35">
      <c r="A434">
        <v>3402</v>
      </c>
      <c r="B434" t="s">
        <v>28</v>
      </c>
      <c r="C434">
        <v>2020</v>
      </c>
      <c r="D434" s="1">
        <v>43831</v>
      </c>
      <c r="E434">
        <v>16</v>
      </c>
      <c r="F434">
        <v>200114624</v>
      </c>
      <c r="G434" t="s">
        <v>29</v>
      </c>
      <c r="H434">
        <v>81</v>
      </c>
      <c r="I434">
        <v>71101060</v>
      </c>
      <c r="J434">
        <v>11500050</v>
      </c>
      <c r="K434" t="s">
        <v>30</v>
      </c>
      <c r="L434" s="4">
        <v>503.27</v>
      </c>
      <c r="M434" t="s">
        <v>31</v>
      </c>
      <c r="N434" s="4">
        <v>503.27</v>
      </c>
      <c r="O434" t="s">
        <v>31</v>
      </c>
      <c r="X434" t="s">
        <v>35</v>
      </c>
      <c r="Y434"/>
      <c r="Z434">
        <v>20200131</v>
      </c>
      <c r="AA434">
        <f t="shared" si="7"/>
        <v>503.27</v>
      </c>
      <c r="AC434"/>
      <c r="AF434"/>
      <c r="AL434">
        <v>340232290</v>
      </c>
      <c r="AM434" t="s">
        <v>38</v>
      </c>
    </row>
    <row r="435" spans="1:39" x14ac:dyDescent="0.35">
      <c r="A435">
        <v>3402</v>
      </c>
      <c r="B435" t="s">
        <v>28</v>
      </c>
      <c r="C435">
        <v>2020</v>
      </c>
      <c r="D435" s="1">
        <v>43831</v>
      </c>
      <c r="E435">
        <v>18</v>
      </c>
      <c r="F435">
        <v>200114624</v>
      </c>
      <c r="G435" t="s">
        <v>29</v>
      </c>
      <c r="H435">
        <v>81</v>
      </c>
      <c r="I435">
        <v>71101060</v>
      </c>
      <c r="J435">
        <v>11500050</v>
      </c>
      <c r="K435" t="s">
        <v>30</v>
      </c>
      <c r="L435" s="4">
        <v>300.41000000000003</v>
      </c>
      <c r="M435" t="s">
        <v>31</v>
      </c>
      <c r="N435" s="4">
        <v>300.41000000000003</v>
      </c>
      <c r="O435" t="s">
        <v>31</v>
      </c>
      <c r="X435" t="s">
        <v>35</v>
      </c>
      <c r="Y435"/>
      <c r="Z435">
        <v>20200131</v>
      </c>
      <c r="AA435">
        <f t="shared" si="7"/>
        <v>300.41000000000003</v>
      </c>
      <c r="AC435"/>
      <c r="AF435"/>
      <c r="AL435">
        <v>340232290</v>
      </c>
      <c r="AM435" t="s">
        <v>38</v>
      </c>
    </row>
    <row r="436" spans="1:39" x14ac:dyDescent="0.35">
      <c r="A436">
        <v>3402</v>
      </c>
      <c r="B436" t="s">
        <v>28</v>
      </c>
      <c r="C436">
        <v>2020</v>
      </c>
      <c r="D436" s="1">
        <v>43831</v>
      </c>
      <c r="E436">
        <v>20</v>
      </c>
      <c r="F436">
        <v>200114624</v>
      </c>
      <c r="G436" t="s">
        <v>29</v>
      </c>
      <c r="H436">
        <v>81</v>
      </c>
      <c r="I436">
        <v>71101060</v>
      </c>
      <c r="J436">
        <v>11500050</v>
      </c>
      <c r="K436" t="s">
        <v>30</v>
      </c>
      <c r="L436" s="4">
        <v>3699.84</v>
      </c>
      <c r="M436" t="s">
        <v>31</v>
      </c>
      <c r="N436" s="4">
        <v>3699.84</v>
      </c>
      <c r="O436" t="s">
        <v>31</v>
      </c>
      <c r="X436" t="s">
        <v>35</v>
      </c>
      <c r="Y436"/>
      <c r="Z436">
        <v>20200131</v>
      </c>
      <c r="AA436">
        <f t="shared" si="7"/>
        <v>3699.84</v>
      </c>
      <c r="AC436"/>
      <c r="AF436"/>
      <c r="AL436">
        <v>340232290</v>
      </c>
      <c r="AM436" t="s">
        <v>38</v>
      </c>
    </row>
    <row r="437" spans="1:39" x14ac:dyDescent="0.35">
      <c r="A437">
        <v>3402</v>
      </c>
      <c r="B437" t="s">
        <v>28</v>
      </c>
      <c r="C437">
        <v>2020</v>
      </c>
      <c r="D437" s="1">
        <v>43831</v>
      </c>
      <c r="E437">
        <v>22</v>
      </c>
      <c r="F437">
        <v>200114624</v>
      </c>
      <c r="G437" t="s">
        <v>29</v>
      </c>
      <c r="H437">
        <v>81</v>
      </c>
      <c r="I437">
        <v>71101060</v>
      </c>
      <c r="J437">
        <v>11500050</v>
      </c>
      <c r="K437" t="s">
        <v>30</v>
      </c>
      <c r="L437" s="4">
        <v>1732.02</v>
      </c>
      <c r="M437" t="s">
        <v>31</v>
      </c>
      <c r="N437" s="4">
        <v>1732.02</v>
      </c>
      <c r="O437" t="s">
        <v>31</v>
      </c>
      <c r="X437" t="s">
        <v>35</v>
      </c>
      <c r="Y437"/>
      <c r="Z437">
        <v>20200131</v>
      </c>
      <c r="AA437">
        <f t="shared" si="7"/>
        <v>1732.02</v>
      </c>
      <c r="AC437"/>
      <c r="AF437"/>
      <c r="AL437">
        <v>340232290</v>
      </c>
      <c r="AM437" t="s">
        <v>38</v>
      </c>
    </row>
    <row r="438" spans="1:39" x14ac:dyDescent="0.35">
      <c r="A438">
        <v>3402</v>
      </c>
      <c r="B438" t="s">
        <v>28</v>
      </c>
      <c r="C438">
        <v>2020</v>
      </c>
      <c r="D438" s="1">
        <v>43831</v>
      </c>
      <c r="E438">
        <v>24</v>
      </c>
      <c r="F438">
        <v>200114624</v>
      </c>
      <c r="G438" t="s">
        <v>29</v>
      </c>
      <c r="H438">
        <v>81</v>
      </c>
      <c r="I438">
        <v>71101060</v>
      </c>
      <c r="J438">
        <v>11500050</v>
      </c>
      <c r="K438" t="s">
        <v>30</v>
      </c>
      <c r="L438" s="4">
        <v>931.2</v>
      </c>
      <c r="M438" t="s">
        <v>31</v>
      </c>
      <c r="N438" s="4">
        <v>931.2</v>
      </c>
      <c r="O438" t="s">
        <v>31</v>
      </c>
      <c r="X438" t="s">
        <v>35</v>
      </c>
      <c r="Y438"/>
      <c r="Z438">
        <v>20200131</v>
      </c>
      <c r="AA438">
        <f t="shared" si="7"/>
        <v>931.2</v>
      </c>
      <c r="AC438"/>
      <c r="AF438"/>
      <c r="AL438">
        <v>340232290</v>
      </c>
      <c r="AM438" t="s">
        <v>38</v>
      </c>
    </row>
    <row r="439" spans="1:39" x14ac:dyDescent="0.35">
      <c r="A439">
        <v>3402</v>
      </c>
      <c r="B439" t="s">
        <v>28</v>
      </c>
      <c r="C439">
        <v>2020</v>
      </c>
      <c r="D439" s="1">
        <v>43831</v>
      </c>
      <c r="E439">
        <v>26</v>
      </c>
      <c r="F439">
        <v>200114624</v>
      </c>
      <c r="G439" t="s">
        <v>29</v>
      </c>
      <c r="H439">
        <v>81</v>
      </c>
      <c r="I439">
        <v>71101060</v>
      </c>
      <c r="J439">
        <v>11500050</v>
      </c>
      <c r="K439" t="s">
        <v>30</v>
      </c>
      <c r="L439" s="4">
        <v>2733.35</v>
      </c>
      <c r="M439" t="s">
        <v>31</v>
      </c>
      <c r="N439" s="4">
        <v>2733.35</v>
      </c>
      <c r="O439" t="s">
        <v>31</v>
      </c>
      <c r="X439" t="s">
        <v>35</v>
      </c>
      <c r="Y439"/>
      <c r="Z439">
        <v>20200131</v>
      </c>
      <c r="AA439">
        <f t="shared" si="7"/>
        <v>2733.35</v>
      </c>
      <c r="AC439"/>
      <c r="AF439"/>
      <c r="AL439">
        <v>340232290</v>
      </c>
      <c r="AM439" t="s">
        <v>38</v>
      </c>
    </row>
    <row r="440" spans="1:39" x14ac:dyDescent="0.35">
      <c r="A440">
        <v>3402</v>
      </c>
      <c r="B440" t="s">
        <v>28</v>
      </c>
      <c r="C440">
        <v>2020</v>
      </c>
      <c r="D440" s="1">
        <v>43831</v>
      </c>
      <c r="E440">
        <v>2</v>
      </c>
      <c r="F440">
        <v>200114640</v>
      </c>
      <c r="G440" t="s">
        <v>29</v>
      </c>
      <c r="H440">
        <v>81</v>
      </c>
      <c r="I440">
        <v>71101060</v>
      </c>
      <c r="J440">
        <v>11500060</v>
      </c>
      <c r="K440" t="s">
        <v>30</v>
      </c>
      <c r="L440" s="4">
        <v>750.75</v>
      </c>
      <c r="M440" t="s">
        <v>31</v>
      </c>
      <c r="N440" s="4">
        <v>750.75</v>
      </c>
      <c r="O440" t="s">
        <v>31</v>
      </c>
      <c r="X440" t="s">
        <v>35</v>
      </c>
      <c r="Y440"/>
      <c r="Z440">
        <v>20200131</v>
      </c>
      <c r="AA440">
        <f t="shared" si="7"/>
        <v>750.75</v>
      </c>
      <c r="AC440"/>
      <c r="AF440"/>
      <c r="AL440">
        <v>340275190</v>
      </c>
      <c r="AM440" t="s">
        <v>46</v>
      </c>
    </row>
    <row r="441" spans="1:39" x14ac:dyDescent="0.35">
      <c r="A441">
        <v>3402</v>
      </c>
      <c r="B441" t="s">
        <v>28</v>
      </c>
      <c r="C441">
        <v>2020</v>
      </c>
      <c r="D441" s="1">
        <v>43831</v>
      </c>
      <c r="E441">
        <v>10</v>
      </c>
      <c r="F441">
        <v>200114656</v>
      </c>
      <c r="G441" t="s">
        <v>29</v>
      </c>
      <c r="H441">
        <v>81</v>
      </c>
      <c r="I441">
        <v>71101060</v>
      </c>
      <c r="J441">
        <v>11500060</v>
      </c>
      <c r="K441" t="s">
        <v>30</v>
      </c>
      <c r="L441" s="4">
        <v>21866.799999999999</v>
      </c>
      <c r="M441" t="s">
        <v>31</v>
      </c>
      <c r="N441" s="4">
        <v>21866.799999999999</v>
      </c>
      <c r="O441" t="s">
        <v>31</v>
      </c>
      <c r="X441" t="s">
        <v>35</v>
      </c>
      <c r="Y441"/>
      <c r="Z441">
        <v>20200131</v>
      </c>
      <c r="AA441">
        <f t="shared" si="7"/>
        <v>21866.799999999999</v>
      </c>
      <c r="AC441"/>
      <c r="AF441"/>
      <c r="AL441">
        <v>340212890</v>
      </c>
      <c r="AM441" t="s">
        <v>46</v>
      </c>
    </row>
    <row r="442" spans="1:39" x14ac:dyDescent="0.35">
      <c r="A442">
        <v>3402</v>
      </c>
      <c r="B442" t="s">
        <v>28</v>
      </c>
      <c r="C442">
        <v>2020</v>
      </c>
      <c r="D442" s="1">
        <v>43831</v>
      </c>
      <c r="E442">
        <v>12</v>
      </c>
      <c r="F442">
        <v>200114656</v>
      </c>
      <c r="G442" t="s">
        <v>29</v>
      </c>
      <c r="H442">
        <v>81</v>
      </c>
      <c r="I442">
        <v>71101060</v>
      </c>
      <c r="J442">
        <v>11500060</v>
      </c>
      <c r="K442" t="s">
        <v>30</v>
      </c>
      <c r="L442" s="4">
        <v>2277.91</v>
      </c>
      <c r="M442" t="s">
        <v>31</v>
      </c>
      <c r="N442" s="4">
        <v>2277.91</v>
      </c>
      <c r="O442" t="s">
        <v>31</v>
      </c>
      <c r="X442" t="s">
        <v>35</v>
      </c>
      <c r="Y442"/>
      <c r="Z442">
        <v>20200131</v>
      </c>
      <c r="AA442">
        <f t="shared" si="7"/>
        <v>2277.91</v>
      </c>
      <c r="AC442"/>
      <c r="AF442"/>
      <c r="AL442">
        <v>340212890</v>
      </c>
      <c r="AM442" t="s">
        <v>46</v>
      </c>
    </row>
    <row r="443" spans="1:39" x14ac:dyDescent="0.35">
      <c r="A443">
        <v>3402</v>
      </c>
      <c r="B443" t="s">
        <v>28</v>
      </c>
      <c r="C443">
        <v>2020</v>
      </c>
      <c r="D443" s="1">
        <v>43831</v>
      </c>
      <c r="E443">
        <v>14</v>
      </c>
      <c r="F443">
        <v>200114656</v>
      </c>
      <c r="G443" t="s">
        <v>29</v>
      </c>
      <c r="H443">
        <v>81</v>
      </c>
      <c r="I443">
        <v>71101060</v>
      </c>
      <c r="J443">
        <v>11500060</v>
      </c>
      <c r="K443" t="s">
        <v>30</v>
      </c>
      <c r="L443" s="4">
        <v>291.95999999999998</v>
      </c>
      <c r="M443" t="s">
        <v>31</v>
      </c>
      <c r="N443" s="4">
        <v>291.95999999999998</v>
      </c>
      <c r="O443" t="s">
        <v>31</v>
      </c>
      <c r="X443" t="s">
        <v>35</v>
      </c>
      <c r="Y443"/>
      <c r="Z443">
        <v>20200131</v>
      </c>
      <c r="AA443">
        <f t="shared" si="7"/>
        <v>291.95999999999998</v>
      </c>
      <c r="AC443"/>
      <c r="AF443"/>
      <c r="AL443">
        <v>340212890</v>
      </c>
      <c r="AM443" t="s">
        <v>46</v>
      </c>
    </row>
    <row r="444" spans="1:39" x14ac:dyDescent="0.35">
      <c r="A444">
        <v>3402</v>
      </c>
      <c r="B444" t="s">
        <v>28</v>
      </c>
      <c r="C444">
        <v>2020</v>
      </c>
      <c r="D444" s="1">
        <v>43831</v>
      </c>
      <c r="E444">
        <v>20</v>
      </c>
      <c r="F444">
        <v>200114656</v>
      </c>
      <c r="G444" t="s">
        <v>29</v>
      </c>
      <c r="H444">
        <v>81</v>
      </c>
      <c r="I444">
        <v>71101060</v>
      </c>
      <c r="J444">
        <v>11500060</v>
      </c>
      <c r="K444" t="s">
        <v>30</v>
      </c>
      <c r="L444" s="4">
        <v>9999.57</v>
      </c>
      <c r="M444" t="s">
        <v>31</v>
      </c>
      <c r="N444" s="4">
        <v>9999.57</v>
      </c>
      <c r="O444" t="s">
        <v>31</v>
      </c>
      <c r="X444" t="s">
        <v>35</v>
      </c>
      <c r="Y444"/>
      <c r="Z444">
        <v>20200131</v>
      </c>
      <c r="AA444">
        <f t="shared" si="7"/>
        <v>9999.57</v>
      </c>
      <c r="AC444"/>
      <c r="AF444"/>
      <c r="AL444">
        <v>340212890</v>
      </c>
      <c r="AM444" t="s">
        <v>46</v>
      </c>
    </row>
    <row r="445" spans="1:39" x14ac:dyDescent="0.35">
      <c r="A445">
        <v>3402</v>
      </c>
      <c r="B445" t="s">
        <v>28</v>
      </c>
      <c r="C445">
        <v>2020</v>
      </c>
      <c r="D445" s="1">
        <v>43831</v>
      </c>
      <c r="E445">
        <v>24</v>
      </c>
      <c r="F445">
        <v>200114656</v>
      </c>
      <c r="G445" t="s">
        <v>29</v>
      </c>
      <c r="H445">
        <v>81</v>
      </c>
      <c r="I445">
        <v>71101060</v>
      </c>
      <c r="J445">
        <v>11500060</v>
      </c>
      <c r="K445" t="s">
        <v>30</v>
      </c>
      <c r="L445" s="4">
        <v>10794</v>
      </c>
      <c r="M445" t="s">
        <v>31</v>
      </c>
      <c r="N445" s="4">
        <v>10794</v>
      </c>
      <c r="O445" t="s">
        <v>31</v>
      </c>
      <c r="X445" t="s">
        <v>35</v>
      </c>
      <c r="Y445"/>
      <c r="Z445">
        <v>20200131</v>
      </c>
      <c r="AA445">
        <f t="shared" si="7"/>
        <v>10794</v>
      </c>
      <c r="AC445"/>
      <c r="AF445"/>
      <c r="AL445">
        <v>340212890</v>
      </c>
      <c r="AM445" t="s">
        <v>46</v>
      </c>
    </row>
    <row r="446" spans="1:39" x14ac:dyDescent="0.35">
      <c r="A446">
        <v>3402</v>
      </c>
      <c r="B446" t="s">
        <v>28</v>
      </c>
      <c r="C446">
        <v>2020</v>
      </c>
      <c r="D446" s="1">
        <v>43831</v>
      </c>
      <c r="E446">
        <v>26</v>
      </c>
      <c r="F446">
        <v>200114656</v>
      </c>
      <c r="G446" t="s">
        <v>29</v>
      </c>
      <c r="H446">
        <v>81</v>
      </c>
      <c r="I446">
        <v>71101060</v>
      </c>
      <c r="J446">
        <v>11500060</v>
      </c>
      <c r="K446" t="s">
        <v>30</v>
      </c>
      <c r="L446" s="4">
        <v>8550.36</v>
      </c>
      <c r="M446" t="s">
        <v>31</v>
      </c>
      <c r="N446" s="4">
        <v>8550.36</v>
      </c>
      <c r="O446" t="s">
        <v>31</v>
      </c>
      <c r="X446" t="s">
        <v>35</v>
      </c>
      <c r="Y446"/>
      <c r="Z446">
        <v>20200131</v>
      </c>
      <c r="AA446">
        <f t="shared" si="7"/>
        <v>8550.36</v>
      </c>
      <c r="AC446"/>
      <c r="AF446"/>
      <c r="AL446">
        <v>340212890</v>
      </c>
      <c r="AM446" t="s">
        <v>46</v>
      </c>
    </row>
    <row r="447" spans="1:39" x14ac:dyDescent="0.35">
      <c r="A447">
        <v>3402</v>
      </c>
      <c r="B447" t="s">
        <v>28</v>
      </c>
      <c r="C447">
        <v>2020</v>
      </c>
      <c r="D447" s="1">
        <v>43831</v>
      </c>
      <c r="E447">
        <v>28</v>
      </c>
      <c r="F447">
        <v>200114656</v>
      </c>
      <c r="G447" t="s">
        <v>29</v>
      </c>
      <c r="H447">
        <v>81</v>
      </c>
      <c r="I447">
        <v>71101060</v>
      </c>
      <c r="J447">
        <v>11500060</v>
      </c>
      <c r="K447" t="s">
        <v>30</v>
      </c>
      <c r="L447" s="4">
        <v>8467.86</v>
      </c>
      <c r="M447" t="s">
        <v>31</v>
      </c>
      <c r="N447" s="4">
        <v>8467.86</v>
      </c>
      <c r="O447" t="s">
        <v>31</v>
      </c>
      <c r="X447" t="s">
        <v>35</v>
      </c>
      <c r="Y447"/>
      <c r="Z447">
        <v>20200131</v>
      </c>
      <c r="AA447">
        <f t="shared" si="7"/>
        <v>8467.86</v>
      </c>
      <c r="AC447"/>
      <c r="AF447"/>
      <c r="AL447">
        <v>340212890</v>
      </c>
      <c r="AM447" t="s">
        <v>46</v>
      </c>
    </row>
    <row r="448" spans="1:39" x14ac:dyDescent="0.35">
      <c r="A448">
        <v>3402</v>
      </c>
      <c r="B448" t="s">
        <v>28</v>
      </c>
      <c r="C448">
        <v>2020</v>
      </c>
      <c r="D448" s="1">
        <v>43831</v>
      </c>
      <c r="E448">
        <v>30</v>
      </c>
      <c r="F448">
        <v>200114656</v>
      </c>
      <c r="G448" t="s">
        <v>29</v>
      </c>
      <c r="H448">
        <v>81</v>
      </c>
      <c r="I448">
        <v>71101060</v>
      </c>
      <c r="J448">
        <v>11500060</v>
      </c>
      <c r="K448" t="s">
        <v>30</v>
      </c>
      <c r="L448" s="4">
        <v>34920.720000000001</v>
      </c>
      <c r="M448" t="s">
        <v>31</v>
      </c>
      <c r="N448" s="4">
        <v>34920.720000000001</v>
      </c>
      <c r="O448" t="s">
        <v>31</v>
      </c>
      <c r="X448" t="s">
        <v>35</v>
      </c>
      <c r="Y448"/>
      <c r="Z448">
        <v>20200131</v>
      </c>
      <c r="AA448">
        <f t="shared" si="7"/>
        <v>34920.720000000001</v>
      </c>
      <c r="AC448"/>
      <c r="AF448"/>
      <c r="AL448">
        <v>340212890</v>
      </c>
      <c r="AM448" t="s">
        <v>46</v>
      </c>
    </row>
    <row r="449" spans="1:39" x14ac:dyDescent="0.35">
      <c r="A449">
        <v>3402</v>
      </c>
      <c r="B449" t="s">
        <v>28</v>
      </c>
      <c r="C449">
        <v>2020</v>
      </c>
      <c r="D449" s="1">
        <v>43831</v>
      </c>
      <c r="E449">
        <v>32</v>
      </c>
      <c r="F449">
        <v>200114656</v>
      </c>
      <c r="G449" t="s">
        <v>29</v>
      </c>
      <c r="H449">
        <v>81</v>
      </c>
      <c r="I449">
        <v>71101060</v>
      </c>
      <c r="J449">
        <v>11500060</v>
      </c>
      <c r="K449" t="s">
        <v>30</v>
      </c>
      <c r="L449" s="4">
        <v>4813.75</v>
      </c>
      <c r="M449" t="s">
        <v>31</v>
      </c>
      <c r="N449" s="4">
        <v>4813.75</v>
      </c>
      <c r="O449" t="s">
        <v>31</v>
      </c>
      <c r="X449" t="s">
        <v>35</v>
      </c>
      <c r="Y449"/>
      <c r="Z449">
        <v>20200131</v>
      </c>
      <c r="AA449">
        <f t="shared" si="7"/>
        <v>4813.75</v>
      </c>
      <c r="AC449"/>
      <c r="AF449"/>
      <c r="AL449">
        <v>340212890</v>
      </c>
      <c r="AM449" t="s">
        <v>46</v>
      </c>
    </row>
    <row r="450" spans="1:39" x14ac:dyDescent="0.35">
      <c r="A450">
        <v>3402</v>
      </c>
      <c r="B450" t="s">
        <v>28</v>
      </c>
      <c r="C450">
        <v>2020</v>
      </c>
      <c r="D450" s="1">
        <v>43831</v>
      </c>
      <c r="E450">
        <v>34</v>
      </c>
      <c r="F450">
        <v>200114656</v>
      </c>
      <c r="G450" t="s">
        <v>29</v>
      </c>
      <c r="H450">
        <v>81</v>
      </c>
      <c r="I450">
        <v>71101060</v>
      </c>
      <c r="J450">
        <v>11500060</v>
      </c>
      <c r="K450" t="s">
        <v>30</v>
      </c>
      <c r="L450" s="4">
        <v>3128.9</v>
      </c>
      <c r="M450" t="s">
        <v>31</v>
      </c>
      <c r="N450" s="4">
        <v>3128.9</v>
      </c>
      <c r="O450" t="s">
        <v>31</v>
      </c>
      <c r="X450" t="s">
        <v>35</v>
      </c>
      <c r="Y450"/>
      <c r="Z450">
        <v>20200131</v>
      </c>
      <c r="AA450">
        <f t="shared" si="7"/>
        <v>3128.9</v>
      </c>
      <c r="AC450"/>
      <c r="AF450"/>
      <c r="AL450">
        <v>340212890</v>
      </c>
      <c r="AM450" t="s">
        <v>46</v>
      </c>
    </row>
    <row r="451" spans="1:39" x14ac:dyDescent="0.35">
      <c r="A451">
        <v>3402</v>
      </c>
      <c r="B451" t="s">
        <v>28</v>
      </c>
      <c r="C451">
        <v>2020</v>
      </c>
      <c r="D451" s="1">
        <v>43831</v>
      </c>
      <c r="E451">
        <v>36</v>
      </c>
      <c r="F451">
        <v>200114656</v>
      </c>
      <c r="G451" t="s">
        <v>29</v>
      </c>
      <c r="H451">
        <v>81</v>
      </c>
      <c r="I451">
        <v>71101060</v>
      </c>
      <c r="J451">
        <v>11500060</v>
      </c>
      <c r="K451" t="s">
        <v>30</v>
      </c>
      <c r="L451" s="4">
        <v>12071.28</v>
      </c>
      <c r="M451" t="s">
        <v>31</v>
      </c>
      <c r="N451" s="4">
        <v>12071.28</v>
      </c>
      <c r="O451" t="s">
        <v>31</v>
      </c>
      <c r="X451" t="s">
        <v>35</v>
      </c>
      <c r="Y451"/>
      <c r="Z451">
        <v>20200131</v>
      </c>
      <c r="AA451">
        <f t="shared" si="7"/>
        <v>12071.28</v>
      </c>
      <c r="AC451"/>
      <c r="AF451"/>
      <c r="AL451">
        <v>340212890</v>
      </c>
      <c r="AM451" t="s">
        <v>46</v>
      </c>
    </row>
    <row r="452" spans="1:39" x14ac:dyDescent="0.35">
      <c r="A452">
        <v>3402</v>
      </c>
      <c r="B452" t="s">
        <v>28</v>
      </c>
      <c r="C452">
        <v>2020</v>
      </c>
      <c r="D452" s="1">
        <v>43831</v>
      </c>
      <c r="E452">
        <v>38</v>
      </c>
      <c r="F452">
        <v>200114656</v>
      </c>
      <c r="G452" t="s">
        <v>29</v>
      </c>
      <c r="H452">
        <v>81</v>
      </c>
      <c r="I452">
        <v>71101060</v>
      </c>
      <c r="J452">
        <v>11500060</v>
      </c>
      <c r="K452" t="s">
        <v>30</v>
      </c>
      <c r="L452" s="4">
        <v>1782.57</v>
      </c>
      <c r="M452" t="s">
        <v>31</v>
      </c>
      <c r="N452" s="4">
        <v>1782.57</v>
      </c>
      <c r="O452" t="s">
        <v>31</v>
      </c>
      <c r="X452" t="s">
        <v>35</v>
      </c>
      <c r="Y452"/>
      <c r="Z452">
        <v>20200131</v>
      </c>
      <c r="AA452">
        <f t="shared" si="7"/>
        <v>1782.57</v>
      </c>
      <c r="AC452"/>
      <c r="AF452"/>
      <c r="AL452">
        <v>340212890</v>
      </c>
      <c r="AM452" t="s">
        <v>46</v>
      </c>
    </row>
    <row r="453" spans="1:39" x14ac:dyDescent="0.35">
      <c r="A453">
        <v>3402</v>
      </c>
      <c r="B453" t="s">
        <v>28</v>
      </c>
      <c r="C453">
        <v>2020</v>
      </c>
      <c r="D453" s="1">
        <v>43831</v>
      </c>
      <c r="E453">
        <v>40</v>
      </c>
      <c r="F453">
        <v>200114656</v>
      </c>
      <c r="G453" t="s">
        <v>29</v>
      </c>
      <c r="H453">
        <v>81</v>
      </c>
      <c r="I453">
        <v>71101060</v>
      </c>
      <c r="J453">
        <v>11500060</v>
      </c>
      <c r="K453" t="s">
        <v>30</v>
      </c>
      <c r="L453" s="4">
        <v>1758.84</v>
      </c>
      <c r="M453" t="s">
        <v>31</v>
      </c>
      <c r="N453" s="4">
        <v>1758.84</v>
      </c>
      <c r="O453" t="s">
        <v>31</v>
      </c>
      <c r="X453" t="s">
        <v>35</v>
      </c>
      <c r="Y453"/>
      <c r="Z453">
        <v>20200131</v>
      </c>
      <c r="AA453">
        <f t="shared" si="7"/>
        <v>1758.84</v>
      </c>
      <c r="AC453"/>
      <c r="AF453"/>
      <c r="AL453">
        <v>340212890</v>
      </c>
      <c r="AM453" t="s">
        <v>46</v>
      </c>
    </row>
    <row r="454" spans="1:39" x14ac:dyDescent="0.35">
      <c r="A454">
        <v>3402</v>
      </c>
      <c r="B454" t="s">
        <v>28</v>
      </c>
      <c r="C454">
        <v>2020</v>
      </c>
      <c r="D454" s="1">
        <v>43831</v>
      </c>
      <c r="E454">
        <v>42</v>
      </c>
      <c r="F454">
        <v>200114656</v>
      </c>
      <c r="G454" t="s">
        <v>29</v>
      </c>
      <c r="H454">
        <v>81</v>
      </c>
      <c r="I454">
        <v>71101060</v>
      </c>
      <c r="J454">
        <v>11500060</v>
      </c>
      <c r="K454" t="s">
        <v>30</v>
      </c>
      <c r="L454" s="4">
        <v>3465.72</v>
      </c>
      <c r="M454" t="s">
        <v>31</v>
      </c>
      <c r="N454" s="4">
        <v>3465.72</v>
      </c>
      <c r="O454" t="s">
        <v>31</v>
      </c>
      <c r="X454" t="s">
        <v>35</v>
      </c>
      <c r="Y454"/>
      <c r="Z454">
        <v>20200131</v>
      </c>
      <c r="AA454">
        <f t="shared" si="7"/>
        <v>3465.72</v>
      </c>
      <c r="AC454"/>
      <c r="AF454"/>
      <c r="AL454">
        <v>340212890</v>
      </c>
      <c r="AM454" t="s">
        <v>46</v>
      </c>
    </row>
    <row r="455" spans="1:39" x14ac:dyDescent="0.35">
      <c r="A455">
        <v>3402</v>
      </c>
      <c r="B455" t="s">
        <v>28</v>
      </c>
      <c r="C455">
        <v>2020</v>
      </c>
      <c r="D455" s="1">
        <v>43831</v>
      </c>
      <c r="E455">
        <v>44</v>
      </c>
      <c r="F455">
        <v>200114656</v>
      </c>
      <c r="G455" t="s">
        <v>29</v>
      </c>
      <c r="H455">
        <v>81</v>
      </c>
      <c r="I455">
        <v>71101060</v>
      </c>
      <c r="J455">
        <v>11500060</v>
      </c>
      <c r="K455" t="s">
        <v>30</v>
      </c>
      <c r="L455" s="4">
        <v>4749.4399999999996</v>
      </c>
      <c r="M455" t="s">
        <v>31</v>
      </c>
      <c r="N455" s="4">
        <v>4749.4399999999996</v>
      </c>
      <c r="O455" t="s">
        <v>31</v>
      </c>
      <c r="X455" t="s">
        <v>35</v>
      </c>
      <c r="Y455"/>
      <c r="Z455">
        <v>20200131</v>
      </c>
      <c r="AA455">
        <f t="shared" si="7"/>
        <v>4749.4399999999996</v>
      </c>
      <c r="AC455"/>
      <c r="AF455"/>
      <c r="AL455">
        <v>340212890</v>
      </c>
      <c r="AM455" t="s">
        <v>46</v>
      </c>
    </row>
    <row r="456" spans="1:39" x14ac:dyDescent="0.35">
      <c r="A456">
        <v>3402</v>
      </c>
      <c r="B456" t="s">
        <v>28</v>
      </c>
      <c r="C456">
        <v>2020</v>
      </c>
      <c r="D456" s="1">
        <v>43831</v>
      </c>
      <c r="E456">
        <v>46</v>
      </c>
      <c r="F456">
        <v>200114656</v>
      </c>
      <c r="G456" t="s">
        <v>29</v>
      </c>
      <c r="H456">
        <v>81</v>
      </c>
      <c r="I456">
        <v>71101060</v>
      </c>
      <c r="J456">
        <v>11500060</v>
      </c>
      <c r="K456" t="s">
        <v>30</v>
      </c>
      <c r="L456" s="4">
        <v>8520</v>
      </c>
      <c r="M456" t="s">
        <v>31</v>
      </c>
      <c r="N456" s="4">
        <v>8520</v>
      </c>
      <c r="O456" t="s">
        <v>31</v>
      </c>
      <c r="X456" t="s">
        <v>35</v>
      </c>
      <c r="Y456"/>
      <c r="Z456">
        <v>20200131</v>
      </c>
      <c r="AA456">
        <f t="shared" si="7"/>
        <v>8520</v>
      </c>
      <c r="AC456"/>
      <c r="AF456"/>
      <c r="AL456">
        <v>340212890</v>
      </c>
      <c r="AM456" t="s">
        <v>46</v>
      </c>
    </row>
    <row r="457" spans="1:39" x14ac:dyDescent="0.35">
      <c r="A457">
        <v>3402</v>
      </c>
      <c r="B457" t="s">
        <v>28</v>
      </c>
      <c r="C457">
        <v>2020</v>
      </c>
      <c r="D457" s="1">
        <v>43831</v>
      </c>
      <c r="E457">
        <v>60</v>
      </c>
      <c r="F457">
        <v>200114656</v>
      </c>
      <c r="G457" t="s">
        <v>29</v>
      </c>
      <c r="H457">
        <v>81</v>
      </c>
      <c r="I457">
        <v>71101060</v>
      </c>
      <c r="J457">
        <v>11500060</v>
      </c>
      <c r="K457" t="s">
        <v>30</v>
      </c>
      <c r="L457" s="4">
        <v>2448</v>
      </c>
      <c r="M457" t="s">
        <v>31</v>
      </c>
      <c r="N457" s="4">
        <v>2448</v>
      </c>
      <c r="O457" t="s">
        <v>31</v>
      </c>
      <c r="X457" t="s">
        <v>35</v>
      </c>
      <c r="Y457"/>
      <c r="Z457">
        <v>20200131</v>
      </c>
      <c r="AA457">
        <f t="shared" si="7"/>
        <v>2448</v>
      </c>
      <c r="AC457"/>
      <c r="AF457"/>
      <c r="AL457">
        <v>340212890</v>
      </c>
      <c r="AM457" t="s">
        <v>46</v>
      </c>
    </row>
    <row r="458" spans="1:39" x14ac:dyDescent="0.35">
      <c r="A458">
        <v>3402</v>
      </c>
      <c r="B458" t="s">
        <v>28</v>
      </c>
      <c r="C458">
        <v>2020</v>
      </c>
      <c r="D458" s="1">
        <v>43831</v>
      </c>
      <c r="E458">
        <v>62</v>
      </c>
      <c r="F458">
        <v>200114656</v>
      </c>
      <c r="G458" t="s">
        <v>29</v>
      </c>
      <c r="H458">
        <v>81</v>
      </c>
      <c r="I458">
        <v>71101060</v>
      </c>
      <c r="J458">
        <v>11500060</v>
      </c>
      <c r="K458" t="s">
        <v>30</v>
      </c>
      <c r="L458" s="4">
        <v>2030</v>
      </c>
      <c r="M458" t="s">
        <v>31</v>
      </c>
      <c r="N458" s="4">
        <v>2030</v>
      </c>
      <c r="O458" t="s">
        <v>31</v>
      </c>
      <c r="X458" t="s">
        <v>35</v>
      </c>
      <c r="Y458"/>
      <c r="Z458">
        <v>20200131</v>
      </c>
      <c r="AA458">
        <f t="shared" si="7"/>
        <v>2030</v>
      </c>
      <c r="AC458"/>
      <c r="AF458"/>
      <c r="AL458">
        <v>340212890</v>
      </c>
      <c r="AM458" t="s">
        <v>46</v>
      </c>
    </row>
    <row r="459" spans="1:39" x14ac:dyDescent="0.35">
      <c r="A459">
        <v>3402</v>
      </c>
      <c r="B459" t="s">
        <v>28</v>
      </c>
      <c r="C459">
        <v>2020</v>
      </c>
      <c r="D459" s="1">
        <v>43831</v>
      </c>
      <c r="E459">
        <v>64</v>
      </c>
      <c r="F459">
        <v>200114656</v>
      </c>
      <c r="G459" t="s">
        <v>29</v>
      </c>
      <c r="H459">
        <v>81</v>
      </c>
      <c r="I459">
        <v>71101060</v>
      </c>
      <c r="J459">
        <v>11500060</v>
      </c>
      <c r="K459" t="s">
        <v>30</v>
      </c>
      <c r="L459" s="4">
        <v>142.74</v>
      </c>
      <c r="M459" t="s">
        <v>31</v>
      </c>
      <c r="N459" s="4">
        <v>142.74</v>
      </c>
      <c r="O459" t="s">
        <v>31</v>
      </c>
      <c r="X459" t="s">
        <v>35</v>
      </c>
      <c r="Y459"/>
      <c r="Z459">
        <v>20200131</v>
      </c>
      <c r="AA459">
        <f t="shared" si="7"/>
        <v>142.74</v>
      </c>
      <c r="AC459"/>
      <c r="AF459"/>
      <c r="AL459">
        <v>340212890</v>
      </c>
      <c r="AM459" t="s">
        <v>46</v>
      </c>
    </row>
    <row r="460" spans="1:39" x14ac:dyDescent="0.35">
      <c r="A460">
        <v>3402</v>
      </c>
      <c r="B460" t="s">
        <v>28</v>
      </c>
      <c r="C460">
        <v>2020</v>
      </c>
      <c r="D460" s="1">
        <v>43831</v>
      </c>
      <c r="E460">
        <v>66</v>
      </c>
      <c r="F460">
        <v>200114656</v>
      </c>
      <c r="G460" t="s">
        <v>29</v>
      </c>
      <c r="H460">
        <v>81</v>
      </c>
      <c r="I460">
        <v>71101060</v>
      </c>
      <c r="J460">
        <v>11500060</v>
      </c>
      <c r="K460" t="s">
        <v>30</v>
      </c>
      <c r="L460" s="4">
        <v>142.32</v>
      </c>
      <c r="M460" t="s">
        <v>31</v>
      </c>
      <c r="N460" s="4">
        <v>142.32</v>
      </c>
      <c r="O460" t="s">
        <v>31</v>
      </c>
      <c r="X460" t="s">
        <v>35</v>
      </c>
      <c r="Y460"/>
      <c r="Z460">
        <v>20200131</v>
      </c>
      <c r="AA460">
        <f t="shared" si="7"/>
        <v>142.32</v>
      </c>
      <c r="AC460"/>
      <c r="AF460"/>
      <c r="AL460">
        <v>340212890</v>
      </c>
      <c r="AM460" t="s">
        <v>46</v>
      </c>
    </row>
    <row r="461" spans="1:39" x14ac:dyDescent="0.35">
      <c r="A461">
        <v>3402</v>
      </c>
      <c r="B461" t="s">
        <v>28</v>
      </c>
      <c r="C461">
        <v>2020</v>
      </c>
      <c r="D461" s="1">
        <v>43831</v>
      </c>
      <c r="E461">
        <v>68</v>
      </c>
      <c r="F461">
        <v>200114656</v>
      </c>
      <c r="G461" t="s">
        <v>29</v>
      </c>
      <c r="H461">
        <v>81</v>
      </c>
      <c r="I461">
        <v>71101060</v>
      </c>
      <c r="J461">
        <v>11500060</v>
      </c>
      <c r="K461" t="s">
        <v>30</v>
      </c>
      <c r="L461" s="4">
        <v>994</v>
      </c>
      <c r="M461" t="s">
        <v>31</v>
      </c>
      <c r="N461" s="4">
        <v>994</v>
      </c>
      <c r="O461" t="s">
        <v>31</v>
      </c>
      <c r="X461" t="s">
        <v>35</v>
      </c>
      <c r="Y461"/>
      <c r="Z461">
        <v>20200131</v>
      </c>
      <c r="AA461">
        <f t="shared" si="7"/>
        <v>994</v>
      </c>
      <c r="AC461"/>
      <c r="AF461"/>
      <c r="AL461">
        <v>340212890</v>
      </c>
      <c r="AM461" t="s">
        <v>46</v>
      </c>
    </row>
    <row r="462" spans="1:39" x14ac:dyDescent="0.35">
      <c r="A462">
        <v>3402</v>
      </c>
      <c r="B462" t="s">
        <v>28</v>
      </c>
      <c r="C462">
        <v>2020</v>
      </c>
      <c r="D462" s="1">
        <v>43831</v>
      </c>
      <c r="E462">
        <v>70</v>
      </c>
      <c r="F462">
        <v>200114656</v>
      </c>
      <c r="G462" t="s">
        <v>29</v>
      </c>
      <c r="H462">
        <v>81</v>
      </c>
      <c r="I462">
        <v>71101060</v>
      </c>
      <c r="J462">
        <v>11500060</v>
      </c>
      <c r="K462" t="s">
        <v>30</v>
      </c>
      <c r="L462" s="4">
        <v>852</v>
      </c>
      <c r="M462" t="s">
        <v>31</v>
      </c>
      <c r="N462" s="4">
        <v>852</v>
      </c>
      <c r="O462" t="s">
        <v>31</v>
      </c>
      <c r="X462" t="s">
        <v>35</v>
      </c>
      <c r="Y462"/>
      <c r="Z462">
        <v>20200131</v>
      </c>
      <c r="AA462">
        <f t="shared" si="7"/>
        <v>852</v>
      </c>
      <c r="AC462"/>
      <c r="AF462"/>
      <c r="AL462">
        <v>340212890</v>
      </c>
      <c r="AM462" t="s">
        <v>46</v>
      </c>
    </row>
    <row r="463" spans="1:39" x14ac:dyDescent="0.35">
      <c r="A463">
        <v>3402</v>
      </c>
      <c r="B463" t="s">
        <v>28</v>
      </c>
      <c r="C463">
        <v>2020</v>
      </c>
      <c r="D463" s="1">
        <v>43831</v>
      </c>
      <c r="E463">
        <v>72</v>
      </c>
      <c r="F463">
        <v>200114656</v>
      </c>
      <c r="G463" t="s">
        <v>29</v>
      </c>
      <c r="H463">
        <v>81</v>
      </c>
      <c r="I463">
        <v>71101060</v>
      </c>
      <c r="J463">
        <v>11500060</v>
      </c>
      <c r="K463" t="s">
        <v>30</v>
      </c>
      <c r="L463" s="4">
        <v>710</v>
      </c>
      <c r="M463" t="s">
        <v>31</v>
      </c>
      <c r="N463" s="4">
        <v>710</v>
      </c>
      <c r="O463" t="s">
        <v>31</v>
      </c>
      <c r="X463" t="s">
        <v>35</v>
      </c>
      <c r="Y463"/>
      <c r="Z463">
        <v>20200131</v>
      </c>
      <c r="AA463">
        <f t="shared" si="7"/>
        <v>710</v>
      </c>
      <c r="AC463"/>
      <c r="AF463"/>
      <c r="AL463">
        <v>340212890</v>
      </c>
      <c r="AM463" t="s">
        <v>46</v>
      </c>
    </row>
    <row r="464" spans="1:39" x14ac:dyDescent="0.35">
      <c r="A464">
        <v>3402</v>
      </c>
      <c r="B464" t="s">
        <v>28</v>
      </c>
      <c r="C464">
        <v>2020</v>
      </c>
      <c r="D464" s="1">
        <v>43831</v>
      </c>
      <c r="E464">
        <v>74</v>
      </c>
      <c r="F464">
        <v>200114656</v>
      </c>
      <c r="G464" t="s">
        <v>29</v>
      </c>
      <c r="H464">
        <v>81</v>
      </c>
      <c r="I464">
        <v>71101060</v>
      </c>
      <c r="J464">
        <v>11500060</v>
      </c>
      <c r="K464" t="s">
        <v>30</v>
      </c>
      <c r="L464" s="4">
        <v>1136</v>
      </c>
      <c r="M464" t="s">
        <v>31</v>
      </c>
      <c r="N464" s="4">
        <v>1136</v>
      </c>
      <c r="O464" t="s">
        <v>31</v>
      </c>
      <c r="X464" t="s">
        <v>35</v>
      </c>
      <c r="Y464"/>
      <c r="Z464">
        <v>20200131</v>
      </c>
      <c r="AA464">
        <f t="shared" si="7"/>
        <v>1136</v>
      </c>
      <c r="AC464"/>
      <c r="AF464"/>
      <c r="AL464">
        <v>340212890</v>
      </c>
      <c r="AM464" t="s">
        <v>46</v>
      </c>
    </row>
    <row r="465" spans="1:39" x14ac:dyDescent="0.35">
      <c r="A465">
        <v>3402</v>
      </c>
      <c r="B465" t="s">
        <v>28</v>
      </c>
      <c r="C465">
        <v>2020</v>
      </c>
      <c r="D465" s="1">
        <v>43831</v>
      </c>
      <c r="E465">
        <v>76</v>
      </c>
      <c r="F465">
        <v>200114656</v>
      </c>
      <c r="G465" t="s">
        <v>29</v>
      </c>
      <c r="H465">
        <v>81</v>
      </c>
      <c r="I465">
        <v>71101060</v>
      </c>
      <c r="J465">
        <v>11500060</v>
      </c>
      <c r="K465" t="s">
        <v>30</v>
      </c>
      <c r="L465" s="4">
        <v>284</v>
      </c>
      <c r="M465" t="s">
        <v>31</v>
      </c>
      <c r="N465" s="4">
        <v>284</v>
      </c>
      <c r="O465" t="s">
        <v>31</v>
      </c>
      <c r="X465" t="s">
        <v>35</v>
      </c>
      <c r="Y465"/>
      <c r="Z465">
        <v>20200131</v>
      </c>
      <c r="AA465">
        <f t="shared" si="7"/>
        <v>284</v>
      </c>
      <c r="AC465"/>
      <c r="AF465"/>
      <c r="AL465">
        <v>340212890</v>
      </c>
      <c r="AM465" t="s">
        <v>46</v>
      </c>
    </row>
    <row r="466" spans="1:39" x14ac:dyDescent="0.35">
      <c r="A466">
        <v>3402</v>
      </c>
      <c r="B466" t="s">
        <v>28</v>
      </c>
      <c r="C466">
        <v>2020</v>
      </c>
      <c r="D466" s="1">
        <v>43831</v>
      </c>
      <c r="E466">
        <v>78</v>
      </c>
      <c r="F466">
        <v>200114656</v>
      </c>
      <c r="G466" t="s">
        <v>29</v>
      </c>
      <c r="H466">
        <v>81</v>
      </c>
      <c r="I466">
        <v>71101060</v>
      </c>
      <c r="J466">
        <v>11500060</v>
      </c>
      <c r="K466" t="s">
        <v>30</v>
      </c>
      <c r="L466" s="4">
        <v>3968.98</v>
      </c>
      <c r="M466" t="s">
        <v>31</v>
      </c>
      <c r="N466" s="4">
        <v>3968.98</v>
      </c>
      <c r="O466" t="s">
        <v>31</v>
      </c>
      <c r="X466" t="s">
        <v>35</v>
      </c>
      <c r="Y466"/>
      <c r="Z466">
        <v>20200131</v>
      </c>
      <c r="AA466">
        <f t="shared" ref="AA466:AA529" si="8">L466</f>
        <v>3968.98</v>
      </c>
      <c r="AC466"/>
      <c r="AF466"/>
      <c r="AL466">
        <v>340212890</v>
      </c>
      <c r="AM466" t="s">
        <v>46</v>
      </c>
    </row>
    <row r="467" spans="1:39" x14ac:dyDescent="0.35">
      <c r="A467">
        <v>3402</v>
      </c>
      <c r="B467" t="s">
        <v>28</v>
      </c>
      <c r="C467">
        <v>2020</v>
      </c>
      <c r="D467" s="1">
        <v>43831</v>
      </c>
      <c r="E467">
        <v>80</v>
      </c>
      <c r="F467">
        <v>200114656</v>
      </c>
      <c r="G467" t="s">
        <v>29</v>
      </c>
      <c r="H467">
        <v>81</v>
      </c>
      <c r="I467">
        <v>71101060</v>
      </c>
      <c r="J467">
        <v>11500060</v>
      </c>
      <c r="K467" t="s">
        <v>30</v>
      </c>
      <c r="L467" s="4">
        <v>960</v>
      </c>
      <c r="M467" t="s">
        <v>31</v>
      </c>
      <c r="N467" s="4">
        <v>960</v>
      </c>
      <c r="O467" t="s">
        <v>31</v>
      </c>
      <c r="X467" t="s">
        <v>35</v>
      </c>
      <c r="Y467"/>
      <c r="Z467">
        <v>20200131</v>
      </c>
      <c r="AA467">
        <f t="shared" si="8"/>
        <v>960</v>
      </c>
      <c r="AC467"/>
      <c r="AF467"/>
      <c r="AL467">
        <v>340212890</v>
      </c>
      <c r="AM467" t="s">
        <v>46</v>
      </c>
    </row>
    <row r="468" spans="1:39" x14ac:dyDescent="0.35">
      <c r="A468">
        <v>3402</v>
      </c>
      <c r="B468" t="s">
        <v>28</v>
      </c>
      <c r="C468">
        <v>2020</v>
      </c>
      <c r="D468" s="1">
        <v>43831</v>
      </c>
      <c r="E468">
        <v>82</v>
      </c>
      <c r="F468">
        <v>200114656</v>
      </c>
      <c r="G468" t="s">
        <v>29</v>
      </c>
      <c r="H468">
        <v>81</v>
      </c>
      <c r="I468">
        <v>71101060</v>
      </c>
      <c r="J468">
        <v>11500060</v>
      </c>
      <c r="K468" t="s">
        <v>30</v>
      </c>
      <c r="L468" s="4">
        <v>4300</v>
      </c>
      <c r="M468" t="s">
        <v>31</v>
      </c>
      <c r="N468" s="4">
        <v>4300</v>
      </c>
      <c r="O468" t="s">
        <v>31</v>
      </c>
      <c r="X468" t="s">
        <v>35</v>
      </c>
      <c r="Y468"/>
      <c r="Z468">
        <v>20200131</v>
      </c>
      <c r="AA468">
        <f t="shared" si="8"/>
        <v>4300</v>
      </c>
      <c r="AC468"/>
      <c r="AF468"/>
      <c r="AL468">
        <v>340212890</v>
      </c>
      <c r="AM468" t="s">
        <v>46</v>
      </c>
    </row>
    <row r="469" spans="1:39" x14ac:dyDescent="0.35">
      <c r="A469">
        <v>3402</v>
      </c>
      <c r="B469" t="s">
        <v>28</v>
      </c>
      <c r="C469">
        <v>2020</v>
      </c>
      <c r="D469" s="1">
        <v>43831</v>
      </c>
      <c r="E469">
        <v>84</v>
      </c>
      <c r="F469">
        <v>200114656</v>
      </c>
      <c r="G469" t="s">
        <v>29</v>
      </c>
      <c r="H469">
        <v>81</v>
      </c>
      <c r="I469">
        <v>71101060</v>
      </c>
      <c r="J469">
        <v>11500060</v>
      </c>
      <c r="K469" t="s">
        <v>30</v>
      </c>
      <c r="L469" s="4">
        <v>179.31</v>
      </c>
      <c r="M469" t="s">
        <v>31</v>
      </c>
      <c r="N469" s="4">
        <v>179.31</v>
      </c>
      <c r="O469" t="s">
        <v>31</v>
      </c>
      <c r="X469" t="s">
        <v>35</v>
      </c>
      <c r="Y469"/>
      <c r="Z469">
        <v>20200131</v>
      </c>
      <c r="AA469">
        <f t="shared" si="8"/>
        <v>179.31</v>
      </c>
      <c r="AC469"/>
      <c r="AF469"/>
      <c r="AL469">
        <v>340212890</v>
      </c>
      <c r="AM469" t="s">
        <v>46</v>
      </c>
    </row>
    <row r="470" spans="1:39" x14ac:dyDescent="0.35">
      <c r="A470">
        <v>3402</v>
      </c>
      <c r="B470" t="s">
        <v>28</v>
      </c>
      <c r="C470">
        <v>2020</v>
      </c>
      <c r="D470" s="1">
        <v>43831</v>
      </c>
      <c r="E470">
        <v>86</v>
      </c>
      <c r="F470">
        <v>200114656</v>
      </c>
      <c r="G470" t="s">
        <v>29</v>
      </c>
      <c r="H470">
        <v>81</v>
      </c>
      <c r="I470">
        <v>71101060</v>
      </c>
      <c r="J470">
        <v>11500060</v>
      </c>
      <c r="K470" t="s">
        <v>30</v>
      </c>
      <c r="L470" s="4">
        <v>55.92</v>
      </c>
      <c r="M470" t="s">
        <v>31</v>
      </c>
      <c r="N470" s="4">
        <v>55.92</v>
      </c>
      <c r="O470" t="s">
        <v>31</v>
      </c>
      <c r="X470" t="s">
        <v>35</v>
      </c>
      <c r="Y470"/>
      <c r="Z470">
        <v>20200131</v>
      </c>
      <c r="AA470">
        <f t="shared" si="8"/>
        <v>55.92</v>
      </c>
      <c r="AC470"/>
      <c r="AF470"/>
      <c r="AL470">
        <v>340212890</v>
      </c>
      <c r="AM470" t="s">
        <v>46</v>
      </c>
    </row>
    <row r="471" spans="1:39" x14ac:dyDescent="0.35">
      <c r="A471">
        <v>3402</v>
      </c>
      <c r="B471" t="s">
        <v>28</v>
      </c>
      <c r="C471">
        <v>2020</v>
      </c>
      <c r="D471" s="1">
        <v>43831</v>
      </c>
      <c r="E471">
        <v>90</v>
      </c>
      <c r="F471">
        <v>200114656</v>
      </c>
      <c r="G471" t="s">
        <v>29</v>
      </c>
      <c r="H471">
        <v>81</v>
      </c>
      <c r="I471">
        <v>71101060</v>
      </c>
      <c r="J471">
        <v>11500060</v>
      </c>
      <c r="K471" t="s">
        <v>30</v>
      </c>
      <c r="L471" s="4">
        <v>214</v>
      </c>
      <c r="M471" t="s">
        <v>31</v>
      </c>
      <c r="N471" s="4">
        <v>214</v>
      </c>
      <c r="O471" t="s">
        <v>31</v>
      </c>
      <c r="X471" t="s">
        <v>35</v>
      </c>
      <c r="Y471"/>
      <c r="Z471">
        <v>20200131</v>
      </c>
      <c r="AA471">
        <f t="shared" si="8"/>
        <v>214</v>
      </c>
      <c r="AC471"/>
      <c r="AF471"/>
      <c r="AL471">
        <v>340212890</v>
      </c>
      <c r="AM471" t="s">
        <v>46</v>
      </c>
    </row>
    <row r="472" spans="1:39" x14ac:dyDescent="0.35">
      <c r="A472">
        <v>3402</v>
      </c>
      <c r="B472" t="s">
        <v>28</v>
      </c>
      <c r="C472">
        <v>2020</v>
      </c>
      <c r="D472" s="1">
        <v>43831</v>
      </c>
      <c r="E472">
        <v>2</v>
      </c>
      <c r="F472">
        <v>200114669</v>
      </c>
      <c r="G472" t="s">
        <v>29</v>
      </c>
      <c r="H472">
        <v>81</v>
      </c>
      <c r="I472">
        <v>71101060</v>
      </c>
      <c r="J472">
        <v>11500040</v>
      </c>
      <c r="K472" t="s">
        <v>30</v>
      </c>
      <c r="L472" s="4">
        <v>879.42</v>
      </c>
      <c r="M472" t="s">
        <v>31</v>
      </c>
      <c r="N472" s="4">
        <v>879.42</v>
      </c>
      <c r="O472" t="s">
        <v>31</v>
      </c>
      <c r="X472" t="s">
        <v>35</v>
      </c>
      <c r="Y472"/>
      <c r="Z472">
        <v>20200131</v>
      </c>
      <c r="AA472">
        <f t="shared" si="8"/>
        <v>879.42</v>
      </c>
      <c r="AC472"/>
      <c r="AF472"/>
      <c r="AL472">
        <v>340210590</v>
      </c>
      <c r="AM472" t="s">
        <v>41</v>
      </c>
    </row>
    <row r="473" spans="1:39" x14ac:dyDescent="0.35">
      <c r="A473">
        <v>3402</v>
      </c>
      <c r="B473" t="s">
        <v>28</v>
      </c>
      <c r="C473">
        <v>2020</v>
      </c>
      <c r="D473" s="1">
        <v>43831</v>
      </c>
      <c r="E473">
        <v>4</v>
      </c>
      <c r="F473">
        <v>200114669</v>
      </c>
      <c r="G473" t="s">
        <v>29</v>
      </c>
      <c r="H473">
        <v>81</v>
      </c>
      <c r="I473">
        <v>71101060</v>
      </c>
      <c r="J473">
        <v>11500040</v>
      </c>
      <c r="K473" t="s">
        <v>30</v>
      </c>
      <c r="L473" s="4">
        <v>3505.3</v>
      </c>
      <c r="M473" t="s">
        <v>31</v>
      </c>
      <c r="N473" s="4">
        <v>3505.3</v>
      </c>
      <c r="O473" t="s">
        <v>31</v>
      </c>
      <c r="X473" t="s">
        <v>35</v>
      </c>
      <c r="Y473"/>
      <c r="Z473">
        <v>20200131</v>
      </c>
      <c r="AA473">
        <f t="shared" si="8"/>
        <v>3505.3</v>
      </c>
      <c r="AC473"/>
      <c r="AF473"/>
      <c r="AL473">
        <v>340210590</v>
      </c>
      <c r="AM473" t="s">
        <v>41</v>
      </c>
    </row>
    <row r="474" spans="1:39" x14ac:dyDescent="0.35">
      <c r="A474">
        <v>3402</v>
      </c>
      <c r="B474" t="s">
        <v>28</v>
      </c>
      <c r="C474">
        <v>2020</v>
      </c>
      <c r="D474" s="1">
        <v>43831</v>
      </c>
      <c r="E474">
        <v>6</v>
      </c>
      <c r="F474">
        <v>200114669</v>
      </c>
      <c r="G474" t="s">
        <v>29</v>
      </c>
      <c r="H474">
        <v>81</v>
      </c>
      <c r="I474">
        <v>71101060</v>
      </c>
      <c r="J474">
        <v>11500040</v>
      </c>
      <c r="K474" t="s">
        <v>30</v>
      </c>
      <c r="L474" s="4">
        <v>2822.62</v>
      </c>
      <c r="M474" t="s">
        <v>31</v>
      </c>
      <c r="N474" s="4">
        <v>2822.62</v>
      </c>
      <c r="O474" t="s">
        <v>31</v>
      </c>
      <c r="X474" t="s">
        <v>35</v>
      </c>
      <c r="Y474"/>
      <c r="Z474">
        <v>20200131</v>
      </c>
      <c r="AA474">
        <f t="shared" si="8"/>
        <v>2822.62</v>
      </c>
      <c r="AC474"/>
      <c r="AF474"/>
      <c r="AL474">
        <v>340210590</v>
      </c>
      <c r="AM474" t="s">
        <v>41</v>
      </c>
    </row>
    <row r="475" spans="1:39" x14ac:dyDescent="0.35">
      <c r="A475">
        <v>3402</v>
      </c>
      <c r="B475" t="s">
        <v>28</v>
      </c>
      <c r="C475">
        <v>2020</v>
      </c>
      <c r="D475" s="1">
        <v>43831</v>
      </c>
      <c r="E475">
        <v>8</v>
      </c>
      <c r="F475">
        <v>200114669</v>
      </c>
      <c r="G475" t="s">
        <v>29</v>
      </c>
      <c r="H475">
        <v>81</v>
      </c>
      <c r="I475">
        <v>71101060</v>
      </c>
      <c r="J475">
        <v>11500040</v>
      </c>
      <c r="K475" t="s">
        <v>30</v>
      </c>
      <c r="L475" s="4">
        <v>2219.12</v>
      </c>
      <c r="M475" t="s">
        <v>31</v>
      </c>
      <c r="N475" s="4">
        <v>2219.12</v>
      </c>
      <c r="O475" t="s">
        <v>31</v>
      </c>
      <c r="X475" t="s">
        <v>35</v>
      </c>
      <c r="Y475"/>
      <c r="Z475">
        <v>20200131</v>
      </c>
      <c r="AA475">
        <f t="shared" si="8"/>
        <v>2219.12</v>
      </c>
      <c r="AC475"/>
      <c r="AF475"/>
      <c r="AL475">
        <v>340210590</v>
      </c>
      <c r="AM475" t="s">
        <v>41</v>
      </c>
    </row>
    <row r="476" spans="1:39" x14ac:dyDescent="0.35">
      <c r="A476">
        <v>3402</v>
      </c>
      <c r="B476" t="s">
        <v>28</v>
      </c>
      <c r="C476">
        <v>2020</v>
      </c>
      <c r="D476" s="1">
        <v>43831</v>
      </c>
      <c r="E476">
        <v>10</v>
      </c>
      <c r="F476">
        <v>200114669</v>
      </c>
      <c r="G476" t="s">
        <v>29</v>
      </c>
      <c r="H476">
        <v>81</v>
      </c>
      <c r="I476">
        <v>71101060</v>
      </c>
      <c r="J476">
        <v>11500040</v>
      </c>
      <c r="K476" t="s">
        <v>30</v>
      </c>
      <c r="L476" s="4">
        <v>2054.5</v>
      </c>
      <c r="M476" t="s">
        <v>31</v>
      </c>
      <c r="N476" s="4">
        <v>2054.5</v>
      </c>
      <c r="O476" t="s">
        <v>31</v>
      </c>
      <c r="X476" t="s">
        <v>35</v>
      </c>
      <c r="Y476"/>
      <c r="Z476">
        <v>20200131</v>
      </c>
      <c r="AA476">
        <f t="shared" si="8"/>
        <v>2054.5</v>
      </c>
      <c r="AC476"/>
      <c r="AF476"/>
      <c r="AL476">
        <v>340210590</v>
      </c>
      <c r="AM476" t="s">
        <v>41</v>
      </c>
    </row>
    <row r="477" spans="1:39" x14ac:dyDescent="0.35">
      <c r="A477">
        <v>3402</v>
      </c>
      <c r="B477" t="s">
        <v>28</v>
      </c>
      <c r="C477">
        <v>2020</v>
      </c>
      <c r="D477" s="1">
        <v>43831</v>
      </c>
      <c r="E477">
        <v>12</v>
      </c>
      <c r="F477">
        <v>200114669</v>
      </c>
      <c r="G477" t="s">
        <v>29</v>
      </c>
      <c r="H477">
        <v>81</v>
      </c>
      <c r="I477">
        <v>71101060</v>
      </c>
      <c r="J477">
        <v>11500040</v>
      </c>
      <c r="K477" t="s">
        <v>30</v>
      </c>
      <c r="L477" s="4">
        <v>3704.92</v>
      </c>
      <c r="M477" t="s">
        <v>31</v>
      </c>
      <c r="N477" s="4">
        <v>3704.92</v>
      </c>
      <c r="O477" t="s">
        <v>31</v>
      </c>
      <c r="X477" t="s">
        <v>35</v>
      </c>
      <c r="Y477"/>
      <c r="Z477">
        <v>20200131</v>
      </c>
      <c r="AA477">
        <f t="shared" si="8"/>
        <v>3704.92</v>
      </c>
      <c r="AC477"/>
      <c r="AF477"/>
      <c r="AL477">
        <v>340210590</v>
      </c>
      <c r="AM477" t="s">
        <v>41</v>
      </c>
    </row>
    <row r="478" spans="1:39" x14ac:dyDescent="0.35">
      <c r="A478">
        <v>3402</v>
      </c>
      <c r="B478" t="s">
        <v>28</v>
      </c>
      <c r="C478">
        <v>2020</v>
      </c>
      <c r="D478" s="1">
        <v>43831</v>
      </c>
      <c r="E478">
        <v>14</v>
      </c>
      <c r="F478">
        <v>200114669</v>
      </c>
      <c r="G478" t="s">
        <v>29</v>
      </c>
      <c r="H478">
        <v>81</v>
      </c>
      <c r="I478">
        <v>71101060</v>
      </c>
      <c r="J478">
        <v>11500040</v>
      </c>
      <c r="K478" t="s">
        <v>30</v>
      </c>
      <c r="L478" s="4">
        <v>1324.62</v>
      </c>
      <c r="M478" t="s">
        <v>31</v>
      </c>
      <c r="N478" s="4">
        <v>1324.62</v>
      </c>
      <c r="O478" t="s">
        <v>31</v>
      </c>
      <c r="X478" t="s">
        <v>35</v>
      </c>
      <c r="Y478"/>
      <c r="Z478">
        <v>20200131</v>
      </c>
      <c r="AA478">
        <f t="shared" si="8"/>
        <v>1324.62</v>
      </c>
      <c r="AC478"/>
      <c r="AF478"/>
      <c r="AL478">
        <v>340210590</v>
      </c>
      <c r="AM478" t="s">
        <v>41</v>
      </c>
    </row>
    <row r="479" spans="1:39" x14ac:dyDescent="0.35">
      <c r="A479">
        <v>3402</v>
      </c>
      <c r="B479" t="s">
        <v>28</v>
      </c>
      <c r="C479">
        <v>2020</v>
      </c>
      <c r="D479" s="1">
        <v>43831</v>
      </c>
      <c r="E479">
        <v>16</v>
      </c>
      <c r="F479">
        <v>200114669</v>
      </c>
      <c r="G479" t="s">
        <v>29</v>
      </c>
      <c r="H479">
        <v>81</v>
      </c>
      <c r="I479">
        <v>71101060</v>
      </c>
      <c r="J479">
        <v>11500040</v>
      </c>
      <c r="K479" t="s">
        <v>30</v>
      </c>
      <c r="L479" s="4">
        <v>176</v>
      </c>
      <c r="M479" t="s">
        <v>31</v>
      </c>
      <c r="N479" s="4">
        <v>176</v>
      </c>
      <c r="O479" t="s">
        <v>31</v>
      </c>
      <c r="X479" t="s">
        <v>35</v>
      </c>
      <c r="Y479"/>
      <c r="Z479">
        <v>20200131</v>
      </c>
      <c r="AA479">
        <f t="shared" si="8"/>
        <v>176</v>
      </c>
      <c r="AC479"/>
      <c r="AF479"/>
      <c r="AL479">
        <v>340210590</v>
      </c>
      <c r="AM479" t="s">
        <v>41</v>
      </c>
    </row>
    <row r="480" spans="1:39" x14ac:dyDescent="0.35">
      <c r="A480">
        <v>3402</v>
      </c>
      <c r="B480" t="s">
        <v>28</v>
      </c>
      <c r="C480">
        <v>2020</v>
      </c>
      <c r="D480" s="1">
        <v>43831</v>
      </c>
      <c r="E480">
        <v>18</v>
      </c>
      <c r="F480">
        <v>200114669</v>
      </c>
      <c r="G480" t="s">
        <v>29</v>
      </c>
      <c r="H480">
        <v>81</v>
      </c>
      <c r="I480">
        <v>71101060</v>
      </c>
      <c r="J480">
        <v>11500040</v>
      </c>
      <c r="K480" t="s">
        <v>30</v>
      </c>
      <c r="L480" s="4">
        <v>2416.9699999999998</v>
      </c>
      <c r="M480" t="s">
        <v>31</v>
      </c>
      <c r="N480" s="4">
        <v>2416.9699999999998</v>
      </c>
      <c r="O480" t="s">
        <v>31</v>
      </c>
      <c r="X480" t="s">
        <v>35</v>
      </c>
      <c r="Y480"/>
      <c r="Z480">
        <v>20200131</v>
      </c>
      <c r="AA480">
        <f t="shared" si="8"/>
        <v>2416.9699999999998</v>
      </c>
      <c r="AC480"/>
      <c r="AF480"/>
      <c r="AL480">
        <v>340210590</v>
      </c>
      <c r="AM480" t="s">
        <v>41</v>
      </c>
    </row>
    <row r="481" spans="1:39" x14ac:dyDescent="0.35">
      <c r="A481">
        <v>3402</v>
      </c>
      <c r="B481" t="s">
        <v>28</v>
      </c>
      <c r="C481">
        <v>2020</v>
      </c>
      <c r="D481" s="1">
        <v>43831</v>
      </c>
      <c r="E481">
        <v>20</v>
      </c>
      <c r="F481">
        <v>200114669</v>
      </c>
      <c r="G481" t="s">
        <v>29</v>
      </c>
      <c r="H481">
        <v>81</v>
      </c>
      <c r="I481">
        <v>71101060</v>
      </c>
      <c r="J481">
        <v>11500040</v>
      </c>
      <c r="K481" t="s">
        <v>30</v>
      </c>
      <c r="L481" s="4">
        <v>1703.1</v>
      </c>
      <c r="M481" t="s">
        <v>31</v>
      </c>
      <c r="N481" s="4">
        <v>1703.1</v>
      </c>
      <c r="O481" t="s">
        <v>31</v>
      </c>
      <c r="X481" t="s">
        <v>35</v>
      </c>
      <c r="Y481"/>
      <c r="Z481">
        <v>20200131</v>
      </c>
      <c r="AA481">
        <f t="shared" si="8"/>
        <v>1703.1</v>
      </c>
      <c r="AC481"/>
      <c r="AF481"/>
      <c r="AL481">
        <v>340210590</v>
      </c>
      <c r="AM481" t="s">
        <v>41</v>
      </c>
    </row>
    <row r="482" spans="1:39" x14ac:dyDescent="0.35">
      <c r="A482">
        <v>3402</v>
      </c>
      <c r="B482" t="s">
        <v>28</v>
      </c>
      <c r="C482">
        <v>2020</v>
      </c>
      <c r="D482" s="1">
        <v>43831</v>
      </c>
      <c r="E482">
        <v>22</v>
      </c>
      <c r="F482">
        <v>200114669</v>
      </c>
      <c r="G482" t="s">
        <v>29</v>
      </c>
      <c r="H482">
        <v>81</v>
      </c>
      <c r="I482">
        <v>71101060</v>
      </c>
      <c r="J482">
        <v>11500040</v>
      </c>
      <c r="K482" t="s">
        <v>30</v>
      </c>
      <c r="L482" s="4">
        <v>2100</v>
      </c>
      <c r="M482" t="s">
        <v>31</v>
      </c>
      <c r="N482" s="4">
        <v>2100</v>
      </c>
      <c r="O482" t="s">
        <v>31</v>
      </c>
      <c r="X482" t="s">
        <v>35</v>
      </c>
      <c r="Y482"/>
      <c r="Z482">
        <v>20200131</v>
      </c>
      <c r="AA482">
        <f t="shared" si="8"/>
        <v>2100</v>
      </c>
      <c r="AC482"/>
      <c r="AF482"/>
      <c r="AL482">
        <v>340210590</v>
      </c>
      <c r="AM482" t="s">
        <v>41</v>
      </c>
    </row>
    <row r="483" spans="1:39" x14ac:dyDescent="0.35">
      <c r="A483">
        <v>3402</v>
      </c>
      <c r="B483" t="s">
        <v>28</v>
      </c>
      <c r="C483">
        <v>2020</v>
      </c>
      <c r="D483" s="1">
        <v>43831</v>
      </c>
      <c r="E483">
        <v>24</v>
      </c>
      <c r="F483">
        <v>200114669</v>
      </c>
      <c r="G483" t="s">
        <v>29</v>
      </c>
      <c r="H483">
        <v>81</v>
      </c>
      <c r="I483">
        <v>71101060</v>
      </c>
      <c r="J483">
        <v>11500040</v>
      </c>
      <c r="K483" t="s">
        <v>30</v>
      </c>
      <c r="L483" s="4">
        <v>6560.04</v>
      </c>
      <c r="M483" t="s">
        <v>31</v>
      </c>
      <c r="N483" s="4">
        <v>6560.04</v>
      </c>
      <c r="O483" t="s">
        <v>31</v>
      </c>
      <c r="X483" t="s">
        <v>35</v>
      </c>
      <c r="Y483"/>
      <c r="Z483">
        <v>20200131</v>
      </c>
      <c r="AA483">
        <f t="shared" si="8"/>
        <v>6560.04</v>
      </c>
      <c r="AC483"/>
      <c r="AF483"/>
      <c r="AL483">
        <v>340210590</v>
      </c>
      <c r="AM483" t="s">
        <v>41</v>
      </c>
    </row>
    <row r="484" spans="1:39" x14ac:dyDescent="0.35">
      <c r="A484">
        <v>3402</v>
      </c>
      <c r="B484" t="s">
        <v>28</v>
      </c>
      <c r="C484">
        <v>2020</v>
      </c>
      <c r="D484" s="1">
        <v>43831</v>
      </c>
      <c r="E484">
        <v>26</v>
      </c>
      <c r="F484">
        <v>200114669</v>
      </c>
      <c r="G484" t="s">
        <v>29</v>
      </c>
      <c r="H484">
        <v>81</v>
      </c>
      <c r="I484">
        <v>71101060</v>
      </c>
      <c r="J484">
        <v>11500040</v>
      </c>
      <c r="K484" t="s">
        <v>30</v>
      </c>
      <c r="L484" s="4">
        <v>5578.95</v>
      </c>
      <c r="M484" t="s">
        <v>31</v>
      </c>
      <c r="N484" s="4">
        <v>5578.95</v>
      </c>
      <c r="O484" t="s">
        <v>31</v>
      </c>
      <c r="X484" t="s">
        <v>35</v>
      </c>
      <c r="Y484"/>
      <c r="Z484">
        <v>20200131</v>
      </c>
      <c r="AA484">
        <f t="shared" si="8"/>
        <v>5578.95</v>
      </c>
      <c r="AC484"/>
      <c r="AF484"/>
      <c r="AL484">
        <v>340210590</v>
      </c>
      <c r="AM484" t="s">
        <v>41</v>
      </c>
    </row>
    <row r="485" spans="1:39" x14ac:dyDescent="0.35">
      <c r="A485">
        <v>3402</v>
      </c>
      <c r="B485" t="s">
        <v>28</v>
      </c>
      <c r="C485">
        <v>2020</v>
      </c>
      <c r="D485" s="1">
        <v>43831</v>
      </c>
      <c r="E485">
        <v>44</v>
      </c>
      <c r="F485">
        <v>200114669</v>
      </c>
      <c r="G485" t="s">
        <v>29</v>
      </c>
      <c r="H485">
        <v>81</v>
      </c>
      <c r="I485">
        <v>71101060</v>
      </c>
      <c r="J485">
        <v>11500040</v>
      </c>
      <c r="K485" t="s">
        <v>30</v>
      </c>
      <c r="L485" s="4">
        <v>10141.950000000001</v>
      </c>
      <c r="M485" t="s">
        <v>31</v>
      </c>
      <c r="N485" s="4">
        <v>10141.950000000001</v>
      </c>
      <c r="O485" t="s">
        <v>31</v>
      </c>
      <c r="X485" t="s">
        <v>35</v>
      </c>
      <c r="Y485"/>
      <c r="Z485">
        <v>20200131</v>
      </c>
      <c r="AA485">
        <f t="shared" si="8"/>
        <v>10141.950000000001</v>
      </c>
      <c r="AC485"/>
      <c r="AF485"/>
      <c r="AL485">
        <v>340210590</v>
      </c>
      <c r="AM485" t="s">
        <v>41</v>
      </c>
    </row>
    <row r="486" spans="1:39" x14ac:dyDescent="0.35">
      <c r="A486">
        <v>3402</v>
      </c>
      <c r="B486" t="s">
        <v>28</v>
      </c>
      <c r="C486">
        <v>2020</v>
      </c>
      <c r="D486" s="1">
        <v>43831</v>
      </c>
      <c r="E486">
        <v>46</v>
      </c>
      <c r="F486">
        <v>200114669</v>
      </c>
      <c r="G486" t="s">
        <v>29</v>
      </c>
      <c r="H486">
        <v>81</v>
      </c>
      <c r="I486">
        <v>71101060</v>
      </c>
      <c r="J486">
        <v>11500040</v>
      </c>
      <c r="K486" t="s">
        <v>30</v>
      </c>
      <c r="L486" s="4">
        <v>306</v>
      </c>
      <c r="M486" t="s">
        <v>31</v>
      </c>
      <c r="N486" s="4">
        <v>306</v>
      </c>
      <c r="O486" t="s">
        <v>31</v>
      </c>
      <c r="X486" t="s">
        <v>35</v>
      </c>
      <c r="Y486"/>
      <c r="Z486">
        <v>20200131</v>
      </c>
      <c r="AA486">
        <f t="shared" si="8"/>
        <v>306</v>
      </c>
      <c r="AC486"/>
      <c r="AF486"/>
      <c r="AL486">
        <v>340210590</v>
      </c>
      <c r="AM486" t="s">
        <v>41</v>
      </c>
    </row>
    <row r="487" spans="1:39" x14ac:dyDescent="0.35">
      <c r="A487">
        <v>3402</v>
      </c>
      <c r="B487" t="s">
        <v>28</v>
      </c>
      <c r="C487">
        <v>2020</v>
      </c>
      <c r="D487" s="1">
        <v>43831</v>
      </c>
      <c r="E487">
        <v>48</v>
      </c>
      <c r="F487">
        <v>200114669</v>
      </c>
      <c r="G487" t="s">
        <v>29</v>
      </c>
      <c r="H487">
        <v>81</v>
      </c>
      <c r="I487">
        <v>71101060</v>
      </c>
      <c r="J487">
        <v>11500040</v>
      </c>
      <c r="K487" t="s">
        <v>30</v>
      </c>
      <c r="L487" s="4">
        <v>646.79999999999995</v>
      </c>
      <c r="M487" t="s">
        <v>31</v>
      </c>
      <c r="N487" s="4">
        <v>646.79999999999995</v>
      </c>
      <c r="O487" t="s">
        <v>31</v>
      </c>
      <c r="X487" t="s">
        <v>35</v>
      </c>
      <c r="Y487"/>
      <c r="Z487">
        <v>20200131</v>
      </c>
      <c r="AA487">
        <f t="shared" si="8"/>
        <v>646.79999999999995</v>
      </c>
      <c r="AC487"/>
      <c r="AF487"/>
      <c r="AL487">
        <v>340210590</v>
      </c>
      <c r="AM487" t="s">
        <v>41</v>
      </c>
    </row>
    <row r="488" spans="1:39" x14ac:dyDescent="0.35">
      <c r="A488">
        <v>3402</v>
      </c>
      <c r="B488" t="s">
        <v>28</v>
      </c>
      <c r="C488">
        <v>2020</v>
      </c>
      <c r="D488" s="1">
        <v>43831</v>
      </c>
      <c r="E488">
        <v>50</v>
      </c>
      <c r="F488">
        <v>200114669</v>
      </c>
      <c r="G488" t="s">
        <v>29</v>
      </c>
      <c r="H488">
        <v>81</v>
      </c>
      <c r="I488">
        <v>71101060</v>
      </c>
      <c r="J488">
        <v>11500040</v>
      </c>
      <c r="K488" t="s">
        <v>30</v>
      </c>
      <c r="L488" s="4">
        <v>1200</v>
      </c>
      <c r="M488" t="s">
        <v>31</v>
      </c>
      <c r="N488" s="4">
        <v>1200</v>
      </c>
      <c r="O488" t="s">
        <v>31</v>
      </c>
      <c r="X488" t="s">
        <v>35</v>
      </c>
      <c r="Y488"/>
      <c r="Z488">
        <v>20200131</v>
      </c>
      <c r="AA488">
        <f t="shared" si="8"/>
        <v>1200</v>
      </c>
      <c r="AC488"/>
      <c r="AF488"/>
      <c r="AL488">
        <v>340210590</v>
      </c>
      <c r="AM488" t="s">
        <v>41</v>
      </c>
    </row>
    <row r="489" spans="1:39" x14ac:dyDescent="0.35">
      <c r="A489">
        <v>3402</v>
      </c>
      <c r="B489" t="s">
        <v>28</v>
      </c>
      <c r="C489">
        <v>2020</v>
      </c>
      <c r="D489" s="1">
        <v>43831</v>
      </c>
      <c r="E489">
        <v>52</v>
      </c>
      <c r="F489">
        <v>200114669</v>
      </c>
      <c r="G489" t="s">
        <v>29</v>
      </c>
      <c r="H489">
        <v>81</v>
      </c>
      <c r="I489">
        <v>71101060</v>
      </c>
      <c r="J489">
        <v>11500040</v>
      </c>
      <c r="K489" t="s">
        <v>30</v>
      </c>
      <c r="L489" s="4">
        <v>2479.35</v>
      </c>
      <c r="M489" t="s">
        <v>31</v>
      </c>
      <c r="N489" s="4">
        <v>2479.35</v>
      </c>
      <c r="O489" t="s">
        <v>31</v>
      </c>
      <c r="X489" t="s">
        <v>35</v>
      </c>
      <c r="Y489"/>
      <c r="Z489">
        <v>20200131</v>
      </c>
      <c r="AA489">
        <f t="shared" si="8"/>
        <v>2479.35</v>
      </c>
      <c r="AC489"/>
      <c r="AF489"/>
      <c r="AL489">
        <v>340210590</v>
      </c>
      <c r="AM489" t="s">
        <v>41</v>
      </c>
    </row>
    <row r="490" spans="1:39" x14ac:dyDescent="0.35">
      <c r="A490">
        <v>3402</v>
      </c>
      <c r="B490" t="s">
        <v>28</v>
      </c>
      <c r="C490">
        <v>2020</v>
      </c>
      <c r="D490" s="1">
        <v>43831</v>
      </c>
      <c r="E490">
        <v>54</v>
      </c>
      <c r="F490">
        <v>200114669</v>
      </c>
      <c r="G490" t="s">
        <v>29</v>
      </c>
      <c r="H490">
        <v>81</v>
      </c>
      <c r="I490">
        <v>71101060</v>
      </c>
      <c r="J490">
        <v>11500040</v>
      </c>
      <c r="K490" t="s">
        <v>30</v>
      </c>
      <c r="L490" s="4">
        <v>68.400000000000006</v>
      </c>
      <c r="M490" t="s">
        <v>31</v>
      </c>
      <c r="N490" s="4">
        <v>68.400000000000006</v>
      </c>
      <c r="O490" t="s">
        <v>31</v>
      </c>
      <c r="X490" t="s">
        <v>35</v>
      </c>
      <c r="Y490"/>
      <c r="Z490">
        <v>20200131</v>
      </c>
      <c r="AA490">
        <f t="shared" si="8"/>
        <v>68.400000000000006</v>
      </c>
      <c r="AC490"/>
      <c r="AF490"/>
      <c r="AL490">
        <v>340210590</v>
      </c>
      <c r="AM490" t="s">
        <v>41</v>
      </c>
    </row>
    <row r="491" spans="1:39" x14ac:dyDescent="0.35">
      <c r="A491">
        <v>3402</v>
      </c>
      <c r="B491" t="s">
        <v>28</v>
      </c>
      <c r="C491">
        <v>2020</v>
      </c>
      <c r="D491" s="1">
        <v>43831</v>
      </c>
      <c r="E491">
        <v>56</v>
      </c>
      <c r="F491">
        <v>200114669</v>
      </c>
      <c r="G491" t="s">
        <v>29</v>
      </c>
      <c r="H491">
        <v>81</v>
      </c>
      <c r="I491">
        <v>71101060</v>
      </c>
      <c r="J491">
        <v>11500040</v>
      </c>
      <c r="K491" t="s">
        <v>30</v>
      </c>
      <c r="L491" s="4">
        <v>160.93</v>
      </c>
      <c r="M491" t="s">
        <v>31</v>
      </c>
      <c r="N491" s="4">
        <v>160.93</v>
      </c>
      <c r="O491" t="s">
        <v>31</v>
      </c>
      <c r="X491" t="s">
        <v>35</v>
      </c>
      <c r="Y491"/>
      <c r="Z491">
        <v>20200131</v>
      </c>
      <c r="AA491">
        <f t="shared" si="8"/>
        <v>160.93</v>
      </c>
      <c r="AC491"/>
      <c r="AF491"/>
      <c r="AL491">
        <v>340210590</v>
      </c>
      <c r="AM491" t="s">
        <v>41</v>
      </c>
    </row>
    <row r="492" spans="1:39" x14ac:dyDescent="0.35">
      <c r="A492">
        <v>3402</v>
      </c>
      <c r="B492" t="s">
        <v>28</v>
      </c>
      <c r="C492">
        <v>2020</v>
      </c>
      <c r="D492" s="1">
        <v>43831</v>
      </c>
      <c r="E492">
        <v>58</v>
      </c>
      <c r="F492">
        <v>200114669</v>
      </c>
      <c r="G492" t="s">
        <v>29</v>
      </c>
      <c r="H492">
        <v>81</v>
      </c>
      <c r="I492">
        <v>71101060</v>
      </c>
      <c r="J492">
        <v>11500040</v>
      </c>
      <c r="K492" t="s">
        <v>30</v>
      </c>
      <c r="L492" s="4">
        <v>54.99</v>
      </c>
      <c r="M492" t="s">
        <v>31</v>
      </c>
      <c r="N492" s="4">
        <v>54.99</v>
      </c>
      <c r="O492" t="s">
        <v>31</v>
      </c>
      <c r="X492" t="s">
        <v>35</v>
      </c>
      <c r="Y492"/>
      <c r="Z492">
        <v>20200131</v>
      </c>
      <c r="AA492">
        <f t="shared" si="8"/>
        <v>54.99</v>
      </c>
      <c r="AC492"/>
      <c r="AF492"/>
      <c r="AL492">
        <v>340210590</v>
      </c>
      <c r="AM492" t="s">
        <v>41</v>
      </c>
    </row>
    <row r="493" spans="1:39" x14ac:dyDescent="0.35">
      <c r="A493">
        <v>3402</v>
      </c>
      <c r="B493" t="s">
        <v>28</v>
      </c>
      <c r="C493">
        <v>2020</v>
      </c>
      <c r="D493" s="1">
        <v>43831</v>
      </c>
      <c r="E493">
        <v>60</v>
      </c>
      <c r="F493">
        <v>200114669</v>
      </c>
      <c r="G493" t="s">
        <v>29</v>
      </c>
      <c r="H493">
        <v>81</v>
      </c>
      <c r="I493">
        <v>71101060</v>
      </c>
      <c r="J493">
        <v>11500040</v>
      </c>
      <c r="K493" t="s">
        <v>30</v>
      </c>
      <c r="L493" s="4">
        <v>805.99</v>
      </c>
      <c r="M493" t="s">
        <v>31</v>
      </c>
      <c r="N493" s="4">
        <v>805.99</v>
      </c>
      <c r="O493" t="s">
        <v>31</v>
      </c>
      <c r="X493" t="s">
        <v>35</v>
      </c>
      <c r="Y493"/>
      <c r="Z493">
        <v>20200131</v>
      </c>
      <c r="AA493">
        <f t="shared" si="8"/>
        <v>805.99</v>
      </c>
      <c r="AC493"/>
      <c r="AF493"/>
      <c r="AL493">
        <v>340210590</v>
      </c>
      <c r="AM493" t="s">
        <v>41</v>
      </c>
    </row>
    <row r="494" spans="1:39" x14ac:dyDescent="0.35">
      <c r="A494">
        <v>3402</v>
      </c>
      <c r="B494" t="s">
        <v>28</v>
      </c>
      <c r="C494">
        <v>2020</v>
      </c>
      <c r="D494" s="1">
        <v>43831</v>
      </c>
      <c r="E494">
        <v>62</v>
      </c>
      <c r="F494">
        <v>200114669</v>
      </c>
      <c r="G494" t="s">
        <v>29</v>
      </c>
      <c r="H494">
        <v>81</v>
      </c>
      <c r="I494">
        <v>71101060</v>
      </c>
      <c r="J494">
        <v>11500040</v>
      </c>
      <c r="K494" t="s">
        <v>30</v>
      </c>
      <c r="L494" s="4">
        <v>165.98</v>
      </c>
      <c r="M494" t="s">
        <v>31</v>
      </c>
      <c r="N494" s="4">
        <v>165.98</v>
      </c>
      <c r="O494" t="s">
        <v>31</v>
      </c>
      <c r="X494" t="s">
        <v>35</v>
      </c>
      <c r="Y494"/>
      <c r="Z494">
        <v>20200131</v>
      </c>
      <c r="AA494">
        <f t="shared" si="8"/>
        <v>165.98</v>
      </c>
      <c r="AC494"/>
      <c r="AF494"/>
      <c r="AL494">
        <v>340210590</v>
      </c>
      <c r="AM494" t="s">
        <v>41</v>
      </c>
    </row>
    <row r="495" spans="1:39" x14ac:dyDescent="0.35">
      <c r="A495">
        <v>3402</v>
      </c>
      <c r="B495" t="s">
        <v>28</v>
      </c>
      <c r="C495">
        <v>2020</v>
      </c>
      <c r="D495" s="1">
        <v>43831</v>
      </c>
      <c r="E495">
        <v>64</v>
      </c>
      <c r="F495">
        <v>200114669</v>
      </c>
      <c r="G495" t="s">
        <v>29</v>
      </c>
      <c r="H495">
        <v>81</v>
      </c>
      <c r="I495">
        <v>71101060</v>
      </c>
      <c r="J495">
        <v>11500040</v>
      </c>
      <c r="K495" t="s">
        <v>30</v>
      </c>
      <c r="L495" s="4">
        <v>166</v>
      </c>
      <c r="M495" t="s">
        <v>31</v>
      </c>
      <c r="N495" s="4">
        <v>166</v>
      </c>
      <c r="O495" t="s">
        <v>31</v>
      </c>
      <c r="X495" t="s">
        <v>35</v>
      </c>
      <c r="Y495"/>
      <c r="Z495">
        <v>20200131</v>
      </c>
      <c r="AA495">
        <f t="shared" si="8"/>
        <v>166</v>
      </c>
      <c r="AC495"/>
      <c r="AF495"/>
      <c r="AL495">
        <v>340210590</v>
      </c>
      <c r="AM495" t="s">
        <v>41</v>
      </c>
    </row>
    <row r="496" spans="1:39" x14ac:dyDescent="0.35">
      <c r="A496">
        <v>3402</v>
      </c>
      <c r="B496" t="s">
        <v>28</v>
      </c>
      <c r="C496">
        <v>2020</v>
      </c>
      <c r="D496" s="1">
        <v>43831</v>
      </c>
      <c r="E496">
        <v>66</v>
      </c>
      <c r="F496">
        <v>200114669</v>
      </c>
      <c r="G496" t="s">
        <v>29</v>
      </c>
      <c r="H496">
        <v>81</v>
      </c>
      <c r="I496">
        <v>71101060</v>
      </c>
      <c r="J496">
        <v>11500040</v>
      </c>
      <c r="K496" t="s">
        <v>30</v>
      </c>
      <c r="L496" s="4">
        <v>306</v>
      </c>
      <c r="M496" t="s">
        <v>31</v>
      </c>
      <c r="N496" s="4">
        <v>306</v>
      </c>
      <c r="O496" t="s">
        <v>31</v>
      </c>
      <c r="X496" t="s">
        <v>35</v>
      </c>
      <c r="Y496"/>
      <c r="Z496">
        <v>20200131</v>
      </c>
      <c r="AA496">
        <f t="shared" si="8"/>
        <v>306</v>
      </c>
      <c r="AC496"/>
      <c r="AF496"/>
      <c r="AL496">
        <v>340210590</v>
      </c>
      <c r="AM496" t="s">
        <v>41</v>
      </c>
    </row>
    <row r="497" spans="1:39" x14ac:dyDescent="0.35">
      <c r="A497">
        <v>3402</v>
      </c>
      <c r="B497" t="s">
        <v>28</v>
      </c>
      <c r="C497">
        <v>2020</v>
      </c>
      <c r="D497" s="1">
        <v>43831</v>
      </c>
      <c r="E497">
        <v>68</v>
      </c>
      <c r="F497">
        <v>200114669</v>
      </c>
      <c r="G497" t="s">
        <v>29</v>
      </c>
      <c r="H497">
        <v>81</v>
      </c>
      <c r="I497">
        <v>71101060</v>
      </c>
      <c r="J497">
        <v>11500040</v>
      </c>
      <c r="K497" t="s">
        <v>30</v>
      </c>
      <c r="L497" s="4">
        <v>1690.5</v>
      </c>
      <c r="M497" t="s">
        <v>31</v>
      </c>
      <c r="N497" s="4">
        <v>1690.5</v>
      </c>
      <c r="O497" t="s">
        <v>31</v>
      </c>
      <c r="X497" t="s">
        <v>35</v>
      </c>
      <c r="Y497"/>
      <c r="Z497">
        <v>20200131</v>
      </c>
      <c r="AA497">
        <f t="shared" si="8"/>
        <v>1690.5</v>
      </c>
      <c r="AC497"/>
      <c r="AF497"/>
      <c r="AL497">
        <v>340210590</v>
      </c>
      <c r="AM497" t="s">
        <v>41</v>
      </c>
    </row>
    <row r="498" spans="1:39" x14ac:dyDescent="0.35">
      <c r="A498">
        <v>3402</v>
      </c>
      <c r="B498" t="s">
        <v>28</v>
      </c>
      <c r="C498">
        <v>2020</v>
      </c>
      <c r="D498" s="1">
        <v>43831</v>
      </c>
      <c r="E498">
        <v>70</v>
      </c>
      <c r="F498">
        <v>200114669</v>
      </c>
      <c r="G498" t="s">
        <v>29</v>
      </c>
      <c r="H498">
        <v>81</v>
      </c>
      <c r="I498">
        <v>71101060</v>
      </c>
      <c r="J498">
        <v>11500040</v>
      </c>
      <c r="K498" t="s">
        <v>30</v>
      </c>
      <c r="L498" s="4">
        <v>14580</v>
      </c>
      <c r="M498" t="s">
        <v>31</v>
      </c>
      <c r="N498" s="4">
        <v>14580</v>
      </c>
      <c r="O498" t="s">
        <v>31</v>
      </c>
      <c r="X498" t="s">
        <v>35</v>
      </c>
      <c r="Y498"/>
      <c r="Z498">
        <v>20200131</v>
      </c>
      <c r="AA498">
        <f t="shared" si="8"/>
        <v>14580</v>
      </c>
      <c r="AC498"/>
      <c r="AF498"/>
      <c r="AL498">
        <v>340210590</v>
      </c>
      <c r="AM498" t="s">
        <v>41</v>
      </c>
    </row>
    <row r="499" spans="1:39" x14ac:dyDescent="0.35">
      <c r="A499">
        <v>3402</v>
      </c>
      <c r="B499" t="s">
        <v>28</v>
      </c>
      <c r="C499">
        <v>2020</v>
      </c>
      <c r="D499" s="1">
        <v>43831</v>
      </c>
      <c r="E499">
        <v>82</v>
      </c>
      <c r="F499">
        <v>200114669</v>
      </c>
      <c r="G499" t="s">
        <v>29</v>
      </c>
      <c r="H499">
        <v>81</v>
      </c>
      <c r="I499">
        <v>71101060</v>
      </c>
      <c r="J499">
        <v>11500040</v>
      </c>
      <c r="K499" t="s">
        <v>30</v>
      </c>
      <c r="L499" s="4">
        <v>417.55</v>
      </c>
      <c r="M499" t="s">
        <v>31</v>
      </c>
      <c r="N499" s="4">
        <v>417.55</v>
      </c>
      <c r="O499" t="s">
        <v>31</v>
      </c>
      <c r="X499" t="s">
        <v>35</v>
      </c>
      <c r="Y499"/>
      <c r="Z499">
        <v>20200131</v>
      </c>
      <c r="AA499">
        <f t="shared" si="8"/>
        <v>417.55</v>
      </c>
      <c r="AC499"/>
      <c r="AF499"/>
      <c r="AL499">
        <v>340210590</v>
      </c>
      <c r="AM499" t="s">
        <v>41</v>
      </c>
    </row>
    <row r="500" spans="1:39" x14ac:dyDescent="0.35">
      <c r="A500">
        <v>3402</v>
      </c>
      <c r="B500" t="s">
        <v>28</v>
      </c>
      <c r="C500">
        <v>2020</v>
      </c>
      <c r="D500" s="1">
        <v>43831</v>
      </c>
      <c r="E500">
        <v>84</v>
      </c>
      <c r="F500">
        <v>200114669</v>
      </c>
      <c r="G500" t="s">
        <v>29</v>
      </c>
      <c r="H500">
        <v>81</v>
      </c>
      <c r="I500">
        <v>71101060</v>
      </c>
      <c r="J500">
        <v>11500040</v>
      </c>
      <c r="K500" t="s">
        <v>30</v>
      </c>
      <c r="L500" s="4">
        <v>561.6</v>
      </c>
      <c r="M500" t="s">
        <v>31</v>
      </c>
      <c r="N500" s="4">
        <v>561.6</v>
      </c>
      <c r="O500" t="s">
        <v>31</v>
      </c>
      <c r="X500" t="s">
        <v>35</v>
      </c>
      <c r="Y500"/>
      <c r="Z500">
        <v>20200131</v>
      </c>
      <c r="AA500">
        <f t="shared" si="8"/>
        <v>561.6</v>
      </c>
      <c r="AC500"/>
      <c r="AF500"/>
      <c r="AL500">
        <v>340210590</v>
      </c>
      <c r="AM500" t="s">
        <v>41</v>
      </c>
    </row>
    <row r="501" spans="1:39" x14ac:dyDescent="0.35">
      <c r="A501">
        <v>3402</v>
      </c>
      <c r="B501" t="s">
        <v>28</v>
      </c>
      <c r="C501">
        <v>2020</v>
      </c>
      <c r="D501" s="1">
        <v>43831</v>
      </c>
      <c r="E501">
        <v>86</v>
      </c>
      <c r="F501">
        <v>200114669</v>
      </c>
      <c r="G501" t="s">
        <v>29</v>
      </c>
      <c r="H501">
        <v>81</v>
      </c>
      <c r="I501">
        <v>71101060</v>
      </c>
      <c r="J501">
        <v>11500040</v>
      </c>
      <c r="K501" t="s">
        <v>30</v>
      </c>
      <c r="L501" s="4">
        <v>3020.6</v>
      </c>
      <c r="M501" t="s">
        <v>31</v>
      </c>
      <c r="N501" s="4">
        <v>3020.6</v>
      </c>
      <c r="O501" t="s">
        <v>31</v>
      </c>
      <c r="X501" t="s">
        <v>35</v>
      </c>
      <c r="Y501"/>
      <c r="Z501">
        <v>20200131</v>
      </c>
      <c r="AA501">
        <f t="shared" si="8"/>
        <v>3020.6</v>
      </c>
      <c r="AC501"/>
      <c r="AF501"/>
      <c r="AL501">
        <v>340210590</v>
      </c>
      <c r="AM501" t="s">
        <v>41</v>
      </c>
    </row>
    <row r="502" spans="1:39" x14ac:dyDescent="0.35">
      <c r="A502">
        <v>3402</v>
      </c>
      <c r="B502" t="s">
        <v>28</v>
      </c>
      <c r="C502">
        <v>2020</v>
      </c>
      <c r="D502" s="1">
        <v>43831</v>
      </c>
      <c r="E502">
        <v>10</v>
      </c>
      <c r="F502">
        <v>200114670</v>
      </c>
      <c r="G502" t="s">
        <v>29</v>
      </c>
      <c r="H502">
        <v>81</v>
      </c>
      <c r="I502">
        <v>71101060</v>
      </c>
      <c r="J502">
        <v>11500050</v>
      </c>
      <c r="K502" t="s">
        <v>30</v>
      </c>
      <c r="L502" s="4">
        <v>16946.77</v>
      </c>
      <c r="M502" t="s">
        <v>31</v>
      </c>
      <c r="N502" s="4">
        <v>16946.77</v>
      </c>
      <c r="O502" t="s">
        <v>31</v>
      </c>
      <c r="X502" t="s">
        <v>35</v>
      </c>
      <c r="Y502"/>
      <c r="Z502">
        <v>20200131</v>
      </c>
      <c r="AA502">
        <f t="shared" si="8"/>
        <v>16946.77</v>
      </c>
      <c r="AC502"/>
      <c r="AF502"/>
      <c r="AL502">
        <v>340217690</v>
      </c>
      <c r="AM502" t="s">
        <v>38</v>
      </c>
    </row>
    <row r="503" spans="1:39" x14ac:dyDescent="0.35">
      <c r="A503">
        <v>3402</v>
      </c>
      <c r="B503" t="s">
        <v>28</v>
      </c>
      <c r="C503">
        <v>2020</v>
      </c>
      <c r="D503" s="1">
        <v>43831</v>
      </c>
      <c r="E503">
        <v>12</v>
      </c>
      <c r="F503">
        <v>200114670</v>
      </c>
      <c r="G503" t="s">
        <v>29</v>
      </c>
      <c r="H503">
        <v>81</v>
      </c>
      <c r="I503">
        <v>71101060</v>
      </c>
      <c r="J503">
        <v>11500050</v>
      </c>
      <c r="K503" t="s">
        <v>30</v>
      </c>
      <c r="L503" s="4">
        <v>152</v>
      </c>
      <c r="M503" t="s">
        <v>31</v>
      </c>
      <c r="N503" s="4">
        <v>152</v>
      </c>
      <c r="O503" t="s">
        <v>31</v>
      </c>
      <c r="X503" t="s">
        <v>35</v>
      </c>
      <c r="Y503"/>
      <c r="Z503">
        <v>20200131</v>
      </c>
      <c r="AA503">
        <f t="shared" si="8"/>
        <v>152</v>
      </c>
      <c r="AC503"/>
      <c r="AF503"/>
      <c r="AL503">
        <v>340217690</v>
      </c>
      <c r="AM503" t="s">
        <v>38</v>
      </c>
    </row>
    <row r="504" spans="1:39" x14ac:dyDescent="0.35">
      <c r="A504">
        <v>3402</v>
      </c>
      <c r="B504" t="s">
        <v>28</v>
      </c>
      <c r="C504">
        <v>2020</v>
      </c>
      <c r="D504" s="1">
        <v>43831</v>
      </c>
      <c r="E504">
        <v>14</v>
      </c>
      <c r="F504">
        <v>200114670</v>
      </c>
      <c r="G504" t="s">
        <v>29</v>
      </c>
      <c r="H504">
        <v>81</v>
      </c>
      <c r="I504">
        <v>71101060</v>
      </c>
      <c r="J504">
        <v>11500050</v>
      </c>
      <c r="K504" t="s">
        <v>30</v>
      </c>
      <c r="L504" s="4">
        <v>996.78</v>
      </c>
      <c r="M504" t="s">
        <v>31</v>
      </c>
      <c r="N504" s="4">
        <v>996.78</v>
      </c>
      <c r="O504" t="s">
        <v>31</v>
      </c>
      <c r="X504" t="s">
        <v>35</v>
      </c>
      <c r="Y504"/>
      <c r="Z504">
        <v>20200131</v>
      </c>
      <c r="AA504">
        <f t="shared" si="8"/>
        <v>996.78</v>
      </c>
      <c r="AC504"/>
      <c r="AF504"/>
      <c r="AL504">
        <v>340217690</v>
      </c>
      <c r="AM504" t="s">
        <v>38</v>
      </c>
    </row>
    <row r="505" spans="1:39" x14ac:dyDescent="0.35">
      <c r="A505">
        <v>3406</v>
      </c>
      <c r="B505" t="s">
        <v>28</v>
      </c>
      <c r="C505">
        <v>2020</v>
      </c>
      <c r="D505" s="1">
        <v>43831</v>
      </c>
      <c r="E505">
        <v>70</v>
      </c>
      <c r="F505">
        <v>600031582</v>
      </c>
      <c r="G505" t="s">
        <v>29</v>
      </c>
      <c r="H505">
        <v>81</v>
      </c>
      <c r="I505">
        <v>71101060</v>
      </c>
      <c r="J505">
        <v>11500070</v>
      </c>
      <c r="K505" t="s">
        <v>30</v>
      </c>
      <c r="L505" s="4">
        <v>92.36</v>
      </c>
      <c r="M505" t="s">
        <v>31</v>
      </c>
      <c r="N505" s="4">
        <v>92.36</v>
      </c>
      <c r="O505" t="s">
        <v>31</v>
      </c>
      <c r="X505" t="s">
        <v>35</v>
      </c>
      <c r="Y505"/>
      <c r="Z505">
        <v>20200131</v>
      </c>
      <c r="AA505">
        <f t="shared" si="8"/>
        <v>92.36</v>
      </c>
      <c r="AC505"/>
      <c r="AF505"/>
      <c r="AL505">
        <v>340615190</v>
      </c>
      <c r="AM505" t="s">
        <v>36</v>
      </c>
    </row>
    <row r="506" spans="1:39" x14ac:dyDescent="0.35">
      <c r="A506">
        <v>3406</v>
      </c>
      <c r="B506" t="s">
        <v>28</v>
      </c>
      <c r="C506">
        <v>2020</v>
      </c>
      <c r="D506" s="1">
        <v>43831</v>
      </c>
      <c r="E506">
        <v>72</v>
      </c>
      <c r="F506">
        <v>600031582</v>
      </c>
      <c r="G506" t="s">
        <v>29</v>
      </c>
      <c r="H506">
        <v>81</v>
      </c>
      <c r="I506">
        <v>71101060</v>
      </c>
      <c r="J506">
        <v>11500070</v>
      </c>
      <c r="K506" t="s">
        <v>30</v>
      </c>
      <c r="L506" s="4">
        <v>1411.31</v>
      </c>
      <c r="M506" t="s">
        <v>31</v>
      </c>
      <c r="N506" s="4">
        <v>1411.31</v>
      </c>
      <c r="O506" t="s">
        <v>31</v>
      </c>
      <c r="X506" t="s">
        <v>35</v>
      </c>
      <c r="Y506"/>
      <c r="Z506">
        <v>20200131</v>
      </c>
      <c r="AA506">
        <f t="shared" si="8"/>
        <v>1411.31</v>
      </c>
      <c r="AC506"/>
      <c r="AF506"/>
      <c r="AL506">
        <v>340615190</v>
      </c>
      <c r="AM506" t="s">
        <v>36</v>
      </c>
    </row>
    <row r="507" spans="1:39" x14ac:dyDescent="0.35">
      <c r="A507">
        <v>3406</v>
      </c>
      <c r="B507" t="s">
        <v>28</v>
      </c>
      <c r="C507">
        <v>2020</v>
      </c>
      <c r="D507" s="1">
        <v>43831</v>
      </c>
      <c r="E507">
        <v>74</v>
      </c>
      <c r="F507">
        <v>600031582</v>
      </c>
      <c r="G507" t="s">
        <v>29</v>
      </c>
      <c r="H507">
        <v>81</v>
      </c>
      <c r="I507">
        <v>71101060</v>
      </c>
      <c r="J507">
        <v>11500070</v>
      </c>
      <c r="K507" t="s">
        <v>30</v>
      </c>
      <c r="L507" s="4">
        <v>1029.69</v>
      </c>
      <c r="M507" t="s">
        <v>31</v>
      </c>
      <c r="N507" s="4">
        <v>1029.69</v>
      </c>
      <c r="O507" t="s">
        <v>31</v>
      </c>
      <c r="X507" t="s">
        <v>35</v>
      </c>
      <c r="Y507"/>
      <c r="Z507">
        <v>20200131</v>
      </c>
      <c r="AA507">
        <f t="shared" si="8"/>
        <v>1029.69</v>
      </c>
      <c r="AC507"/>
      <c r="AF507"/>
      <c r="AL507">
        <v>340615190</v>
      </c>
      <c r="AM507" t="s">
        <v>36</v>
      </c>
    </row>
    <row r="508" spans="1:39" x14ac:dyDescent="0.35">
      <c r="A508">
        <v>3403</v>
      </c>
      <c r="B508" t="s">
        <v>28</v>
      </c>
      <c r="C508">
        <v>2020</v>
      </c>
      <c r="D508" s="1">
        <v>43831</v>
      </c>
      <c r="E508">
        <v>2</v>
      </c>
      <c r="F508">
        <v>300018529</v>
      </c>
      <c r="G508" t="s">
        <v>29</v>
      </c>
      <c r="H508">
        <v>81</v>
      </c>
      <c r="I508">
        <v>71101060</v>
      </c>
      <c r="J508">
        <v>11500060</v>
      </c>
      <c r="K508" t="s">
        <v>30</v>
      </c>
      <c r="L508" s="4">
        <v>40.35</v>
      </c>
      <c r="M508" t="s">
        <v>31</v>
      </c>
      <c r="N508" s="4">
        <v>40.35</v>
      </c>
      <c r="O508" t="s">
        <v>31</v>
      </c>
      <c r="X508" t="s">
        <v>35</v>
      </c>
      <c r="Y508"/>
      <c r="Z508">
        <v>20200131</v>
      </c>
      <c r="AA508">
        <f t="shared" si="8"/>
        <v>40.35</v>
      </c>
      <c r="AC508"/>
      <c r="AF508"/>
      <c r="AL508">
        <v>340315190</v>
      </c>
      <c r="AM508" t="s">
        <v>40</v>
      </c>
    </row>
    <row r="509" spans="1:39" x14ac:dyDescent="0.35">
      <c r="A509">
        <v>3406</v>
      </c>
      <c r="B509" t="s">
        <v>28</v>
      </c>
      <c r="C509">
        <v>2020</v>
      </c>
      <c r="D509" s="1">
        <v>43831</v>
      </c>
      <c r="E509">
        <v>2</v>
      </c>
      <c r="F509">
        <v>600031603</v>
      </c>
      <c r="G509" t="s">
        <v>29</v>
      </c>
      <c r="H509">
        <v>81</v>
      </c>
      <c r="I509">
        <v>71101060</v>
      </c>
      <c r="J509">
        <v>11500010</v>
      </c>
      <c r="K509" t="s">
        <v>30</v>
      </c>
      <c r="L509" s="4">
        <v>731.49</v>
      </c>
      <c r="M509" t="s">
        <v>31</v>
      </c>
      <c r="N509" s="4">
        <v>731.49</v>
      </c>
      <c r="O509" t="s">
        <v>31</v>
      </c>
      <c r="X509" t="s">
        <v>35</v>
      </c>
      <c r="Y509"/>
      <c r="Z509">
        <v>20200131</v>
      </c>
      <c r="AA509">
        <f t="shared" si="8"/>
        <v>731.49</v>
      </c>
      <c r="AC509"/>
      <c r="AF509"/>
      <c r="AL509">
        <v>340612590</v>
      </c>
      <c r="AM509" t="s">
        <v>36</v>
      </c>
    </row>
    <row r="510" spans="1:39" x14ac:dyDescent="0.35">
      <c r="A510">
        <v>3403</v>
      </c>
      <c r="B510" t="s">
        <v>28</v>
      </c>
      <c r="C510">
        <v>2020</v>
      </c>
      <c r="D510" s="1">
        <v>43831</v>
      </c>
      <c r="E510">
        <v>24</v>
      </c>
      <c r="F510">
        <v>300018554</v>
      </c>
      <c r="G510" t="s">
        <v>29</v>
      </c>
      <c r="H510">
        <v>91</v>
      </c>
      <c r="I510">
        <v>71101060</v>
      </c>
      <c r="J510">
        <v>11500060</v>
      </c>
      <c r="K510" t="s">
        <v>30</v>
      </c>
      <c r="L510" s="4">
        <v>80</v>
      </c>
      <c r="M510" t="s">
        <v>31</v>
      </c>
      <c r="N510" s="4">
        <v>80</v>
      </c>
      <c r="O510" t="s">
        <v>31</v>
      </c>
      <c r="X510" t="s">
        <v>35</v>
      </c>
      <c r="Y510"/>
      <c r="Z510">
        <v>20200131</v>
      </c>
      <c r="AA510">
        <f t="shared" si="8"/>
        <v>80</v>
      </c>
      <c r="AC510"/>
      <c r="AF510"/>
      <c r="AL510">
        <v>340325290</v>
      </c>
      <c r="AM510" t="s">
        <v>40</v>
      </c>
    </row>
    <row r="511" spans="1:39" x14ac:dyDescent="0.35">
      <c r="A511">
        <v>3403</v>
      </c>
      <c r="B511" t="s">
        <v>28</v>
      </c>
      <c r="C511">
        <v>2020</v>
      </c>
      <c r="D511" s="1">
        <v>43831</v>
      </c>
      <c r="E511">
        <v>60</v>
      </c>
      <c r="F511">
        <v>300018558</v>
      </c>
      <c r="G511" t="s">
        <v>29</v>
      </c>
      <c r="H511">
        <v>91</v>
      </c>
      <c r="I511">
        <v>71101060</v>
      </c>
      <c r="J511">
        <v>11500050</v>
      </c>
      <c r="K511" t="s">
        <v>30</v>
      </c>
      <c r="L511" s="4">
        <v>178.44</v>
      </c>
      <c r="M511" t="s">
        <v>31</v>
      </c>
      <c r="N511" s="4">
        <v>178.44</v>
      </c>
      <c r="O511" t="s">
        <v>31</v>
      </c>
      <c r="X511" t="s">
        <v>35</v>
      </c>
      <c r="Y511"/>
      <c r="Z511">
        <v>20200131</v>
      </c>
      <c r="AA511">
        <f t="shared" si="8"/>
        <v>178.44</v>
      </c>
      <c r="AC511"/>
      <c r="AF511"/>
      <c r="AL511">
        <v>340312890</v>
      </c>
      <c r="AM511" t="s">
        <v>40</v>
      </c>
    </row>
    <row r="512" spans="1:39" x14ac:dyDescent="0.35">
      <c r="A512">
        <v>3403</v>
      </c>
      <c r="B512" t="s">
        <v>28</v>
      </c>
      <c r="C512">
        <v>2020</v>
      </c>
      <c r="D512" s="1">
        <v>43831</v>
      </c>
      <c r="E512">
        <v>62</v>
      </c>
      <c r="F512">
        <v>300018558</v>
      </c>
      <c r="G512" t="s">
        <v>29</v>
      </c>
      <c r="H512">
        <v>91</v>
      </c>
      <c r="I512">
        <v>71101060</v>
      </c>
      <c r="J512">
        <v>11500050</v>
      </c>
      <c r="K512" t="s">
        <v>30</v>
      </c>
      <c r="L512" s="4">
        <v>177.6</v>
      </c>
      <c r="M512" t="s">
        <v>31</v>
      </c>
      <c r="N512" s="4">
        <v>177.6</v>
      </c>
      <c r="O512" t="s">
        <v>31</v>
      </c>
      <c r="X512" t="s">
        <v>35</v>
      </c>
      <c r="Y512"/>
      <c r="Z512">
        <v>20200131</v>
      </c>
      <c r="AA512">
        <f t="shared" si="8"/>
        <v>177.6</v>
      </c>
      <c r="AC512"/>
      <c r="AF512"/>
      <c r="AL512">
        <v>340312890</v>
      </c>
      <c r="AM512" t="s">
        <v>40</v>
      </c>
    </row>
    <row r="513" spans="1:39" x14ac:dyDescent="0.35">
      <c r="A513">
        <v>3403</v>
      </c>
      <c r="B513" t="s">
        <v>28</v>
      </c>
      <c r="C513">
        <v>2020</v>
      </c>
      <c r="D513" s="1">
        <v>43831</v>
      </c>
      <c r="E513">
        <v>64</v>
      </c>
      <c r="F513">
        <v>300018558</v>
      </c>
      <c r="G513" t="s">
        <v>29</v>
      </c>
      <c r="H513">
        <v>91</v>
      </c>
      <c r="I513">
        <v>71101060</v>
      </c>
      <c r="J513">
        <v>11500050</v>
      </c>
      <c r="K513" t="s">
        <v>30</v>
      </c>
      <c r="L513" s="4">
        <v>177.6</v>
      </c>
      <c r="M513" t="s">
        <v>31</v>
      </c>
      <c r="N513" s="4">
        <v>177.6</v>
      </c>
      <c r="O513" t="s">
        <v>31</v>
      </c>
      <c r="X513" t="s">
        <v>35</v>
      </c>
      <c r="Y513"/>
      <c r="Z513">
        <v>20200131</v>
      </c>
      <c r="AA513">
        <f t="shared" si="8"/>
        <v>177.6</v>
      </c>
      <c r="AC513"/>
      <c r="AF513"/>
      <c r="AL513">
        <v>340312890</v>
      </c>
      <c r="AM513" t="s">
        <v>40</v>
      </c>
    </row>
    <row r="514" spans="1:39" x14ac:dyDescent="0.35">
      <c r="A514">
        <v>3409</v>
      </c>
      <c r="B514" t="s">
        <v>28</v>
      </c>
      <c r="C514">
        <v>2020</v>
      </c>
      <c r="D514" s="1">
        <v>43831</v>
      </c>
      <c r="E514">
        <v>2</v>
      </c>
      <c r="F514">
        <v>900011609</v>
      </c>
      <c r="G514" t="s">
        <v>29</v>
      </c>
      <c r="H514">
        <v>81</v>
      </c>
      <c r="I514">
        <v>71101060</v>
      </c>
      <c r="J514">
        <v>11500030</v>
      </c>
      <c r="K514" t="s">
        <v>30</v>
      </c>
      <c r="L514" s="4">
        <v>53.08</v>
      </c>
      <c r="M514" t="s">
        <v>31</v>
      </c>
      <c r="N514" s="4">
        <v>53.08</v>
      </c>
      <c r="O514" t="s">
        <v>31</v>
      </c>
      <c r="X514" t="s">
        <v>35</v>
      </c>
      <c r="Y514"/>
      <c r="Z514">
        <v>20200131</v>
      </c>
      <c r="AA514">
        <f t="shared" si="8"/>
        <v>53.08</v>
      </c>
      <c r="AC514"/>
      <c r="AF514"/>
      <c r="AL514">
        <v>340953290</v>
      </c>
      <c r="AM514" t="s">
        <v>59</v>
      </c>
    </row>
    <row r="515" spans="1:39" x14ac:dyDescent="0.35">
      <c r="A515">
        <v>3409</v>
      </c>
      <c r="B515" t="s">
        <v>28</v>
      </c>
      <c r="C515">
        <v>2020</v>
      </c>
      <c r="D515" s="1">
        <v>43831</v>
      </c>
      <c r="E515">
        <v>8</v>
      </c>
      <c r="F515">
        <v>900011609</v>
      </c>
      <c r="G515" t="s">
        <v>29</v>
      </c>
      <c r="H515">
        <v>81</v>
      </c>
      <c r="I515">
        <v>71101060</v>
      </c>
      <c r="J515">
        <v>11500030</v>
      </c>
      <c r="K515" t="s">
        <v>30</v>
      </c>
      <c r="L515" s="4">
        <v>84</v>
      </c>
      <c r="M515" t="s">
        <v>31</v>
      </c>
      <c r="N515" s="4">
        <v>84</v>
      </c>
      <c r="O515" t="s">
        <v>31</v>
      </c>
      <c r="X515" t="s">
        <v>35</v>
      </c>
      <c r="Y515"/>
      <c r="Z515">
        <v>20200131</v>
      </c>
      <c r="AA515">
        <f t="shared" si="8"/>
        <v>84</v>
      </c>
      <c r="AC515"/>
      <c r="AF515"/>
      <c r="AL515">
        <v>340953290</v>
      </c>
      <c r="AM515" t="s">
        <v>59</v>
      </c>
    </row>
    <row r="516" spans="1:39" x14ac:dyDescent="0.35">
      <c r="A516">
        <v>3409</v>
      </c>
      <c r="B516" t="s">
        <v>28</v>
      </c>
      <c r="C516">
        <v>2020</v>
      </c>
      <c r="D516" s="1">
        <v>43831</v>
      </c>
      <c r="E516">
        <v>2</v>
      </c>
      <c r="F516">
        <v>900011610</v>
      </c>
      <c r="G516" t="s">
        <v>29</v>
      </c>
      <c r="H516">
        <v>81</v>
      </c>
      <c r="I516">
        <v>71101060</v>
      </c>
      <c r="J516">
        <v>11500060</v>
      </c>
      <c r="K516" t="s">
        <v>30</v>
      </c>
      <c r="L516" s="4">
        <v>60.34</v>
      </c>
      <c r="M516" t="s">
        <v>31</v>
      </c>
      <c r="N516" s="4">
        <v>60.34</v>
      </c>
      <c r="O516" t="s">
        <v>31</v>
      </c>
      <c r="X516" t="s">
        <v>35</v>
      </c>
      <c r="Y516"/>
      <c r="Z516">
        <v>20200131</v>
      </c>
      <c r="AA516">
        <f t="shared" si="8"/>
        <v>60.34</v>
      </c>
      <c r="AC516"/>
      <c r="AF516"/>
      <c r="AL516">
        <v>340915190</v>
      </c>
      <c r="AM516" t="s">
        <v>59</v>
      </c>
    </row>
    <row r="517" spans="1:39" x14ac:dyDescent="0.35">
      <c r="A517">
        <v>3409</v>
      </c>
      <c r="B517" t="s">
        <v>28</v>
      </c>
      <c r="C517">
        <v>2020</v>
      </c>
      <c r="D517" s="1">
        <v>43831</v>
      </c>
      <c r="E517">
        <v>4</v>
      </c>
      <c r="F517">
        <v>900011610</v>
      </c>
      <c r="G517" t="s">
        <v>29</v>
      </c>
      <c r="H517">
        <v>81</v>
      </c>
      <c r="I517">
        <v>71101060</v>
      </c>
      <c r="J517">
        <v>11500060</v>
      </c>
      <c r="K517" t="s">
        <v>30</v>
      </c>
      <c r="L517" s="4">
        <v>9.3800000000000008</v>
      </c>
      <c r="M517" t="s">
        <v>31</v>
      </c>
      <c r="N517" s="4">
        <v>9.3800000000000008</v>
      </c>
      <c r="O517" t="s">
        <v>31</v>
      </c>
      <c r="X517" t="s">
        <v>35</v>
      </c>
      <c r="Y517"/>
      <c r="Z517">
        <v>20200131</v>
      </c>
      <c r="AA517">
        <f t="shared" si="8"/>
        <v>9.3800000000000008</v>
      </c>
      <c r="AC517"/>
      <c r="AF517"/>
      <c r="AL517">
        <v>340915190</v>
      </c>
      <c r="AM517" t="s">
        <v>59</v>
      </c>
    </row>
    <row r="518" spans="1:39" x14ac:dyDescent="0.35">
      <c r="A518">
        <v>3409</v>
      </c>
      <c r="B518" t="s">
        <v>28</v>
      </c>
      <c r="C518">
        <v>2020</v>
      </c>
      <c r="D518" s="1">
        <v>43831</v>
      </c>
      <c r="E518">
        <v>6</v>
      </c>
      <c r="F518">
        <v>900011610</v>
      </c>
      <c r="G518" t="s">
        <v>29</v>
      </c>
      <c r="H518">
        <v>81</v>
      </c>
      <c r="I518">
        <v>71101060</v>
      </c>
      <c r="J518">
        <v>11500060</v>
      </c>
      <c r="K518" t="s">
        <v>30</v>
      </c>
      <c r="L518" s="4">
        <v>78.5</v>
      </c>
      <c r="M518" t="s">
        <v>31</v>
      </c>
      <c r="N518" s="4">
        <v>78.5</v>
      </c>
      <c r="O518" t="s">
        <v>31</v>
      </c>
      <c r="X518" t="s">
        <v>35</v>
      </c>
      <c r="Y518"/>
      <c r="Z518">
        <v>20200131</v>
      </c>
      <c r="AA518">
        <f t="shared" si="8"/>
        <v>78.5</v>
      </c>
      <c r="AC518"/>
      <c r="AF518"/>
      <c r="AL518">
        <v>340915190</v>
      </c>
      <c r="AM518" t="s">
        <v>59</v>
      </c>
    </row>
    <row r="519" spans="1:39" x14ac:dyDescent="0.35">
      <c r="A519">
        <v>3409</v>
      </c>
      <c r="B519" t="s">
        <v>28</v>
      </c>
      <c r="C519">
        <v>2020</v>
      </c>
      <c r="D519" s="1">
        <v>43831</v>
      </c>
      <c r="E519">
        <v>8</v>
      </c>
      <c r="F519">
        <v>900011610</v>
      </c>
      <c r="G519" t="s">
        <v>29</v>
      </c>
      <c r="H519">
        <v>81</v>
      </c>
      <c r="I519">
        <v>71101060</v>
      </c>
      <c r="J519">
        <v>11500060</v>
      </c>
      <c r="K519" t="s">
        <v>30</v>
      </c>
      <c r="L519" s="4">
        <v>47.58</v>
      </c>
      <c r="M519" t="s">
        <v>31</v>
      </c>
      <c r="N519" s="4">
        <v>47.58</v>
      </c>
      <c r="O519" t="s">
        <v>31</v>
      </c>
      <c r="X519" t="s">
        <v>35</v>
      </c>
      <c r="Y519"/>
      <c r="Z519">
        <v>20200131</v>
      </c>
      <c r="AA519">
        <f t="shared" si="8"/>
        <v>47.58</v>
      </c>
      <c r="AC519"/>
      <c r="AF519"/>
      <c r="AL519">
        <v>340915190</v>
      </c>
      <c r="AM519" t="s">
        <v>59</v>
      </c>
    </row>
    <row r="520" spans="1:39" x14ac:dyDescent="0.35">
      <c r="A520">
        <v>3409</v>
      </c>
      <c r="B520" t="s">
        <v>28</v>
      </c>
      <c r="C520">
        <v>2020</v>
      </c>
      <c r="D520" s="1">
        <v>43831</v>
      </c>
      <c r="E520">
        <v>10</v>
      </c>
      <c r="F520">
        <v>900011610</v>
      </c>
      <c r="G520" t="s">
        <v>29</v>
      </c>
      <c r="H520">
        <v>81</v>
      </c>
      <c r="I520">
        <v>71101060</v>
      </c>
      <c r="J520">
        <v>11500060</v>
      </c>
      <c r="K520" t="s">
        <v>30</v>
      </c>
      <c r="L520" s="4">
        <v>24.81</v>
      </c>
      <c r="M520" t="s">
        <v>31</v>
      </c>
      <c r="N520" s="4">
        <v>24.81</v>
      </c>
      <c r="O520" t="s">
        <v>31</v>
      </c>
      <c r="X520" t="s">
        <v>35</v>
      </c>
      <c r="Y520"/>
      <c r="Z520">
        <v>20200131</v>
      </c>
      <c r="AA520">
        <f t="shared" si="8"/>
        <v>24.81</v>
      </c>
      <c r="AC520"/>
      <c r="AF520"/>
      <c r="AL520">
        <v>340915190</v>
      </c>
      <c r="AM520" t="s">
        <v>59</v>
      </c>
    </row>
    <row r="521" spans="1:39" x14ac:dyDescent="0.35">
      <c r="A521">
        <v>3409</v>
      </c>
      <c r="B521" t="s">
        <v>28</v>
      </c>
      <c r="C521">
        <v>2020</v>
      </c>
      <c r="D521" s="1">
        <v>43831</v>
      </c>
      <c r="E521">
        <v>6</v>
      </c>
      <c r="F521">
        <v>900011614</v>
      </c>
      <c r="G521" t="s">
        <v>29</v>
      </c>
      <c r="H521">
        <v>81</v>
      </c>
      <c r="I521">
        <v>71101060</v>
      </c>
      <c r="J521">
        <v>11500060</v>
      </c>
      <c r="K521" t="s">
        <v>30</v>
      </c>
      <c r="L521" s="4">
        <v>592.26</v>
      </c>
      <c r="M521" t="s">
        <v>31</v>
      </c>
      <c r="N521" s="4">
        <v>592.26</v>
      </c>
      <c r="O521" t="s">
        <v>31</v>
      </c>
      <c r="X521" t="s">
        <v>35</v>
      </c>
      <c r="Y521"/>
      <c r="Z521">
        <v>20200131</v>
      </c>
      <c r="AA521">
        <f t="shared" si="8"/>
        <v>592.26</v>
      </c>
      <c r="AC521"/>
      <c r="AF521"/>
      <c r="AL521">
        <v>340913090</v>
      </c>
      <c r="AM521" t="s">
        <v>60</v>
      </c>
    </row>
    <row r="522" spans="1:39" x14ac:dyDescent="0.35">
      <c r="A522">
        <v>3409</v>
      </c>
      <c r="B522" t="s">
        <v>28</v>
      </c>
      <c r="C522">
        <v>2020</v>
      </c>
      <c r="D522" s="1">
        <v>43831</v>
      </c>
      <c r="E522">
        <v>10</v>
      </c>
      <c r="F522">
        <v>900011625</v>
      </c>
      <c r="G522" t="s">
        <v>29</v>
      </c>
      <c r="H522">
        <v>81</v>
      </c>
      <c r="I522">
        <v>71101060</v>
      </c>
      <c r="J522">
        <v>11500060</v>
      </c>
      <c r="K522" t="s">
        <v>30</v>
      </c>
      <c r="L522" s="4">
        <v>317.33</v>
      </c>
      <c r="M522" t="s">
        <v>31</v>
      </c>
      <c r="N522" s="4">
        <v>317.33</v>
      </c>
      <c r="O522" t="s">
        <v>31</v>
      </c>
      <c r="X522" t="s">
        <v>35</v>
      </c>
      <c r="Y522"/>
      <c r="Z522">
        <v>20200131</v>
      </c>
      <c r="AA522">
        <f t="shared" si="8"/>
        <v>317.33</v>
      </c>
      <c r="AC522"/>
      <c r="AF522"/>
      <c r="AL522">
        <v>340912890</v>
      </c>
      <c r="AM522" t="s">
        <v>59</v>
      </c>
    </row>
    <row r="523" spans="1:39" x14ac:dyDescent="0.35">
      <c r="A523">
        <v>3409</v>
      </c>
      <c r="B523" t="s">
        <v>28</v>
      </c>
      <c r="C523">
        <v>2020</v>
      </c>
      <c r="D523" s="1">
        <v>43831</v>
      </c>
      <c r="E523">
        <v>12</v>
      </c>
      <c r="F523">
        <v>900011625</v>
      </c>
      <c r="G523" t="s">
        <v>29</v>
      </c>
      <c r="H523">
        <v>81</v>
      </c>
      <c r="I523">
        <v>71101060</v>
      </c>
      <c r="J523">
        <v>11500060</v>
      </c>
      <c r="K523" t="s">
        <v>30</v>
      </c>
      <c r="L523" s="4">
        <v>77.150000000000006</v>
      </c>
      <c r="M523" t="s">
        <v>31</v>
      </c>
      <c r="N523" s="4">
        <v>77.150000000000006</v>
      </c>
      <c r="O523" t="s">
        <v>31</v>
      </c>
      <c r="X523" t="s">
        <v>35</v>
      </c>
      <c r="Y523"/>
      <c r="Z523">
        <v>20200131</v>
      </c>
      <c r="AA523">
        <f t="shared" si="8"/>
        <v>77.150000000000006</v>
      </c>
      <c r="AC523"/>
      <c r="AF523"/>
      <c r="AL523">
        <v>340912890</v>
      </c>
      <c r="AM523" t="s">
        <v>59</v>
      </c>
    </row>
    <row r="524" spans="1:39" x14ac:dyDescent="0.35">
      <c r="A524">
        <v>3409</v>
      </c>
      <c r="B524" t="s">
        <v>28</v>
      </c>
      <c r="C524">
        <v>2020</v>
      </c>
      <c r="D524" s="1">
        <v>43831</v>
      </c>
      <c r="E524">
        <v>22</v>
      </c>
      <c r="F524">
        <v>900011625</v>
      </c>
      <c r="G524" t="s">
        <v>29</v>
      </c>
      <c r="H524">
        <v>81</v>
      </c>
      <c r="I524">
        <v>71101060</v>
      </c>
      <c r="J524">
        <v>11500060</v>
      </c>
      <c r="K524" t="s">
        <v>30</v>
      </c>
      <c r="L524" s="4">
        <v>1155.24</v>
      </c>
      <c r="M524" t="s">
        <v>31</v>
      </c>
      <c r="N524" s="4">
        <v>1155.24</v>
      </c>
      <c r="O524" t="s">
        <v>31</v>
      </c>
      <c r="X524" t="s">
        <v>35</v>
      </c>
      <c r="Y524"/>
      <c r="Z524">
        <v>20200131</v>
      </c>
      <c r="AA524">
        <f t="shared" si="8"/>
        <v>1155.24</v>
      </c>
      <c r="AC524"/>
      <c r="AF524"/>
      <c r="AL524">
        <v>340912890</v>
      </c>
      <c r="AM524" t="s">
        <v>59</v>
      </c>
    </row>
    <row r="525" spans="1:39" x14ac:dyDescent="0.35">
      <c r="A525">
        <v>3409</v>
      </c>
      <c r="B525" t="s">
        <v>28</v>
      </c>
      <c r="C525">
        <v>2020</v>
      </c>
      <c r="D525" s="1">
        <v>43831</v>
      </c>
      <c r="E525">
        <v>24</v>
      </c>
      <c r="F525">
        <v>900011625</v>
      </c>
      <c r="G525" t="s">
        <v>29</v>
      </c>
      <c r="H525">
        <v>81</v>
      </c>
      <c r="I525">
        <v>71101060</v>
      </c>
      <c r="J525">
        <v>11500060</v>
      </c>
      <c r="K525" t="s">
        <v>30</v>
      </c>
      <c r="L525" s="4">
        <v>5397</v>
      </c>
      <c r="M525" t="s">
        <v>31</v>
      </c>
      <c r="N525" s="4">
        <v>5397</v>
      </c>
      <c r="O525" t="s">
        <v>31</v>
      </c>
      <c r="X525" t="s">
        <v>35</v>
      </c>
      <c r="Y525"/>
      <c r="Z525">
        <v>20200131</v>
      </c>
      <c r="AA525">
        <f t="shared" si="8"/>
        <v>5397</v>
      </c>
      <c r="AC525"/>
      <c r="AF525"/>
      <c r="AL525">
        <v>340912890</v>
      </c>
      <c r="AM525" t="s">
        <v>59</v>
      </c>
    </row>
    <row r="526" spans="1:39" x14ac:dyDescent="0.35">
      <c r="A526">
        <v>3409</v>
      </c>
      <c r="B526" t="s">
        <v>28</v>
      </c>
      <c r="C526">
        <v>2020</v>
      </c>
      <c r="D526" s="1">
        <v>43831</v>
      </c>
      <c r="E526">
        <v>26</v>
      </c>
      <c r="F526">
        <v>900011625</v>
      </c>
      <c r="G526" t="s">
        <v>29</v>
      </c>
      <c r="H526">
        <v>81</v>
      </c>
      <c r="I526">
        <v>71101060</v>
      </c>
      <c r="J526">
        <v>11500060</v>
      </c>
      <c r="K526" t="s">
        <v>30</v>
      </c>
      <c r="L526" s="4">
        <v>2731.32</v>
      </c>
      <c r="M526" t="s">
        <v>31</v>
      </c>
      <c r="N526" s="4">
        <v>2731.32</v>
      </c>
      <c r="O526" t="s">
        <v>31</v>
      </c>
      <c r="X526" t="s">
        <v>35</v>
      </c>
      <c r="Y526"/>
      <c r="Z526">
        <v>20200131</v>
      </c>
      <c r="AA526">
        <f t="shared" si="8"/>
        <v>2731.32</v>
      </c>
      <c r="AC526"/>
      <c r="AF526"/>
      <c r="AL526">
        <v>340912890</v>
      </c>
      <c r="AM526" t="s">
        <v>59</v>
      </c>
    </row>
    <row r="527" spans="1:39" x14ac:dyDescent="0.35">
      <c r="A527">
        <v>3409</v>
      </c>
      <c r="B527" t="s">
        <v>28</v>
      </c>
      <c r="C527">
        <v>2020</v>
      </c>
      <c r="D527" s="1">
        <v>43831</v>
      </c>
      <c r="E527">
        <v>28</v>
      </c>
      <c r="F527">
        <v>900011625</v>
      </c>
      <c r="G527" t="s">
        <v>29</v>
      </c>
      <c r="H527">
        <v>81</v>
      </c>
      <c r="I527">
        <v>71101060</v>
      </c>
      <c r="J527">
        <v>11500060</v>
      </c>
      <c r="K527" t="s">
        <v>30</v>
      </c>
      <c r="L527" s="4">
        <v>1860.58</v>
      </c>
      <c r="M527" t="s">
        <v>31</v>
      </c>
      <c r="N527" s="4">
        <v>1860.58</v>
      </c>
      <c r="O527" t="s">
        <v>31</v>
      </c>
      <c r="X527" t="s">
        <v>35</v>
      </c>
      <c r="Y527"/>
      <c r="Z527">
        <v>20200131</v>
      </c>
      <c r="AA527">
        <f t="shared" si="8"/>
        <v>1860.58</v>
      </c>
      <c r="AC527"/>
      <c r="AF527"/>
      <c r="AL527">
        <v>340912890</v>
      </c>
      <c r="AM527" t="s">
        <v>59</v>
      </c>
    </row>
    <row r="528" spans="1:39" x14ac:dyDescent="0.35">
      <c r="A528">
        <v>3409</v>
      </c>
      <c r="B528" t="s">
        <v>28</v>
      </c>
      <c r="C528">
        <v>2020</v>
      </c>
      <c r="D528" s="1">
        <v>43831</v>
      </c>
      <c r="E528">
        <v>30</v>
      </c>
      <c r="F528">
        <v>900011625</v>
      </c>
      <c r="G528" t="s">
        <v>29</v>
      </c>
      <c r="H528">
        <v>81</v>
      </c>
      <c r="I528">
        <v>71101060</v>
      </c>
      <c r="J528">
        <v>11500060</v>
      </c>
      <c r="K528" t="s">
        <v>30</v>
      </c>
      <c r="L528" s="4">
        <v>1365</v>
      </c>
      <c r="M528" t="s">
        <v>31</v>
      </c>
      <c r="N528" s="4">
        <v>1365</v>
      </c>
      <c r="O528" t="s">
        <v>31</v>
      </c>
      <c r="X528" t="s">
        <v>35</v>
      </c>
      <c r="Y528"/>
      <c r="Z528">
        <v>20200131</v>
      </c>
      <c r="AA528">
        <f t="shared" si="8"/>
        <v>1365</v>
      </c>
      <c r="AC528"/>
      <c r="AF528"/>
      <c r="AL528">
        <v>340912890</v>
      </c>
      <c r="AM528" t="s">
        <v>59</v>
      </c>
    </row>
    <row r="529" spans="1:39" x14ac:dyDescent="0.35">
      <c r="A529">
        <v>3409</v>
      </c>
      <c r="B529" t="s">
        <v>28</v>
      </c>
      <c r="C529">
        <v>2020</v>
      </c>
      <c r="D529" s="1">
        <v>43831</v>
      </c>
      <c r="E529">
        <v>32</v>
      </c>
      <c r="F529">
        <v>900011625</v>
      </c>
      <c r="G529" t="s">
        <v>29</v>
      </c>
      <c r="H529">
        <v>81</v>
      </c>
      <c r="I529">
        <v>71101060</v>
      </c>
      <c r="J529">
        <v>11500060</v>
      </c>
      <c r="K529" t="s">
        <v>30</v>
      </c>
      <c r="L529" s="4">
        <v>1852.14</v>
      </c>
      <c r="M529" t="s">
        <v>31</v>
      </c>
      <c r="N529" s="4">
        <v>1852.14</v>
      </c>
      <c r="O529" t="s">
        <v>31</v>
      </c>
      <c r="X529" t="s">
        <v>35</v>
      </c>
      <c r="Y529"/>
      <c r="Z529">
        <v>20200131</v>
      </c>
      <c r="AA529">
        <f t="shared" si="8"/>
        <v>1852.14</v>
      </c>
      <c r="AC529"/>
      <c r="AF529"/>
      <c r="AL529">
        <v>340912890</v>
      </c>
      <c r="AM529" t="s">
        <v>59</v>
      </c>
    </row>
    <row r="530" spans="1:39" x14ac:dyDescent="0.35">
      <c r="A530">
        <v>3409</v>
      </c>
      <c r="B530" t="s">
        <v>28</v>
      </c>
      <c r="C530">
        <v>2020</v>
      </c>
      <c r="D530" s="1">
        <v>43831</v>
      </c>
      <c r="E530">
        <v>34</v>
      </c>
      <c r="F530">
        <v>900011625</v>
      </c>
      <c r="G530" t="s">
        <v>29</v>
      </c>
      <c r="H530">
        <v>81</v>
      </c>
      <c r="I530">
        <v>71101060</v>
      </c>
      <c r="J530">
        <v>11500060</v>
      </c>
      <c r="K530" t="s">
        <v>30</v>
      </c>
      <c r="L530" s="4">
        <v>2108.92</v>
      </c>
      <c r="M530" t="s">
        <v>31</v>
      </c>
      <c r="N530" s="4">
        <v>2108.92</v>
      </c>
      <c r="O530" t="s">
        <v>31</v>
      </c>
      <c r="X530" t="s">
        <v>35</v>
      </c>
      <c r="Y530"/>
      <c r="Z530">
        <v>20200131</v>
      </c>
      <c r="AA530">
        <f t="shared" ref="AA530:AA593" si="9">L530</f>
        <v>2108.92</v>
      </c>
      <c r="AC530"/>
      <c r="AF530"/>
      <c r="AL530">
        <v>340912890</v>
      </c>
      <c r="AM530" t="s">
        <v>59</v>
      </c>
    </row>
    <row r="531" spans="1:39" x14ac:dyDescent="0.35">
      <c r="A531">
        <v>3409</v>
      </c>
      <c r="B531" t="s">
        <v>28</v>
      </c>
      <c r="C531">
        <v>2020</v>
      </c>
      <c r="D531" s="1">
        <v>43831</v>
      </c>
      <c r="E531">
        <v>36</v>
      </c>
      <c r="F531">
        <v>900011625</v>
      </c>
      <c r="G531" t="s">
        <v>29</v>
      </c>
      <c r="H531">
        <v>81</v>
      </c>
      <c r="I531">
        <v>71101060</v>
      </c>
      <c r="J531">
        <v>11500060</v>
      </c>
      <c r="K531" t="s">
        <v>30</v>
      </c>
      <c r="L531" s="4">
        <v>2873.44</v>
      </c>
      <c r="M531" t="s">
        <v>31</v>
      </c>
      <c r="N531" s="4">
        <v>2873.44</v>
      </c>
      <c r="O531" t="s">
        <v>31</v>
      </c>
      <c r="X531" t="s">
        <v>35</v>
      </c>
      <c r="Y531"/>
      <c r="Z531">
        <v>20200131</v>
      </c>
      <c r="AA531">
        <f t="shared" si="9"/>
        <v>2873.44</v>
      </c>
      <c r="AC531"/>
      <c r="AF531"/>
      <c r="AL531">
        <v>340912890</v>
      </c>
      <c r="AM531" t="s">
        <v>59</v>
      </c>
    </row>
    <row r="532" spans="1:39" x14ac:dyDescent="0.35">
      <c r="A532">
        <v>3409</v>
      </c>
      <c r="B532" t="s">
        <v>28</v>
      </c>
      <c r="C532">
        <v>2020</v>
      </c>
      <c r="D532" s="1">
        <v>43831</v>
      </c>
      <c r="E532">
        <v>38</v>
      </c>
      <c r="F532">
        <v>900011625</v>
      </c>
      <c r="G532" t="s">
        <v>29</v>
      </c>
      <c r="H532">
        <v>81</v>
      </c>
      <c r="I532">
        <v>71101060</v>
      </c>
      <c r="J532">
        <v>11500060</v>
      </c>
      <c r="K532" t="s">
        <v>30</v>
      </c>
      <c r="L532" s="4">
        <v>2317.56</v>
      </c>
      <c r="M532" t="s">
        <v>31</v>
      </c>
      <c r="N532" s="4">
        <v>2317.56</v>
      </c>
      <c r="O532" t="s">
        <v>31</v>
      </c>
      <c r="X532" t="s">
        <v>35</v>
      </c>
      <c r="Y532"/>
      <c r="Z532">
        <v>20200131</v>
      </c>
      <c r="AA532">
        <f t="shared" si="9"/>
        <v>2317.56</v>
      </c>
      <c r="AC532"/>
      <c r="AF532"/>
      <c r="AL532">
        <v>340912890</v>
      </c>
      <c r="AM532" t="s">
        <v>59</v>
      </c>
    </row>
    <row r="533" spans="1:39" x14ac:dyDescent="0.35">
      <c r="A533">
        <v>3409</v>
      </c>
      <c r="B533" t="s">
        <v>28</v>
      </c>
      <c r="C533">
        <v>2020</v>
      </c>
      <c r="D533" s="1">
        <v>43831</v>
      </c>
      <c r="E533">
        <v>40</v>
      </c>
      <c r="F533">
        <v>900011625</v>
      </c>
      <c r="G533" t="s">
        <v>29</v>
      </c>
      <c r="H533">
        <v>81</v>
      </c>
      <c r="I533">
        <v>71101060</v>
      </c>
      <c r="J533">
        <v>11500060</v>
      </c>
      <c r="K533" t="s">
        <v>30</v>
      </c>
      <c r="L533" s="4">
        <v>210</v>
      </c>
      <c r="M533" t="s">
        <v>31</v>
      </c>
      <c r="N533" s="4">
        <v>210</v>
      </c>
      <c r="O533" t="s">
        <v>31</v>
      </c>
      <c r="X533" t="s">
        <v>35</v>
      </c>
      <c r="Y533"/>
      <c r="Z533">
        <v>20200131</v>
      </c>
      <c r="AA533">
        <f t="shared" si="9"/>
        <v>210</v>
      </c>
      <c r="AC533"/>
      <c r="AF533"/>
      <c r="AL533">
        <v>340912890</v>
      </c>
      <c r="AM533" t="s">
        <v>59</v>
      </c>
    </row>
    <row r="534" spans="1:39" x14ac:dyDescent="0.35">
      <c r="A534">
        <v>3409</v>
      </c>
      <c r="B534" t="s">
        <v>28</v>
      </c>
      <c r="C534">
        <v>2020</v>
      </c>
      <c r="D534" s="1">
        <v>43831</v>
      </c>
      <c r="E534">
        <v>42</v>
      </c>
      <c r="F534">
        <v>900011625</v>
      </c>
      <c r="G534" t="s">
        <v>29</v>
      </c>
      <c r="H534">
        <v>81</v>
      </c>
      <c r="I534">
        <v>71101060</v>
      </c>
      <c r="J534">
        <v>11500060</v>
      </c>
      <c r="K534" t="s">
        <v>30</v>
      </c>
      <c r="L534" s="4">
        <v>1735.62</v>
      </c>
      <c r="M534" t="s">
        <v>31</v>
      </c>
      <c r="N534" s="4">
        <v>1735.62</v>
      </c>
      <c r="O534" t="s">
        <v>31</v>
      </c>
      <c r="X534" t="s">
        <v>35</v>
      </c>
      <c r="Y534"/>
      <c r="Z534">
        <v>20200131</v>
      </c>
      <c r="AA534">
        <f t="shared" si="9"/>
        <v>1735.62</v>
      </c>
      <c r="AC534"/>
      <c r="AF534"/>
      <c r="AL534">
        <v>340912890</v>
      </c>
      <c r="AM534" t="s">
        <v>59</v>
      </c>
    </row>
    <row r="535" spans="1:39" x14ac:dyDescent="0.35">
      <c r="A535">
        <v>3409</v>
      </c>
      <c r="B535" t="s">
        <v>28</v>
      </c>
      <c r="C535">
        <v>2020</v>
      </c>
      <c r="D535" s="1">
        <v>43831</v>
      </c>
      <c r="E535">
        <v>46</v>
      </c>
      <c r="F535">
        <v>900011625</v>
      </c>
      <c r="G535" t="s">
        <v>29</v>
      </c>
      <c r="H535">
        <v>81</v>
      </c>
      <c r="I535">
        <v>71101060</v>
      </c>
      <c r="J535">
        <v>11500060</v>
      </c>
      <c r="K535" t="s">
        <v>30</v>
      </c>
      <c r="L535" s="4">
        <v>1029.69</v>
      </c>
      <c r="M535" t="s">
        <v>31</v>
      </c>
      <c r="N535" s="4">
        <v>1029.69</v>
      </c>
      <c r="O535" t="s">
        <v>31</v>
      </c>
      <c r="X535" t="s">
        <v>35</v>
      </c>
      <c r="Y535"/>
      <c r="Z535">
        <v>20200131</v>
      </c>
      <c r="AA535">
        <f t="shared" si="9"/>
        <v>1029.69</v>
      </c>
      <c r="AC535"/>
      <c r="AF535"/>
      <c r="AL535">
        <v>340912890</v>
      </c>
      <c r="AM535" t="s">
        <v>59</v>
      </c>
    </row>
    <row r="536" spans="1:39" x14ac:dyDescent="0.35">
      <c r="A536">
        <v>3409</v>
      </c>
      <c r="B536" t="s">
        <v>28</v>
      </c>
      <c r="C536">
        <v>2020</v>
      </c>
      <c r="D536" s="1">
        <v>43831</v>
      </c>
      <c r="E536">
        <v>48</v>
      </c>
      <c r="F536">
        <v>900011625</v>
      </c>
      <c r="G536" t="s">
        <v>29</v>
      </c>
      <c r="H536">
        <v>81</v>
      </c>
      <c r="I536">
        <v>71101060</v>
      </c>
      <c r="J536">
        <v>11500060</v>
      </c>
      <c r="K536" t="s">
        <v>30</v>
      </c>
      <c r="L536" s="4">
        <v>1300</v>
      </c>
      <c r="M536" t="s">
        <v>31</v>
      </c>
      <c r="N536" s="4">
        <v>1300</v>
      </c>
      <c r="O536" t="s">
        <v>31</v>
      </c>
      <c r="X536" t="s">
        <v>35</v>
      </c>
      <c r="Y536"/>
      <c r="Z536">
        <v>20200131</v>
      </c>
      <c r="AA536">
        <f t="shared" si="9"/>
        <v>1300</v>
      </c>
      <c r="AC536"/>
      <c r="AF536"/>
      <c r="AL536">
        <v>340912890</v>
      </c>
      <c r="AM536" t="s">
        <v>59</v>
      </c>
    </row>
    <row r="537" spans="1:39" x14ac:dyDescent="0.35">
      <c r="A537">
        <v>3409</v>
      </c>
      <c r="B537" t="s">
        <v>28</v>
      </c>
      <c r="C537">
        <v>2020</v>
      </c>
      <c r="D537" s="1">
        <v>43831</v>
      </c>
      <c r="E537">
        <v>50</v>
      </c>
      <c r="F537">
        <v>900011625</v>
      </c>
      <c r="G537" t="s">
        <v>29</v>
      </c>
      <c r="H537">
        <v>81</v>
      </c>
      <c r="I537">
        <v>71101060</v>
      </c>
      <c r="J537">
        <v>11500060</v>
      </c>
      <c r="K537" t="s">
        <v>30</v>
      </c>
      <c r="L537" s="4">
        <v>1336</v>
      </c>
      <c r="M537" t="s">
        <v>31</v>
      </c>
      <c r="N537" s="4">
        <v>1336</v>
      </c>
      <c r="O537" t="s">
        <v>31</v>
      </c>
      <c r="X537" t="s">
        <v>35</v>
      </c>
      <c r="Y537"/>
      <c r="Z537">
        <v>20200131</v>
      </c>
      <c r="AA537">
        <f t="shared" si="9"/>
        <v>1336</v>
      </c>
      <c r="AC537"/>
      <c r="AF537"/>
      <c r="AL537">
        <v>340912890</v>
      </c>
      <c r="AM537" t="s">
        <v>59</v>
      </c>
    </row>
    <row r="538" spans="1:39" x14ac:dyDescent="0.35">
      <c r="A538">
        <v>3409</v>
      </c>
      <c r="B538" t="s">
        <v>28</v>
      </c>
      <c r="C538">
        <v>2020</v>
      </c>
      <c r="D538" s="1">
        <v>43831</v>
      </c>
      <c r="E538">
        <v>54</v>
      </c>
      <c r="F538">
        <v>900011625</v>
      </c>
      <c r="G538" t="s">
        <v>29</v>
      </c>
      <c r="H538">
        <v>81</v>
      </c>
      <c r="I538">
        <v>71101060</v>
      </c>
      <c r="J538">
        <v>11500060</v>
      </c>
      <c r="K538" t="s">
        <v>30</v>
      </c>
      <c r="L538" s="4">
        <v>266.86</v>
      </c>
      <c r="M538" t="s">
        <v>31</v>
      </c>
      <c r="N538" s="4">
        <v>266.86</v>
      </c>
      <c r="O538" t="s">
        <v>31</v>
      </c>
      <c r="X538" t="s">
        <v>35</v>
      </c>
      <c r="Y538"/>
      <c r="Z538">
        <v>20200131</v>
      </c>
      <c r="AA538">
        <f t="shared" si="9"/>
        <v>266.86</v>
      </c>
      <c r="AC538"/>
      <c r="AF538"/>
      <c r="AL538">
        <v>340912890</v>
      </c>
      <c r="AM538" t="s">
        <v>59</v>
      </c>
    </row>
    <row r="539" spans="1:39" x14ac:dyDescent="0.35">
      <c r="A539">
        <v>3409</v>
      </c>
      <c r="B539" t="s">
        <v>28</v>
      </c>
      <c r="C539">
        <v>2020</v>
      </c>
      <c r="D539" s="1">
        <v>43831</v>
      </c>
      <c r="E539">
        <v>56</v>
      </c>
      <c r="F539">
        <v>900011625</v>
      </c>
      <c r="G539" t="s">
        <v>29</v>
      </c>
      <c r="H539">
        <v>81</v>
      </c>
      <c r="I539">
        <v>71101060</v>
      </c>
      <c r="J539">
        <v>11500060</v>
      </c>
      <c r="K539" t="s">
        <v>30</v>
      </c>
      <c r="L539" s="4">
        <v>524</v>
      </c>
      <c r="M539" t="s">
        <v>31</v>
      </c>
      <c r="N539" s="4">
        <v>524</v>
      </c>
      <c r="O539" t="s">
        <v>31</v>
      </c>
      <c r="X539" t="s">
        <v>35</v>
      </c>
      <c r="Y539"/>
      <c r="Z539">
        <v>20200131</v>
      </c>
      <c r="AA539">
        <f t="shared" si="9"/>
        <v>524</v>
      </c>
      <c r="AC539"/>
      <c r="AF539"/>
      <c r="AL539">
        <v>340912890</v>
      </c>
      <c r="AM539" t="s">
        <v>59</v>
      </c>
    </row>
    <row r="540" spans="1:39" x14ac:dyDescent="0.35">
      <c r="A540">
        <v>3409</v>
      </c>
      <c r="B540" t="s">
        <v>28</v>
      </c>
      <c r="C540">
        <v>2020</v>
      </c>
      <c r="D540" s="1">
        <v>43831</v>
      </c>
      <c r="E540">
        <v>58</v>
      </c>
      <c r="F540">
        <v>900011625</v>
      </c>
      <c r="G540" t="s">
        <v>29</v>
      </c>
      <c r="H540">
        <v>81</v>
      </c>
      <c r="I540">
        <v>71101060</v>
      </c>
      <c r="J540">
        <v>11500060</v>
      </c>
      <c r="K540" t="s">
        <v>30</v>
      </c>
      <c r="L540" s="4">
        <v>448.54</v>
      </c>
      <c r="M540" t="s">
        <v>31</v>
      </c>
      <c r="N540" s="4">
        <v>448.54</v>
      </c>
      <c r="O540" t="s">
        <v>31</v>
      </c>
      <c r="X540" t="s">
        <v>35</v>
      </c>
      <c r="Y540"/>
      <c r="Z540">
        <v>20200131</v>
      </c>
      <c r="AA540">
        <f t="shared" si="9"/>
        <v>448.54</v>
      </c>
      <c r="AC540"/>
      <c r="AF540"/>
      <c r="AL540">
        <v>340912890</v>
      </c>
      <c r="AM540" t="s">
        <v>59</v>
      </c>
    </row>
    <row r="541" spans="1:39" x14ac:dyDescent="0.35">
      <c r="A541">
        <v>3409</v>
      </c>
      <c r="B541" t="s">
        <v>28</v>
      </c>
      <c r="C541">
        <v>2020</v>
      </c>
      <c r="D541" s="1">
        <v>43831</v>
      </c>
      <c r="E541">
        <v>60</v>
      </c>
      <c r="F541">
        <v>900011625</v>
      </c>
      <c r="G541" t="s">
        <v>29</v>
      </c>
      <c r="H541">
        <v>81</v>
      </c>
      <c r="I541">
        <v>71101060</v>
      </c>
      <c r="J541">
        <v>11500060</v>
      </c>
      <c r="K541" t="s">
        <v>30</v>
      </c>
      <c r="L541" s="4">
        <v>213.3</v>
      </c>
      <c r="M541" t="s">
        <v>31</v>
      </c>
      <c r="N541" s="4">
        <v>213.3</v>
      </c>
      <c r="O541" t="s">
        <v>31</v>
      </c>
      <c r="X541" t="s">
        <v>35</v>
      </c>
      <c r="Y541"/>
      <c r="Z541">
        <v>20200131</v>
      </c>
      <c r="AA541">
        <f t="shared" si="9"/>
        <v>213.3</v>
      </c>
      <c r="AC541"/>
      <c r="AF541"/>
      <c r="AL541">
        <v>340912890</v>
      </c>
      <c r="AM541" t="s">
        <v>59</v>
      </c>
    </row>
    <row r="542" spans="1:39" x14ac:dyDescent="0.35">
      <c r="A542">
        <v>3409</v>
      </c>
      <c r="B542" t="s">
        <v>28</v>
      </c>
      <c r="C542">
        <v>2020</v>
      </c>
      <c r="D542" s="1">
        <v>43831</v>
      </c>
      <c r="E542">
        <v>62</v>
      </c>
      <c r="F542">
        <v>900011625</v>
      </c>
      <c r="G542" t="s">
        <v>29</v>
      </c>
      <c r="H542">
        <v>81</v>
      </c>
      <c r="I542">
        <v>71101060</v>
      </c>
      <c r="J542">
        <v>11500060</v>
      </c>
      <c r="K542" t="s">
        <v>30</v>
      </c>
      <c r="L542" s="4">
        <v>1187.3599999999999</v>
      </c>
      <c r="M542" t="s">
        <v>31</v>
      </c>
      <c r="N542" s="4">
        <v>1187.3599999999999</v>
      </c>
      <c r="O542" t="s">
        <v>31</v>
      </c>
      <c r="X542" t="s">
        <v>35</v>
      </c>
      <c r="Y542"/>
      <c r="Z542">
        <v>20200131</v>
      </c>
      <c r="AA542">
        <f t="shared" si="9"/>
        <v>1187.3599999999999</v>
      </c>
      <c r="AC542"/>
      <c r="AF542"/>
      <c r="AL542">
        <v>340912890</v>
      </c>
      <c r="AM542" t="s">
        <v>59</v>
      </c>
    </row>
    <row r="543" spans="1:39" x14ac:dyDescent="0.35">
      <c r="A543">
        <v>3409</v>
      </c>
      <c r="B543" t="s">
        <v>28</v>
      </c>
      <c r="C543">
        <v>2020</v>
      </c>
      <c r="D543" s="1">
        <v>43831</v>
      </c>
      <c r="E543">
        <v>64</v>
      </c>
      <c r="F543">
        <v>900011625</v>
      </c>
      <c r="G543" t="s">
        <v>29</v>
      </c>
      <c r="H543">
        <v>81</v>
      </c>
      <c r="I543">
        <v>71101060</v>
      </c>
      <c r="J543">
        <v>11500060</v>
      </c>
      <c r="K543" t="s">
        <v>30</v>
      </c>
      <c r="L543" s="4">
        <v>1564.45</v>
      </c>
      <c r="M543" t="s">
        <v>31</v>
      </c>
      <c r="N543" s="4">
        <v>1564.45</v>
      </c>
      <c r="O543" t="s">
        <v>31</v>
      </c>
      <c r="X543" t="s">
        <v>35</v>
      </c>
      <c r="Y543"/>
      <c r="Z543">
        <v>20200131</v>
      </c>
      <c r="AA543">
        <f t="shared" si="9"/>
        <v>1564.45</v>
      </c>
      <c r="AC543"/>
      <c r="AF543"/>
      <c r="AL543">
        <v>340912890</v>
      </c>
      <c r="AM543" t="s">
        <v>59</v>
      </c>
    </row>
    <row r="544" spans="1:39" x14ac:dyDescent="0.35">
      <c r="A544">
        <v>3409</v>
      </c>
      <c r="B544" t="s">
        <v>28</v>
      </c>
      <c r="C544">
        <v>2020</v>
      </c>
      <c r="D544" s="1">
        <v>43831</v>
      </c>
      <c r="E544">
        <v>66</v>
      </c>
      <c r="F544">
        <v>900011625</v>
      </c>
      <c r="G544" t="s">
        <v>29</v>
      </c>
      <c r="H544">
        <v>81</v>
      </c>
      <c r="I544">
        <v>71101060</v>
      </c>
      <c r="J544">
        <v>11500060</v>
      </c>
      <c r="K544" t="s">
        <v>30</v>
      </c>
      <c r="L544" s="4">
        <v>1411.31</v>
      </c>
      <c r="M544" t="s">
        <v>31</v>
      </c>
      <c r="N544" s="4">
        <v>1411.31</v>
      </c>
      <c r="O544" t="s">
        <v>31</v>
      </c>
      <c r="X544" t="s">
        <v>35</v>
      </c>
      <c r="Y544"/>
      <c r="Z544">
        <v>20200131</v>
      </c>
      <c r="AA544">
        <f t="shared" si="9"/>
        <v>1411.31</v>
      </c>
      <c r="AC544"/>
      <c r="AF544"/>
      <c r="AL544">
        <v>340912890</v>
      </c>
      <c r="AM544" t="s">
        <v>59</v>
      </c>
    </row>
    <row r="545" spans="1:39" x14ac:dyDescent="0.35">
      <c r="A545">
        <v>3409</v>
      </c>
      <c r="B545" t="s">
        <v>28</v>
      </c>
      <c r="C545">
        <v>2020</v>
      </c>
      <c r="D545" s="1">
        <v>43831</v>
      </c>
      <c r="E545">
        <v>68</v>
      </c>
      <c r="F545">
        <v>900011625</v>
      </c>
      <c r="G545" t="s">
        <v>29</v>
      </c>
      <c r="H545">
        <v>81</v>
      </c>
      <c r="I545">
        <v>71101060</v>
      </c>
      <c r="J545">
        <v>11500060</v>
      </c>
      <c r="K545" t="s">
        <v>30</v>
      </c>
      <c r="L545" s="4">
        <v>381.46</v>
      </c>
      <c r="M545" t="s">
        <v>31</v>
      </c>
      <c r="N545" s="4">
        <v>381.46</v>
      </c>
      <c r="O545" t="s">
        <v>31</v>
      </c>
      <c r="X545" t="s">
        <v>35</v>
      </c>
      <c r="Y545"/>
      <c r="Z545">
        <v>20200131</v>
      </c>
      <c r="AA545">
        <f t="shared" si="9"/>
        <v>381.46</v>
      </c>
      <c r="AC545"/>
      <c r="AF545"/>
      <c r="AL545">
        <v>340912890</v>
      </c>
      <c r="AM545" t="s">
        <v>59</v>
      </c>
    </row>
    <row r="546" spans="1:39" x14ac:dyDescent="0.35">
      <c r="A546">
        <v>3409</v>
      </c>
      <c r="B546" t="s">
        <v>28</v>
      </c>
      <c r="C546">
        <v>2020</v>
      </c>
      <c r="D546" s="1">
        <v>43831</v>
      </c>
      <c r="E546">
        <v>76</v>
      </c>
      <c r="F546">
        <v>900011625</v>
      </c>
      <c r="G546" t="s">
        <v>29</v>
      </c>
      <c r="H546">
        <v>81</v>
      </c>
      <c r="I546">
        <v>71101060</v>
      </c>
      <c r="J546">
        <v>11500060</v>
      </c>
      <c r="K546" t="s">
        <v>30</v>
      </c>
      <c r="L546" s="4">
        <v>672</v>
      </c>
      <c r="M546" t="s">
        <v>31</v>
      </c>
      <c r="N546" s="4">
        <v>672</v>
      </c>
      <c r="O546" t="s">
        <v>31</v>
      </c>
      <c r="X546" t="s">
        <v>35</v>
      </c>
      <c r="Y546"/>
      <c r="Z546">
        <v>20200131</v>
      </c>
      <c r="AA546">
        <f t="shared" si="9"/>
        <v>672</v>
      </c>
      <c r="AC546"/>
      <c r="AF546"/>
      <c r="AL546">
        <v>340912890</v>
      </c>
      <c r="AM546" t="s">
        <v>59</v>
      </c>
    </row>
    <row r="547" spans="1:39" x14ac:dyDescent="0.35">
      <c r="A547">
        <v>3409</v>
      </c>
      <c r="B547" t="s">
        <v>28</v>
      </c>
      <c r="C547">
        <v>2020</v>
      </c>
      <c r="D547" s="1">
        <v>43831</v>
      </c>
      <c r="E547">
        <v>78</v>
      </c>
      <c r="F547">
        <v>900011625</v>
      </c>
      <c r="G547" t="s">
        <v>29</v>
      </c>
      <c r="H547">
        <v>81</v>
      </c>
      <c r="I547">
        <v>71101060</v>
      </c>
      <c r="J547">
        <v>11500060</v>
      </c>
      <c r="K547" t="s">
        <v>30</v>
      </c>
      <c r="L547" s="4">
        <v>393.28</v>
      </c>
      <c r="M547" t="s">
        <v>31</v>
      </c>
      <c r="N547" s="4">
        <v>393.28</v>
      </c>
      <c r="O547" t="s">
        <v>31</v>
      </c>
      <c r="X547" t="s">
        <v>35</v>
      </c>
      <c r="Y547"/>
      <c r="Z547">
        <v>20200131</v>
      </c>
      <c r="AA547">
        <f t="shared" si="9"/>
        <v>393.28</v>
      </c>
      <c r="AC547"/>
      <c r="AF547"/>
      <c r="AL547">
        <v>340912890</v>
      </c>
      <c r="AM547" t="s">
        <v>59</v>
      </c>
    </row>
    <row r="548" spans="1:39" x14ac:dyDescent="0.35">
      <c r="A548">
        <v>3409</v>
      </c>
      <c r="B548" t="s">
        <v>28</v>
      </c>
      <c r="C548">
        <v>2020</v>
      </c>
      <c r="D548" s="1">
        <v>43831</v>
      </c>
      <c r="E548">
        <v>80</v>
      </c>
      <c r="F548">
        <v>900011625</v>
      </c>
      <c r="G548" t="s">
        <v>29</v>
      </c>
      <c r="H548">
        <v>81</v>
      </c>
      <c r="I548">
        <v>71101060</v>
      </c>
      <c r="J548">
        <v>11500060</v>
      </c>
      <c r="K548" t="s">
        <v>30</v>
      </c>
      <c r="L548" s="4">
        <v>393.28</v>
      </c>
      <c r="M548" t="s">
        <v>31</v>
      </c>
      <c r="N548" s="4">
        <v>393.28</v>
      </c>
      <c r="O548" t="s">
        <v>31</v>
      </c>
      <c r="X548" t="s">
        <v>35</v>
      </c>
      <c r="Y548"/>
      <c r="Z548">
        <v>20200131</v>
      </c>
      <c r="AA548">
        <f t="shared" si="9"/>
        <v>393.28</v>
      </c>
      <c r="AC548"/>
      <c r="AF548"/>
      <c r="AL548">
        <v>340912890</v>
      </c>
      <c r="AM548" t="s">
        <v>59</v>
      </c>
    </row>
    <row r="549" spans="1:39" x14ac:dyDescent="0.35">
      <c r="A549">
        <v>3409</v>
      </c>
      <c r="B549" t="s">
        <v>28</v>
      </c>
      <c r="C549">
        <v>2020</v>
      </c>
      <c r="D549" s="1">
        <v>43831</v>
      </c>
      <c r="E549">
        <v>100</v>
      </c>
      <c r="F549">
        <v>900011625</v>
      </c>
      <c r="G549" t="s">
        <v>29</v>
      </c>
      <c r="H549">
        <v>81</v>
      </c>
      <c r="I549">
        <v>71101060</v>
      </c>
      <c r="J549">
        <v>11500060</v>
      </c>
      <c r="K549" t="s">
        <v>30</v>
      </c>
      <c r="L549" s="4">
        <v>984.22</v>
      </c>
      <c r="M549" t="s">
        <v>31</v>
      </c>
      <c r="N549" s="4">
        <v>984.22</v>
      </c>
      <c r="O549" t="s">
        <v>31</v>
      </c>
      <c r="X549" t="s">
        <v>35</v>
      </c>
      <c r="Y549"/>
      <c r="Z549">
        <v>20200131</v>
      </c>
      <c r="AA549">
        <f t="shared" si="9"/>
        <v>984.22</v>
      </c>
      <c r="AC549"/>
      <c r="AF549"/>
      <c r="AL549">
        <v>340912890</v>
      </c>
      <c r="AM549" t="s">
        <v>59</v>
      </c>
    </row>
    <row r="550" spans="1:39" x14ac:dyDescent="0.35">
      <c r="A550">
        <v>3409</v>
      </c>
      <c r="B550" t="s">
        <v>28</v>
      </c>
      <c r="C550">
        <v>2020</v>
      </c>
      <c r="D550" s="1">
        <v>43831</v>
      </c>
      <c r="E550">
        <v>102</v>
      </c>
      <c r="F550">
        <v>900011625</v>
      </c>
      <c r="G550" t="s">
        <v>29</v>
      </c>
      <c r="H550">
        <v>81</v>
      </c>
      <c r="I550">
        <v>71101060</v>
      </c>
      <c r="J550">
        <v>11500060</v>
      </c>
      <c r="K550" t="s">
        <v>30</v>
      </c>
      <c r="L550" s="4">
        <v>6181.04</v>
      </c>
      <c r="M550" t="s">
        <v>31</v>
      </c>
      <c r="N550" s="4">
        <v>6181.04</v>
      </c>
      <c r="O550" t="s">
        <v>31</v>
      </c>
      <c r="X550" t="s">
        <v>35</v>
      </c>
      <c r="Y550"/>
      <c r="Z550">
        <v>20200131</v>
      </c>
      <c r="AA550">
        <f t="shared" si="9"/>
        <v>6181.04</v>
      </c>
      <c r="AC550"/>
      <c r="AF550"/>
      <c r="AL550">
        <v>340912890</v>
      </c>
      <c r="AM550" t="s">
        <v>59</v>
      </c>
    </row>
    <row r="551" spans="1:39" x14ac:dyDescent="0.35">
      <c r="A551">
        <v>3409</v>
      </c>
      <c r="B551" t="s">
        <v>28</v>
      </c>
      <c r="C551">
        <v>2020</v>
      </c>
      <c r="D551" s="1">
        <v>43831</v>
      </c>
      <c r="E551">
        <v>14</v>
      </c>
      <c r="F551">
        <v>900011635</v>
      </c>
      <c r="G551" t="s">
        <v>29</v>
      </c>
      <c r="H551">
        <v>81</v>
      </c>
      <c r="I551">
        <v>71101060</v>
      </c>
      <c r="J551">
        <v>11500030</v>
      </c>
      <c r="K551" t="s">
        <v>30</v>
      </c>
      <c r="L551" s="4">
        <v>160.97</v>
      </c>
      <c r="M551" t="s">
        <v>31</v>
      </c>
      <c r="N551" s="4">
        <v>160.97</v>
      </c>
      <c r="O551" t="s">
        <v>31</v>
      </c>
      <c r="X551" t="s">
        <v>35</v>
      </c>
      <c r="Y551"/>
      <c r="Z551">
        <v>20200131</v>
      </c>
      <c r="AA551">
        <f t="shared" si="9"/>
        <v>160.97</v>
      </c>
      <c r="AC551"/>
      <c r="AF551"/>
      <c r="AL551">
        <v>340932290</v>
      </c>
      <c r="AM551" t="s">
        <v>59</v>
      </c>
    </row>
    <row r="552" spans="1:39" x14ac:dyDescent="0.35">
      <c r="A552">
        <v>3409</v>
      </c>
      <c r="B552" t="s">
        <v>28</v>
      </c>
      <c r="C552">
        <v>2020</v>
      </c>
      <c r="D552" s="1">
        <v>43831</v>
      </c>
      <c r="E552">
        <v>4</v>
      </c>
      <c r="F552">
        <v>900011651</v>
      </c>
      <c r="G552" t="s">
        <v>29</v>
      </c>
      <c r="H552">
        <v>81</v>
      </c>
      <c r="I552">
        <v>71101060</v>
      </c>
      <c r="J552">
        <v>11500060</v>
      </c>
      <c r="K552" t="s">
        <v>30</v>
      </c>
      <c r="L552" s="4">
        <v>2519.85</v>
      </c>
      <c r="M552" t="s">
        <v>31</v>
      </c>
      <c r="N552" s="4">
        <v>2519.85</v>
      </c>
      <c r="O552" t="s">
        <v>31</v>
      </c>
      <c r="X552" t="s">
        <v>35</v>
      </c>
      <c r="Y552"/>
      <c r="Z552">
        <v>20200131</v>
      </c>
      <c r="AA552">
        <f t="shared" si="9"/>
        <v>2519.85</v>
      </c>
      <c r="AC552"/>
      <c r="AF552"/>
      <c r="AL552">
        <v>340910590</v>
      </c>
      <c r="AM552" t="s">
        <v>59</v>
      </c>
    </row>
    <row r="553" spans="1:39" x14ac:dyDescent="0.35">
      <c r="A553">
        <v>3409</v>
      </c>
      <c r="B553" t="s">
        <v>28</v>
      </c>
      <c r="C553">
        <v>2020</v>
      </c>
      <c r="D553" s="1">
        <v>43831</v>
      </c>
      <c r="E553">
        <v>6</v>
      </c>
      <c r="F553">
        <v>900011651</v>
      </c>
      <c r="G553" t="s">
        <v>29</v>
      </c>
      <c r="H553">
        <v>81</v>
      </c>
      <c r="I553">
        <v>71101060</v>
      </c>
      <c r="J553">
        <v>11500060</v>
      </c>
      <c r="K553" t="s">
        <v>30</v>
      </c>
      <c r="L553" s="4">
        <v>717.66</v>
      </c>
      <c r="M553" t="s">
        <v>31</v>
      </c>
      <c r="N553" s="4">
        <v>717.66</v>
      </c>
      <c r="O553" t="s">
        <v>31</v>
      </c>
      <c r="X553" t="s">
        <v>35</v>
      </c>
      <c r="Y553"/>
      <c r="Z553">
        <v>20200131</v>
      </c>
      <c r="AA553">
        <f t="shared" si="9"/>
        <v>717.66</v>
      </c>
      <c r="AC553"/>
      <c r="AF553"/>
      <c r="AL553">
        <v>340910590</v>
      </c>
      <c r="AM553" t="s">
        <v>59</v>
      </c>
    </row>
    <row r="554" spans="1:39" x14ac:dyDescent="0.35">
      <c r="A554">
        <v>3409</v>
      </c>
      <c r="B554" t="s">
        <v>28</v>
      </c>
      <c r="C554">
        <v>2020</v>
      </c>
      <c r="D554" s="1">
        <v>43831</v>
      </c>
      <c r="E554">
        <v>10</v>
      </c>
      <c r="F554">
        <v>900011651</v>
      </c>
      <c r="G554" t="s">
        <v>29</v>
      </c>
      <c r="H554">
        <v>81</v>
      </c>
      <c r="I554">
        <v>71101060</v>
      </c>
      <c r="J554">
        <v>11500060</v>
      </c>
      <c r="K554" t="s">
        <v>30</v>
      </c>
      <c r="L554" s="4">
        <v>696</v>
      </c>
      <c r="M554" t="s">
        <v>31</v>
      </c>
      <c r="N554" s="4">
        <v>696</v>
      </c>
      <c r="O554" t="s">
        <v>31</v>
      </c>
      <c r="X554" t="s">
        <v>35</v>
      </c>
      <c r="Y554"/>
      <c r="Z554">
        <v>20200131</v>
      </c>
      <c r="AA554">
        <f t="shared" si="9"/>
        <v>696</v>
      </c>
      <c r="AC554"/>
      <c r="AF554"/>
      <c r="AL554">
        <v>340910590</v>
      </c>
      <c r="AM554" t="s">
        <v>59</v>
      </c>
    </row>
    <row r="555" spans="1:39" x14ac:dyDescent="0.35">
      <c r="A555">
        <v>3409</v>
      </c>
      <c r="B555" t="s">
        <v>28</v>
      </c>
      <c r="C555">
        <v>2020</v>
      </c>
      <c r="D555" s="1">
        <v>43831</v>
      </c>
      <c r="E555">
        <v>12</v>
      </c>
      <c r="F555">
        <v>900011651</v>
      </c>
      <c r="G555" t="s">
        <v>29</v>
      </c>
      <c r="H555">
        <v>81</v>
      </c>
      <c r="I555">
        <v>71101060</v>
      </c>
      <c r="J555">
        <v>11500060</v>
      </c>
      <c r="K555" t="s">
        <v>30</v>
      </c>
      <c r="L555" s="4">
        <v>715.06</v>
      </c>
      <c r="M555" t="s">
        <v>31</v>
      </c>
      <c r="N555" s="4">
        <v>715.06</v>
      </c>
      <c r="O555" t="s">
        <v>31</v>
      </c>
      <c r="X555" t="s">
        <v>35</v>
      </c>
      <c r="Y555"/>
      <c r="Z555">
        <v>20200131</v>
      </c>
      <c r="AA555">
        <f t="shared" si="9"/>
        <v>715.06</v>
      </c>
      <c r="AC555"/>
      <c r="AF555"/>
      <c r="AL555">
        <v>340910590</v>
      </c>
      <c r="AM555" t="s">
        <v>59</v>
      </c>
    </row>
    <row r="556" spans="1:39" x14ac:dyDescent="0.35">
      <c r="A556">
        <v>3409</v>
      </c>
      <c r="B556" t="s">
        <v>28</v>
      </c>
      <c r="C556">
        <v>2020</v>
      </c>
      <c r="D556" s="1">
        <v>43831</v>
      </c>
      <c r="E556">
        <v>14</v>
      </c>
      <c r="F556">
        <v>900011651</v>
      </c>
      <c r="G556" t="s">
        <v>29</v>
      </c>
      <c r="H556">
        <v>81</v>
      </c>
      <c r="I556">
        <v>71101060</v>
      </c>
      <c r="J556">
        <v>11500060</v>
      </c>
      <c r="K556" t="s">
        <v>30</v>
      </c>
      <c r="L556" s="4">
        <v>4342.8</v>
      </c>
      <c r="M556" t="s">
        <v>31</v>
      </c>
      <c r="N556" s="4">
        <v>4342.8</v>
      </c>
      <c r="O556" t="s">
        <v>31</v>
      </c>
      <c r="X556" t="s">
        <v>35</v>
      </c>
      <c r="Y556"/>
      <c r="Z556">
        <v>20200131</v>
      </c>
      <c r="AA556">
        <f t="shared" si="9"/>
        <v>4342.8</v>
      </c>
      <c r="AC556"/>
      <c r="AF556"/>
      <c r="AL556">
        <v>340910590</v>
      </c>
      <c r="AM556" t="s">
        <v>59</v>
      </c>
    </row>
    <row r="557" spans="1:39" x14ac:dyDescent="0.35">
      <c r="A557">
        <v>3409</v>
      </c>
      <c r="B557" t="s">
        <v>28</v>
      </c>
      <c r="C557">
        <v>2020</v>
      </c>
      <c r="D557" s="1">
        <v>43831</v>
      </c>
      <c r="E557">
        <v>16</v>
      </c>
      <c r="F557">
        <v>900011651</v>
      </c>
      <c r="G557" t="s">
        <v>29</v>
      </c>
      <c r="H557">
        <v>81</v>
      </c>
      <c r="I557">
        <v>71101060</v>
      </c>
      <c r="J557">
        <v>11500060</v>
      </c>
      <c r="K557" t="s">
        <v>30</v>
      </c>
      <c r="L557" s="4">
        <v>105</v>
      </c>
      <c r="M557" t="s">
        <v>31</v>
      </c>
      <c r="N557" s="4">
        <v>105</v>
      </c>
      <c r="O557" t="s">
        <v>31</v>
      </c>
      <c r="X557" t="s">
        <v>35</v>
      </c>
      <c r="Y557"/>
      <c r="Z557">
        <v>20200131</v>
      </c>
      <c r="AA557">
        <f t="shared" si="9"/>
        <v>105</v>
      </c>
      <c r="AC557"/>
      <c r="AF557"/>
      <c r="AL557">
        <v>340910590</v>
      </c>
      <c r="AM557" t="s">
        <v>59</v>
      </c>
    </row>
    <row r="558" spans="1:39" x14ac:dyDescent="0.35">
      <c r="A558">
        <v>3409</v>
      </c>
      <c r="B558" t="s">
        <v>28</v>
      </c>
      <c r="C558">
        <v>2020</v>
      </c>
      <c r="D558" s="1">
        <v>43831</v>
      </c>
      <c r="E558">
        <v>20</v>
      </c>
      <c r="F558">
        <v>900011651</v>
      </c>
      <c r="G558" t="s">
        <v>29</v>
      </c>
      <c r="H558">
        <v>81</v>
      </c>
      <c r="I558">
        <v>71101060</v>
      </c>
      <c r="J558">
        <v>11500060</v>
      </c>
      <c r="K558" t="s">
        <v>30</v>
      </c>
      <c r="L558" s="4">
        <v>1299</v>
      </c>
      <c r="M558" t="s">
        <v>31</v>
      </c>
      <c r="N558" s="4">
        <v>1299</v>
      </c>
      <c r="O558" t="s">
        <v>31</v>
      </c>
      <c r="X558" t="s">
        <v>35</v>
      </c>
      <c r="Y558"/>
      <c r="Z558">
        <v>20200131</v>
      </c>
      <c r="AA558">
        <f t="shared" si="9"/>
        <v>1299</v>
      </c>
      <c r="AC558"/>
      <c r="AF558"/>
      <c r="AL558">
        <v>340910590</v>
      </c>
      <c r="AM558" t="s">
        <v>59</v>
      </c>
    </row>
    <row r="559" spans="1:39" x14ac:dyDescent="0.35">
      <c r="A559">
        <v>3403</v>
      </c>
      <c r="B559" t="s">
        <v>28</v>
      </c>
      <c r="C559">
        <v>2020</v>
      </c>
      <c r="D559" s="1">
        <v>43831</v>
      </c>
      <c r="E559">
        <v>60</v>
      </c>
      <c r="F559">
        <v>300018573</v>
      </c>
      <c r="G559" t="s">
        <v>29</v>
      </c>
      <c r="H559">
        <v>81</v>
      </c>
      <c r="I559">
        <v>71101060</v>
      </c>
      <c r="J559">
        <v>11500050</v>
      </c>
      <c r="K559" t="s">
        <v>30</v>
      </c>
      <c r="L559" s="4">
        <v>178.44</v>
      </c>
      <c r="M559" t="s">
        <v>31</v>
      </c>
      <c r="N559" s="4">
        <v>178.44</v>
      </c>
      <c r="O559" t="s">
        <v>31</v>
      </c>
      <c r="X559" t="s">
        <v>35</v>
      </c>
      <c r="Y559"/>
      <c r="Z559">
        <v>20200131</v>
      </c>
      <c r="AA559">
        <f t="shared" si="9"/>
        <v>178.44</v>
      </c>
      <c r="AC559"/>
      <c r="AF559"/>
      <c r="AL559">
        <v>340312890</v>
      </c>
      <c r="AM559" t="s">
        <v>40</v>
      </c>
    </row>
    <row r="560" spans="1:39" x14ac:dyDescent="0.35">
      <c r="A560">
        <v>3403</v>
      </c>
      <c r="B560" t="s">
        <v>28</v>
      </c>
      <c r="C560">
        <v>2020</v>
      </c>
      <c r="D560" s="1">
        <v>43831</v>
      </c>
      <c r="E560">
        <v>62</v>
      </c>
      <c r="F560">
        <v>300018573</v>
      </c>
      <c r="G560" t="s">
        <v>29</v>
      </c>
      <c r="H560">
        <v>81</v>
      </c>
      <c r="I560">
        <v>71101060</v>
      </c>
      <c r="J560">
        <v>11500050</v>
      </c>
      <c r="K560" t="s">
        <v>30</v>
      </c>
      <c r="L560" s="4">
        <v>177.6</v>
      </c>
      <c r="M560" t="s">
        <v>31</v>
      </c>
      <c r="N560" s="4">
        <v>177.6</v>
      </c>
      <c r="O560" t="s">
        <v>31</v>
      </c>
      <c r="X560" t="s">
        <v>35</v>
      </c>
      <c r="Y560"/>
      <c r="Z560">
        <v>20200131</v>
      </c>
      <c r="AA560">
        <f t="shared" si="9"/>
        <v>177.6</v>
      </c>
      <c r="AC560"/>
      <c r="AF560"/>
      <c r="AL560">
        <v>340312890</v>
      </c>
      <c r="AM560" t="s">
        <v>40</v>
      </c>
    </row>
    <row r="561" spans="1:39" x14ac:dyDescent="0.35">
      <c r="A561">
        <v>3403</v>
      </c>
      <c r="B561" t="s">
        <v>28</v>
      </c>
      <c r="C561">
        <v>2020</v>
      </c>
      <c r="D561" s="1">
        <v>43831</v>
      </c>
      <c r="E561">
        <v>64</v>
      </c>
      <c r="F561">
        <v>300018573</v>
      </c>
      <c r="G561" t="s">
        <v>29</v>
      </c>
      <c r="H561">
        <v>81</v>
      </c>
      <c r="I561">
        <v>71101060</v>
      </c>
      <c r="J561">
        <v>11500050</v>
      </c>
      <c r="K561" t="s">
        <v>30</v>
      </c>
      <c r="L561" s="4">
        <v>177.6</v>
      </c>
      <c r="M561" t="s">
        <v>31</v>
      </c>
      <c r="N561" s="4">
        <v>177.6</v>
      </c>
      <c r="O561" t="s">
        <v>31</v>
      </c>
      <c r="X561" t="s">
        <v>35</v>
      </c>
      <c r="Y561"/>
      <c r="Z561">
        <v>20200131</v>
      </c>
      <c r="AA561">
        <f t="shared" si="9"/>
        <v>177.6</v>
      </c>
      <c r="AC561"/>
      <c r="AF561"/>
      <c r="AL561">
        <v>340312890</v>
      </c>
      <c r="AM561" t="s">
        <v>40</v>
      </c>
    </row>
    <row r="562" spans="1:39" x14ac:dyDescent="0.35">
      <c r="A562">
        <v>3403</v>
      </c>
      <c r="B562" t="s">
        <v>28</v>
      </c>
      <c r="C562">
        <v>2020</v>
      </c>
      <c r="D562" s="1">
        <v>43831</v>
      </c>
      <c r="E562">
        <v>24</v>
      </c>
      <c r="F562">
        <v>300019147</v>
      </c>
      <c r="G562" t="s">
        <v>29</v>
      </c>
      <c r="H562">
        <v>81</v>
      </c>
      <c r="I562">
        <v>71101060</v>
      </c>
      <c r="J562">
        <v>11500060</v>
      </c>
      <c r="K562" t="s">
        <v>30</v>
      </c>
      <c r="L562" s="4">
        <v>80</v>
      </c>
      <c r="M562" t="s">
        <v>31</v>
      </c>
      <c r="N562" s="4">
        <v>80</v>
      </c>
      <c r="O562" t="s">
        <v>31</v>
      </c>
      <c r="X562" t="s">
        <v>32</v>
      </c>
      <c r="Y562"/>
      <c r="Z562">
        <v>20200131</v>
      </c>
      <c r="AA562">
        <f t="shared" si="9"/>
        <v>80</v>
      </c>
      <c r="AC562"/>
      <c r="AF562"/>
      <c r="AL562">
        <v>340325290</v>
      </c>
      <c r="AM562" t="s">
        <v>40</v>
      </c>
    </row>
    <row r="563" spans="1:39" x14ac:dyDescent="0.35">
      <c r="A563">
        <v>3407</v>
      </c>
      <c r="B563" t="s">
        <v>28</v>
      </c>
      <c r="C563">
        <v>2020</v>
      </c>
      <c r="D563" s="1">
        <v>43831</v>
      </c>
      <c r="E563">
        <v>2</v>
      </c>
      <c r="F563">
        <v>700041737</v>
      </c>
      <c r="G563" t="s">
        <v>29</v>
      </c>
      <c r="H563">
        <v>81</v>
      </c>
      <c r="I563">
        <v>71101060</v>
      </c>
      <c r="J563">
        <v>11500060</v>
      </c>
      <c r="K563" t="s">
        <v>30</v>
      </c>
      <c r="L563" s="4">
        <v>13897.68</v>
      </c>
      <c r="M563" t="s">
        <v>31</v>
      </c>
      <c r="N563" s="4">
        <v>13897.68</v>
      </c>
      <c r="O563" t="s">
        <v>31</v>
      </c>
      <c r="X563" t="s">
        <v>32</v>
      </c>
      <c r="Y563"/>
      <c r="Z563">
        <v>20200131</v>
      </c>
      <c r="AA563">
        <f t="shared" si="9"/>
        <v>13897.68</v>
      </c>
      <c r="AC563"/>
      <c r="AF563"/>
      <c r="AL563">
        <v>340710590</v>
      </c>
      <c r="AM563" t="s">
        <v>34</v>
      </c>
    </row>
    <row r="564" spans="1:39" x14ac:dyDescent="0.35">
      <c r="A564">
        <v>3407</v>
      </c>
      <c r="B564" t="s">
        <v>28</v>
      </c>
      <c r="C564">
        <v>2020</v>
      </c>
      <c r="D564" s="1">
        <v>43831</v>
      </c>
      <c r="E564">
        <v>10</v>
      </c>
      <c r="F564">
        <v>700041737</v>
      </c>
      <c r="G564" t="s">
        <v>29</v>
      </c>
      <c r="H564">
        <v>81</v>
      </c>
      <c r="I564">
        <v>71101060</v>
      </c>
      <c r="J564">
        <v>11500060</v>
      </c>
      <c r="K564" t="s">
        <v>30</v>
      </c>
      <c r="L564" s="4">
        <v>221.39</v>
      </c>
      <c r="M564" t="s">
        <v>31</v>
      </c>
      <c r="N564" s="4">
        <v>221.39</v>
      </c>
      <c r="O564" t="s">
        <v>31</v>
      </c>
      <c r="X564" t="s">
        <v>32</v>
      </c>
      <c r="Y564"/>
      <c r="Z564">
        <v>20200131</v>
      </c>
      <c r="AA564">
        <f t="shared" si="9"/>
        <v>221.39</v>
      </c>
      <c r="AC564"/>
      <c r="AF564"/>
      <c r="AL564">
        <v>340710590</v>
      </c>
      <c r="AM564" t="s">
        <v>34</v>
      </c>
    </row>
    <row r="565" spans="1:39" x14ac:dyDescent="0.35">
      <c r="A565">
        <v>3407</v>
      </c>
      <c r="B565" t="s">
        <v>28</v>
      </c>
      <c r="C565">
        <v>2020</v>
      </c>
      <c r="D565" s="1">
        <v>43831</v>
      </c>
      <c r="E565">
        <v>12</v>
      </c>
      <c r="F565">
        <v>700041737</v>
      </c>
      <c r="G565" t="s">
        <v>29</v>
      </c>
      <c r="H565">
        <v>81</v>
      </c>
      <c r="I565">
        <v>71101060</v>
      </c>
      <c r="J565">
        <v>11500060</v>
      </c>
      <c r="K565" t="s">
        <v>30</v>
      </c>
      <c r="L565" s="4">
        <v>285</v>
      </c>
      <c r="M565" t="s">
        <v>31</v>
      </c>
      <c r="N565" s="4">
        <v>285</v>
      </c>
      <c r="O565" t="s">
        <v>31</v>
      </c>
      <c r="X565" t="s">
        <v>32</v>
      </c>
      <c r="Y565"/>
      <c r="Z565">
        <v>20200131</v>
      </c>
      <c r="AA565">
        <f t="shared" si="9"/>
        <v>285</v>
      </c>
      <c r="AC565"/>
      <c r="AF565"/>
      <c r="AL565">
        <v>340710590</v>
      </c>
      <c r="AM565" t="s">
        <v>34</v>
      </c>
    </row>
    <row r="566" spans="1:39" x14ac:dyDescent="0.35">
      <c r="A566">
        <v>3407</v>
      </c>
      <c r="B566" t="s">
        <v>28</v>
      </c>
      <c r="C566">
        <v>2020</v>
      </c>
      <c r="D566" s="1">
        <v>43831</v>
      </c>
      <c r="E566">
        <v>14</v>
      </c>
      <c r="F566">
        <v>700041737</v>
      </c>
      <c r="G566" t="s">
        <v>29</v>
      </c>
      <c r="H566">
        <v>81</v>
      </c>
      <c r="I566">
        <v>71101060</v>
      </c>
      <c r="J566">
        <v>11500060</v>
      </c>
      <c r="K566" t="s">
        <v>30</v>
      </c>
      <c r="L566" s="4">
        <v>1192.8</v>
      </c>
      <c r="M566" t="s">
        <v>31</v>
      </c>
      <c r="N566" s="4">
        <v>1192.8</v>
      </c>
      <c r="O566" t="s">
        <v>31</v>
      </c>
      <c r="X566" t="s">
        <v>32</v>
      </c>
      <c r="Y566"/>
      <c r="Z566">
        <v>20200131</v>
      </c>
      <c r="AA566">
        <f t="shared" si="9"/>
        <v>1192.8</v>
      </c>
      <c r="AC566"/>
      <c r="AF566"/>
      <c r="AL566">
        <v>340710590</v>
      </c>
      <c r="AM566" t="s">
        <v>34</v>
      </c>
    </row>
    <row r="567" spans="1:39" x14ac:dyDescent="0.35">
      <c r="A567">
        <v>3407</v>
      </c>
      <c r="B567" t="s">
        <v>28</v>
      </c>
      <c r="C567">
        <v>2020</v>
      </c>
      <c r="D567" s="1">
        <v>43831</v>
      </c>
      <c r="E567">
        <v>16</v>
      </c>
      <c r="F567">
        <v>700041737</v>
      </c>
      <c r="G567" t="s">
        <v>29</v>
      </c>
      <c r="H567">
        <v>81</v>
      </c>
      <c r="I567">
        <v>71101060</v>
      </c>
      <c r="J567">
        <v>11500060</v>
      </c>
      <c r="K567" t="s">
        <v>30</v>
      </c>
      <c r="L567" s="4">
        <v>76</v>
      </c>
      <c r="M567" t="s">
        <v>31</v>
      </c>
      <c r="N567" s="4">
        <v>76</v>
      </c>
      <c r="O567" t="s">
        <v>31</v>
      </c>
      <c r="X567" t="s">
        <v>32</v>
      </c>
      <c r="Y567"/>
      <c r="Z567">
        <v>20200131</v>
      </c>
      <c r="AA567">
        <f t="shared" si="9"/>
        <v>76</v>
      </c>
      <c r="AC567"/>
      <c r="AF567"/>
      <c r="AL567">
        <v>340710590</v>
      </c>
      <c r="AM567" t="s">
        <v>34</v>
      </c>
    </row>
    <row r="568" spans="1:39" x14ac:dyDescent="0.35">
      <c r="A568">
        <v>3407</v>
      </c>
      <c r="B568" t="s">
        <v>28</v>
      </c>
      <c r="C568">
        <v>2020</v>
      </c>
      <c r="D568" s="1">
        <v>43831</v>
      </c>
      <c r="E568">
        <v>24</v>
      </c>
      <c r="F568">
        <v>700041737</v>
      </c>
      <c r="G568" t="s">
        <v>29</v>
      </c>
      <c r="H568">
        <v>81</v>
      </c>
      <c r="I568">
        <v>71101060</v>
      </c>
      <c r="J568">
        <v>11500060</v>
      </c>
      <c r="K568" t="s">
        <v>30</v>
      </c>
      <c r="L568" s="4">
        <v>792</v>
      </c>
      <c r="M568" t="s">
        <v>31</v>
      </c>
      <c r="N568" s="4">
        <v>792</v>
      </c>
      <c r="O568" t="s">
        <v>31</v>
      </c>
      <c r="X568" t="s">
        <v>32</v>
      </c>
      <c r="Y568"/>
      <c r="Z568">
        <v>20200131</v>
      </c>
      <c r="AA568">
        <f t="shared" si="9"/>
        <v>792</v>
      </c>
      <c r="AC568"/>
      <c r="AF568"/>
      <c r="AL568">
        <v>340710590</v>
      </c>
      <c r="AM568" t="s">
        <v>34</v>
      </c>
    </row>
    <row r="569" spans="1:39" x14ac:dyDescent="0.35">
      <c r="A569">
        <v>3407</v>
      </c>
      <c r="B569" t="s">
        <v>28</v>
      </c>
      <c r="C569">
        <v>2020</v>
      </c>
      <c r="D569" s="1">
        <v>43831</v>
      </c>
      <c r="E569">
        <v>28</v>
      </c>
      <c r="F569">
        <v>700041737</v>
      </c>
      <c r="G569" t="s">
        <v>29</v>
      </c>
      <c r="H569">
        <v>81</v>
      </c>
      <c r="I569">
        <v>71101060</v>
      </c>
      <c r="J569">
        <v>11500060</v>
      </c>
      <c r="K569" t="s">
        <v>30</v>
      </c>
      <c r="L569" s="4">
        <v>3127.1</v>
      </c>
      <c r="M569" t="s">
        <v>31</v>
      </c>
      <c r="N569" s="4">
        <v>3127.1</v>
      </c>
      <c r="O569" t="s">
        <v>31</v>
      </c>
      <c r="X569" t="s">
        <v>32</v>
      </c>
      <c r="Y569"/>
      <c r="Z569">
        <v>20200131</v>
      </c>
      <c r="AA569">
        <f t="shared" si="9"/>
        <v>3127.1</v>
      </c>
      <c r="AC569"/>
      <c r="AF569"/>
      <c r="AL569">
        <v>340710590</v>
      </c>
      <c r="AM569" t="s">
        <v>34</v>
      </c>
    </row>
    <row r="570" spans="1:39" x14ac:dyDescent="0.35">
      <c r="A570">
        <v>3407</v>
      </c>
      <c r="B570" t="s">
        <v>28</v>
      </c>
      <c r="C570">
        <v>2020</v>
      </c>
      <c r="D570" s="1">
        <v>43831</v>
      </c>
      <c r="E570">
        <v>30</v>
      </c>
      <c r="F570">
        <v>700041737</v>
      </c>
      <c r="G570" t="s">
        <v>29</v>
      </c>
      <c r="H570">
        <v>81</v>
      </c>
      <c r="I570">
        <v>71101060</v>
      </c>
      <c r="J570">
        <v>11500060</v>
      </c>
      <c r="K570" t="s">
        <v>30</v>
      </c>
      <c r="L570" s="4">
        <v>23104.799999999999</v>
      </c>
      <c r="M570" t="s">
        <v>31</v>
      </c>
      <c r="N570" s="4">
        <v>23104.799999999999</v>
      </c>
      <c r="O570" t="s">
        <v>31</v>
      </c>
      <c r="X570" t="s">
        <v>32</v>
      </c>
      <c r="Y570"/>
      <c r="Z570">
        <v>20200131</v>
      </c>
      <c r="AA570">
        <f t="shared" si="9"/>
        <v>23104.799999999999</v>
      </c>
      <c r="AC570"/>
      <c r="AF570"/>
      <c r="AL570">
        <v>340710590</v>
      </c>
      <c r="AM570" t="s">
        <v>34</v>
      </c>
    </row>
    <row r="571" spans="1:39" x14ac:dyDescent="0.35">
      <c r="A571">
        <v>3407</v>
      </c>
      <c r="B571" t="s">
        <v>28</v>
      </c>
      <c r="C571">
        <v>2020</v>
      </c>
      <c r="D571" s="1">
        <v>43831</v>
      </c>
      <c r="E571">
        <v>32</v>
      </c>
      <c r="F571">
        <v>700041737</v>
      </c>
      <c r="G571" t="s">
        <v>29</v>
      </c>
      <c r="H571">
        <v>81</v>
      </c>
      <c r="I571">
        <v>71101060</v>
      </c>
      <c r="J571">
        <v>11500060</v>
      </c>
      <c r="K571" t="s">
        <v>30</v>
      </c>
      <c r="L571" s="4">
        <v>26382.6</v>
      </c>
      <c r="M571" t="s">
        <v>31</v>
      </c>
      <c r="N571" s="4">
        <v>26382.6</v>
      </c>
      <c r="O571" t="s">
        <v>31</v>
      </c>
      <c r="X571" t="s">
        <v>32</v>
      </c>
      <c r="Y571"/>
      <c r="Z571">
        <v>20200131</v>
      </c>
      <c r="AA571">
        <f t="shared" si="9"/>
        <v>26382.6</v>
      </c>
      <c r="AC571"/>
      <c r="AF571"/>
      <c r="AL571">
        <v>340710590</v>
      </c>
      <c r="AM571" t="s">
        <v>34</v>
      </c>
    </row>
    <row r="572" spans="1:39" x14ac:dyDescent="0.35">
      <c r="A572">
        <v>3407</v>
      </c>
      <c r="B572" t="s">
        <v>28</v>
      </c>
      <c r="C572">
        <v>2020</v>
      </c>
      <c r="D572" s="1">
        <v>43831</v>
      </c>
      <c r="E572">
        <v>34</v>
      </c>
      <c r="F572">
        <v>700041737</v>
      </c>
      <c r="G572" t="s">
        <v>29</v>
      </c>
      <c r="H572">
        <v>81</v>
      </c>
      <c r="I572">
        <v>71101060</v>
      </c>
      <c r="J572">
        <v>11500060</v>
      </c>
      <c r="K572" t="s">
        <v>30</v>
      </c>
      <c r="L572" s="4">
        <v>7056.55</v>
      </c>
      <c r="M572" t="s">
        <v>31</v>
      </c>
      <c r="N572" s="4">
        <v>7056.55</v>
      </c>
      <c r="O572" t="s">
        <v>31</v>
      </c>
      <c r="X572" t="s">
        <v>32</v>
      </c>
      <c r="Y572"/>
      <c r="Z572">
        <v>20200131</v>
      </c>
      <c r="AA572">
        <f t="shared" si="9"/>
        <v>7056.55</v>
      </c>
      <c r="AC572"/>
      <c r="AF572"/>
      <c r="AL572">
        <v>340710590</v>
      </c>
      <c r="AM572" t="s">
        <v>34</v>
      </c>
    </row>
    <row r="573" spans="1:39" x14ac:dyDescent="0.35">
      <c r="A573">
        <v>3407</v>
      </c>
      <c r="B573" t="s">
        <v>28</v>
      </c>
      <c r="C573">
        <v>2020</v>
      </c>
      <c r="D573" s="1">
        <v>43831</v>
      </c>
      <c r="E573">
        <v>36</v>
      </c>
      <c r="F573">
        <v>700041737</v>
      </c>
      <c r="G573" t="s">
        <v>29</v>
      </c>
      <c r="H573">
        <v>81</v>
      </c>
      <c r="I573">
        <v>71101060</v>
      </c>
      <c r="J573">
        <v>11500060</v>
      </c>
      <c r="K573" t="s">
        <v>30</v>
      </c>
      <c r="L573" s="4">
        <v>3704.92</v>
      </c>
      <c r="M573" t="s">
        <v>31</v>
      </c>
      <c r="N573" s="4">
        <v>3704.92</v>
      </c>
      <c r="O573" t="s">
        <v>31</v>
      </c>
      <c r="X573" t="s">
        <v>32</v>
      </c>
      <c r="Y573"/>
      <c r="Z573">
        <v>20200131</v>
      </c>
      <c r="AA573">
        <f t="shared" si="9"/>
        <v>3704.92</v>
      </c>
      <c r="AC573"/>
      <c r="AF573"/>
      <c r="AL573">
        <v>340710590</v>
      </c>
      <c r="AM573" t="s">
        <v>34</v>
      </c>
    </row>
    <row r="574" spans="1:39" x14ac:dyDescent="0.35">
      <c r="A574">
        <v>3407</v>
      </c>
      <c r="B574" t="s">
        <v>28</v>
      </c>
      <c r="C574">
        <v>2020</v>
      </c>
      <c r="D574" s="1">
        <v>43831</v>
      </c>
      <c r="E574">
        <v>38</v>
      </c>
      <c r="F574">
        <v>700041737</v>
      </c>
      <c r="G574" t="s">
        <v>29</v>
      </c>
      <c r="H574">
        <v>81</v>
      </c>
      <c r="I574">
        <v>71101060</v>
      </c>
      <c r="J574">
        <v>11500060</v>
      </c>
      <c r="K574" t="s">
        <v>30</v>
      </c>
      <c r="L574" s="4">
        <v>2591.7199999999998</v>
      </c>
      <c r="M574" t="s">
        <v>31</v>
      </c>
      <c r="N574" s="4">
        <v>2591.7199999999998</v>
      </c>
      <c r="O574" t="s">
        <v>31</v>
      </c>
      <c r="X574" t="s">
        <v>32</v>
      </c>
      <c r="Y574"/>
      <c r="Z574">
        <v>20200131</v>
      </c>
      <c r="AA574">
        <f t="shared" si="9"/>
        <v>2591.7199999999998</v>
      </c>
      <c r="AC574"/>
      <c r="AF574"/>
      <c r="AL574">
        <v>340710590</v>
      </c>
      <c r="AM574" t="s">
        <v>34</v>
      </c>
    </row>
    <row r="575" spans="1:39" x14ac:dyDescent="0.35">
      <c r="A575">
        <v>3407</v>
      </c>
      <c r="B575" t="s">
        <v>28</v>
      </c>
      <c r="C575">
        <v>2020</v>
      </c>
      <c r="D575" s="1">
        <v>43831</v>
      </c>
      <c r="E575">
        <v>40</v>
      </c>
      <c r="F575">
        <v>700041737</v>
      </c>
      <c r="G575" t="s">
        <v>29</v>
      </c>
      <c r="H575">
        <v>81</v>
      </c>
      <c r="I575">
        <v>71101060</v>
      </c>
      <c r="J575">
        <v>11500060</v>
      </c>
      <c r="K575" t="s">
        <v>30</v>
      </c>
      <c r="L575" s="4">
        <v>2294.46</v>
      </c>
      <c r="M575" t="s">
        <v>31</v>
      </c>
      <c r="N575" s="4">
        <v>2294.46</v>
      </c>
      <c r="O575" t="s">
        <v>31</v>
      </c>
      <c r="X575" t="s">
        <v>32</v>
      </c>
      <c r="Y575"/>
      <c r="Z575">
        <v>20200131</v>
      </c>
      <c r="AA575">
        <f t="shared" si="9"/>
        <v>2294.46</v>
      </c>
      <c r="AC575"/>
      <c r="AF575"/>
      <c r="AL575">
        <v>340710590</v>
      </c>
      <c r="AM575" t="s">
        <v>34</v>
      </c>
    </row>
    <row r="576" spans="1:39" x14ac:dyDescent="0.35">
      <c r="A576">
        <v>3407</v>
      </c>
      <c r="B576" t="s">
        <v>28</v>
      </c>
      <c r="C576">
        <v>2020</v>
      </c>
      <c r="D576" s="1">
        <v>43831</v>
      </c>
      <c r="E576">
        <v>42</v>
      </c>
      <c r="F576">
        <v>700041737</v>
      </c>
      <c r="G576" t="s">
        <v>29</v>
      </c>
      <c r="H576">
        <v>81</v>
      </c>
      <c r="I576">
        <v>71101060</v>
      </c>
      <c r="J576">
        <v>11500060</v>
      </c>
      <c r="K576" t="s">
        <v>30</v>
      </c>
      <c r="L576" s="4">
        <v>3101.25</v>
      </c>
      <c r="M576" t="s">
        <v>31</v>
      </c>
      <c r="N576" s="4">
        <v>3101.25</v>
      </c>
      <c r="O576" t="s">
        <v>31</v>
      </c>
      <c r="X576" t="s">
        <v>32</v>
      </c>
      <c r="Y576"/>
      <c r="Z576">
        <v>20200131</v>
      </c>
      <c r="AA576">
        <f t="shared" si="9"/>
        <v>3101.25</v>
      </c>
      <c r="AC576"/>
      <c r="AF576"/>
      <c r="AL576">
        <v>340710590</v>
      </c>
      <c r="AM576" t="s">
        <v>34</v>
      </c>
    </row>
    <row r="577" spans="1:39" x14ac:dyDescent="0.35">
      <c r="A577">
        <v>3407</v>
      </c>
      <c r="B577" t="s">
        <v>28</v>
      </c>
      <c r="C577">
        <v>2020</v>
      </c>
      <c r="D577" s="1">
        <v>43831</v>
      </c>
      <c r="E577">
        <v>44</v>
      </c>
      <c r="F577">
        <v>700041737</v>
      </c>
      <c r="G577" t="s">
        <v>29</v>
      </c>
      <c r="H577">
        <v>81</v>
      </c>
      <c r="I577">
        <v>71101060</v>
      </c>
      <c r="J577">
        <v>11500060</v>
      </c>
      <c r="K577" t="s">
        <v>30</v>
      </c>
      <c r="L577" s="4">
        <v>420</v>
      </c>
      <c r="M577" t="s">
        <v>31</v>
      </c>
      <c r="N577" s="4">
        <v>420</v>
      </c>
      <c r="O577" t="s">
        <v>31</v>
      </c>
      <c r="X577" t="s">
        <v>32</v>
      </c>
      <c r="Y577"/>
      <c r="Z577">
        <v>20200131</v>
      </c>
      <c r="AA577">
        <f t="shared" si="9"/>
        <v>420</v>
      </c>
      <c r="AC577"/>
      <c r="AF577"/>
      <c r="AL577">
        <v>340710590</v>
      </c>
      <c r="AM577" t="s">
        <v>34</v>
      </c>
    </row>
    <row r="578" spans="1:39" x14ac:dyDescent="0.35">
      <c r="A578">
        <v>3407</v>
      </c>
      <c r="B578" t="s">
        <v>28</v>
      </c>
      <c r="C578">
        <v>2020</v>
      </c>
      <c r="D578" s="1">
        <v>43831</v>
      </c>
      <c r="E578">
        <v>46</v>
      </c>
      <c r="F578">
        <v>700041737</v>
      </c>
      <c r="G578" t="s">
        <v>29</v>
      </c>
      <c r="H578">
        <v>81</v>
      </c>
      <c r="I578">
        <v>71101060</v>
      </c>
      <c r="J578">
        <v>11500060</v>
      </c>
      <c r="K578" t="s">
        <v>30</v>
      </c>
      <c r="L578" s="4">
        <v>1181.92</v>
      </c>
      <c r="M578" t="s">
        <v>31</v>
      </c>
      <c r="N578" s="4">
        <v>1181.92</v>
      </c>
      <c r="O578" t="s">
        <v>31</v>
      </c>
      <c r="X578" t="s">
        <v>32</v>
      </c>
      <c r="Y578"/>
      <c r="Z578">
        <v>20200131</v>
      </c>
      <c r="AA578">
        <f t="shared" si="9"/>
        <v>1181.92</v>
      </c>
      <c r="AC578"/>
      <c r="AF578"/>
      <c r="AL578">
        <v>340710590</v>
      </c>
      <c r="AM578" t="s">
        <v>34</v>
      </c>
    </row>
    <row r="579" spans="1:39" x14ac:dyDescent="0.35">
      <c r="A579">
        <v>3407</v>
      </c>
      <c r="B579" t="s">
        <v>28</v>
      </c>
      <c r="C579">
        <v>2020</v>
      </c>
      <c r="D579" s="1">
        <v>43831</v>
      </c>
      <c r="E579">
        <v>48</v>
      </c>
      <c r="F579">
        <v>700041737</v>
      </c>
      <c r="G579" t="s">
        <v>29</v>
      </c>
      <c r="H579">
        <v>81</v>
      </c>
      <c r="I579">
        <v>71101060</v>
      </c>
      <c r="J579">
        <v>11500060</v>
      </c>
      <c r="K579" t="s">
        <v>30</v>
      </c>
      <c r="L579" s="4">
        <v>2600</v>
      </c>
      <c r="M579" t="s">
        <v>31</v>
      </c>
      <c r="N579" s="4">
        <v>2600</v>
      </c>
      <c r="O579" t="s">
        <v>31</v>
      </c>
      <c r="X579" t="s">
        <v>32</v>
      </c>
      <c r="Y579"/>
      <c r="Z579">
        <v>20200131</v>
      </c>
      <c r="AA579">
        <f t="shared" si="9"/>
        <v>2600</v>
      </c>
      <c r="AC579"/>
      <c r="AF579"/>
      <c r="AL579">
        <v>340710590</v>
      </c>
      <c r="AM579" t="s">
        <v>34</v>
      </c>
    </row>
    <row r="580" spans="1:39" x14ac:dyDescent="0.35">
      <c r="A580">
        <v>3407</v>
      </c>
      <c r="B580" t="s">
        <v>28</v>
      </c>
      <c r="C580">
        <v>2020</v>
      </c>
      <c r="D580" s="1">
        <v>43831</v>
      </c>
      <c r="E580">
        <v>8</v>
      </c>
      <c r="F580">
        <v>700041738</v>
      </c>
      <c r="G580" t="s">
        <v>29</v>
      </c>
      <c r="H580">
        <v>81</v>
      </c>
      <c r="I580">
        <v>71101060</v>
      </c>
      <c r="J580">
        <v>11500060</v>
      </c>
      <c r="K580" t="s">
        <v>30</v>
      </c>
      <c r="L580" s="4">
        <v>9381.2900000000009</v>
      </c>
      <c r="M580" t="s">
        <v>31</v>
      </c>
      <c r="N580" s="4">
        <v>9381.2900000000009</v>
      </c>
      <c r="O580" t="s">
        <v>31</v>
      </c>
      <c r="X580" t="s">
        <v>32</v>
      </c>
      <c r="Y580"/>
      <c r="Z580">
        <v>20200131</v>
      </c>
      <c r="AA580">
        <f t="shared" si="9"/>
        <v>9381.2900000000009</v>
      </c>
      <c r="AC580"/>
      <c r="AF580"/>
      <c r="AL580">
        <v>340712890</v>
      </c>
      <c r="AM580" t="s">
        <v>33</v>
      </c>
    </row>
    <row r="581" spans="1:39" x14ac:dyDescent="0.35">
      <c r="A581">
        <v>3407</v>
      </c>
      <c r="B581" t="s">
        <v>28</v>
      </c>
      <c r="C581">
        <v>2020</v>
      </c>
      <c r="D581" s="1">
        <v>43831</v>
      </c>
      <c r="E581">
        <v>10</v>
      </c>
      <c r="F581">
        <v>700041738</v>
      </c>
      <c r="G581" t="s">
        <v>29</v>
      </c>
      <c r="H581">
        <v>81</v>
      </c>
      <c r="I581">
        <v>71101060</v>
      </c>
      <c r="J581">
        <v>11500060</v>
      </c>
      <c r="K581" t="s">
        <v>30</v>
      </c>
      <c r="L581" s="4">
        <v>1781.04</v>
      </c>
      <c r="M581" t="s">
        <v>31</v>
      </c>
      <c r="N581" s="4">
        <v>1781.04</v>
      </c>
      <c r="O581" t="s">
        <v>31</v>
      </c>
      <c r="X581" t="s">
        <v>32</v>
      </c>
      <c r="Y581"/>
      <c r="Z581">
        <v>20200131</v>
      </c>
      <c r="AA581">
        <f t="shared" si="9"/>
        <v>1781.04</v>
      </c>
      <c r="AC581"/>
      <c r="AF581"/>
      <c r="AL581">
        <v>340712890</v>
      </c>
      <c r="AM581" t="s">
        <v>33</v>
      </c>
    </row>
    <row r="582" spans="1:39" x14ac:dyDescent="0.35">
      <c r="A582">
        <v>3407</v>
      </c>
      <c r="B582" t="s">
        <v>28</v>
      </c>
      <c r="C582">
        <v>2020</v>
      </c>
      <c r="D582" s="1">
        <v>43831</v>
      </c>
      <c r="E582">
        <v>12</v>
      </c>
      <c r="F582">
        <v>700041738</v>
      </c>
      <c r="G582" t="s">
        <v>29</v>
      </c>
      <c r="H582">
        <v>81</v>
      </c>
      <c r="I582">
        <v>71101060</v>
      </c>
      <c r="J582">
        <v>11500060</v>
      </c>
      <c r="K582" t="s">
        <v>30</v>
      </c>
      <c r="L582" s="4">
        <v>11937.48</v>
      </c>
      <c r="M582" t="s">
        <v>31</v>
      </c>
      <c r="N582" s="4">
        <v>11937.48</v>
      </c>
      <c r="O582" t="s">
        <v>31</v>
      </c>
      <c r="X582" t="s">
        <v>32</v>
      </c>
      <c r="Y582"/>
      <c r="Z582">
        <v>20200131</v>
      </c>
      <c r="AA582">
        <f t="shared" si="9"/>
        <v>11937.48</v>
      </c>
      <c r="AC582"/>
      <c r="AF582"/>
      <c r="AL582">
        <v>340712890</v>
      </c>
      <c r="AM582" t="s">
        <v>33</v>
      </c>
    </row>
    <row r="583" spans="1:39" x14ac:dyDescent="0.35">
      <c r="A583">
        <v>3407</v>
      </c>
      <c r="B583" t="s">
        <v>28</v>
      </c>
      <c r="C583">
        <v>2020</v>
      </c>
      <c r="D583" s="1">
        <v>43831</v>
      </c>
      <c r="E583">
        <v>14</v>
      </c>
      <c r="F583">
        <v>700041738</v>
      </c>
      <c r="G583" t="s">
        <v>29</v>
      </c>
      <c r="H583">
        <v>91</v>
      </c>
      <c r="I583">
        <v>71101060</v>
      </c>
      <c r="J583">
        <v>71101060</v>
      </c>
      <c r="K583" t="s">
        <v>30</v>
      </c>
      <c r="L583" s="4">
        <v>1319.13</v>
      </c>
      <c r="M583" t="s">
        <v>31</v>
      </c>
      <c r="N583" s="4">
        <v>1319.13</v>
      </c>
      <c r="O583" t="s">
        <v>31</v>
      </c>
      <c r="X583" t="s">
        <v>32</v>
      </c>
      <c r="Y583"/>
      <c r="Z583">
        <v>20200131</v>
      </c>
      <c r="AA583">
        <f t="shared" si="9"/>
        <v>1319.13</v>
      </c>
      <c r="AC583"/>
      <c r="AF583"/>
      <c r="AL583">
        <v>340712890</v>
      </c>
      <c r="AM583" t="s">
        <v>33</v>
      </c>
    </row>
    <row r="584" spans="1:39" x14ac:dyDescent="0.35">
      <c r="A584">
        <v>3407</v>
      </c>
      <c r="B584" t="s">
        <v>28</v>
      </c>
      <c r="C584">
        <v>2020</v>
      </c>
      <c r="D584" s="1">
        <v>43831</v>
      </c>
      <c r="E584">
        <v>16</v>
      </c>
      <c r="F584">
        <v>700041738</v>
      </c>
      <c r="G584" t="s">
        <v>29</v>
      </c>
      <c r="H584">
        <v>81</v>
      </c>
      <c r="I584">
        <v>71101060</v>
      </c>
      <c r="J584">
        <v>11500060</v>
      </c>
      <c r="K584" t="s">
        <v>30</v>
      </c>
      <c r="L584" s="4">
        <v>1436.72</v>
      </c>
      <c r="M584" t="s">
        <v>31</v>
      </c>
      <c r="N584" s="4">
        <v>1436.72</v>
      </c>
      <c r="O584" t="s">
        <v>31</v>
      </c>
      <c r="X584" t="s">
        <v>32</v>
      </c>
      <c r="Y584"/>
      <c r="Z584">
        <v>20200131</v>
      </c>
      <c r="AA584">
        <f t="shared" si="9"/>
        <v>1436.72</v>
      </c>
      <c r="AC584"/>
      <c r="AF584"/>
      <c r="AL584">
        <v>340712890</v>
      </c>
      <c r="AM584" t="s">
        <v>33</v>
      </c>
    </row>
    <row r="585" spans="1:39" x14ac:dyDescent="0.35">
      <c r="A585">
        <v>3407</v>
      </c>
      <c r="B585" t="s">
        <v>28</v>
      </c>
      <c r="C585">
        <v>2020</v>
      </c>
      <c r="D585" s="1">
        <v>43831</v>
      </c>
      <c r="E585">
        <v>18</v>
      </c>
      <c r="F585">
        <v>700041738</v>
      </c>
      <c r="G585" t="s">
        <v>29</v>
      </c>
      <c r="H585">
        <v>81</v>
      </c>
      <c r="I585">
        <v>71101060</v>
      </c>
      <c r="J585">
        <v>11500060</v>
      </c>
      <c r="K585" t="s">
        <v>30</v>
      </c>
      <c r="L585" s="4">
        <v>2822.62</v>
      </c>
      <c r="M585" t="s">
        <v>31</v>
      </c>
      <c r="N585" s="4">
        <v>2822.62</v>
      </c>
      <c r="O585" t="s">
        <v>31</v>
      </c>
      <c r="X585" t="s">
        <v>32</v>
      </c>
      <c r="Y585"/>
      <c r="Z585">
        <v>20200131</v>
      </c>
      <c r="AA585">
        <f t="shared" si="9"/>
        <v>2822.62</v>
      </c>
      <c r="AC585"/>
      <c r="AF585"/>
      <c r="AL585">
        <v>340712890</v>
      </c>
      <c r="AM585" t="s">
        <v>33</v>
      </c>
    </row>
    <row r="586" spans="1:39" x14ac:dyDescent="0.35">
      <c r="A586">
        <v>3407</v>
      </c>
      <c r="B586" t="s">
        <v>28</v>
      </c>
      <c r="C586">
        <v>2020</v>
      </c>
      <c r="D586" s="1">
        <v>43831</v>
      </c>
      <c r="E586">
        <v>20</v>
      </c>
      <c r="F586">
        <v>700041738</v>
      </c>
      <c r="G586" t="s">
        <v>29</v>
      </c>
      <c r="H586">
        <v>81</v>
      </c>
      <c r="I586">
        <v>71101060</v>
      </c>
      <c r="J586">
        <v>11500060</v>
      </c>
      <c r="K586" t="s">
        <v>30</v>
      </c>
      <c r="L586" s="4">
        <v>1525.82</v>
      </c>
      <c r="M586" t="s">
        <v>31</v>
      </c>
      <c r="N586" s="4">
        <v>1525.82</v>
      </c>
      <c r="O586" t="s">
        <v>31</v>
      </c>
      <c r="X586" t="s">
        <v>32</v>
      </c>
      <c r="Y586"/>
      <c r="Z586">
        <v>20200131</v>
      </c>
      <c r="AA586">
        <f t="shared" si="9"/>
        <v>1525.82</v>
      </c>
      <c r="AC586"/>
      <c r="AF586"/>
      <c r="AL586">
        <v>340712890</v>
      </c>
      <c r="AM586" t="s">
        <v>33</v>
      </c>
    </row>
    <row r="587" spans="1:39" x14ac:dyDescent="0.35">
      <c r="A587">
        <v>3407</v>
      </c>
      <c r="B587" t="s">
        <v>28</v>
      </c>
      <c r="C587">
        <v>2020</v>
      </c>
      <c r="D587" s="1">
        <v>43831</v>
      </c>
      <c r="E587">
        <v>22</v>
      </c>
      <c r="F587">
        <v>700041738</v>
      </c>
      <c r="G587" t="s">
        <v>29</v>
      </c>
      <c r="H587">
        <v>81</v>
      </c>
      <c r="I587">
        <v>71101060</v>
      </c>
      <c r="J587">
        <v>11500060</v>
      </c>
      <c r="K587" t="s">
        <v>30</v>
      </c>
      <c r="L587" s="4">
        <v>45874.5</v>
      </c>
      <c r="M587" t="s">
        <v>31</v>
      </c>
      <c r="N587" s="4">
        <v>45874.5</v>
      </c>
      <c r="O587" t="s">
        <v>31</v>
      </c>
      <c r="X587" t="s">
        <v>32</v>
      </c>
      <c r="Y587"/>
      <c r="Z587">
        <v>20200131</v>
      </c>
      <c r="AA587">
        <f t="shared" si="9"/>
        <v>45874.5</v>
      </c>
      <c r="AC587"/>
      <c r="AF587"/>
      <c r="AL587">
        <v>340712890</v>
      </c>
      <c r="AM587" t="s">
        <v>33</v>
      </c>
    </row>
    <row r="588" spans="1:39" x14ac:dyDescent="0.35">
      <c r="A588">
        <v>3407</v>
      </c>
      <c r="B588" t="s">
        <v>28</v>
      </c>
      <c r="C588">
        <v>2020</v>
      </c>
      <c r="D588" s="1">
        <v>43831</v>
      </c>
      <c r="E588">
        <v>24</v>
      </c>
      <c r="F588">
        <v>700041738</v>
      </c>
      <c r="G588" t="s">
        <v>29</v>
      </c>
      <c r="H588">
        <v>81</v>
      </c>
      <c r="I588">
        <v>71101060</v>
      </c>
      <c r="J588">
        <v>11500060</v>
      </c>
      <c r="K588" t="s">
        <v>30</v>
      </c>
      <c r="L588" s="4">
        <v>29529.98</v>
      </c>
      <c r="M588" t="s">
        <v>31</v>
      </c>
      <c r="N588" s="4">
        <v>29529.98</v>
      </c>
      <c r="O588" t="s">
        <v>31</v>
      </c>
      <c r="X588" t="s">
        <v>32</v>
      </c>
      <c r="Y588"/>
      <c r="Z588">
        <v>20200131</v>
      </c>
      <c r="AA588">
        <f t="shared" si="9"/>
        <v>29529.98</v>
      </c>
      <c r="AC588"/>
      <c r="AF588"/>
      <c r="AL588">
        <v>340712890</v>
      </c>
      <c r="AM588" t="s">
        <v>33</v>
      </c>
    </row>
    <row r="589" spans="1:39" x14ac:dyDescent="0.35">
      <c r="A589">
        <v>3407</v>
      </c>
      <c r="B589" t="s">
        <v>28</v>
      </c>
      <c r="C589">
        <v>2020</v>
      </c>
      <c r="D589" s="1">
        <v>43831</v>
      </c>
      <c r="E589">
        <v>26</v>
      </c>
      <c r="F589">
        <v>700041738</v>
      </c>
      <c r="G589" t="s">
        <v>29</v>
      </c>
      <c r="H589">
        <v>81</v>
      </c>
      <c r="I589">
        <v>71101060</v>
      </c>
      <c r="J589">
        <v>11500060</v>
      </c>
      <c r="K589" t="s">
        <v>30</v>
      </c>
      <c r="L589" s="4">
        <v>23820.02</v>
      </c>
      <c r="M589" t="s">
        <v>31</v>
      </c>
      <c r="N589" s="4">
        <v>23820.02</v>
      </c>
      <c r="O589" t="s">
        <v>31</v>
      </c>
      <c r="X589" t="s">
        <v>32</v>
      </c>
      <c r="Y589"/>
      <c r="Z589">
        <v>20200131</v>
      </c>
      <c r="AA589">
        <f t="shared" si="9"/>
        <v>23820.02</v>
      </c>
      <c r="AC589"/>
      <c r="AF589"/>
      <c r="AL589">
        <v>340712890</v>
      </c>
      <c r="AM589" t="s">
        <v>33</v>
      </c>
    </row>
    <row r="590" spans="1:39" x14ac:dyDescent="0.35">
      <c r="A590">
        <v>3407</v>
      </c>
      <c r="B590" t="s">
        <v>28</v>
      </c>
      <c r="C590">
        <v>2020</v>
      </c>
      <c r="D590" s="1">
        <v>43831</v>
      </c>
      <c r="E590">
        <v>28</v>
      </c>
      <c r="F590">
        <v>700041738</v>
      </c>
      <c r="G590" t="s">
        <v>29</v>
      </c>
      <c r="H590">
        <v>81</v>
      </c>
      <c r="I590">
        <v>71101060</v>
      </c>
      <c r="J590">
        <v>11500060</v>
      </c>
      <c r="K590" t="s">
        <v>30</v>
      </c>
      <c r="L590" s="4">
        <v>20373.55</v>
      </c>
      <c r="M590" t="s">
        <v>31</v>
      </c>
      <c r="N590" s="4">
        <v>20373.55</v>
      </c>
      <c r="O590" t="s">
        <v>31</v>
      </c>
      <c r="X590" t="s">
        <v>32</v>
      </c>
      <c r="Y590"/>
      <c r="Z590">
        <v>20200131</v>
      </c>
      <c r="AA590">
        <f t="shared" si="9"/>
        <v>20373.55</v>
      </c>
      <c r="AC590"/>
      <c r="AF590"/>
      <c r="AL590">
        <v>340712890</v>
      </c>
      <c r="AM590" t="s">
        <v>33</v>
      </c>
    </row>
    <row r="591" spans="1:39" x14ac:dyDescent="0.35">
      <c r="A591">
        <v>3407</v>
      </c>
      <c r="B591" t="s">
        <v>28</v>
      </c>
      <c r="C591">
        <v>2020</v>
      </c>
      <c r="D591" s="1">
        <v>43831</v>
      </c>
      <c r="E591">
        <v>30</v>
      </c>
      <c r="F591">
        <v>700041738</v>
      </c>
      <c r="G591" t="s">
        <v>29</v>
      </c>
      <c r="H591">
        <v>81</v>
      </c>
      <c r="I591">
        <v>71101060</v>
      </c>
      <c r="J591">
        <v>11500060</v>
      </c>
      <c r="K591" t="s">
        <v>30</v>
      </c>
      <c r="L591" s="4">
        <v>30579.34</v>
      </c>
      <c r="M591" t="s">
        <v>31</v>
      </c>
      <c r="N591" s="4">
        <v>30579.34</v>
      </c>
      <c r="O591" t="s">
        <v>31</v>
      </c>
      <c r="X591" t="s">
        <v>32</v>
      </c>
      <c r="Y591"/>
      <c r="Z591">
        <v>20200131</v>
      </c>
      <c r="AA591">
        <f t="shared" si="9"/>
        <v>30579.34</v>
      </c>
      <c r="AC591"/>
      <c r="AF591"/>
      <c r="AL591">
        <v>340712890</v>
      </c>
      <c r="AM591" t="s">
        <v>33</v>
      </c>
    </row>
    <row r="592" spans="1:39" x14ac:dyDescent="0.35">
      <c r="A592">
        <v>3407</v>
      </c>
      <c r="B592" t="s">
        <v>28</v>
      </c>
      <c r="C592">
        <v>2020</v>
      </c>
      <c r="D592" s="1">
        <v>43831</v>
      </c>
      <c r="E592">
        <v>32</v>
      </c>
      <c r="F592">
        <v>700041738</v>
      </c>
      <c r="G592" t="s">
        <v>29</v>
      </c>
      <c r="H592">
        <v>81</v>
      </c>
      <c r="I592">
        <v>71101060</v>
      </c>
      <c r="J592">
        <v>11500060</v>
      </c>
      <c r="K592" t="s">
        <v>30</v>
      </c>
      <c r="L592" s="4">
        <v>10010.84</v>
      </c>
      <c r="M592" t="s">
        <v>31</v>
      </c>
      <c r="N592" s="4">
        <v>10010.84</v>
      </c>
      <c r="O592" t="s">
        <v>31</v>
      </c>
      <c r="X592" t="s">
        <v>32</v>
      </c>
      <c r="Y592"/>
      <c r="Z592">
        <v>20200131</v>
      </c>
      <c r="AA592">
        <f t="shared" si="9"/>
        <v>10010.84</v>
      </c>
      <c r="AC592"/>
      <c r="AF592"/>
      <c r="AL592">
        <v>340712890</v>
      </c>
      <c r="AM592" t="s">
        <v>33</v>
      </c>
    </row>
    <row r="593" spans="1:39" x14ac:dyDescent="0.35">
      <c r="A593">
        <v>3407</v>
      </c>
      <c r="B593" t="s">
        <v>28</v>
      </c>
      <c r="C593">
        <v>2020</v>
      </c>
      <c r="D593" s="1">
        <v>43831</v>
      </c>
      <c r="E593">
        <v>2</v>
      </c>
      <c r="F593">
        <v>700041739</v>
      </c>
      <c r="G593" t="s">
        <v>29</v>
      </c>
      <c r="H593">
        <v>81</v>
      </c>
      <c r="I593">
        <v>71101060</v>
      </c>
      <c r="J593">
        <v>11500060</v>
      </c>
      <c r="K593" t="s">
        <v>30</v>
      </c>
      <c r="L593" s="4">
        <v>9580</v>
      </c>
      <c r="M593" t="s">
        <v>31</v>
      </c>
      <c r="N593" s="4">
        <v>9580</v>
      </c>
      <c r="O593" t="s">
        <v>31</v>
      </c>
      <c r="X593" t="s">
        <v>32</v>
      </c>
      <c r="Y593"/>
      <c r="Z593">
        <v>20200131</v>
      </c>
      <c r="AA593">
        <f t="shared" si="9"/>
        <v>9580</v>
      </c>
      <c r="AC593"/>
      <c r="AF593"/>
      <c r="AL593">
        <v>340732290</v>
      </c>
      <c r="AM593" t="s">
        <v>34</v>
      </c>
    </row>
    <row r="594" spans="1:39" x14ac:dyDescent="0.35">
      <c r="A594">
        <v>3407</v>
      </c>
      <c r="B594" t="s">
        <v>28</v>
      </c>
      <c r="C594">
        <v>2020</v>
      </c>
      <c r="D594" s="1">
        <v>43831</v>
      </c>
      <c r="E594">
        <v>4</v>
      </c>
      <c r="F594">
        <v>700041739</v>
      </c>
      <c r="G594" t="s">
        <v>29</v>
      </c>
      <c r="H594">
        <v>81</v>
      </c>
      <c r="I594">
        <v>71101060</v>
      </c>
      <c r="J594">
        <v>11500060</v>
      </c>
      <c r="K594" t="s">
        <v>30</v>
      </c>
      <c r="L594" s="4">
        <v>755.25</v>
      </c>
      <c r="M594" t="s">
        <v>31</v>
      </c>
      <c r="N594" s="4">
        <v>755.25</v>
      </c>
      <c r="O594" t="s">
        <v>31</v>
      </c>
      <c r="X594" t="s">
        <v>32</v>
      </c>
      <c r="Y594"/>
      <c r="Z594">
        <v>20200131</v>
      </c>
      <c r="AA594">
        <f t="shared" ref="AA594:AA657" si="10">L594</f>
        <v>755.25</v>
      </c>
      <c r="AC594"/>
      <c r="AF594"/>
      <c r="AL594">
        <v>340732290</v>
      </c>
      <c r="AM594" t="s">
        <v>34</v>
      </c>
    </row>
    <row r="595" spans="1:39" x14ac:dyDescent="0.35">
      <c r="A595">
        <v>3407</v>
      </c>
      <c r="B595" t="s">
        <v>28</v>
      </c>
      <c r="C595">
        <v>2020</v>
      </c>
      <c r="D595" s="1">
        <v>43831</v>
      </c>
      <c r="E595">
        <v>60</v>
      </c>
      <c r="F595">
        <v>700041759</v>
      </c>
      <c r="G595" t="s">
        <v>29</v>
      </c>
      <c r="H595">
        <v>81</v>
      </c>
      <c r="I595">
        <v>71101060</v>
      </c>
      <c r="J595">
        <v>11500060</v>
      </c>
      <c r="K595" t="s">
        <v>30</v>
      </c>
      <c r="L595" s="4">
        <v>327.60000000000002</v>
      </c>
      <c r="M595" t="s">
        <v>31</v>
      </c>
      <c r="N595" s="4">
        <v>327.60000000000002</v>
      </c>
      <c r="O595" t="s">
        <v>31</v>
      </c>
      <c r="X595" t="s">
        <v>32</v>
      </c>
      <c r="Y595"/>
      <c r="Z595">
        <v>20200131</v>
      </c>
      <c r="AA595">
        <f t="shared" si="10"/>
        <v>327.60000000000002</v>
      </c>
      <c r="AC595"/>
      <c r="AF595"/>
      <c r="AL595">
        <v>340719290</v>
      </c>
      <c r="AM595" t="s">
        <v>34</v>
      </c>
    </row>
    <row r="596" spans="1:39" x14ac:dyDescent="0.35">
      <c r="A596">
        <v>3407</v>
      </c>
      <c r="B596" t="s">
        <v>28</v>
      </c>
      <c r="C596">
        <v>2020</v>
      </c>
      <c r="D596" s="1">
        <v>43831</v>
      </c>
      <c r="E596">
        <v>6</v>
      </c>
      <c r="F596">
        <v>700041805</v>
      </c>
      <c r="G596" t="s">
        <v>29</v>
      </c>
      <c r="H596">
        <v>81</v>
      </c>
      <c r="I596">
        <v>71101060</v>
      </c>
      <c r="J596">
        <v>11500060</v>
      </c>
      <c r="K596" t="s">
        <v>30</v>
      </c>
      <c r="L596" s="4">
        <v>1300</v>
      </c>
      <c r="M596" t="s">
        <v>31</v>
      </c>
      <c r="N596" s="4">
        <v>1300</v>
      </c>
      <c r="O596" t="s">
        <v>31</v>
      </c>
      <c r="X596" t="s">
        <v>32</v>
      </c>
      <c r="Y596"/>
      <c r="Z596">
        <v>20200131</v>
      </c>
      <c r="AA596">
        <f t="shared" si="10"/>
        <v>1300</v>
      </c>
      <c r="AC596"/>
      <c r="AF596"/>
      <c r="AL596">
        <v>340712690</v>
      </c>
      <c r="AM596" t="s">
        <v>33</v>
      </c>
    </row>
    <row r="597" spans="1:39" x14ac:dyDescent="0.35">
      <c r="A597">
        <v>3407</v>
      </c>
      <c r="B597" t="s">
        <v>28</v>
      </c>
      <c r="C597">
        <v>2020</v>
      </c>
      <c r="D597" s="1">
        <v>43831</v>
      </c>
      <c r="E597">
        <v>2</v>
      </c>
      <c r="F597">
        <v>700041808</v>
      </c>
      <c r="G597" t="s">
        <v>29</v>
      </c>
      <c r="H597">
        <v>81</v>
      </c>
      <c r="I597">
        <v>71101060</v>
      </c>
      <c r="J597">
        <v>11500060</v>
      </c>
      <c r="K597" t="s">
        <v>30</v>
      </c>
      <c r="L597" s="4">
        <v>1224</v>
      </c>
      <c r="M597" t="s">
        <v>31</v>
      </c>
      <c r="N597" s="4">
        <v>1224</v>
      </c>
      <c r="O597" t="s">
        <v>31</v>
      </c>
      <c r="X597" t="s">
        <v>32</v>
      </c>
      <c r="Y597"/>
      <c r="Z597">
        <v>20200131</v>
      </c>
      <c r="AA597">
        <f t="shared" si="10"/>
        <v>1224</v>
      </c>
      <c r="AC597"/>
      <c r="AF597"/>
      <c r="AL597">
        <v>340712590</v>
      </c>
      <c r="AM597" t="s">
        <v>34</v>
      </c>
    </row>
    <row r="598" spans="1:39" x14ac:dyDescent="0.35">
      <c r="A598">
        <v>3407</v>
      </c>
      <c r="B598" t="s">
        <v>28</v>
      </c>
      <c r="C598">
        <v>2020</v>
      </c>
      <c r="D598" s="1">
        <v>43831</v>
      </c>
      <c r="E598">
        <v>4</v>
      </c>
      <c r="F598">
        <v>700041808</v>
      </c>
      <c r="G598" t="s">
        <v>29</v>
      </c>
      <c r="H598">
        <v>81</v>
      </c>
      <c r="I598">
        <v>71101060</v>
      </c>
      <c r="J598">
        <v>11500060</v>
      </c>
      <c r="K598" t="s">
        <v>30</v>
      </c>
      <c r="L598" s="4">
        <v>2481</v>
      </c>
      <c r="M598" t="s">
        <v>31</v>
      </c>
      <c r="N598" s="4">
        <v>2481</v>
      </c>
      <c r="O598" t="s">
        <v>31</v>
      </c>
      <c r="X598" t="s">
        <v>32</v>
      </c>
      <c r="Y598"/>
      <c r="Z598">
        <v>20200131</v>
      </c>
      <c r="AA598">
        <f t="shared" si="10"/>
        <v>2481</v>
      </c>
      <c r="AC598"/>
      <c r="AF598"/>
      <c r="AL598">
        <v>340712590</v>
      </c>
      <c r="AM598" t="s">
        <v>34</v>
      </c>
    </row>
    <row r="599" spans="1:39" x14ac:dyDescent="0.35">
      <c r="A599">
        <v>3407</v>
      </c>
      <c r="B599" t="s">
        <v>28</v>
      </c>
      <c r="C599">
        <v>2020</v>
      </c>
      <c r="D599" s="1">
        <v>43831</v>
      </c>
      <c r="E599">
        <v>6</v>
      </c>
      <c r="F599">
        <v>700041808</v>
      </c>
      <c r="G599" t="s">
        <v>29</v>
      </c>
      <c r="H599">
        <v>81</v>
      </c>
      <c r="I599">
        <v>71101060</v>
      </c>
      <c r="J599">
        <v>11500060</v>
      </c>
      <c r="K599" t="s">
        <v>30</v>
      </c>
      <c r="L599" s="4">
        <v>2600</v>
      </c>
      <c r="M599" t="s">
        <v>31</v>
      </c>
      <c r="N599" s="4">
        <v>2600</v>
      </c>
      <c r="O599" t="s">
        <v>31</v>
      </c>
      <c r="X599" t="s">
        <v>32</v>
      </c>
      <c r="Y599"/>
      <c r="Z599">
        <v>20200131</v>
      </c>
      <c r="AA599">
        <f t="shared" si="10"/>
        <v>2600</v>
      </c>
      <c r="AC599"/>
      <c r="AF599"/>
      <c r="AL599">
        <v>340712590</v>
      </c>
      <c r="AM599" t="s">
        <v>34</v>
      </c>
    </row>
    <row r="600" spans="1:39" x14ac:dyDescent="0.35">
      <c r="A600">
        <v>3407</v>
      </c>
      <c r="B600" t="s">
        <v>28</v>
      </c>
      <c r="C600">
        <v>2020</v>
      </c>
      <c r="D600" s="1">
        <v>43831</v>
      </c>
      <c r="E600">
        <v>50</v>
      </c>
      <c r="F600">
        <v>700041808</v>
      </c>
      <c r="G600" t="s">
        <v>29</v>
      </c>
      <c r="H600">
        <v>81</v>
      </c>
      <c r="I600">
        <v>71101060</v>
      </c>
      <c r="J600">
        <v>11500060</v>
      </c>
      <c r="K600" t="s">
        <v>30</v>
      </c>
      <c r="L600" s="4">
        <v>160.08000000000001</v>
      </c>
      <c r="M600" t="s">
        <v>31</v>
      </c>
      <c r="N600" s="4">
        <v>160.08000000000001</v>
      </c>
      <c r="O600" t="s">
        <v>31</v>
      </c>
      <c r="X600" t="s">
        <v>32</v>
      </c>
      <c r="Y600"/>
      <c r="Z600">
        <v>20200131</v>
      </c>
      <c r="AA600">
        <f t="shared" si="10"/>
        <v>160.08000000000001</v>
      </c>
      <c r="AC600"/>
      <c r="AF600"/>
      <c r="AL600">
        <v>340712590</v>
      </c>
      <c r="AM600" t="s">
        <v>34</v>
      </c>
    </row>
    <row r="601" spans="1:39" x14ac:dyDescent="0.35">
      <c r="A601">
        <v>3407</v>
      </c>
      <c r="B601" t="s">
        <v>28</v>
      </c>
      <c r="C601">
        <v>2020</v>
      </c>
      <c r="D601" s="1">
        <v>43831</v>
      </c>
      <c r="E601">
        <v>52</v>
      </c>
      <c r="F601">
        <v>700041808</v>
      </c>
      <c r="G601" t="s">
        <v>29</v>
      </c>
      <c r="H601">
        <v>81</v>
      </c>
      <c r="I601">
        <v>71101060</v>
      </c>
      <c r="J601">
        <v>11500060</v>
      </c>
      <c r="K601" t="s">
        <v>30</v>
      </c>
      <c r="L601" s="4">
        <v>350</v>
      </c>
      <c r="M601" t="s">
        <v>31</v>
      </c>
      <c r="N601" s="4">
        <v>350</v>
      </c>
      <c r="O601" t="s">
        <v>31</v>
      </c>
      <c r="X601" t="s">
        <v>32</v>
      </c>
      <c r="Y601"/>
      <c r="Z601">
        <v>20200131</v>
      </c>
      <c r="AA601">
        <f t="shared" si="10"/>
        <v>350</v>
      </c>
      <c r="AC601"/>
      <c r="AF601"/>
      <c r="AL601">
        <v>340712590</v>
      </c>
      <c r="AM601" t="s">
        <v>34</v>
      </c>
    </row>
    <row r="602" spans="1:39" x14ac:dyDescent="0.35">
      <c r="A602">
        <v>3407</v>
      </c>
      <c r="B602" t="s">
        <v>28</v>
      </c>
      <c r="C602">
        <v>2020</v>
      </c>
      <c r="D602" s="1">
        <v>43831</v>
      </c>
      <c r="E602">
        <v>54</v>
      </c>
      <c r="F602">
        <v>700041808</v>
      </c>
      <c r="G602" t="s">
        <v>29</v>
      </c>
      <c r="H602">
        <v>81</v>
      </c>
      <c r="I602">
        <v>71101060</v>
      </c>
      <c r="J602">
        <v>11500060</v>
      </c>
      <c r="K602" t="s">
        <v>30</v>
      </c>
      <c r="L602" s="4">
        <v>66.5</v>
      </c>
      <c r="M602" t="s">
        <v>31</v>
      </c>
      <c r="N602" s="4">
        <v>66.5</v>
      </c>
      <c r="O602" t="s">
        <v>31</v>
      </c>
      <c r="X602" t="s">
        <v>32</v>
      </c>
      <c r="Y602"/>
      <c r="Z602">
        <v>20200131</v>
      </c>
      <c r="AA602">
        <f t="shared" si="10"/>
        <v>66.5</v>
      </c>
      <c r="AC602"/>
      <c r="AF602"/>
      <c r="AL602">
        <v>340712590</v>
      </c>
      <c r="AM602" t="s">
        <v>34</v>
      </c>
    </row>
    <row r="603" spans="1:39" x14ac:dyDescent="0.35">
      <c r="A603">
        <v>3407</v>
      </c>
      <c r="B603" t="s">
        <v>28</v>
      </c>
      <c r="C603">
        <v>2020</v>
      </c>
      <c r="D603" s="1">
        <v>43831</v>
      </c>
      <c r="E603">
        <v>56</v>
      </c>
      <c r="F603">
        <v>700041808</v>
      </c>
      <c r="G603" t="s">
        <v>29</v>
      </c>
      <c r="H603">
        <v>81</v>
      </c>
      <c r="I603">
        <v>71101060</v>
      </c>
      <c r="J603">
        <v>11500060</v>
      </c>
      <c r="K603" t="s">
        <v>30</v>
      </c>
      <c r="L603" s="4">
        <v>480</v>
      </c>
      <c r="M603" t="s">
        <v>31</v>
      </c>
      <c r="N603" s="4">
        <v>480</v>
      </c>
      <c r="O603" t="s">
        <v>31</v>
      </c>
      <c r="X603" t="s">
        <v>32</v>
      </c>
      <c r="Y603"/>
      <c r="Z603">
        <v>20200131</v>
      </c>
      <c r="AA603">
        <f t="shared" si="10"/>
        <v>480</v>
      </c>
      <c r="AC603"/>
      <c r="AF603"/>
      <c r="AL603">
        <v>340712590</v>
      </c>
      <c r="AM603" t="s">
        <v>34</v>
      </c>
    </row>
    <row r="604" spans="1:39" x14ac:dyDescent="0.35">
      <c r="A604">
        <v>3407</v>
      </c>
      <c r="B604" t="s">
        <v>28</v>
      </c>
      <c r="C604">
        <v>2020</v>
      </c>
      <c r="D604" s="1">
        <v>43831</v>
      </c>
      <c r="E604">
        <v>2</v>
      </c>
      <c r="F604">
        <v>700041809</v>
      </c>
      <c r="G604" t="s">
        <v>29</v>
      </c>
      <c r="H604">
        <v>81</v>
      </c>
      <c r="I604">
        <v>71101060</v>
      </c>
      <c r="J604">
        <v>11500060</v>
      </c>
      <c r="K604" t="s">
        <v>30</v>
      </c>
      <c r="L604" s="4">
        <v>203.1</v>
      </c>
      <c r="M604" t="s">
        <v>31</v>
      </c>
      <c r="N604" s="4">
        <v>203.1</v>
      </c>
      <c r="O604" t="s">
        <v>31</v>
      </c>
      <c r="X604" t="s">
        <v>32</v>
      </c>
      <c r="Y604"/>
      <c r="Z604">
        <v>20200131</v>
      </c>
      <c r="AA604">
        <f t="shared" si="10"/>
        <v>203.1</v>
      </c>
      <c r="AC604"/>
      <c r="AF604"/>
      <c r="AL604">
        <v>340712590</v>
      </c>
      <c r="AM604" t="s">
        <v>34</v>
      </c>
    </row>
    <row r="605" spans="1:39" x14ac:dyDescent="0.35">
      <c r="A605">
        <v>3407</v>
      </c>
      <c r="B605" t="s">
        <v>28</v>
      </c>
      <c r="C605">
        <v>2020</v>
      </c>
      <c r="D605" s="1">
        <v>43831</v>
      </c>
      <c r="E605">
        <v>6</v>
      </c>
      <c r="F605">
        <v>700041819</v>
      </c>
      <c r="G605" t="s">
        <v>29</v>
      </c>
      <c r="H605">
        <v>81</v>
      </c>
      <c r="I605">
        <v>71101060</v>
      </c>
      <c r="J605">
        <v>11500060</v>
      </c>
      <c r="K605" t="s">
        <v>30</v>
      </c>
      <c r="L605" s="4">
        <v>51</v>
      </c>
      <c r="M605" t="s">
        <v>31</v>
      </c>
      <c r="N605" s="4">
        <v>51</v>
      </c>
      <c r="O605" t="s">
        <v>31</v>
      </c>
      <c r="X605" t="s">
        <v>32</v>
      </c>
      <c r="Y605"/>
      <c r="Z605">
        <v>20200131</v>
      </c>
      <c r="AA605">
        <f t="shared" si="10"/>
        <v>51</v>
      </c>
      <c r="AC605"/>
      <c r="AF605"/>
      <c r="AL605">
        <v>340712590</v>
      </c>
      <c r="AM605" t="s">
        <v>33</v>
      </c>
    </row>
    <row r="606" spans="1:39" x14ac:dyDescent="0.35">
      <c r="A606">
        <v>3407</v>
      </c>
      <c r="B606" t="s">
        <v>28</v>
      </c>
      <c r="C606">
        <v>2020</v>
      </c>
      <c r="D606" s="1">
        <v>43831</v>
      </c>
      <c r="E606">
        <v>10</v>
      </c>
      <c r="F606">
        <v>700041819</v>
      </c>
      <c r="G606" t="s">
        <v>29</v>
      </c>
      <c r="H606">
        <v>81</v>
      </c>
      <c r="I606">
        <v>71101060</v>
      </c>
      <c r="J606">
        <v>11500060</v>
      </c>
      <c r="K606" t="s">
        <v>30</v>
      </c>
      <c r="L606" s="4">
        <v>650</v>
      </c>
      <c r="M606" t="s">
        <v>31</v>
      </c>
      <c r="N606" s="4">
        <v>650</v>
      </c>
      <c r="O606" t="s">
        <v>31</v>
      </c>
      <c r="X606" t="s">
        <v>32</v>
      </c>
      <c r="Y606"/>
      <c r="Z606">
        <v>20200131</v>
      </c>
      <c r="AA606">
        <f t="shared" si="10"/>
        <v>650</v>
      </c>
      <c r="AC606"/>
      <c r="AF606"/>
      <c r="AL606">
        <v>340712590</v>
      </c>
      <c r="AM606" t="s">
        <v>33</v>
      </c>
    </row>
    <row r="607" spans="1:39" x14ac:dyDescent="0.35">
      <c r="A607">
        <v>3407</v>
      </c>
      <c r="B607" t="s">
        <v>28</v>
      </c>
      <c r="C607">
        <v>2020</v>
      </c>
      <c r="D607" s="1">
        <v>43831</v>
      </c>
      <c r="E607">
        <v>2</v>
      </c>
      <c r="F607">
        <v>700041820</v>
      </c>
      <c r="G607" t="s">
        <v>29</v>
      </c>
      <c r="H607">
        <v>81</v>
      </c>
      <c r="I607">
        <v>71101060</v>
      </c>
      <c r="J607">
        <v>11500060</v>
      </c>
      <c r="K607" t="s">
        <v>30</v>
      </c>
      <c r="L607" s="4">
        <v>650</v>
      </c>
      <c r="M607" t="s">
        <v>31</v>
      </c>
      <c r="N607" s="4">
        <v>650</v>
      </c>
      <c r="O607" t="s">
        <v>31</v>
      </c>
      <c r="X607" t="s">
        <v>32</v>
      </c>
      <c r="Y607"/>
      <c r="Z607">
        <v>20200131</v>
      </c>
      <c r="AA607">
        <f t="shared" si="10"/>
        <v>650</v>
      </c>
      <c r="AC607"/>
      <c r="AF607"/>
      <c r="AL607">
        <v>340712590</v>
      </c>
      <c r="AM607" t="s">
        <v>34</v>
      </c>
    </row>
    <row r="608" spans="1:39" x14ac:dyDescent="0.35">
      <c r="A608">
        <v>3407</v>
      </c>
      <c r="B608" t="s">
        <v>28</v>
      </c>
      <c r="C608">
        <v>2020</v>
      </c>
      <c r="D608" s="1">
        <v>43831</v>
      </c>
      <c r="E608">
        <v>22</v>
      </c>
      <c r="F608">
        <v>700041822</v>
      </c>
      <c r="G608" t="s">
        <v>29</v>
      </c>
      <c r="H608">
        <v>81</v>
      </c>
      <c r="I608">
        <v>71101060</v>
      </c>
      <c r="J608">
        <v>11500010</v>
      </c>
      <c r="K608" t="s">
        <v>30</v>
      </c>
      <c r="L608" s="4">
        <v>150</v>
      </c>
      <c r="M608" t="s">
        <v>31</v>
      </c>
      <c r="N608" s="4">
        <v>150</v>
      </c>
      <c r="O608" t="s">
        <v>31</v>
      </c>
      <c r="X608" t="s">
        <v>32</v>
      </c>
      <c r="Y608"/>
      <c r="Z608">
        <v>20200131</v>
      </c>
      <c r="AA608">
        <f t="shared" si="10"/>
        <v>150</v>
      </c>
      <c r="AC608"/>
      <c r="AF608"/>
      <c r="AL608">
        <v>340712590</v>
      </c>
      <c r="AM608" t="s">
        <v>34</v>
      </c>
    </row>
    <row r="609" spans="1:39" x14ac:dyDescent="0.35">
      <c r="A609">
        <v>3407</v>
      </c>
      <c r="B609" t="s">
        <v>28</v>
      </c>
      <c r="C609">
        <v>2020</v>
      </c>
      <c r="D609" s="1">
        <v>43831</v>
      </c>
      <c r="E609">
        <v>24</v>
      </c>
      <c r="F609">
        <v>700041822</v>
      </c>
      <c r="G609" t="s">
        <v>29</v>
      </c>
      <c r="H609">
        <v>81</v>
      </c>
      <c r="I609">
        <v>71101060</v>
      </c>
      <c r="J609">
        <v>11500010</v>
      </c>
      <c r="K609" t="s">
        <v>30</v>
      </c>
      <c r="L609" s="4">
        <v>120</v>
      </c>
      <c r="M609" t="s">
        <v>31</v>
      </c>
      <c r="N609" s="4">
        <v>120</v>
      </c>
      <c r="O609" t="s">
        <v>31</v>
      </c>
      <c r="X609" t="s">
        <v>32</v>
      </c>
      <c r="Y609"/>
      <c r="Z609">
        <v>20200131</v>
      </c>
      <c r="AA609">
        <f t="shared" si="10"/>
        <v>120</v>
      </c>
      <c r="AC609"/>
      <c r="AF609"/>
      <c r="AL609">
        <v>340712590</v>
      </c>
      <c r="AM609" t="s">
        <v>34</v>
      </c>
    </row>
    <row r="610" spans="1:39" x14ac:dyDescent="0.35">
      <c r="A610">
        <v>3407</v>
      </c>
      <c r="B610" t="s">
        <v>28</v>
      </c>
      <c r="C610">
        <v>2020</v>
      </c>
      <c r="D610" s="1">
        <v>43831</v>
      </c>
      <c r="E610">
        <v>6</v>
      </c>
      <c r="F610">
        <v>700041828</v>
      </c>
      <c r="G610" t="s">
        <v>29</v>
      </c>
      <c r="H610">
        <v>81</v>
      </c>
      <c r="I610">
        <v>71101060</v>
      </c>
      <c r="J610">
        <v>11500060</v>
      </c>
      <c r="K610" t="s">
        <v>30</v>
      </c>
      <c r="L610" s="4">
        <v>125</v>
      </c>
      <c r="M610" t="s">
        <v>31</v>
      </c>
      <c r="N610" s="4">
        <v>125</v>
      </c>
      <c r="O610" t="s">
        <v>31</v>
      </c>
      <c r="X610" t="s">
        <v>32</v>
      </c>
      <c r="Y610"/>
      <c r="Z610">
        <v>20200131</v>
      </c>
      <c r="AA610">
        <f t="shared" si="10"/>
        <v>125</v>
      </c>
      <c r="AC610"/>
      <c r="AF610"/>
      <c r="AL610">
        <v>340712590</v>
      </c>
      <c r="AM610" t="s">
        <v>34</v>
      </c>
    </row>
    <row r="611" spans="1:39" x14ac:dyDescent="0.35">
      <c r="A611">
        <v>3407</v>
      </c>
      <c r="B611" t="s">
        <v>28</v>
      </c>
      <c r="C611">
        <v>2020</v>
      </c>
      <c r="D611" s="1">
        <v>43831</v>
      </c>
      <c r="E611">
        <v>8</v>
      </c>
      <c r="F611">
        <v>700041828</v>
      </c>
      <c r="G611" t="s">
        <v>29</v>
      </c>
      <c r="H611">
        <v>81</v>
      </c>
      <c r="I611">
        <v>71101060</v>
      </c>
      <c r="J611">
        <v>11500060</v>
      </c>
      <c r="K611" t="s">
        <v>30</v>
      </c>
      <c r="L611" s="4">
        <v>284.33999999999997</v>
      </c>
      <c r="M611" t="s">
        <v>31</v>
      </c>
      <c r="N611" s="4">
        <v>284.33999999999997</v>
      </c>
      <c r="O611" t="s">
        <v>31</v>
      </c>
      <c r="X611" t="s">
        <v>32</v>
      </c>
      <c r="Y611"/>
      <c r="Z611">
        <v>20200131</v>
      </c>
      <c r="AA611">
        <f t="shared" si="10"/>
        <v>284.33999999999997</v>
      </c>
      <c r="AC611"/>
      <c r="AF611"/>
      <c r="AL611">
        <v>340712590</v>
      </c>
      <c r="AM611" t="s">
        <v>34</v>
      </c>
    </row>
    <row r="612" spans="1:39" x14ac:dyDescent="0.35">
      <c r="A612">
        <v>3407</v>
      </c>
      <c r="B612" t="s">
        <v>28</v>
      </c>
      <c r="C612">
        <v>2020</v>
      </c>
      <c r="D612" s="1">
        <v>43831</v>
      </c>
      <c r="E612">
        <v>10</v>
      </c>
      <c r="F612">
        <v>700041828</v>
      </c>
      <c r="G612" t="s">
        <v>29</v>
      </c>
      <c r="H612">
        <v>81</v>
      </c>
      <c r="I612">
        <v>71101060</v>
      </c>
      <c r="J612">
        <v>11500060</v>
      </c>
      <c r="K612" t="s">
        <v>30</v>
      </c>
      <c r="L612" s="4">
        <v>180</v>
      </c>
      <c r="M612" t="s">
        <v>31</v>
      </c>
      <c r="N612" s="4">
        <v>180</v>
      </c>
      <c r="O612" t="s">
        <v>31</v>
      </c>
      <c r="X612" t="s">
        <v>32</v>
      </c>
      <c r="Y612"/>
      <c r="Z612">
        <v>20200131</v>
      </c>
      <c r="AA612">
        <f t="shared" si="10"/>
        <v>180</v>
      </c>
      <c r="AC612"/>
      <c r="AF612"/>
      <c r="AL612">
        <v>340712590</v>
      </c>
      <c r="AM612" t="s">
        <v>34</v>
      </c>
    </row>
    <row r="613" spans="1:39" x14ac:dyDescent="0.35">
      <c r="A613">
        <v>3407</v>
      </c>
      <c r="B613" t="s">
        <v>28</v>
      </c>
      <c r="C613">
        <v>2020</v>
      </c>
      <c r="D613" s="1">
        <v>43831</v>
      </c>
      <c r="E613">
        <v>14</v>
      </c>
      <c r="F613">
        <v>700041828</v>
      </c>
      <c r="G613" t="s">
        <v>29</v>
      </c>
      <c r="H613">
        <v>81</v>
      </c>
      <c r="I613">
        <v>71101060</v>
      </c>
      <c r="J613">
        <v>11500060</v>
      </c>
      <c r="K613" t="s">
        <v>30</v>
      </c>
      <c r="L613" s="4">
        <v>1950</v>
      </c>
      <c r="M613" t="s">
        <v>31</v>
      </c>
      <c r="N613" s="4">
        <v>1950</v>
      </c>
      <c r="O613" t="s">
        <v>31</v>
      </c>
      <c r="X613" t="s">
        <v>32</v>
      </c>
      <c r="Y613"/>
      <c r="Z613">
        <v>20200131</v>
      </c>
      <c r="AA613">
        <f t="shared" si="10"/>
        <v>1950</v>
      </c>
      <c r="AC613"/>
      <c r="AF613"/>
      <c r="AL613">
        <v>340712590</v>
      </c>
      <c r="AM613" t="s">
        <v>34</v>
      </c>
    </row>
    <row r="614" spans="1:39" x14ac:dyDescent="0.35">
      <c r="A614">
        <v>3400</v>
      </c>
      <c r="B614" t="s">
        <v>61</v>
      </c>
      <c r="C614">
        <v>2020</v>
      </c>
      <c r="D614" s="1">
        <v>43831</v>
      </c>
      <c r="E614">
        <v>1</v>
      </c>
      <c r="F614">
        <v>880001127</v>
      </c>
      <c r="G614" t="s">
        <v>48</v>
      </c>
      <c r="H614">
        <v>40</v>
      </c>
      <c r="I614">
        <v>74010070</v>
      </c>
      <c r="J614">
        <v>11127102</v>
      </c>
      <c r="K614" t="s">
        <v>49</v>
      </c>
      <c r="L614" s="4">
        <v>579.5</v>
      </c>
      <c r="M614" t="s">
        <v>31</v>
      </c>
      <c r="N614" s="4">
        <v>579.5</v>
      </c>
      <c r="O614" t="s">
        <v>31</v>
      </c>
      <c r="P614" t="s">
        <v>50</v>
      </c>
      <c r="X614" t="s">
        <v>62</v>
      </c>
      <c r="Y614"/>
      <c r="Z614" t="s">
        <v>63</v>
      </c>
      <c r="AA614">
        <f t="shared" si="10"/>
        <v>579.5</v>
      </c>
      <c r="AC614"/>
      <c r="AE614" t="s">
        <v>64</v>
      </c>
      <c r="AF614"/>
      <c r="AL614">
        <v>340099150</v>
      </c>
      <c r="AM614" t="s">
        <v>52</v>
      </c>
    </row>
    <row r="615" spans="1:39" x14ac:dyDescent="0.35">
      <c r="A615">
        <v>3400</v>
      </c>
      <c r="B615" t="s">
        <v>47</v>
      </c>
      <c r="C615">
        <v>2020</v>
      </c>
      <c r="D615" s="1">
        <v>43831</v>
      </c>
      <c r="E615">
        <v>1</v>
      </c>
      <c r="F615">
        <v>880003544</v>
      </c>
      <c r="G615" t="s">
        <v>48</v>
      </c>
      <c r="H615">
        <v>40</v>
      </c>
      <c r="I615">
        <v>74010070</v>
      </c>
      <c r="J615">
        <v>11125102</v>
      </c>
      <c r="K615" t="s">
        <v>49</v>
      </c>
      <c r="L615" s="4">
        <v>162</v>
      </c>
      <c r="M615" t="s">
        <v>31</v>
      </c>
      <c r="N615" s="4">
        <v>162</v>
      </c>
      <c r="O615" t="s">
        <v>31</v>
      </c>
      <c r="P615" t="s">
        <v>50</v>
      </c>
      <c r="X615" t="s">
        <v>65</v>
      </c>
      <c r="Y615"/>
      <c r="Z615" t="s">
        <v>63</v>
      </c>
      <c r="AA615">
        <f t="shared" si="10"/>
        <v>162</v>
      </c>
      <c r="AC615"/>
      <c r="AE615" t="s">
        <v>66</v>
      </c>
      <c r="AF615"/>
      <c r="AL615">
        <v>340099150</v>
      </c>
      <c r="AM615" t="s">
        <v>52</v>
      </c>
    </row>
    <row r="616" spans="1:39" x14ac:dyDescent="0.35">
      <c r="A616">
        <v>3400</v>
      </c>
      <c r="B616" t="s">
        <v>28</v>
      </c>
      <c r="C616">
        <v>2020</v>
      </c>
      <c r="D616" s="1">
        <v>43831</v>
      </c>
      <c r="E616">
        <v>1</v>
      </c>
      <c r="F616">
        <v>880003547</v>
      </c>
      <c r="G616" t="s">
        <v>48</v>
      </c>
      <c r="H616">
        <v>40</v>
      </c>
      <c r="I616">
        <v>74010070</v>
      </c>
      <c r="J616">
        <v>11127102</v>
      </c>
      <c r="K616" t="s">
        <v>49</v>
      </c>
      <c r="L616" s="4">
        <v>596.5</v>
      </c>
      <c r="M616" t="s">
        <v>31</v>
      </c>
      <c r="N616" s="4">
        <v>596.5</v>
      </c>
      <c r="O616" t="s">
        <v>31</v>
      </c>
      <c r="P616" t="s">
        <v>50</v>
      </c>
      <c r="X616" t="s">
        <v>65</v>
      </c>
      <c r="Y616"/>
      <c r="Z616" t="s">
        <v>63</v>
      </c>
      <c r="AA616">
        <f t="shared" si="10"/>
        <v>596.5</v>
      </c>
      <c r="AC616"/>
      <c r="AE616" t="s">
        <v>67</v>
      </c>
      <c r="AF616"/>
      <c r="AL616">
        <v>340099150</v>
      </c>
      <c r="AM616" t="s">
        <v>52</v>
      </c>
    </row>
    <row r="617" spans="1:39" x14ac:dyDescent="0.35">
      <c r="A617">
        <v>3400</v>
      </c>
      <c r="B617" t="s">
        <v>28</v>
      </c>
      <c r="C617">
        <v>2020</v>
      </c>
      <c r="D617" s="1">
        <v>43831</v>
      </c>
      <c r="E617">
        <v>1</v>
      </c>
      <c r="F617">
        <v>880003549</v>
      </c>
      <c r="G617" t="s">
        <v>48</v>
      </c>
      <c r="H617">
        <v>40</v>
      </c>
      <c r="I617">
        <v>74010070</v>
      </c>
      <c r="J617">
        <v>11127132</v>
      </c>
      <c r="K617" t="s">
        <v>49</v>
      </c>
      <c r="L617" s="4">
        <v>14</v>
      </c>
      <c r="M617" t="s">
        <v>31</v>
      </c>
      <c r="N617" s="4">
        <v>14</v>
      </c>
      <c r="O617" t="s">
        <v>31</v>
      </c>
      <c r="P617" t="s">
        <v>50</v>
      </c>
      <c r="X617" t="s">
        <v>65</v>
      </c>
      <c r="Y617"/>
      <c r="Z617" t="s">
        <v>63</v>
      </c>
      <c r="AA617">
        <f t="shared" si="10"/>
        <v>14</v>
      </c>
      <c r="AC617"/>
      <c r="AE617" t="s">
        <v>68</v>
      </c>
      <c r="AF617"/>
      <c r="AL617">
        <v>340099150</v>
      </c>
      <c r="AM617" t="s">
        <v>52</v>
      </c>
    </row>
    <row r="618" spans="1:39" x14ac:dyDescent="0.35">
      <c r="A618">
        <v>3400</v>
      </c>
      <c r="B618" t="s">
        <v>28</v>
      </c>
      <c r="C618">
        <v>2020</v>
      </c>
      <c r="D618" s="1">
        <v>43831</v>
      </c>
      <c r="E618">
        <v>1</v>
      </c>
      <c r="F618">
        <v>880003550</v>
      </c>
      <c r="G618" t="s">
        <v>48</v>
      </c>
      <c r="H618">
        <v>40</v>
      </c>
      <c r="I618">
        <v>74010070</v>
      </c>
      <c r="J618">
        <v>11127112</v>
      </c>
      <c r="K618" t="s">
        <v>49</v>
      </c>
      <c r="L618" s="4">
        <v>35.229999999999997</v>
      </c>
      <c r="M618" t="s">
        <v>54</v>
      </c>
      <c r="N618" s="4">
        <v>659.03</v>
      </c>
      <c r="O618" t="s">
        <v>31</v>
      </c>
      <c r="P618" t="s">
        <v>50</v>
      </c>
      <c r="X618" t="s">
        <v>65</v>
      </c>
      <c r="Y618"/>
      <c r="Z618" t="s">
        <v>63</v>
      </c>
      <c r="AA618">
        <f t="shared" si="10"/>
        <v>35.229999999999997</v>
      </c>
      <c r="AC618"/>
      <c r="AE618" t="s">
        <v>69</v>
      </c>
      <c r="AF618"/>
      <c r="AL618">
        <v>340099150</v>
      </c>
      <c r="AM618" t="s">
        <v>52</v>
      </c>
    </row>
    <row r="619" spans="1:39" x14ac:dyDescent="0.35">
      <c r="A619">
        <v>3400</v>
      </c>
      <c r="B619" t="s">
        <v>28</v>
      </c>
      <c r="C619">
        <v>2020</v>
      </c>
      <c r="D619" s="1">
        <v>43831</v>
      </c>
      <c r="E619">
        <v>1</v>
      </c>
      <c r="F619">
        <v>880003552</v>
      </c>
      <c r="G619" t="s">
        <v>48</v>
      </c>
      <c r="H619">
        <v>40</v>
      </c>
      <c r="I619">
        <v>74010070</v>
      </c>
      <c r="J619">
        <v>11128102</v>
      </c>
      <c r="K619" t="s">
        <v>49</v>
      </c>
      <c r="L619" s="4">
        <v>1000</v>
      </c>
      <c r="M619" t="s">
        <v>31</v>
      </c>
      <c r="N619" s="4">
        <v>1000</v>
      </c>
      <c r="O619" t="s">
        <v>31</v>
      </c>
      <c r="P619" t="s">
        <v>50</v>
      </c>
      <c r="X619" t="s">
        <v>65</v>
      </c>
      <c r="Y619"/>
      <c r="Z619" t="s">
        <v>63</v>
      </c>
      <c r="AA619">
        <f t="shared" si="10"/>
        <v>1000</v>
      </c>
      <c r="AC619"/>
      <c r="AE619" t="s">
        <v>70</v>
      </c>
      <c r="AF619"/>
      <c r="AL619">
        <v>340099150</v>
      </c>
      <c r="AM619" t="s">
        <v>52</v>
      </c>
    </row>
    <row r="620" spans="1:39" x14ac:dyDescent="0.35">
      <c r="A620">
        <v>3400</v>
      </c>
      <c r="B620" t="s">
        <v>47</v>
      </c>
      <c r="C620">
        <v>2020</v>
      </c>
      <c r="D620" s="1">
        <v>43831</v>
      </c>
      <c r="E620">
        <v>1</v>
      </c>
      <c r="F620">
        <v>880003554</v>
      </c>
      <c r="G620" t="s">
        <v>48</v>
      </c>
      <c r="H620">
        <v>40</v>
      </c>
      <c r="I620">
        <v>74010070</v>
      </c>
      <c r="J620">
        <v>11128112</v>
      </c>
      <c r="K620" t="s">
        <v>49</v>
      </c>
      <c r="L620" s="4">
        <v>6977.47</v>
      </c>
      <c r="M620" t="s">
        <v>54</v>
      </c>
      <c r="N620" s="4">
        <v>131191.78</v>
      </c>
      <c r="O620" t="s">
        <v>31</v>
      </c>
      <c r="P620" t="s">
        <v>50</v>
      </c>
      <c r="X620" t="s">
        <v>65</v>
      </c>
      <c r="Y620"/>
      <c r="Z620" t="s">
        <v>63</v>
      </c>
      <c r="AA620">
        <f t="shared" si="10"/>
        <v>6977.47</v>
      </c>
      <c r="AC620"/>
      <c r="AE620" t="s">
        <v>71</v>
      </c>
      <c r="AF620"/>
      <c r="AL620">
        <v>340099150</v>
      </c>
      <c r="AM620" t="s">
        <v>52</v>
      </c>
    </row>
    <row r="621" spans="1:39" x14ac:dyDescent="0.35">
      <c r="A621">
        <v>3400</v>
      </c>
      <c r="B621" t="s">
        <v>28</v>
      </c>
      <c r="C621">
        <v>2020</v>
      </c>
      <c r="D621" s="1">
        <v>43831</v>
      </c>
      <c r="E621">
        <v>1</v>
      </c>
      <c r="F621">
        <v>880003721</v>
      </c>
      <c r="G621" t="s">
        <v>48</v>
      </c>
      <c r="H621">
        <v>40</v>
      </c>
      <c r="I621">
        <v>74010070</v>
      </c>
      <c r="J621">
        <v>11125102</v>
      </c>
      <c r="K621" t="s">
        <v>49</v>
      </c>
      <c r="L621" s="4">
        <v>19158.11</v>
      </c>
      <c r="M621" t="s">
        <v>31</v>
      </c>
      <c r="N621" s="4">
        <v>19158.11</v>
      </c>
      <c r="O621" t="s">
        <v>31</v>
      </c>
      <c r="P621" t="s">
        <v>50</v>
      </c>
      <c r="X621" t="s">
        <v>72</v>
      </c>
      <c r="Y621"/>
      <c r="Z621" t="s">
        <v>63</v>
      </c>
      <c r="AA621">
        <f t="shared" si="10"/>
        <v>19158.11</v>
      </c>
      <c r="AC621"/>
      <c r="AE621" t="s">
        <v>73</v>
      </c>
      <c r="AF621"/>
      <c r="AL621">
        <v>340099150</v>
      </c>
      <c r="AM621" t="s">
        <v>52</v>
      </c>
    </row>
    <row r="622" spans="1:39" x14ac:dyDescent="0.35">
      <c r="A622">
        <v>3403</v>
      </c>
      <c r="B622" t="s">
        <v>28</v>
      </c>
      <c r="C622">
        <v>2020</v>
      </c>
      <c r="D622" s="1">
        <v>43831</v>
      </c>
      <c r="E622">
        <v>220</v>
      </c>
      <c r="F622">
        <v>300018538</v>
      </c>
      <c r="G622" t="s">
        <v>29</v>
      </c>
      <c r="H622">
        <v>81</v>
      </c>
      <c r="I622">
        <v>71101060</v>
      </c>
      <c r="J622">
        <v>11500070</v>
      </c>
      <c r="K622" t="s">
        <v>30</v>
      </c>
      <c r="L622" s="4">
        <v>443</v>
      </c>
      <c r="M622" t="s">
        <v>31</v>
      </c>
      <c r="N622" s="4">
        <v>443</v>
      </c>
      <c r="O622" t="s">
        <v>31</v>
      </c>
      <c r="X622" t="s">
        <v>35</v>
      </c>
      <c r="Y622"/>
      <c r="Z622">
        <v>20200131</v>
      </c>
      <c r="AA622">
        <f t="shared" si="10"/>
        <v>443</v>
      </c>
      <c r="AC622"/>
      <c r="AF622"/>
      <c r="AL622">
        <v>340353290</v>
      </c>
      <c r="AM622" t="s">
        <v>40</v>
      </c>
    </row>
    <row r="623" spans="1:39" x14ac:dyDescent="0.35">
      <c r="A623">
        <v>3403</v>
      </c>
      <c r="B623" t="s">
        <v>28</v>
      </c>
      <c r="C623">
        <v>2020</v>
      </c>
      <c r="D623" s="1">
        <v>43831</v>
      </c>
      <c r="E623">
        <v>222</v>
      </c>
      <c r="F623">
        <v>300018538</v>
      </c>
      <c r="G623" t="s">
        <v>29</v>
      </c>
      <c r="H623">
        <v>81</v>
      </c>
      <c r="I623">
        <v>71101060</v>
      </c>
      <c r="J623">
        <v>11500070</v>
      </c>
      <c r="K623" t="s">
        <v>30</v>
      </c>
      <c r="L623" s="4">
        <v>268.98</v>
      </c>
      <c r="M623" t="s">
        <v>31</v>
      </c>
      <c r="N623" s="4">
        <v>268.98</v>
      </c>
      <c r="O623" t="s">
        <v>31</v>
      </c>
      <c r="X623" t="s">
        <v>35</v>
      </c>
      <c r="Y623"/>
      <c r="Z623">
        <v>20200131</v>
      </c>
      <c r="AA623">
        <f t="shared" si="10"/>
        <v>268.98</v>
      </c>
      <c r="AC623"/>
      <c r="AF623"/>
      <c r="AL623">
        <v>340353290</v>
      </c>
      <c r="AM623" t="s">
        <v>40</v>
      </c>
    </row>
    <row r="624" spans="1:39" x14ac:dyDescent="0.35">
      <c r="A624">
        <v>3403</v>
      </c>
      <c r="B624" t="s">
        <v>28</v>
      </c>
      <c r="C624">
        <v>2020</v>
      </c>
      <c r="D624" s="1">
        <v>43831</v>
      </c>
      <c r="E624">
        <v>228</v>
      </c>
      <c r="F624">
        <v>300018538</v>
      </c>
      <c r="G624" t="s">
        <v>29</v>
      </c>
      <c r="H624">
        <v>81</v>
      </c>
      <c r="I624">
        <v>71101060</v>
      </c>
      <c r="J624">
        <v>11500070</v>
      </c>
      <c r="K624" t="s">
        <v>30</v>
      </c>
      <c r="L624" s="4">
        <v>5.63</v>
      </c>
      <c r="M624" t="s">
        <v>31</v>
      </c>
      <c r="N624" s="4">
        <v>5.63</v>
      </c>
      <c r="O624" t="s">
        <v>31</v>
      </c>
      <c r="X624" t="s">
        <v>35</v>
      </c>
      <c r="Y624"/>
      <c r="Z624">
        <v>20200131</v>
      </c>
      <c r="AA624">
        <f t="shared" si="10"/>
        <v>5.63</v>
      </c>
      <c r="AC624"/>
      <c r="AF624"/>
      <c r="AL624">
        <v>340353290</v>
      </c>
      <c r="AM624" t="s">
        <v>40</v>
      </c>
    </row>
    <row r="625" spans="1:39" x14ac:dyDescent="0.35">
      <c r="A625">
        <v>3403</v>
      </c>
      <c r="B625" t="s">
        <v>28</v>
      </c>
      <c r="C625">
        <v>2020</v>
      </c>
      <c r="D625" s="1">
        <v>43831</v>
      </c>
      <c r="E625">
        <v>232</v>
      </c>
      <c r="F625">
        <v>300018538</v>
      </c>
      <c r="G625" t="s">
        <v>29</v>
      </c>
      <c r="H625">
        <v>81</v>
      </c>
      <c r="I625">
        <v>71101060</v>
      </c>
      <c r="J625">
        <v>11500070</v>
      </c>
      <c r="K625" t="s">
        <v>30</v>
      </c>
      <c r="L625" s="4">
        <v>397.06</v>
      </c>
      <c r="M625" t="s">
        <v>31</v>
      </c>
      <c r="N625" s="4">
        <v>397.06</v>
      </c>
      <c r="O625" t="s">
        <v>31</v>
      </c>
      <c r="X625" t="s">
        <v>35</v>
      </c>
      <c r="Y625"/>
      <c r="Z625">
        <v>20200131</v>
      </c>
      <c r="AA625">
        <f t="shared" si="10"/>
        <v>397.06</v>
      </c>
      <c r="AC625"/>
      <c r="AF625"/>
      <c r="AL625">
        <v>340353290</v>
      </c>
      <c r="AM625" t="s">
        <v>40</v>
      </c>
    </row>
    <row r="626" spans="1:39" x14ac:dyDescent="0.35">
      <c r="A626">
        <v>3402</v>
      </c>
      <c r="B626" t="s">
        <v>28</v>
      </c>
      <c r="C626">
        <v>2020</v>
      </c>
      <c r="D626" s="1">
        <v>43831</v>
      </c>
      <c r="E626">
        <v>76</v>
      </c>
      <c r="F626">
        <v>200114679</v>
      </c>
      <c r="G626" t="s">
        <v>29</v>
      </c>
      <c r="H626">
        <v>81</v>
      </c>
      <c r="I626">
        <v>71101060</v>
      </c>
      <c r="J626">
        <v>11500020</v>
      </c>
      <c r="K626" t="s">
        <v>30</v>
      </c>
      <c r="L626" s="4">
        <v>1177</v>
      </c>
      <c r="M626" t="s">
        <v>31</v>
      </c>
      <c r="N626" s="4">
        <v>1177</v>
      </c>
      <c r="O626" t="s">
        <v>31</v>
      </c>
      <c r="X626" t="s">
        <v>35</v>
      </c>
      <c r="Y626"/>
      <c r="Z626">
        <v>20200131</v>
      </c>
      <c r="AA626">
        <f t="shared" si="10"/>
        <v>1177</v>
      </c>
      <c r="AC626"/>
      <c r="AF626"/>
      <c r="AL626">
        <v>340212490</v>
      </c>
      <c r="AM626" t="s">
        <v>42</v>
      </c>
    </row>
    <row r="627" spans="1:39" x14ac:dyDescent="0.35">
      <c r="A627">
        <v>3402</v>
      </c>
      <c r="B627" t="s">
        <v>28</v>
      </c>
      <c r="C627">
        <v>2020</v>
      </c>
      <c r="D627" s="1">
        <v>43831</v>
      </c>
      <c r="E627">
        <v>120</v>
      </c>
      <c r="F627">
        <v>200114679</v>
      </c>
      <c r="G627" t="s">
        <v>29</v>
      </c>
      <c r="H627">
        <v>81</v>
      </c>
      <c r="I627">
        <v>71101060</v>
      </c>
      <c r="J627">
        <v>11500020</v>
      </c>
      <c r="K627" t="s">
        <v>30</v>
      </c>
      <c r="L627" s="4">
        <v>9666.65</v>
      </c>
      <c r="M627" t="s">
        <v>31</v>
      </c>
      <c r="N627" s="4">
        <v>9666.65</v>
      </c>
      <c r="O627" t="s">
        <v>31</v>
      </c>
      <c r="X627" t="s">
        <v>35</v>
      </c>
      <c r="Y627"/>
      <c r="Z627">
        <v>20200131</v>
      </c>
      <c r="AA627">
        <f t="shared" si="10"/>
        <v>9666.65</v>
      </c>
      <c r="AC627"/>
      <c r="AF627"/>
      <c r="AL627">
        <v>340212490</v>
      </c>
      <c r="AM627" t="s">
        <v>42</v>
      </c>
    </row>
    <row r="628" spans="1:39" x14ac:dyDescent="0.35">
      <c r="A628">
        <v>3402</v>
      </c>
      <c r="B628" t="s">
        <v>28</v>
      </c>
      <c r="C628">
        <v>2020</v>
      </c>
      <c r="D628" s="1">
        <v>43831</v>
      </c>
      <c r="E628">
        <v>122</v>
      </c>
      <c r="F628">
        <v>200114679</v>
      </c>
      <c r="G628" t="s">
        <v>29</v>
      </c>
      <c r="H628">
        <v>81</v>
      </c>
      <c r="I628">
        <v>71101060</v>
      </c>
      <c r="J628">
        <v>11500020</v>
      </c>
      <c r="K628" t="s">
        <v>30</v>
      </c>
      <c r="L628" s="4">
        <v>14877.2</v>
      </c>
      <c r="M628" t="s">
        <v>31</v>
      </c>
      <c r="N628" s="4">
        <v>14877.2</v>
      </c>
      <c r="O628" t="s">
        <v>31</v>
      </c>
      <c r="X628" t="s">
        <v>35</v>
      </c>
      <c r="Y628"/>
      <c r="Z628">
        <v>20200131</v>
      </c>
      <c r="AA628">
        <f t="shared" si="10"/>
        <v>14877.2</v>
      </c>
      <c r="AC628"/>
      <c r="AF628"/>
      <c r="AL628">
        <v>340212490</v>
      </c>
      <c r="AM628" t="s">
        <v>42</v>
      </c>
    </row>
    <row r="629" spans="1:39" x14ac:dyDescent="0.35">
      <c r="A629">
        <v>3402</v>
      </c>
      <c r="B629" t="s">
        <v>28</v>
      </c>
      <c r="C629">
        <v>2020</v>
      </c>
      <c r="D629" s="1">
        <v>43831</v>
      </c>
      <c r="E629">
        <v>104</v>
      </c>
      <c r="F629">
        <v>200114664</v>
      </c>
      <c r="G629" t="s">
        <v>29</v>
      </c>
      <c r="H629">
        <v>81</v>
      </c>
      <c r="I629">
        <v>71101060</v>
      </c>
      <c r="J629">
        <v>11500070</v>
      </c>
      <c r="K629" t="s">
        <v>30</v>
      </c>
      <c r="L629" s="4">
        <v>1620</v>
      </c>
      <c r="M629" t="s">
        <v>31</v>
      </c>
      <c r="N629" s="4">
        <v>1620</v>
      </c>
      <c r="O629" t="s">
        <v>31</v>
      </c>
      <c r="X629" t="s">
        <v>35</v>
      </c>
      <c r="Y629"/>
      <c r="Z629">
        <v>20200131</v>
      </c>
      <c r="AA629">
        <f t="shared" si="10"/>
        <v>1620</v>
      </c>
      <c r="AC629"/>
      <c r="AF629"/>
      <c r="AL629">
        <v>340253290</v>
      </c>
      <c r="AM629" t="s">
        <v>46</v>
      </c>
    </row>
    <row r="630" spans="1:39" x14ac:dyDescent="0.35">
      <c r="A630">
        <v>3402</v>
      </c>
      <c r="B630" t="s">
        <v>28</v>
      </c>
      <c r="C630">
        <v>2020</v>
      </c>
      <c r="D630" s="1">
        <v>43831</v>
      </c>
      <c r="E630">
        <v>144</v>
      </c>
      <c r="F630">
        <v>200114664</v>
      </c>
      <c r="G630" t="s">
        <v>29</v>
      </c>
      <c r="H630">
        <v>81</v>
      </c>
      <c r="I630">
        <v>71101060</v>
      </c>
      <c r="J630">
        <v>11500070</v>
      </c>
      <c r="K630" t="s">
        <v>30</v>
      </c>
      <c r="L630" s="4">
        <v>1510.3</v>
      </c>
      <c r="M630" t="s">
        <v>31</v>
      </c>
      <c r="N630" s="4">
        <v>1510.3</v>
      </c>
      <c r="O630" t="s">
        <v>31</v>
      </c>
      <c r="X630" t="s">
        <v>35</v>
      </c>
      <c r="Y630"/>
      <c r="Z630">
        <v>20200131</v>
      </c>
      <c r="AA630">
        <f t="shared" si="10"/>
        <v>1510.3</v>
      </c>
      <c r="AC630"/>
      <c r="AF630"/>
      <c r="AL630">
        <v>340253290</v>
      </c>
      <c r="AM630" t="s">
        <v>46</v>
      </c>
    </row>
    <row r="631" spans="1:39" x14ac:dyDescent="0.35">
      <c r="A631">
        <v>3402</v>
      </c>
      <c r="B631" t="s">
        <v>28</v>
      </c>
      <c r="C631">
        <v>2020</v>
      </c>
      <c r="D631" s="1">
        <v>43831</v>
      </c>
      <c r="E631">
        <v>156</v>
      </c>
      <c r="F631">
        <v>200114664</v>
      </c>
      <c r="G631" t="s">
        <v>29</v>
      </c>
      <c r="H631">
        <v>81</v>
      </c>
      <c r="I631">
        <v>71101060</v>
      </c>
      <c r="J631">
        <v>11500070</v>
      </c>
      <c r="K631" t="s">
        <v>30</v>
      </c>
      <c r="L631" s="4">
        <v>2059.38</v>
      </c>
      <c r="M631" t="s">
        <v>31</v>
      </c>
      <c r="N631" s="4">
        <v>2059.38</v>
      </c>
      <c r="O631" t="s">
        <v>31</v>
      </c>
      <c r="X631" t="s">
        <v>35</v>
      </c>
      <c r="Y631"/>
      <c r="Z631">
        <v>20200131</v>
      </c>
      <c r="AA631">
        <f t="shared" si="10"/>
        <v>2059.38</v>
      </c>
      <c r="AC631"/>
      <c r="AF631"/>
      <c r="AL631">
        <v>340253290</v>
      </c>
      <c r="AM631" t="s">
        <v>46</v>
      </c>
    </row>
    <row r="632" spans="1:39" x14ac:dyDescent="0.35">
      <c r="A632">
        <v>3402</v>
      </c>
      <c r="B632" t="s">
        <v>39</v>
      </c>
      <c r="C632">
        <v>2020</v>
      </c>
      <c r="D632" s="1">
        <v>43831</v>
      </c>
      <c r="E632">
        <v>2</v>
      </c>
      <c r="F632">
        <v>200042661</v>
      </c>
      <c r="G632" t="s">
        <v>29</v>
      </c>
      <c r="H632">
        <v>81</v>
      </c>
      <c r="I632">
        <v>71101060</v>
      </c>
      <c r="J632">
        <v>11500060</v>
      </c>
      <c r="K632" t="s">
        <v>30</v>
      </c>
      <c r="L632" s="4">
        <v>71.25</v>
      </c>
      <c r="M632" t="s">
        <v>31</v>
      </c>
      <c r="N632" s="4">
        <v>71.25</v>
      </c>
      <c r="O632" t="s">
        <v>31</v>
      </c>
      <c r="X632" t="s">
        <v>43</v>
      </c>
      <c r="Y632">
        <v>15012020</v>
      </c>
      <c r="Z632">
        <v>20200115</v>
      </c>
      <c r="AA632">
        <f t="shared" si="10"/>
        <v>71.25</v>
      </c>
      <c r="AC632"/>
      <c r="AE632" t="s">
        <v>74</v>
      </c>
      <c r="AF632"/>
      <c r="AL632">
        <v>340219190</v>
      </c>
      <c r="AM632" t="s">
        <v>46</v>
      </c>
    </row>
    <row r="633" spans="1:39" x14ac:dyDescent="0.35">
      <c r="A633">
        <v>3402</v>
      </c>
      <c r="B633" t="s">
        <v>39</v>
      </c>
      <c r="C633">
        <v>2020</v>
      </c>
      <c r="D633" s="1">
        <v>43831</v>
      </c>
      <c r="E633">
        <v>2</v>
      </c>
      <c r="F633">
        <v>200042663</v>
      </c>
      <c r="G633" t="s">
        <v>29</v>
      </c>
      <c r="H633">
        <v>81</v>
      </c>
      <c r="I633">
        <v>71101060</v>
      </c>
      <c r="J633">
        <v>11500050</v>
      </c>
      <c r="K633" t="s">
        <v>30</v>
      </c>
      <c r="L633" s="4">
        <v>30</v>
      </c>
      <c r="M633" t="s">
        <v>31</v>
      </c>
      <c r="N633" s="4">
        <v>30</v>
      </c>
      <c r="O633" t="s">
        <v>31</v>
      </c>
      <c r="X633" t="s">
        <v>43</v>
      </c>
      <c r="Y633">
        <v>15012020</v>
      </c>
      <c r="Z633">
        <v>20200115</v>
      </c>
      <c r="AA633">
        <f t="shared" si="10"/>
        <v>30</v>
      </c>
      <c r="AC633"/>
      <c r="AE633" t="s">
        <v>75</v>
      </c>
      <c r="AF633"/>
      <c r="AL633">
        <v>340219190</v>
      </c>
      <c r="AM633" t="s">
        <v>38</v>
      </c>
    </row>
    <row r="634" spans="1:39" x14ac:dyDescent="0.35">
      <c r="A634">
        <v>3402</v>
      </c>
      <c r="B634" t="s">
        <v>39</v>
      </c>
      <c r="C634">
        <v>2020</v>
      </c>
      <c r="D634" s="1">
        <v>43831</v>
      </c>
      <c r="E634">
        <v>2</v>
      </c>
      <c r="F634">
        <v>200042683</v>
      </c>
      <c r="G634" t="s">
        <v>29</v>
      </c>
      <c r="H634">
        <v>91</v>
      </c>
      <c r="I634">
        <v>71101060</v>
      </c>
      <c r="J634">
        <v>11500050</v>
      </c>
      <c r="K634" t="s">
        <v>30</v>
      </c>
      <c r="L634" s="4">
        <v>30</v>
      </c>
      <c r="M634" t="s">
        <v>31</v>
      </c>
      <c r="N634" s="4">
        <v>30</v>
      </c>
      <c r="O634" t="s">
        <v>31</v>
      </c>
      <c r="X634" t="s">
        <v>43</v>
      </c>
      <c r="Y634">
        <v>15012020</v>
      </c>
      <c r="Z634">
        <v>20200115</v>
      </c>
      <c r="AA634">
        <f t="shared" si="10"/>
        <v>30</v>
      </c>
      <c r="AC634"/>
      <c r="AE634" t="s">
        <v>75</v>
      </c>
      <c r="AF634"/>
      <c r="AL634">
        <v>340219190</v>
      </c>
      <c r="AM634" t="s">
        <v>38</v>
      </c>
    </row>
    <row r="635" spans="1:39" x14ac:dyDescent="0.35">
      <c r="A635">
        <v>3409</v>
      </c>
      <c r="B635" t="s">
        <v>39</v>
      </c>
      <c r="C635">
        <v>2020</v>
      </c>
      <c r="D635" s="1">
        <v>43831</v>
      </c>
      <c r="E635">
        <v>61</v>
      </c>
      <c r="F635">
        <v>900005283</v>
      </c>
      <c r="G635" t="s">
        <v>76</v>
      </c>
      <c r="H635">
        <v>40</v>
      </c>
      <c r="I635">
        <v>74010070</v>
      </c>
      <c r="J635">
        <v>5000001</v>
      </c>
      <c r="K635" t="s">
        <v>49</v>
      </c>
      <c r="L635" s="4">
        <v>20</v>
      </c>
      <c r="M635" t="s">
        <v>54</v>
      </c>
      <c r="N635" s="4">
        <v>376.43</v>
      </c>
      <c r="O635" t="s">
        <v>31</v>
      </c>
      <c r="X635" t="s">
        <v>43</v>
      </c>
      <c r="Y635"/>
      <c r="Z635">
        <v>20200115</v>
      </c>
      <c r="AA635">
        <f t="shared" si="10"/>
        <v>20</v>
      </c>
      <c r="AC635"/>
      <c r="AE635" t="s">
        <v>77</v>
      </c>
      <c r="AF635"/>
      <c r="AL635">
        <v>340940390</v>
      </c>
      <c r="AM635" t="s">
        <v>78</v>
      </c>
    </row>
    <row r="636" spans="1:39" x14ac:dyDescent="0.35">
      <c r="A636">
        <v>3400</v>
      </c>
      <c r="B636" t="s">
        <v>39</v>
      </c>
      <c r="C636">
        <v>2020</v>
      </c>
      <c r="D636" s="1">
        <v>43831</v>
      </c>
      <c r="E636">
        <v>1</v>
      </c>
      <c r="F636">
        <v>880000351</v>
      </c>
      <c r="G636" t="s">
        <v>48</v>
      </c>
      <c r="H636">
        <v>40</v>
      </c>
      <c r="I636">
        <v>74010070</v>
      </c>
      <c r="J636">
        <v>11128102</v>
      </c>
      <c r="K636" t="s">
        <v>49</v>
      </c>
      <c r="L636" s="4">
        <v>11279.32</v>
      </c>
      <c r="M636" t="s">
        <v>31</v>
      </c>
      <c r="N636" s="4">
        <v>11279.32</v>
      </c>
      <c r="O636" t="s">
        <v>31</v>
      </c>
      <c r="P636" t="s">
        <v>50</v>
      </c>
      <c r="X636" t="s">
        <v>43</v>
      </c>
      <c r="Y636"/>
      <c r="Z636">
        <v>20200115</v>
      </c>
      <c r="AA636">
        <f t="shared" si="10"/>
        <v>11279.32</v>
      </c>
      <c r="AC636"/>
      <c r="AE636" t="s">
        <v>79</v>
      </c>
      <c r="AF636"/>
      <c r="AL636">
        <v>340099150</v>
      </c>
      <c r="AM636" t="s">
        <v>56</v>
      </c>
    </row>
    <row r="637" spans="1:39" x14ac:dyDescent="0.35">
      <c r="A637">
        <v>3400</v>
      </c>
      <c r="B637" t="s">
        <v>39</v>
      </c>
      <c r="C637">
        <v>2020</v>
      </c>
      <c r="D637" s="1">
        <v>43831</v>
      </c>
      <c r="E637">
        <v>1</v>
      </c>
      <c r="F637">
        <v>880000356</v>
      </c>
      <c r="G637" t="s">
        <v>48</v>
      </c>
      <c r="H637">
        <v>40</v>
      </c>
      <c r="I637">
        <v>74010070</v>
      </c>
      <c r="J637">
        <v>11127102</v>
      </c>
      <c r="K637" t="s">
        <v>49</v>
      </c>
      <c r="L637" s="4">
        <v>621.5</v>
      </c>
      <c r="M637" t="s">
        <v>31</v>
      </c>
      <c r="N637" s="4">
        <v>621.5</v>
      </c>
      <c r="O637" t="s">
        <v>31</v>
      </c>
      <c r="P637" t="s">
        <v>50</v>
      </c>
      <c r="X637" t="s">
        <v>43</v>
      </c>
      <c r="Y637"/>
      <c r="Z637">
        <v>20200115</v>
      </c>
      <c r="AA637">
        <f t="shared" si="10"/>
        <v>621.5</v>
      </c>
      <c r="AC637"/>
      <c r="AE637" t="s">
        <v>80</v>
      </c>
      <c r="AF637"/>
      <c r="AL637">
        <v>340099150</v>
      </c>
      <c r="AM637" t="s">
        <v>56</v>
      </c>
    </row>
    <row r="638" spans="1:39" x14ac:dyDescent="0.35">
      <c r="A638">
        <v>3402</v>
      </c>
      <c r="B638" t="s">
        <v>39</v>
      </c>
      <c r="C638">
        <v>2020</v>
      </c>
      <c r="D638" s="1">
        <v>43831</v>
      </c>
      <c r="E638">
        <v>2</v>
      </c>
      <c r="F638">
        <v>200042632</v>
      </c>
      <c r="G638" t="s">
        <v>29</v>
      </c>
      <c r="H638">
        <v>81</v>
      </c>
      <c r="I638">
        <v>71101060</v>
      </c>
      <c r="J638">
        <v>11500060</v>
      </c>
      <c r="K638" t="s">
        <v>30</v>
      </c>
      <c r="L638" s="4">
        <v>142.5</v>
      </c>
      <c r="M638" t="s">
        <v>31</v>
      </c>
      <c r="N638" s="4">
        <v>142.5</v>
      </c>
      <c r="O638" t="s">
        <v>31</v>
      </c>
      <c r="X638" t="s">
        <v>43</v>
      </c>
      <c r="Y638">
        <v>15012020</v>
      </c>
      <c r="Z638">
        <v>20200115</v>
      </c>
      <c r="AA638">
        <f t="shared" si="10"/>
        <v>142.5</v>
      </c>
      <c r="AC638"/>
      <c r="AE638" t="s">
        <v>74</v>
      </c>
      <c r="AF638"/>
      <c r="AL638">
        <v>340253890</v>
      </c>
      <c r="AM638" t="s">
        <v>46</v>
      </c>
    </row>
    <row r="639" spans="1:39" x14ac:dyDescent="0.35">
      <c r="A639">
        <v>3402</v>
      </c>
      <c r="B639" t="s">
        <v>39</v>
      </c>
      <c r="C639">
        <v>2020</v>
      </c>
      <c r="D639" s="1">
        <v>43831</v>
      </c>
      <c r="E639">
        <v>4</v>
      </c>
      <c r="F639">
        <v>200042697</v>
      </c>
      <c r="G639" t="s">
        <v>29</v>
      </c>
      <c r="H639">
        <v>81</v>
      </c>
      <c r="I639">
        <v>71101060</v>
      </c>
      <c r="J639">
        <v>11500050</v>
      </c>
      <c r="K639" t="s">
        <v>30</v>
      </c>
      <c r="L639" s="4">
        <v>30</v>
      </c>
      <c r="M639" t="s">
        <v>31</v>
      </c>
      <c r="N639" s="4">
        <v>30</v>
      </c>
      <c r="O639" t="s">
        <v>31</v>
      </c>
      <c r="X639" t="s">
        <v>43</v>
      </c>
      <c r="Y639">
        <v>15012020</v>
      </c>
      <c r="Z639">
        <v>20200115</v>
      </c>
      <c r="AA639">
        <f t="shared" si="10"/>
        <v>30</v>
      </c>
      <c r="AC639"/>
      <c r="AE639" t="s">
        <v>75</v>
      </c>
      <c r="AF639"/>
      <c r="AL639">
        <v>340210590</v>
      </c>
      <c r="AM639" t="s">
        <v>38</v>
      </c>
    </row>
    <row r="640" spans="1:39" x14ac:dyDescent="0.35">
      <c r="A640">
        <v>3406</v>
      </c>
      <c r="B640" t="s">
        <v>39</v>
      </c>
      <c r="C640">
        <v>2020</v>
      </c>
      <c r="D640" s="1">
        <v>43831</v>
      </c>
      <c r="E640">
        <v>2</v>
      </c>
      <c r="F640">
        <v>600013722</v>
      </c>
      <c r="G640" t="s">
        <v>29</v>
      </c>
      <c r="H640">
        <v>81</v>
      </c>
      <c r="I640">
        <v>71101060</v>
      </c>
      <c r="J640">
        <v>11500060</v>
      </c>
      <c r="K640" t="s">
        <v>30</v>
      </c>
      <c r="L640" s="4">
        <v>71.25</v>
      </c>
      <c r="M640" t="s">
        <v>31</v>
      </c>
      <c r="N640" s="4">
        <v>71.25</v>
      </c>
      <c r="O640" t="s">
        <v>31</v>
      </c>
      <c r="X640" t="s">
        <v>43</v>
      </c>
      <c r="Y640">
        <v>15012020</v>
      </c>
      <c r="Z640">
        <v>20200115</v>
      </c>
      <c r="AA640">
        <f t="shared" si="10"/>
        <v>71.25</v>
      </c>
      <c r="AC640"/>
      <c r="AE640" t="s">
        <v>74</v>
      </c>
      <c r="AF640"/>
      <c r="AL640">
        <v>340619190</v>
      </c>
      <c r="AM640" t="s">
        <v>36</v>
      </c>
    </row>
    <row r="641" spans="1:39" x14ac:dyDescent="0.35">
      <c r="A641">
        <v>3400</v>
      </c>
      <c r="B641" t="s">
        <v>39</v>
      </c>
      <c r="C641">
        <v>2020</v>
      </c>
      <c r="D641" s="1">
        <v>43831</v>
      </c>
      <c r="E641">
        <v>1</v>
      </c>
      <c r="F641">
        <v>880000755</v>
      </c>
      <c r="G641" t="s">
        <v>48</v>
      </c>
      <c r="H641">
        <v>40</v>
      </c>
      <c r="I641">
        <v>74010070</v>
      </c>
      <c r="J641">
        <v>11123162</v>
      </c>
      <c r="K641" t="s">
        <v>49</v>
      </c>
      <c r="L641" s="4">
        <v>36395.949999999997</v>
      </c>
      <c r="M641" t="s">
        <v>54</v>
      </c>
      <c r="N641" s="4">
        <v>685026.37</v>
      </c>
      <c r="O641" t="s">
        <v>31</v>
      </c>
      <c r="X641" t="s">
        <v>81</v>
      </c>
      <c r="Y641"/>
      <c r="Z641">
        <v>20200115</v>
      </c>
      <c r="AA641">
        <f t="shared" si="10"/>
        <v>36395.949999999997</v>
      </c>
      <c r="AC641"/>
      <c r="AE641" t="s">
        <v>82</v>
      </c>
      <c r="AF641"/>
      <c r="AL641">
        <v>340099150</v>
      </c>
      <c r="AM641" t="s">
        <v>52</v>
      </c>
    </row>
    <row r="642" spans="1:39" x14ac:dyDescent="0.35">
      <c r="A642">
        <v>3407</v>
      </c>
      <c r="B642" t="s">
        <v>28</v>
      </c>
      <c r="C642">
        <v>2020</v>
      </c>
      <c r="D642" s="1">
        <v>43831</v>
      </c>
      <c r="E642">
        <v>122</v>
      </c>
      <c r="F642">
        <v>700041818</v>
      </c>
      <c r="G642" t="s">
        <v>29</v>
      </c>
      <c r="H642">
        <v>81</v>
      </c>
      <c r="I642">
        <v>71101060</v>
      </c>
      <c r="J642">
        <v>11500010</v>
      </c>
      <c r="K642" t="s">
        <v>30</v>
      </c>
      <c r="L642" s="4">
        <v>150</v>
      </c>
      <c r="M642" t="s">
        <v>31</v>
      </c>
      <c r="N642" s="4">
        <v>150</v>
      </c>
      <c r="O642" t="s">
        <v>31</v>
      </c>
      <c r="X642" t="s">
        <v>32</v>
      </c>
      <c r="Y642"/>
      <c r="Z642">
        <v>20200131</v>
      </c>
      <c r="AA642">
        <f t="shared" si="10"/>
        <v>150</v>
      </c>
      <c r="AC642"/>
      <c r="AF642"/>
      <c r="AL642">
        <v>340712590</v>
      </c>
      <c r="AM642" t="s">
        <v>33</v>
      </c>
    </row>
    <row r="643" spans="1:39" x14ac:dyDescent="0.35">
      <c r="A643">
        <v>3407</v>
      </c>
      <c r="B643" t="s">
        <v>28</v>
      </c>
      <c r="C643">
        <v>2020</v>
      </c>
      <c r="D643" s="1">
        <v>43831</v>
      </c>
      <c r="E643">
        <v>128</v>
      </c>
      <c r="F643">
        <v>700041818</v>
      </c>
      <c r="G643" t="s">
        <v>29</v>
      </c>
      <c r="H643">
        <v>81</v>
      </c>
      <c r="I643">
        <v>71101060</v>
      </c>
      <c r="J643">
        <v>11500010</v>
      </c>
      <c r="K643" t="s">
        <v>30</v>
      </c>
      <c r="L643" s="4">
        <v>215.67</v>
      </c>
      <c r="M643" t="s">
        <v>31</v>
      </c>
      <c r="N643" s="4">
        <v>215.67</v>
      </c>
      <c r="O643" t="s">
        <v>31</v>
      </c>
      <c r="X643" t="s">
        <v>32</v>
      </c>
      <c r="Y643"/>
      <c r="Z643">
        <v>20200131</v>
      </c>
      <c r="AA643">
        <f t="shared" si="10"/>
        <v>215.67</v>
      </c>
      <c r="AC643"/>
      <c r="AF643"/>
      <c r="AL643">
        <v>340712590</v>
      </c>
      <c r="AM643" t="s">
        <v>33</v>
      </c>
    </row>
    <row r="644" spans="1:39" x14ac:dyDescent="0.35">
      <c r="A644">
        <v>3407</v>
      </c>
      <c r="B644" t="s">
        <v>28</v>
      </c>
      <c r="C644">
        <v>2020</v>
      </c>
      <c r="D644" s="1">
        <v>43831</v>
      </c>
      <c r="E644">
        <v>218</v>
      </c>
      <c r="F644">
        <v>700041800</v>
      </c>
      <c r="G644" t="s">
        <v>29</v>
      </c>
      <c r="H644">
        <v>81</v>
      </c>
      <c r="I644">
        <v>71101060</v>
      </c>
      <c r="J644">
        <v>11500020</v>
      </c>
      <c r="K644" t="s">
        <v>30</v>
      </c>
      <c r="L644" s="4">
        <v>620.25</v>
      </c>
      <c r="M644" t="s">
        <v>31</v>
      </c>
      <c r="N644" s="4">
        <v>620.25</v>
      </c>
      <c r="O644" t="s">
        <v>31</v>
      </c>
      <c r="X644" t="s">
        <v>32</v>
      </c>
      <c r="Y644"/>
      <c r="Z644">
        <v>20200131</v>
      </c>
      <c r="AA644">
        <f t="shared" si="10"/>
        <v>620.25</v>
      </c>
      <c r="AC644"/>
      <c r="AF644"/>
      <c r="AL644">
        <v>340712390</v>
      </c>
      <c r="AM644" t="s">
        <v>34</v>
      </c>
    </row>
    <row r="645" spans="1:39" x14ac:dyDescent="0.35">
      <c r="A645">
        <v>3402</v>
      </c>
      <c r="B645" t="s">
        <v>28</v>
      </c>
      <c r="C645">
        <v>2020</v>
      </c>
      <c r="D645" s="1">
        <v>43831</v>
      </c>
      <c r="E645">
        <v>90</v>
      </c>
      <c r="F645">
        <v>200114681</v>
      </c>
      <c r="G645" t="s">
        <v>29</v>
      </c>
      <c r="H645">
        <v>81</v>
      </c>
      <c r="I645">
        <v>71101060</v>
      </c>
      <c r="J645">
        <v>11500010</v>
      </c>
      <c r="K645" t="s">
        <v>30</v>
      </c>
      <c r="L645" s="4">
        <v>4365.09</v>
      </c>
      <c r="M645" t="s">
        <v>31</v>
      </c>
      <c r="N645" s="4">
        <v>4365.09</v>
      </c>
      <c r="O645" t="s">
        <v>31</v>
      </c>
      <c r="X645" t="s">
        <v>35</v>
      </c>
      <c r="Y645"/>
      <c r="Z645">
        <v>20200131</v>
      </c>
      <c r="AA645">
        <f t="shared" si="10"/>
        <v>4365.09</v>
      </c>
      <c r="AC645"/>
      <c r="AF645"/>
      <c r="AL645">
        <v>340255290</v>
      </c>
      <c r="AM645" t="s">
        <v>38</v>
      </c>
    </row>
    <row r="646" spans="1:39" x14ac:dyDescent="0.35">
      <c r="A646">
        <v>3402</v>
      </c>
      <c r="B646" t="s">
        <v>28</v>
      </c>
      <c r="C646">
        <v>2020</v>
      </c>
      <c r="D646" s="1">
        <v>43831</v>
      </c>
      <c r="E646">
        <v>92</v>
      </c>
      <c r="F646">
        <v>200114681</v>
      </c>
      <c r="G646" t="s">
        <v>29</v>
      </c>
      <c r="H646">
        <v>81</v>
      </c>
      <c r="I646">
        <v>71101060</v>
      </c>
      <c r="J646">
        <v>11500010</v>
      </c>
      <c r="K646" t="s">
        <v>30</v>
      </c>
      <c r="L646" s="4">
        <v>962.75</v>
      </c>
      <c r="M646" t="s">
        <v>31</v>
      </c>
      <c r="N646" s="4">
        <v>962.75</v>
      </c>
      <c r="O646" t="s">
        <v>31</v>
      </c>
      <c r="X646" t="s">
        <v>35</v>
      </c>
      <c r="Y646"/>
      <c r="Z646">
        <v>20200131</v>
      </c>
      <c r="AA646">
        <f t="shared" si="10"/>
        <v>962.75</v>
      </c>
      <c r="AC646"/>
      <c r="AF646"/>
      <c r="AL646">
        <v>340255290</v>
      </c>
      <c r="AM646" t="s">
        <v>38</v>
      </c>
    </row>
    <row r="647" spans="1:39" x14ac:dyDescent="0.35">
      <c r="A647">
        <v>3402</v>
      </c>
      <c r="B647" t="s">
        <v>28</v>
      </c>
      <c r="C647">
        <v>2020</v>
      </c>
      <c r="D647" s="1">
        <v>43831</v>
      </c>
      <c r="E647">
        <v>94</v>
      </c>
      <c r="F647">
        <v>200114681</v>
      </c>
      <c r="G647" t="s">
        <v>29</v>
      </c>
      <c r="H647">
        <v>81</v>
      </c>
      <c r="I647">
        <v>71101060</v>
      </c>
      <c r="J647">
        <v>11500010</v>
      </c>
      <c r="K647" t="s">
        <v>30</v>
      </c>
      <c r="L647" s="4">
        <v>4693.3500000000004</v>
      </c>
      <c r="M647" t="s">
        <v>31</v>
      </c>
      <c r="N647" s="4">
        <v>4693.3500000000004</v>
      </c>
      <c r="O647" t="s">
        <v>31</v>
      </c>
      <c r="X647" t="s">
        <v>35</v>
      </c>
      <c r="Y647"/>
      <c r="Z647">
        <v>20200131</v>
      </c>
      <c r="AA647">
        <f t="shared" si="10"/>
        <v>4693.3500000000004</v>
      </c>
      <c r="AC647"/>
      <c r="AF647"/>
      <c r="AL647">
        <v>340255290</v>
      </c>
      <c r="AM647" t="s">
        <v>38</v>
      </c>
    </row>
    <row r="648" spans="1:39" x14ac:dyDescent="0.35">
      <c r="A648">
        <v>3402</v>
      </c>
      <c r="B648" t="s">
        <v>28</v>
      </c>
      <c r="C648">
        <v>2020</v>
      </c>
      <c r="D648" s="1">
        <v>43831</v>
      </c>
      <c r="E648">
        <v>96</v>
      </c>
      <c r="F648">
        <v>200114681</v>
      </c>
      <c r="G648" t="s">
        <v>29</v>
      </c>
      <c r="H648">
        <v>81</v>
      </c>
      <c r="I648">
        <v>71101060</v>
      </c>
      <c r="J648">
        <v>11500010</v>
      </c>
      <c r="K648" t="s">
        <v>30</v>
      </c>
      <c r="L648" s="4">
        <v>2785.68</v>
      </c>
      <c r="M648" t="s">
        <v>31</v>
      </c>
      <c r="N648" s="4">
        <v>2785.68</v>
      </c>
      <c r="O648" t="s">
        <v>31</v>
      </c>
      <c r="X648" t="s">
        <v>35</v>
      </c>
      <c r="Y648"/>
      <c r="Z648">
        <v>20200131</v>
      </c>
      <c r="AA648">
        <f t="shared" si="10"/>
        <v>2785.68</v>
      </c>
      <c r="AC648"/>
      <c r="AF648"/>
      <c r="AL648">
        <v>340255290</v>
      </c>
      <c r="AM648" t="s">
        <v>38</v>
      </c>
    </row>
    <row r="649" spans="1:39" x14ac:dyDescent="0.35">
      <c r="A649">
        <v>3402</v>
      </c>
      <c r="B649" t="s">
        <v>28</v>
      </c>
      <c r="C649">
        <v>2020</v>
      </c>
      <c r="D649" s="1">
        <v>43831</v>
      </c>
      <c r="E649">
        <v>98</v>
      </c>
      <c r="F649">
        <v>200114681</v>
      </c>
      <c r="G649" t="s">
        <v>29</v>
      </c>
      <c r="H649">
        <v>81</v>
      </c>
      <c r="I649">
        <v>71101060</v>
      </c>
      <c r="J649">
        <v>11500010</v>
      </c>
      <c r="K649" t="s">
        <v>30</v>
      </c>
      <c r="L649" s="4">
        <v>1188.3800000000001</v>
      </c>
      <c r="M649" t="s">
        <v>31</v>
      </c>
      <c r="N649" s="4">
        <v>1188.3800000000001</v>
      </c>
      <c r="O649" t="s">
        <v>31</v>
      </c>
      <c r="X649" t="s">
        <v>35</v>
      </c>
      <c r="Y649"/>
      <c r="Z649">
        <v>20200131</v>
      </c>
      <c r="AA649">
        <f t="shared" si="10"/>
        <v>1188.3800000000001</v>
      </c>
      <c r="AC649"/>
      <c r="AF649"/>
      <c r="AL649">
        <v>340255290</v>
      </c>
      <c r="AM649" t="s">
        <v>38</v>
      </c>
    </row>
    <row r="650" spans="1:39" x14ac:dyDescent="0.35">
      <c r="A650">
        <v>3402</v>
      </c>
      <c r="B650" t="s">
        <v>28</v>
      </c>
      <c r="C650">
        <v>2020</v>
      </c>
      <c r="D650" s="1">
        <v>43831</v>
      </c>
      <c r="E650">
        <v>100</v>
      </c>
      <c r="F650">
        <v>200114681</v>
      </c>
      <c r="G650" t="s">
        <v>29</v>
      </c>
      <c r="H650">
        <v>81</v>
      </c>
      <c r="I650">
        <v>71101060</v>
      </c>
      <c r="J650">
        <v>11500010</v>
      </c>
      <c r="K650" t="s">
        <v>30</v>
      </c>
      <c r="L650" s="4">
        <v>770.16</v>
      </c>
      <c r="M650" t="s">
        <v>31</v>
      </c>
      <c r="N650" s="4">
        <v>770.16</v>
      </c>
      <c r="O650" t="s">
        <v>31</v>
      </c>
      <c r="X650" t="s">
        <v>35</v>
      </c>
      <c r="Y650"/>
      <c r="Z650">
        <v>20200131</v>
      </c>
      <c r="AA650">
        <f t="shared" si="10"/>
        <v>770.16</v>
      </c>
      <c r="AC650"/>
      <c r="AF650"/>
      <c r="AL650">
        <v>340255290</v>
      </c>
      <c r="AM650" t="s">
        <v>38</v>
      </c>
    </row>
    <row r="651" spans="1:39" x14ac:dyDescent="0.35">
      <c r="A651">
        <v>3402</v>
      </c>
      <c r="B651" t="s">
        <v>28</v>
      </c>
      <c r="C651">
        <v>2020</v>
      </c>
      <c r="D651" s="1">
        <v>43831</v>
      </c>
      <c r="E651">
        <v>102</v>
      </c>
      <c r="F651">
        <v>200114681</v>
      </c>
      <c r="G651" t="s">
        <v>29</v>
      </c>
      <c r="H651">
        <v>81</v>
      </c>
      <c r="I651">
        <v>71101060</v>
      </c>
      <c r="J651">
        <v>11500010</v>
      </c>
      <c r="K651" t="s">
        <v>30</v>
      </c>
      <c r="L651" s="4">
        <v>248.06</v>
      </c>
      <c r="M651" t="s">
        <v>31</v>
      </c>
      <c r="N651" s="4">
        <v>248.06</v>
      </c>
      <c r="O651" t="s">
        <v>31</v>
      </c>
      <c r="X651" t="s">
        <v>35</v>
      </c>
      <c r="Y651"/>
      <c r="Z651">
        <v>20200131</v>
      </c>
      <c r="AA651">
        <f t="shared" si="10"/>
        <v>248.06</v>
      </c>
      <c r="AC651"/>
      <c r="AF651"/>
      <c r="AL651">
        <v>340255290</v>
      </c>
      <c r="AM651" t="s">
        <v>38</v>
      </c>
    </row>
    <row r="652" spans="1:39" x14ac:dyDescent="0.35">
      <c r="A652">
        <v>3406</v>
      </c>
      <c r="B652" t="s">
        <v>28</v>
      </c>
      <c r="C652">
        <v>2020</v>
      </c>
      <c r="D652" s="1">
        <v>43831</v>
      </c>
      <c r="E652">
        <v>190</v>
      </c>
      <c r="F652">
        <v>600031598</v>
      </c>
      <c r="G652" t="s">
        <v>29</v>
      </c>
      <c r="H652">
        <v>81</v>
      </c>
      <c r="I652">
        <v>71101060</v>
      </c>
      <c r="J652">
        <v>11500010</v>
      </c>
      <c r="K652" t="s">
        <v>30</v>
      </c>
      <c r="L652" s="4">
        <v>731.49</v>
      </c>
      <c r="M652" t="s">
        <v>31</v>
      </c>
      <c r="N652" s="4">
        <v>731.49</v>
      </c>
      <c r="O652" t="s">
        <v>31</v>
      </c>
      <c r="X652" t="s">
        <v>35</v>
      </c>
      <c r="Y652"/>
      <c r="Z652">
        <v>20200131</v>
      </c>
      <c r="AA652">
        <f t="shared" si="10"/>
        <v>731.49</v>
      </c>
      <c r="AC652"/>
      <c r="AF652"/>
      <c r="AL652">
        <v>340612590</v>
      </c>
      <c r="AM652" t="s">
        <v>36</v>
      </c>
    </row>
    <row r="653" spans="1:39" x14ac:dyDescent="0.35">
      <c r="A653">
        <v>3406</v>
      </c>
      <c r="B653" t="s">
        <v>28</v>
      </c>
      <c r="C653">
        <v>2020</v>
      </c>
      <c r="D653" s="1">
        <v>43831</v>
      </c>
      <c r="E653">
        <v>10</v>
      </c>
      <c r="F653">
        <v>600031600</v>
      </c>
      <c r="G653" t="s">
        <v>29</v>
      </c>
      <c r="H653">
        <v>81</v>
      </c>
      <c r="I653">
        <v>71101060</v>
      </c>
      <c r="J653">
        <v>11500010</v>
      </c>
      <c r="K653" t="s">
        <v>30</v>
      </c>
      <c r="L653" s="4">
        <v>731.49</v>
      </c>
      <c r="M653" t="s">
        <v>31</v>
      </c>
      <c r="N653" s="4">
        <v>731.49</v>
      </c>
      <c r="O653" t="s">
        <v>31</v>
      </c>
      <c r="X653" t="s">
        <v>35</v>
      </c>
      <c r="Y653"/>
      <c r="Z653">
        <v>20200131</v>
      </c>
      <c r="AA653">
        <f t="shared" si="10"/>
        <v>731.49</v>
      </c>
      <c r="AC653"/>
      <c r="AF653"/>
      <c r="AL653">
        <v>340612590</v>
      </c>
      <c r="AM653" t="s">
        <v>36</v>
      </c>
    </row>
    <row r="654" spans="1:39" x14ac:dyDescent="0.35">
      <c r="A654">
        <v>3406</v>
      </c>
      <c r="B654" t="s">
        <v>28</v>
      </c>
      <c r="C654">
        <v>2020</v>
      </c>
      <c r="D654" s="1">
        <v>43831</v>
      </c>
      <c r="E654">
        <v>14</v>
      </c>
      <c r="F654">
        <v>600031600</v>
      </c>
      <c r="G654" t="s">
        <v>29</v>
      </c>
      <c r="H654">
        <v>81</v>
      </c>
      <c r="I654">
        <v>71101060</v>
      </c>
      <c r="J654">
        <v>11500010</v>
      </c>
      <c r="K654" t="s">
        <v>30</v>
      </c>
      <c r="L654" s="4">
        <v>546.66999999999996</v>
      </c>
      <c r="M654" t="s">
        <v>31</v>
      </c>
      <c r="N654" s="4">
        <v>546.66999999999996</v>
      </c>
      <c r="O654" t="s">
        <v>31</v>
      </c>
      <c r="X654" t="s">
        <v>35</v>
      </c>
      <c r="Y654"/>
      <c r="Z654">
        <v>20200131</v>
      </c>
      <c r="AA654">
        <f t="shared" si="10"/>
        <v>546.66999999999996</v>
      </c>
      <c r="AC654"/>
      <c r="AF654"/>
      <c r="AL654">
        <v>340612590</v>
      </c>
      <c r="AM654" t="s">
        <v>36</v>
      </c>
    </row>
    <row r="655" spans="1:39" x14ac:dyDescent="0.35">
      <c r="A655">
        <v>3401</v>
      </c>
      <c r="B655" t="s">
        <v>28</v>
      </c>
      <c r="C655">
        <v>2020</v>
      </c>
      <c r="D655" s="1">
        <v>43831</v>
      </c>
      <c r="E655">
        <v>80</v>
      </c>
      <c r="F655">
        <v>100031711</v>
      </c>
      <c r="G655" t="s">
        <v>29</v>
      </c>
      <c r="H655">
        <v>81</v>
      </c>
      <c r="I655">
        <v>71101060</v>
      </c>
      <c r="J655">
        <v>11500010</v>
      </c>
      <c r="K655" t="s">
        <v>30</v>
      </c>
      <c r="L655" s="4">
        <v>678.33</v>
      </c>
      <c r="M655" t="s">
        <v>31</v>
      </c>
      <c r="N655" s="4">
        <v>678.33</v>
      </c>
      <c r="O655" t="s">
        <v>31</v>
      </c>
      <c r="X655" t="s">
        <v>28</v>
      </c>
      <c r="Y655"/>
      <c r="Z655">
        <v>20200131</v>
      </c>
      <c r="AA655">
        <f t="shared" si="10"/>
        <v>678.33</v>
      </c>
      <c r="AC655"/>
      <c r="AF655"/>
      <c r="AL655">
        <v>340116690</v>
      </c>
      <c r="AM655" t="s">
        <v>37</v>
      </c>
    </row>
    <row r="656" spans="1:39" x14ac:dyDescent="0.35">
      <c r="A656">
        <v>3401</v>
      </c>
      <c r="B656" t="s">
        <v>28</v>
      </c>
      <c r="C656">
        <v>2020</v>
      </c>
      <c r="D656" s="1">
        <v>43831</v>
      </c>
      <c r="E656">
        <v>82</v>
      </c>
      <c r="F656">
        <v>100031711</v>
      </c>
      <c r="G656" t="s">
        <v>29</v>
      </c>
      <c r="H656">
        <v>81</v>
      </c>
      <c r="I656">
        <v>71101060</v>
      </c>
      <c r="J656">
        <v>11500010</v>
      </c>
      <c r="K656" t="s">
        <v>30</v>
      </c>
      <c r="L656" s="4">
        <v>546.66999999999996</v>
      </c>
      <c r="M656" t="s">
        <v>31</v>
      </c>
      <c r="N656" s="4">
        <v>546.66999999999996</v>
      </c>
      <c r="O656" t="s">
        <v>31</v>
      </c>
      <c r="X656" t="s">
        <v>28</v>
      </c>
      <c r="Y656"/>
      <c r="Z656">
        <v>20200131</v>
      </c>
      <c r="AA656">
        <f t="shared" si="10"/>
        <v>546.66999999999996</v>
      </c>
      <c r="AC656"/>
      <c r="AF656"/>
      <c r="AL656">
        <v>340116690</v>
      </c>
      <c r="AM656" t="s">
        <v>37</v>
      </c>
    </row>
    <row r="657" spans="1:39" x14ac:dyDescent="0.35">
      <c r="A657">
        <v>3400</v>
      </c>
      <c r="B657" t="s">
        <v>83</v>
      </c>
      <c r="C657">
        <v>2020</v>
      </c>
      <c r="D657" s="1">
        <v>43831</v>
      </c>
      <c r="E657">
        <v>1</v>
      </c>
      <c r="F657">
        <v>880003126</v>
      </c>
      <c r="G657" t="s">
        <v>48</v>
      </c>
      <c r="H657">
        <v>40</v>
      </c>
      <c r="I657">
        <v>74010070</v>
      </c>
      <c r="J657">
        <v>11125102</v>
      </c>
      <c r="K657" t="s">
        <v>49</v>
      </c>
      <c r="L657" s="4">
        <v>9669.09</v>
      </c>
      <c r="M657" t="s">
        <v>31</v>
      </c>
      <c r="N657" s="4">
        <v>9669.09</v>
      </c>
      <c r="O657" t="s">
        <v>31</v>
      </c>
      <c r="P657" t="s">
        <v>50</v>
      </c>
      <c r="X657" t="s">
        <v>62</v>
      </c>
      <c r="Y657"/>
      <c r="Z657">
        <v>20200128</v>
      </c>
      <c r="AA657">
        <f t="shared" si="10"/>
        <v>9669.09</v>
      </c>
      <c r="AC657"/>
      <c r="AE657" t="s">
        <v>84</v>
      </c>
      <c r="AF657"/>
      <c r="AL657">
        <v>340099150</v>
      </c>
      <c r="AM657" t="s">
        <v>56</v>
      </c>
    </row>
    <row r="658" spans="1:39" x14ac:dyDescent="0.35">
      <c r="A658">
        <v>3400</v>
      </c>
      <c r="B658" t="s">
        <v>83</v>
      </c>
      <c r="C658">
        <v>2020</v>
      </c>
      <c r="D658" s="1">
        <v>43831</v>
      </c>
      <c r="E658">
        <v>1</v>
      </c>
      <c r="F658">
        <v>880003127</v>
      </c>
      <c r="G658" t="s">
        <v>48</v>
      </c>
      <c r="H658">
        <v>40</v>
      </c>
      <c r="I658">
        <v>74010070</v>
      </c>
      <c r="J658">
        <v>11128102</v>
      </c>
      <c r="K658" t="s">
        <v>49</v>
      </c>
      <c r="L658" s="4">
        <v>15215.49</v>
      </c>
      <c r="M658" t="s">
        <v>31</v>
      </c>
      <c r="N658" s="4">
        <v>15215.49</v>
      </c>
      <c r="O658" t="s">
        <v>31</v>
      </c>
      <c r="P658" t="s">
        <v>50</v>
      </c>
      <c r="X658" t="s">
        <v>62</v>
      </c>
      <c r="Y658"/>
      <c r="Z658">
        <v>20200128</v>
      </c>
      <c r="AA658">
        <f t="shared" ref="AA658:AA721" si="11">L658</f>
        <v>15215.49</v>
      </c>
      <c r="AC658"/>
      <c r="AE658" t="s">
        <v>80</v>
      </c>
      <c r="AF658"/>
      <c r="AL658">
        <v>340099150</v>
      </c>
      <c r="AM658" t="s">
        <v>56</v>
      </c>
    </row>
    <row r="659" spans="1:39" x14ac:dyDescent="0.35">
      <c r="A659">
        <v>3400</v>
      </c>
      <c r="B659" t="s">
        <v>83</v>
      </c>
      <c r="C659">
        <v>2020</v>
      </c>
      <c r="D659" s="1">
        <v>43831</v>
      </c>
      <c r="E659">
        <v>1</v>
      </c>
      <c r="F659">
        <v>880003134</v>
      </c>
      <c r="G659" t="s">
        <v>48</v>
      </c>
      <c r="H659">
        <v>40</v>
      </c>
      <c r="I659">
        <v>74010070</v>
      </c>
      <c r="J659">
        <v>11128112</v>
      </c>
      <c r="K659" t="s">
        <v>49</v>
      </c>
      <c r="L659" s="4">
        <v>76424.55</v>
      </c>
      <c r="M659" t="s">
        <v>54</v>
      </c>
      <c r="N659" s="4">
        <v>1439173.63</v>
      </c>
      <c r="O659" t="s">
        <v>31</v>
      </c>
      <c r="P659" t="s">
        <v>50</v>
      </c>
      <c r="X659" t="s">
        <v>62</v>
      </c>
      <c r="Y659"/>
      <c r="Z659">
        <v>20200128</v>
      </c>
      <c r="AA659">
        <f t="shared" si="11"/>
        <v>76424.55</v>
      </c>
      <c r="AC659"/>
      <c r="AE659" t="s">
        <v>85</v>
      </c>
      <c r="AF659"/>
      <c r="AL659">
        <v>340099150</v>
      </c>
      <c r="AM659" t="s">
        <v>56</v>
      </c>
    </row>
    <row r="660" spans="1:39" x14ac:dyDescent="0.35">
      <c r="A660">
        <v>3403</v>
      </c>
      <c r="B660" t="s">
        <v>86</v>
      </c>
      <c r="C660">
        <v>2020</v>
      </c>
      <c r="D660" s="1">
        <v>43831</v>
      </c>
      <c r="E660">
        <v>3</v>
      </c>
      <c r="F660">
        <v>300004245</v>
      </c>
      <c r="G660" t="s">
        <v>87</v>
      </c>
      <c r="H660">
        <v>40</v>
      </c>
      <c r="I660">
        <v>74010070</v>
      </c>
      <c r="J660">
        <v>1000060986</v>
      </c>
      <c r="K660" t="s">
        <v>49</v>
      </c>
      <c r="L660" s="4">
        <v>27</v>
      </c>
      <c r="M660" t="s">
        <v>54</v>
      </c>
      <c r="N660" s="4">
        <v>509.42</v>
      </c>
      <c r="O660" t="s">
        <v>31</v>
      </c>
      <c r="X660" t="s">
        <v>88</v>
      </c>
      <c r="Y660">
        <v>200106656781</v>
      </c>
      <c r="Z660">
        <v>2178465</v>
      </c>
      <c r="AA660">
        <f t="shared" si="11"/>
        <v>27</v>
      </c>
      <c r="AC660"/>
      <c r="AE660" t="s">
        <v>89</v>
      </c>
      <c r="AF660"/>
      <c r="AL660">
        <v>340340390</v>
      </c>
      <c r="AM660" t="s">
        <v>90</v>
      </c>
    </row>
    <row r="661" spans="1:39" x14ac:dyDescent="0.35">
      <c r="A661">
        <v>3401</v>
      </c>
      <c r="B661" t="s">
        <v>81</v>
      </c>
      <c r="C661">
        <v>2020</v>
      </c>
      <c r="D661" s="1">
        <v>43831</v>
      </c>
      <c r="E661">
        <v>2</v>
      </c>
      <c r="F661">
        <v>100029192</v>
      </c>
      <c r="G661" t="s">
        <v>87</v>
      </c>
      <c r="H661">
        <v>40</v>
      </c>
      <c r="I661">
        <v>74010070</v>
      </c>
      <c r="J661">
        <v>1000044624</v>
      </c>
      <c r="K661" t="s">
        <v>49</v>
      </c>
      <c r="L661" s="4">
        <v>27</v>
      </c>
      <c r="M661" t="s">
        <v>54</v>
      </c>
      <c r="N661" s="4">
        <v>505.95</v>
      </c>
      <c r="O661" t="s">
        <v>31</v>
      </c>
      <c r="X661" t="s">
        <v>62</v>
      </c>
      <c r="Y661">
        <v>4304150</v>
      </c>
      <c r="Z661">
        <v>1000044624</v>
      </c>
      <c r="AA661">
        <f t="shared" si="11"/>
        <v>27</v>
      </c>
      <c r="AC661"/>
      <c r="AE661" t="s">
        <v>91</v>
      </c>
      <c r="AF661"/>
      <c r="AL661">
        <v>340140390</v>
      </c>
      <c r="AM661" t="s">
        <v>92</v>
      </c>
    </row>
    <row r="662" spans="1:39" x14ac:dyDescent="0.35">
      <c r="A662">
        <v>3407</v>
      </c>
      <c r="B662" t="s">
        <v>93</v>
      </c>
      <c r="C662">
        <v>2020</v>
      </c>
      <c r="D662" s="1">
        <v>43831</v>
      </c>
      <c r="E662">
        <v>1</v>
      </c>
      <c r="F662">
        <v>880015032</v>
      </c>
      <c r="G662" t="s">
        <v>48</v>
      </c>
      <c r="H662">
        <v>40</v>
      </c>
      <c r="I662">
        <v>74010070</v>
      </c>
      <c r="J662">
        <v>604821</v>
      </c>
      <c r="K662" t="s">
        <v>49</v>
      </c>
      <c r="L662" s="4">
        <v>239472.16</v>
      </c>
      <c r="M662" t="s">
        <v>54</v>
      </c>
      <c r="N662" s="4">
        <v>4475327.57</v>
      </c>
      <c r="O662" t="s">
        <v>31</v>
      </c>
      <c r="X662" t="s">
        <v>51</v>
      </c>
      <c r="Y662"/>
      <c r="Z662">
        <v>20200124</v>
      </c>
      <c r="AA662">
        <f t="shared" si="11"/>
        <v>239472.16</v>
      </c>
      <c r="AC662"/>
      <c r="AE662" t="s">
        <v>94</v>
      </c>
      <c r="AF662"/>
      <c r="AL662">
        <v>340799190</v>
      </c>
      <c r="AM662" t="s">
        <v>95</v>
      </c>
    </row>
    <row r="663" spans="1:39" x14ac:dyDescent="0.35">
      <c r="A663">
        <v>3400</v>
      </c>
      <c r="B663" t="s">
        <v>62</v>
      </c>
      <c r="C663">
        <v>2020</v>
      </c>
      <c r="D663" s="1">
        <v>43831</v>
      </c>
      <c r="E663">
        <v>1</v>
      </c>
      <c r="F663">
        <v>100009788</v>
      </c>
      <c r="G663" t="s">
        <v>96</v>
      </c>
      <c r="H663">
        <v>40</v>
      </c>
      <c r="I663">
        <v>71106100</v>
      </c>
      <c r="J663">
        <v>21021040</v>
      </c>
      <c r="K663" t="s">
        <v>97</v>
      </c>
      <c r="L663" s="4">
        <v>77157.97</v>
      </c>
      <c r="M663" t="s">
        <v>54</v>
      </c>
      <c r="N663" s="4">
        <v>1461425.96</v>
      </c>
      <c r="O663" t="s">
        <v>31</v>
      </c>
      <c r="P663" t="s">
        <v>98</v>
      </c>
      <c r="X663" t="s">
        <v>62</v>
      </c>
      <c r="Y663"/>
      <c r="Z663" t="s">
        <v>99</v>
      </c>
      <c r="AA663">
        <f t="shared" si="11"/>
        <v>77157.97</v>
      </c>
      <c r="AC663"/>
      <c r="AE663" t="s">
        <v>100</v>
      </c>
      <c r="AF663"/>
      <c r="AL663">
        <v>340020050</v>
      </c>
      <c r="AM663" t="s">
        <v>78</v>
      </c>
    </row>
    <row r="664" spans="1:39" x14ac:dyDescent="0.35">
      <c r="A664">
        <v>3402</v>
      </c>
      <c r="B664" t="s">
        <v>28</v>
      </c>
      <c r="C664">
        <v>2020</v>
      </c>
      <c r="D664" s="1">
        <v>43831</v>
      </c>
      <c r="E664">
        <v>1</v>
      </c>
      <c r="F664">
        <v>200120056</v>
      </c>
      <c r="G664" t="s">
        <v>101</v>
      </c>
      <c r="H664">
        <v>50</v>
      </c>
      <c r="I664">
        <v>71106150</v>
      </c>
      <c r="J664">
        <v>21230140</v>
      </c>
      <c r="K664" t="s">
        <v>102</v>
      </c>
      <c r="L664" s="4">
        <v>7955.8</v>
      </c>
      <c r="M664" t="s">
        <v>54</v>
      </c>
      <c r="N664" s="4">
        <v>156023.57999999999</v>
      </c>
      <c r="O664" t="s">
        <v>31</v>
      </c>
      <c r="X664" t="s">
        <v>32</v>
      </c>
      <c r="Y664" t="s">
        <v>103</v>
      </c>
      <c r="Z664">
        <v>20191130</v>
      </c>
      <c r="AA664">
        <f t="shared" si="11"/>
        <v>7955.8</v>
      </c>
      <c r="AC664"/>
      <c r="AE664" t="s">
        <v>104</v>
      </c>
      <c r="AF664"/>
      <c r="AL664">
        <v>340275190</v>
      </c>
      <c r="AM664" t="s">
        <v>105</v>
      </c>
    </row>
    <row r="665" spans="1:39" x14ac:dyDescent="0.35">
      <c r="A665">
        <v>3407</v>
      </c>
      <c r="B665" t="s">
        <v>28</v>
      </c>
      <c r="C665">
        <v>2020</v>
      </c>
      <c r="D665" s="1">
        <v>43831</v>
      </c>
      <c r="E665">
        <v>56</v>
      </c>
      <c r="F665">
        <v>700041813</v>
      </c>
      <c r="G665" t="s">
        <v>29</v>
      </c>
      <c r="H665">
        <v>81</v>
      </c>
      <c r="I665">
        <v>71101060</v>
      </c>
      <c r="J665">
        <v>11500040</v>
      </c>
      <c r="K665" t="s">
        <v>30</v>
      </c>
      <c r="L665" s="4">
        <v>1340.67</v>
      </c>
      <c r="M665" t="s">
        <v>31</v>
      </c>
      <c r="N665" s="4">
        <v>1340.67</v>
      </c>
      <c r="O665" t="s">
        <v>31</v>
      </c>
      <c r="X665" t="s">
        <v>32</v>
      </c>
      <c r="Y665"/>
      <c r="Z665">
        <v>20200131</v>
      </c>
      <c r="AA665">
        <f t="shared" si="11"/>
        <v>1340.67</v>
      </c>
      <c r="AC665"/>
      <c r="AF665"/>
      <c r="AL665">
        <v>340710490</v>
      </c>
      <c r="AM665" t="s">
        <v>33</v>
      </c>
    </row>
    <row r="666" spans="1:39" x14ac:dyDescent="0.35">
      <c r="A666">
        <v>3407</v>
      </c>
      <c r="B666" t="s">
        <v>28</v>
      </c>
      <c r="C666">
        <v>2020</v>
      </c>
      <c r="D666" s="1">
        <v>43831</v>
      </c>
      <c r="E666">
        <v>58</v>
      </c>
      <c r="F666">
        <v>700041813</v>
      </c>
      <c r="G666" t="s">
        <v>29</v>
      </c>
      <c r="H666">
        <v>81</v>
      </c>
      <c r="I666">
        <v>71101060</v>
      </c>
      <c r="J666">
        <v>11500040</v>
      </c>
      <c r="K666" t="s">
        <v>30</v>
      </c>
      <c r="L666" s="4">
        <v>790</v>
      </c>
      <c r="M666" t="s">
        <v>31</v>
      </c>
      <c r="N666" s="4">
        <v>790</v>
      </c>
      <c r="O666" t="s">
        <v>31</v>
      </c>
      <c r="X666" t="s">
        <v>32</v>
      </c>
      <c r="Y666"/>
      <c r="Z666">
        <v>20200131</v>
      </c>
      <c r="AA666">
        <f t="shared" si="11"/>
        <v>790</v>
      </c>
      <c r="AC666"/>
      <c r="AF666"/>
      <c r="AL666">
        <v>340710490</v>
      </c>
      <c r="AM666" t="s">
        <v>33</v>
      </c>
    </row>
    <row r="667" spans="1:39" x14ac:dyDescent="0.35">
      <c r="A667">
        <v>3407</v>
      </c>
      <c r="B667" t="s">
        <v>28</v>
      </c>
      <c r="C667">
        <v>2020</v>
      </c>
      <c r="D667" s="1">
        <v>43831</v>
      </c>
      <c r="E667">
        <v>64</v>
      </c>
      <c r="F667">
        <v>700041813</v>
      </c>
      <c r="G667" t="s">
        <v>29</v>
      </c>
      <c r="H667">
        <v>81</v>
      </c>
      <c r="I667">
        <v>71101060</v>
      </c>
      <c r="J667">
        <v>11500040</v>
      </c>
      <c r="K667" t="s">
        <v>30</v>
      </c>
      <c r="L667" s="4">
        <v>693</v>
      </c>
      <c r="M667" t="s">
        <v>31</v>
      </c>
      <c r="N667" s="4">
        <v>693</v>
      </c>
      <c r="O667" t="s">
        <v>31</v>
      </c>
      <c r="X667" t="s">
        <v>32</v>
      </c>
      <c r="Y667"/>
      <c r="Z667">
        <v>20200131</v>
      </c>
      <c r="AA667">
        <f t="shared" si="11"/>
        <v>693</v>
      </c>
      <c r="AC667"/>
      <c r="AF667"/>
      <c r="AL667">
        <v>340710490</v>
      </c>
      <c r="AM667" t="s">
        <v>33</v>
      </c>
    </row>
    <row r="668" spans="1:39" x14ac:dyDescent="0.35">
      <c r="A668">
        <v>3407</v>
      </c>
      <c r="B668" t="s">
        <v>28</v>
      </c>
      <c r="C668">
        <v>2020</v>
      </c>
      <c r="D668" s="1">
        <v>43831</v>
      </c>
      <c r="E668">
        <v>70</v>
      </c>
      <c r="F668">
        <v>700041813</v>
      </c>
      <c r="G668" t="s">
        <v>29</v>
      </c>
      <c r="H668">
        <v>81</v>
      </c>
      <c r="I668">
        <v>71101060</v>
      </c>
      <c r="J668">
        <v>11500040</v>
      </c>
      <c r="K668" t="s">
        <v>30</v>
      </c>
      <c r="L668" s="4">
        <v>12.08</v>
      </c>
      <c r="M668" t="s">
        <v>31</v>
      </c>
      <c r="N668" s="4">
        <v>12.08</v>
      </c>
      <c r="O668" t="s">
        <v>31</v>
      </c>
      <c r="X668" t="s">
        <v>32</v>
      </c>
      <c r="Y668"/>
      <c r="Z668">
        <v>20200131</v>
      </c>
      <c r="AA668">
        <f t="shared" si="11"/>
        <v>12.08</v>
      </c>
      <c r="AC668"/>
      <c r="AF668"/>
      <c r="AL668">
        <v>340710490</v>
      </c>
      <c r="AM668" t="s">
        <v>33</v>
      </c>
    </row>
    <row r="669" spans="1:39" x14ac:dyDescent="0.35">
      <c r="A669">
        <v>3407</v>
      </c>
      <c r="B669" t="s">
        <v>28</v>
      </c>
      <c r="C669">
        <v>2020</v>
      </c>
      <c r="D669" s="1">
        <v>43831</v>
      </c>
      <c r="E669">
        <v>72</v>
      </c>
      <c r="F669">
        <v>700041813</v>
      </c>
      <c r="G669" t="s">
        <v>29</v>
      </c>
      <c r="H669">
        <v>81</v>
      </c>
      <c r="I669">
        <v>71101060</v>
      </c>
      <c r="J669">
        <v>11500040</v>
      </c>
      <c r="K669" t="s">
        <v>30</v>
      </c>
      <c r="L669" s="4">
        <v>1380.34</v>
      </c>
      <c r="M669" t="s">
        <v>31</v>
      </c>
      <c r="N669" s="4">
        <v>1380.34</v>
      </c>
      <c r="O669" t="s">
        <v>31</v>
      </c>
      <c r="X669" t="s">
        <v>32</v>
      </c>
      <c r="Y669"/>
      <c r="Z669">
        <v>20200131</v>
      </c>
      <c r="AA669">
        <f t="shared" si="11"/>
        <v>1380.34</v>
      </c>
      <c r="AC669"/>
      <c r="AF669"/>
      <c r="AL669">
        <v>340710490</v>
      </c>
      <c r="AM669" t="s">
        <v>33</v>
      </c>
    </row>
    <row r="670" spans="1:39" x14ac:dyDescent="0.35">
      <c r="A670">
        <v>3407</v>
      </c>
      <c r="B670" t="s">
        <v>28</v>
      </c>
      <c r="C670">
        <v>2020</v>
      </c>
      <c r="D670" s="1">
        <v>43831</v>
      </c>
      <c r="E670">
        <v>154</v>
      </c>
      <c r="F670">
        <v>700041813</v>
      </c>
      <c r="G670" t="s">
        <v>29</v>
      </c>
      <c r="H670">
        <v>81</v>
      </c>
      <c r="I670">
        <v>71101060</v>
      </c>
      <c r="J670">
        <v>11500040</v>
      </c>
      <c r="K670" t="s">
        <v>30</v>
      </c>
      <c r="L670" s="4">
        <v>1436.72</v>
      </c>
      <c r="M670" t="s">
        <v>31</v>
      </c>
      <c r="N670" s="4">
        <v>1436.72</v>
      </c>
      <c r="O670" t="s">
        <v>31</v>
      </c>
      <c r="X670" t="s">
        <v>32</v>
      </c>
      <c r="Y670"/>
      <c r="Z670">
        <v>20200131</v>
      </c>
      <c r="AA670">
        <f t="shared" si="11"/>
        <v>1436.72</v>
      </c>
      <c r="AC670"/>
      <c r="AF670"/>
      <c r="AL670">
        <v>340710490</v>
      </c>
      <c r="AM670" t="s">
        <v>33</v>
      </c>
    </row>
    <row r="671" spans="1:39" x14ac:dyDescent="0.35">
      <c r="A671">
        <v>3407</v>
      </c>
      <c r="B671" t="s">
        <v>28</v>
      </c>
      <c r="C671">
        <v>2020</v>
      </c>
      <c r="D671" s="1">
        <v>43831</v>
      </c>
      <c r="E671">
        <v>156</v>
      </c>
      <c r="F671">
        <v>700041813</v>
      </c>
      <c r="G671" t="s">
        <v>29</v>
      </c>
      <c r="H671">
        <v>81</v>
      </c>
      <c r="I671">
        <v>71101060</v>
      </c>
      <c r="J671">
        <v>11500040</v>
      </c>
      <c r="K671" t="s">
        <v>30</v>
      </c>
      <c r="L671" s="4">
        <v>6673.89</v>
      </c>
      <c r="M671" t="s">
        <v>31</v>
      </c>
      <c r="N671" s="4">
        <v>6673.89</v>
      </c>
      <c r="O671" t="s">
        <v>31</v>
      </c>
      <c r="X671" t="s">
        <v>32</v>
      </c>
      <c r="Y671"/>
      <c r="Z671">
        <v>20200131</v>
      </c>
      <c r="AA671">
        <f t="shared" si="11"/>
        <v>6673.89</v>
      </c>
      <c r="AC671"/>
      <c r="AF671"/>
      <c r="AL671">
        <v>340710490</v>
      </c>
      <c r="AM671" t="s">
        <v>33</v>
      </c>
    </row>
    <row r="672" spans="1:39" x14ac:dyDescent="0.35">
      <c r="A672">
        <v>3407</v>
      </c>
      <c r="B672" t="s">
        <v>28</v>
      </c>
      <c r="C672">
        <v>2020</v>
      </c>
      <c r="D672" s="1">
        <v>43831</v>
      </c>
      <c r="E672">
        <v>158</v>
      </c>
      <c r="F672">
        <v>700041813</v>
      </c>
      <c r="G672" t="s">
        <v>29</v>
      </c>
      <c r="H672">
        <v>81</v>
      </c>
      <c r="I672">
        <v>71101060</v>
      </c>
      <c r="J672">
        <v>11500040</v>
      </c>
      <c r="K672" t="s">
        <v>30</v>
      </c>
      <c r="L672" s="4">
        <v>1772.88</v>
      </c>
      <c r="M672" t="s">
        <v>31</v>
      </c>
      <c r="N672" s="4">
        <v>1772.88</v>
      </c>
      <c r="O672" t="s">
        <v>31</v>
      </c>
      <c r="X672" t="s">
        <v>32</v>
      </c>
      <c r="Y672"/>
      <c r="Z672">
        <v>20200131</v>
      </c>
      <c r="AA672">
        <f t="shared" si="11"/>
        <v>1772.88</v>
      </c>
      <c r="AC672"/>
      <c r="AF672"/>
      <c r="AL672">
        <v>340710490</v>
      </c>
      <c r="AM672" t="s">
        <v>33</v>
      </c>
    </row>
    <row r="673" spans="1:39" x14ac:dyDescent="0.35">
      <c r="A673">
        <v>3407</v>
      </c>
      <c r="B673" t="s">
        <v>28</v>
      </c>
      <c r="C673">
        <v>2020</v>
      </c>
      <c r="D673" s="1">
        <v>43831</v>
      </c>
      <c r="E673">
        <v>160</v>
      </c>
      <c r="F673">
        <v>700041813</v>
      </c>
      <c r="G673" t="s">
        <v>29</v>
      </c>
      <c r="H673">
        <v>81</v>
      </c>
      <c r="I673">
        <v>71101060</v>
      </c>
      <c r="J673">
        <v>11500040</v>
      </c>
      <c r="K673" t="s">
        <v>30</v>
      </c>
      <c r="L673" s="4">
        <v>6948.84</v>
      </c>
      <c r="M673" t="s">
        <v>31</v>
      </c>
      <c r="N673" s="4">
        <v>6948.84</v>
      </c>
      <c r="O673" t="s">
        <v>31</v>
      </c>
      <c r="X673" t="s">
        <v>32</v>
      </c>
      <c r="Y673"/>
      <c r="Z673">
        <v>20200131</v>
      </c>
      <c r="AA673">
        <f t="shared" si="11"/>
        <v>6948.84</v>
      </c>
      <c r="AC673"/>
      <c r="AF673"/>
      <c r="AL673">
        <v>340710490</v>
      </c>
      <c r="AM673" t="s">
        <v>33</v>
      </c>
    </row>
    <row r="674" spans="1:39" x14ac:dyDescent="0.35">
      <c r="A674">
        <v>3407</v>
      </c>
      <c r="B674" t="s">
        <v>28</v>
      </c>
      <c r="C674">
        <v>2020</v>
      </c>
      <c r="D674" s="1">
        <v>43831</v>
      </c>
      <c r="E674">
        <v>164</v>
      </c>
      <c r="F674">
        <v>700041813</v>
      </c>
      <c r="G674" t="s">
        <v>29</v>
      </c>
      <c r="H674">
        <v>81</v>
      </c>
      <c r="I674">
        <v>71101060</v>
      </c>
      <c r="J674">
        <v>11500040</v>
      </c>
      <c r="K674" t="s">
        <v>30</v>
      </c>
      <c r="L674" s="4">
        <v>1478.88</v>
      </c>
      <c r="M674" t="s">
        <v>31</v>
      </c>
      <c r="N674" s="4">
        <v>1478.88</v>
      </c>
      <c r="O674" t="s">
        <v>31</v>
      </c>
      <c r="X674" t="s">
        <v>32</v>
      </c>
      <c r="Y674"/>
      <c r="Z674">
        <v>20200131</v>
      </c>
      <c r="AA674">
        <f t="shared" si="11"/>
        <v>1478.88</v>
      </c>
      <c r="AC674"/>
      <c r="AF674"/>
      <c r="AL674">
        <v>340710490</v>
      </c>
      <c r="AM674" t="s">
        <v>33</v>
      </c>
    </row>
    <row r="675" spans="1:39" x14ac:dyDescent="0.35">
      <c r="A675">
        <v>3407</v>
      </c>
      <c r="B675" t="s">
        <v>28</v>
      </c>
      <c r="C675">
        <v>2020</v>
      </c>
      <c r="D675" s="1">
        <v>43831</v>
      </c>
      <c r="E675">
        <v>168</v>
      </c>
      <c r="F675">
        <v>700041813</v>
      </c>
      <c r="G675" t="s">
        <v>29</v>
      </c>
      <c r="H675">
        <v>81</v>
      </c>
      <c r="I675">
        <v>71101060</v>
      </c>
      <c r="J675">
        <v>11500040</v>
      </c>
      <c r="K675" t="s">
        <v>30</v>
      </c>
      <c r="L675" s="4">
        <v>4690.6499999999996</v>
      </c>
      <c r="M675" t="s">
        <v>31</v>
      </c>
      <c r="N675" s="4">
        <v>4690.6499999999996</v>
      </c>
      <c r="O675" t="s">
        <v>31</v>
      </c>
      <c r="X675" t="s">
        <v>32</v>
      </c>
      <c r="Y675"/>
      <c r="Z675">
        <v>20200131</v>
      </c>
      <c r="AA675">
        <f t="shared" si="11"/>
        <v>4690.6499999999996</v>
      </c>
      <c r="AC675"/>
      <c r="AF675"/>
      <c r="AL675">
        <v>340710490</v>
      </c>
      <c r="AM675" t="s">
        <v>33</v>
      </c>
    </row>
    <row r="676" spans="1:39" x14ac:dyDescent="0.35">
      <c r="A676">
        <v>3407</v>
      </c>
      <c r="B676" t="s">
        <v>28</v>
      </c>
      <c r="C676">
        <v>2020</v>
      </c>
      <c r="D676" s="1">
        <v>43831</v>
      </c>
      <c r="E676">
        <v>170</v>
      </c>
      <c r="F676">
        <v>700041813</v>
      </c>
      <c r="G676" t="s">
        <v>29</v>
      </c>
      <c r="H676">
        <v>81</v>
      </c>
      <c r="I676">
        <v>71101060</v>
      </c>
      <c r="J676">
        <v>11500040</v>
      </c>
      <c r="K676" t="s">
        <v>30</v>
      </c>
      <c r="L676" s="4">
        <v>3328.68</v>
      </c>
      <c r="M676" t="s">
        <v>31</v>
      </c>
      <c r="N676" s="4">
        <v>3328.68</v>
      </c>
      <c r="O676" t="s">
        <v>31</v>
      </c>
      <c r="X676" t="s">
        <v>32</v>
      </c>
      <c r="Y676"/>
      <c r="Z676">
        <v>20200131</v>
      </c>
      <c r="AA676">
        <f t="shared" si="11"/>
        <v>3328.68</v>
      </c>
      <c r="AC676"/>
      <c r="AF676"/>
      <c r="AL676">
        <v>340710490</v>
      </c>
      <c r="AM676" t="s">
        <v>33</v>
      </c>
    </row>
    <row r="677" spans="1:39" x14ac:dyDescent="0.35">
      <c r="A677">
        <v>3407</v>
      </c>
      <c r="B677" t="s">
        <v>28</v>
      </c>
      <c r="C677">
        <v>2020</v>
      </c>
      <c r="D677" s="1">
        <v>43831</v>
      </c>
      <c r="E677">
        <v>172</v>
      </c>
      <c r="F677">
        <v>700041813</v>
      </c>
      <c r="G677" t="s">
        <v>29</v>
      </c>
      <c r="H677">
        <v>81</v>
      </c>
      <c r="I677">
        <v>71101060</v>
      </c>
      <c r="J677">
        <v>11500040</v>
      </c>
      <c r="K677" t="s">
        <v>30</v>
      </c>
      <c r="L677" s="4">
        <v>5557.38</v>
      </c>
      <c r="M677" t="s">
        <v>31</v>
      </c>
      <c r="N677" s="4">
        <v>5557.38</v>
      </c>
      <c r="O677" t="s">
        <v>31</v>
      </c>
      <c r="X677" t="s">
        <v>32</v>
      </c>
      <c r="Y677"/>
      <c r="Z677">
        <v>20200131</v>
      </c>
      <c r="AA677">
        <f t="shared" si="11"/>
        <v>5557.38</v>
      </c>
      <c r="AC677"/>
      <c r="AF677"/>
      <c r="AL677">
        <v>340710490</v>
      </c>
      <c r="AM677" t="s">
        <v>33</v>
      </c>
    </row>
    <row r="678" spans="1:39" x14ac:dyDescent="0.35">
      <c r="A678">
        <v>3407</v>
      </c>
      <c r="B678" t="s">
        <v>28</v>
      </c>
      <c r="C678">
        <v>2020</v>
      </c>
      <c r="D678" s="1">
        <v>43831</v>
      </c>
      <c r="E678">
        <v>174</v>
      </c>
      <c r="F678">
        <v>700041813</v>
      </c>
      <c r="G678" t="s">
        <v>29</v>
      </c>
      <c r="H678">
        <v>81</v>
      </c>
      <c r="I678">
        <v>71101060</v>
      </c>
      <c r="J678">
        <v>11500040</v>
      </c>
      <c r="K678" t="s">
        <v>30</v>
      </c>
      <c r="L678" s="4">
        <v>2344.09</v>
      </c>
      <c r="M678" t="s">
        <v>31</v>
      </c>
      <c r="N678" s="4">
        <v>2344.09</v>
      </c>
      <c r="O678" t="s">
        <v>31</v>
      </c>
      <c r="X678" t="s">
        <v>32</v>
      </c>
      <c r="Y678"/>
      <c r="Z678">
        <v>20200131</v>
      </c>
      <c r="AA678">
        <f t="shared" si="11"/>
        <v>2344.09</v>
      </c>
      <c r="AC678"/>
      <c r="AF678"/>
      <c r="AL678">
        <v>340710490</v>
      </c>
      <c r="AM678" t="s">
        <v>33</v>
      </c>
    </row>
    <row r="679" spans="1:39" x14ac:dyDescent="0.35">
      <c r="A679">
        <v>3407</v>
      </c>
      <c r="B679" t="s">
        <v>28</v>
      </c>
      <c r="C679">
        <v>2020</v>
      </c>
      <c r="D679" s="1">
        <v>43831</v>
      </c>
      <c r="E679">
        <v>176</v>
      </c>
      <c r="F679">
        <v>700041813</v>
      </c>
      <c r="G679" t="s">
        <v>29</v>
      </c>
      <c r="H679">
        <v>81</v>
      </c>
      <c r="I679">
        <v>71101060</v>
      </c>
      <c r="J679">
        <v>11500040</v>
      </c>
      <c r="K679" t="s">
        <v>30</v>
      </c>
      <c r="L679" s="4">
        <v>11583</v>
      </c>
      <c r="M679" t="s">
        <v>31</v>
      </c>
      <c r="N679" s="4">
        <v>11583</v>
      </c>
      <c r="O679" t="s">
        <v>31</v>
      </c>
      <c r="X679" t="s">
        <v>32</v>
      </c>
      <c r="Y679"/>
      <c r="Z679">
        <v>20200131</v>
      </c>
      <c r="AA679">
        <f t="shared" si="11"/>
        <v>11583</v>
      </c>
      <c r="AC679"/>
      <c r="AF679"/>
      <c r="AL679">
        <v>340710490</v>
      </c>
      <c r="AM679" t="s">
        <v>33</v>
      </c>
    </row>
    <row r="680" spans="1:39" x14ac:dyDescent="0.35">
      <c r="A680">
        <v>3407</v>
      </c>
      <c r="B680" t="s">
        <v>28</v>
      </c>
      <c r="C680">
        <v>2020</v>
      </c>
      <c r="D680" s="1">
        <v>43831</v>
      </c>
      <c r="E680">
        <v>178</v>
      </c>
      <c r="F680">
        <v>700041813</v>
      </c>
      <c r="G680" t="s">
        <v>29</v>
      </c>
      <c r="H680">
        <v>81</v>
      </c>
      <c r="I680">
        <v>71101060</v>
      </c>
      <c r="J680">
        <v>11500040</v>
      </c>
      <c r="K680" t="s">
        <v>30</v>
      </c>
      <c r="L680" s="4">
        <v>935</v>
      </c>
      <c r="M680" t="s">
        <v>31</v>
      </c>
      <c r="N680" s="4">
        <v>935</v>
      </c>
      <c r="O680" t="s">
        <v>31</v>
      </c>
      <c r="X680" t="s">
        <v>32</v>
      </c>
      <c r="Y680"/>
      <c r="Z680">
        <v>20200131</v>
      </c>
      <c r="AA680">
        <f t="shared" si="11"/>
        <v>935</v>
      </c>
      <c r="AC680"/>
      <c r="AF680"/>
      <c r="AL680">
        <v>340710490</v>
      </c>
      <c r="AM680" t="s">
        <v>33</v>
      </c>
    </row>
    <row r="681" spans="1:39" x14ac:dyDescent="0.35">
      <c r="A681">
        <v>3407</v>
      </c>
      <c r="B681" t="s">
        <v>28</v>
      </c>
      <c r="C681">
        <v>2020</v>
      </c>
      <c r="D681" s="1">
        <v>43831</v>
      </c>
      <c r="E681">
        <v>180</v>
      </c>
      <c r="F681">
        <v>700041813</v>
      </c>
      <c r="G681" t="s">
        <v>29</v>
      </c>
      <c r="H681">
        <v>81</v>
      </c>
      <c r="I681">
        <v>71101060</v>
      </c>
      <c r="J681">
        <v>11500040</v>
      </c>
      <c r="K681" t="s">
        <v>30</v>
      </c>
      <c r="L681" s="4">
        <v>14114.1</v>
      </c>
      <c r="M681" t="s">
        <v>31</v>
      </c>
      <c r="N681" s="4">
        <v>14114.1</v>
      </c>
      <c r="O681" t="s">
        <v>31</v>
      </c>
      <c r="X681" t="s">
        <v>32</v>
      </c>
      <c r="Y681"/>
      <c r="Z681">
        <v>20200131</v>
      </c>
      <c r="AA681">
        <f t="shared" si="11"/>
        <v>14114.1</v>
      </c>
      <c r="AC681"/>
      <c r="AF681"/>
      <c r="AL681">
        <v>340710490</v>
      </c>
      <c r="AM681" t="s">
        <v>33</v>
      </c>
    </row>
    <row r="682" spans="1:39" x14ac:dyDescent="0.35">
      <c r="A682">
        <v>3407</v>
      </c>
      <c r="B682" t="s">
        <v>28</v>
      </c>
      <c r="C682">
        <v>2020</v>
      </c>
      <c r="D682" s="1">
        <v>43831</v>
      </c>
      <c r="E682">
        <v>186</v>
      </c>
      <c r="F682">
        <v>700041813</v>
      </c>
      <c r="G682" t="s">
        <v>29</v>
      </c>
      <c r="H682">
        <v>81</v>
      </c>
      <c r="I682">
        <v>71101060</v>
      </c>
      <c r="J682">
        <v>11500040</v>
      </c>
      <c r="K682" t="s">
        <v>30</v>
      </c>
      <c r="L682" s="4">
        <v>4498.8</v>
      </c>
      <c r="M682" t="s">
        <v>31</v>
      </c>
      <c r="N682" s="4">
        <v>4498.8</v>
      </c>
      <c r="O682" t="s">
        <v>31</v>
      </c>
      <c r="X682" t="s">
        <v>32</v>
      </c>
      <c r="Y682"/>
      <c r="Z682">
        <v>20200131</v>
      </c>
      <c r="AA682">
        <f t="shared" si="11"/>
        <v>4498.8</v>
      </c>
      <c r="AC682"/>
      <c r="AF682"/>
      <c r="AL682">
        <v>340710490</v>
      </c>
      <c r="AM682" t="s">
        <v>33</v>
      </c>
    </row>
    <row r="683" spans="1:39" x14ac:dyDescent="0.35">
      <c r="A683">
        <v>3407</v>
      </c>
      <c r="B683" t="s">
        <v>28</v>
      </c>
      <c r="C683">
        <v>2020</v>
      </c>
      <c r="D683" s="1">
        <v>43831</v>
      </c>
      <c r="E683">
        <v>202</v>
      </c>
      <c r="F683">
        <v>700041813</v>
      </c>
      <c r="G683" t="s">
        <v>29</v>
      </c>
      <c r="H683">
        <v>81</v>
      </c>
      <c r="I683">
        <v>71101060</v>
      </c>
      <c r="J683">
        <v>11500040</v>
      </c>
      <c r="K683" t="s">
        <v>30</v>
      </c>
      <c r="L683" s="4">
        <v>1054.46</v>
      </c>
      <c r="M683" t="s">
        <v>31</v>
      </c>
      <c r="N683" s="4">
        <v>1054.46</v>
      </c>
      <c r="O683" t="s">
        <v>31</v>
      </c>
      <c r="X683" t="s">
        <v>32</v>
      </c>
      <c r="Y683"/>
      <c r="Z683">
        <v>20200131</v>
      </c>
      <c r="AA683">
        <f t="shared" si="11"/>
        <v>1054.46</v>
      </c>
      <c r="AC683"/>
      <c r="AF683"/>
      <c r="AL683">
        <v>340710490</v>
      </c>
      <c r="AM683" t="s">
        <v>33</v>
      </c>
    </row>
    <row r="684" spans="1:39" x14ac:dyDescent="0.35">
      <c r="A684">
        <v>3406</v>
      </c>
      <c r="B684" t="s">
        <v>28</v>
      </c>
      <c r="C684">
        <v>2020</v>
      </c>
      <c r="D684" s="1">
        <v>43831</v>
      </c>
      <c r="E684">
        <v>24</v>
      </c>
      <c r="F684">
        <v>600031607</v>
      </c>
      <c r="G684" t="s">
        <v>29</v>
      </c>
      <c r="H684">
        <v>81</v>
      </c>
      <c r="I684">
        <v>71101060</v>
      </c>
      <c r="J684">
        <v>11500010</v>
      </c>
      <c r="K684" t="s">
        <v>30</v>
      </c>
      <c r="L684" s="4">
        <v>1120</v>
      </c>
      <c r="M684" t="s">
        <v>31</v>
      </c>
      <c r="N684" s="4">
        <v>1120</v>
      </c>
      <c r="O684" t="s">
        <v>31</v>
      </c>
      <c r="X684" t="s">
        <v>35</v>
      </c>
      <c r="Y684"/>
      <c r="Z684">
        <v>20200131</v>
      </c>
      <c r="AA684">
        <f t="shared" si="11"/>
        <v>1120</v>
      </c>
      <c r="AC684"/>
      <c r="AF684"/>
      <c r="AL684">
        <v>340612490</v>
      </c>
      <c r="AM684" t="s">
        <v>36</v>
      </c>
    </row>
    <row r="685" spans="1:39" x14ac:dyDescent="0.35">
      <c r="A685">
        <v>3406</v>
      </c>
      <c r="B685" t="s">
        <v>28</v>
      </c>
      <c r="C685">
        <v>2020</v>
      </c>
      <c r="D685" s="1">
        <v>43831</v>
      </c>
      <c r="E685">
        <v>154</v>
      </c>
      <c r="F685">
        <v>600031607</v>
      </c>
      <c r="G685" t="s">
        <v>29</v>
      </c>
      <c r="H685">
        <v>81</v>
      </c>
      <c r="I685">
        <v>71101060</v>
      </c>
      <c r="J685">
        <v>11500010</v>
      </c>
      <c r="K685" t="s">
        <v>30</v>
      </c>
      <c r="L685" s="4">
        <v>1284</v>
      </c>
      <c r="M685" t="s">
        <v>31</v>
      </c>
      <c r="N685" s="4">
        <v>1284</v>
      </c>
      <c r="O685" t="s">
        <v>31</v>
      </c>
      <c r="X685" t="s">
        <v>35</v>
      </c>
      <c r="Y685"/>
      <c r="Z685">
        <v>20200131</v>
      </c>
      <c r="AA685">
        <f t="shared" si="11"/>
        <v>1284</v>
      </c>
      <c r="AC685"/>
      <c r="AF685"/>
      <c r="AL685">
        <v>340612490</v>
      </c>
      <c r="AM685" t="s">
        <v>36</v>
      </c>
    </row>
    <row r="686" spans="1:39" x14ac:dyDescent="0.35">
      <c r="A686">
        <v>3406</v>
      </c>
      <c r="B686" t="s">
        <v>43</v>
      </c>
      <c r="C686">
        <v>2020</v>
      </c>
      <c r="D686" s="1">
        <v>43831</v>
      </c>
      <c r="E686">
        <v>2</v>
      </c>
      <c r="F686">
        <v>600013644</v>
      </c>
      <c r="G686" t="s">
        <v>87</v>
      </c>
      <c r="H686">
        <v>40</v>
      </c>
      <c r="I686">
        <v>74010070</v>
      </c>
      <c r="J686">
        <v>5000010</v>
      </c>
      <c r="K686" t="s">
        <v>49</v>
      </c>
      <c r="L686" s="4">
        <v>7153.53</v>
      </c>
      <c r="M686" t="s">
        <v>54</v>
      </c>
      <c r="N686" s="4">
        <v>134572.21</v>
      </c>
      <c r="O686" t="s">
        <v>31</v>
      </c>
      <c r="X686" t="s">
        <v>43</v>
      </c>
      <c r="Y686">
        <v>200116174449</v>
      </c>
      <c r="Z686" t="s">
        <v>106</v>
      </c>
      <c r="AA686">
        <f t="shared" si="11"/>
        <v>7153.53</v>
      </c>
      <c r="AC686"/>
      <c r="AE686" t="s">
        <v>107</v>
      </c>
      <c r="AF686"/>
      <c r="AL686">
        <v>340640390</v>
      </c>
      <c r="AM686" t="s">
        <v>108</v>
      </c>
    </row>
    <row r="687" spans="1:39" x14ac:dyDescent="0.35">
      <c r="A687">
        <v>3406</v>
      </c>
      <c r="B687" t="s">
        <v>43</v>
      </c>
      <c r="C687">
        <v>2020</v>
      </c>
      <c r="D687" s="1">
        <v>43831</v>
      </c>
      <c r="E687">
        <v>3</v>
      </c>
      <c r="F687">
        <v>600013644</v>
      </c>
      <c r="G687" t="s">
        <v>87</v>
      </c>
      <c r="H687">
        <v>40</v>
      </c>
      <c r="I687">
        <v>74010070</v>
      </c>
      <c r="J687">
        <v>5000010</v>
      </c>
      <c r="K687" t="s">
        <v>49</v>
      </c>
      <c r="L687" s="4">
        <v>3819.2</v>
      </c>
      <c r="M687" t="s">
        <v>54</v>
      </c>
      <c r="N687" s="4">
        <v>71846.789999999994</v>
      </c>
      <c r="O687" t="s">
        <v>31</v>
      </c>
      <c r="X687" t="s">
        <v>43</v>
      </c>
      <c r="Y687">
        <v>200116174449</v>
      </c>
      <c r="Z687" t="s">
        <v>106</v>
      </c>
      <c r="AA687">
        <f t="shared" si="11"/>
        <v>3819.2</v>
      </c>
      <c r="AC687"/>
      <c r="AE687" t="s">
        <v>109</v>
      </c>
      <c r="AF687"/>
      <c r="AL687">
        <v>340640390</v>
      </c>
      <c r="AM687" t="s">
        <v>108</v>
      </c>
    </row>
    <row r="688" spans="1:39" x14ac:dyDescent="0.35">
      <c r="A688">
        <v>3406</v>
      </c>
      <c r="B688" t="s">
        <v>43</v>
      </c>
      <c r="C688">
        <v>2020</v>
      </c>
      <c r="D688" s="1">
        <v>43831</v>
      </c>
      <c r="E688">
        <v>4</v>
      </c>
      <c r="F688">
        <v>600013644</v>
      </c>
      <c r="G688" t="s">
        <v>87</v>
      </c>
      <c r="H688">
        <v>40</v>
      </c>
      <c r="I688">
        <v>74010070</v>
      </c>
      <c r="J688">
        <v>5000010</v>
      </c>
      <c r="K688" t="s">
        <v>49</v>
      </c>
      <c r="L688" s="4">
        <v>608</v>
      </c>
      <c r="M688" t="s">
        <v>54</v>
      </c>
      <c r="N688" s="4">
        <v>11437.7</v>
      </c>
      <c r="O688" t="s">
        <v>31</v>
      </c>
      <c r="X688" t="s">
        <v>43</v>
      </c>
      <c r="Y688">
        <v>200116174449</v>
      </c>
      <c r="Z688" t="s">
        <v>106</v>
      </c>
      <c r="AA688">
        <f t="shared" si="11"/>
        <v>608</v>
      </c>
      <c r="AC688"/>
      <c r="AE688" t="s">
        <v>110</v>
      </c>
      <c r="AF688"/>
      <c r="AL688">
        <v>340640390</v>
      </c>
      <c r="AM688" t="s">
        <v>108</v>
      </c>
    </row>
    <row r="689" spans="1:39" x14ac:dyDescent="0.35">
      <c r="A689">
        <v>3406</v>
      </c>
      <c r="B689" t="s">
        <v>43</v>
      </c>
      <c r="C689">
        <v>2020</v>
      </c>
      <c r="D689" s="1">
        <v>43831</v>
      </c>
      <c r="E689">
        <v>5</v>
      </c>
      <c r="F689">
        <v>600013644</v>
      </c>
      <c r="G689" t="s">
        <v>87</v>
      </c>
      <c r="H689">
        <v>40</v>
      </c>
      <c r="I689">
        <v>74010070</v>
      </c>
      <c r="J689">
        <v>5000010</v>
      </c>
      <c r="K689" t="s">
        <v>49</v>
      </c>
      <c r="L689" s="4">
        <v>320</v>
      </c>
      <c r="M689" t="s">
        <v>54</v>
      </c>
      <c r="N689" s="4">
        <v>6019.84</v>
      </c>
      <c r="O689" t="s">
        <v>31</v>
      </c>
      <c r="X689" t="s">
        <v>43</v>
      </c>
      <c r="Y689">
        <v>200116174449</v>
      </c>
      <c r="Z689" t="s">
        <v>106</v>
      </c>
      <c r="AA689">
        <f t="shared" si="11"/>
        <v>320</v>
      </c>
      <c r="AC689"/>
      <c r="AE689" t="s">
        <v>111</v>
      </c>
      <c r="AF689"/>
      <c r="AL689">
        <v>340640390</v>
      </c>
      <c r="AM689" t="s">
        <v>108</v>
      </c>
    </row>
    <row r="690" spans="1:39" x14ac:dyDescent="0.35">
      <c r="A690">
        <v>3403</v>
      </c>
      <c r="B690" t="s">
        <v>39</v>
      </c>
      <c r="C690">
        <v>2020</v>
      </c>
      <c r="D690" s="1">
        <v>43831</v>
      </c>
      <c r="E690">
        <v>12</v>
      </c>
      <c r="F690">
        <v>300007990</v>
      </c>
      <c r="G690" t="s">
        <v>29</v>
      </c>
      <c r="H690">
        <v>81</v>
      </c>
      <c r="I690">
        <v>71101060</v>
      </c>
      <c r="J690">
        <v>11500060</v>
      </c>
      <c r="K690" t="s">
        <v>30</v>
      </c>
      <c r="L690" s="4">
        <v>278.88</v>
      </c>
      <c r="M690" t="s">
        <v>31</v>
      </c>
      <c r="N690" s="4">
        <v>278.88</v>
      </c>
      <c r="O690" t="s">
        <v>31</v>
      </c>
      <c r="X690" t="s">
        <v>39</v>
      </c>
      <c r="Y690"/>
      <c r="Z690">
        <v>20200115</v>
      </c>
      <c r="AA690">
        <f t="shared" si="11"/>
        <v>278.88</v>
      </c>
      <c r="AC690"/>
      <c r="AF690"/>
      <c r="AL690">
        <v>340312890</v>
      </c>
      <c r="AM690" t="s">
        <v>40</v>
      </c>
    </row>
    <row r="691" spans="1:39" x14ac:dyDescent="0.35">
      <c r="A691">
        <v>3403</v>
      </c>
      <c r="B691" t="s">
        <v>39</v>
      </c>
      <c r="C691">
        <v>2020</v>
      </c>
      <c r="D691" s="1">
        <v>43831</v>
      </c>
      <c r="E691">
        <v>14</v>
      </c>
      <c r="F691">
        <v>300007990</v>
      </c>
      <c r="G691" t="s">
        <v>29</v>
      </c>
      <c r="H691">
        <v>81</v>
      </c>
      <c r="I691">
        <v>71101060</v>
      </c>
      <c r="J691">
        <v>11500060</v>
      </c>
      <c r="K691" t="s">
        <v>30</v>
      </c>
      <c r="L691" s="4">
        <v>456</v>
      </c>
      <c r="M691" t="s">
        <v>31</v>
      </c>
      <c r="N691" s="4">
        <v>456</v>
      </c>
      <c r="O691" t="s">
        <v>31</v>
      </c>
      <c r="X691" t="s">
        <v>39</v>
      </c>
      <c r="Y691"/>
      <c r="Z691">
        <v>20200115</v>
      </c>
      <c r="AA691">
        <f t="shared" si="11"/>
        <v>456</v>
      </c>
      <c r="AC691"/>
      <c r="AF691"/>
      <c r="AL691">
        <v>340312890</v>
      </c>
      <c r="AM691" t="s">
        <v>40</v>
      </c>
    </row>
    <row r="692" spans="1:39" x14ac:dyDescent="0.35">
      <c r="A692">
        <v>3403</v>
      </c>
      <c r="B692" t="s">
        <v>39</v>
      </c>
      <c r="C692">
        <v>2020</v>
      </c>
      <c r="D692" s="1">
        <v>43831</v>
      </c>
      <c r="E692">
        <v>16</v>
      </c>
      <c r="F692">
        <v>300007990</v>
      </c>
      <c r="G692" t="s">
        <v>29</v>
      </c>
      <c r="H692">
        <v>81</v>
      </c>
      <c r="I692">
        <v>71101060</v>
      </c>
      <c r="J692">
        <v>11500060</v>
      </c>
      <c r="K692" t="s">
        <v>30</v>
      </c>
      <c r="L692" s="4">
        <v>989.82</v>
      </c>
      <c r="M692" t="s">
        <v>31</v>
      </c>
      <c r="N692" s="4">
        <v>989.82</v>
      </c>
      <c r="O692" t="s">
        <v>31</v>
      </c>
      <c r="X692" t="s">
        <v>39</v>
      </c>
      <c r="Y692"/>
      <c r="Z692">
        <v>20200115</v>
      </c>
      <c r="AA692">
        <f t="shared" si="11"/>
        <v>989.82</v>
      </c>
      <c r="AC692"/>
      <c r="AF692"/>
      <c r="AL692">
        <v>340312890</v>
      </c>
      <c r="AM692" t="s">
        <v>40</v>
      </c>
    </row>
    <row r="693" spans="1:39" x14ac:dyDescent="0.35">
      <c r="A693">
        <v>3403</v>
      </c>
      <c r="B693" t="s">
        <v>39</v>
      </c>
      <c r="C693">
        <v>2020</v>
      </c>
      <c r="D693" s="1">
        <v>43831</v>
      </c>
      <c r="E693">
        <v>18</v>
      </c>
      <c r="F693">
        <v>300007990</v>
      </c>
      <c r="G693" t="s">
        <v>29</v>
      </c>
      <c r="H693">
        <v>81</v>
      </c>
      <c r="I693">
        <v>71101060</v>
      </c>
      <c r="J693">
        <v>11500060</v>
      </c>
      <c r="K693" t="s">
        <v>30</v>
      </c>
      <c r="L693" s="4">
        <v>877.8</v>
      </c>
      <c r="M693" t="s">
        <v>31</v>
      </c>
      <c r="N693" s="4">
        <v>877.8</v>
      </c>
      <c r="O693" t="s">
        <v>31</v>
      </c>
      <c r="X693" t="s">
        <v>39</v>
      </c>
      <c r="Y693"/>
      <c r="Z693">
        <v>20200115</v>
      </c>
      <c r="AA693">
        <f t="shared" si="11"/>
        <v>877.8</v>
      </c>
      <c r="AC693"/>
      <c r="AF693"/>
      <c r="AL693">
        <v>340312890</v>
      </c>
      <c r="AM693" t="s">
        <v>40</v>
      </c>
    </row>
    <row r="694" spans="1:39" x14ac:dyDescent="0.35">
      <c r="A694">
        <v>3403</v>
      </c>
      <c r="B694" t="s">
        <v>39</v>
      </c>
      <c r="C694">
        <v>2020</v>
      </c>
      <c r="D694" s="1">
        <v>43831</v>
      </c>
      <c r="E694">
        <v>20</v>
      </c>
      <c r="F694">
        <v>300007990</v>
      </c>
      <c r="G694" t="s">
        <v>29</v>
      </c>
      <c r="H694">
        <v>81</v>
      </c>
      <c r="I694">
        <v>71101060</v>
      </c>
      <c r="J694">
        <v>11500060</v>
      </c>
      <c r="K694" t="s">
        <v>30</v>
      </c>
      <c r="L694" s="4">
        <v>66.400000000000006</v>
      </c>
      <c r="M694" t="s">
        <v>31</v>
      </c>
      <c r="N694" s="4">
        <v>66.400000000000006</v>
      </c>
      <c r="O694" t="s">
        <v>31</v>
      </c>
      <c r="X694" t="s">
        <v>39</v>
      </c>
      <c r="Y694"/>
      <c r="Z694">
        <v>20200115</v>
      </c>
      <c r="AA694">
        <f t="shared" si="11"/>
        <v>66.400000000000006</v>
      </c>
      <c r="AC694"/>
      <c r="AF694"/>
      <c r="AL694">
        <v>340312890</v>
      </c>
      <c r="AM694" t="s">
        <v>40</v>
      </c>
    </row>
    <row r="695" spans="1:39" x14ac:dyDescent="0.35">
      <c r="A695">
        <v>3403</v>
      </c>
      <c r="B695" t="s">
        <v>39</v>
      </c>
      <c r="C695">
        <v>2020</v>
      </c>
      <c r="D695" s="1">
        <v>43831</v>
      </c>
      <c r="E695">
        <v>22</v>
      </c>
      <c r="F695">
        <v>300007990</v>
      </c>
      <c r="G695" t="s">
        <v>29</v>
      </c>
      <c r="H695">
        <v>81</v>
      </c>
      <c r="I695">
        <v>71101060</v>
      </c>
      <c r="J695">
        <v>11500060</v>
      </c>
      <c r="K695" t="s">
        <v>30</v>
      </c>
      <c r="L695" s="4">
        <v>53.6</v>
      </c>
      <c r="M695" t="s">
        <v>31</v>
      </c>
      <c r="N695" s="4">
        <v>53.6</v>
      </c>
      <c r="O695" t="s">
        <v>31</v>
      </c>
      <c r="X695" t="s">
        <v>39</v>
      </c>
      <c r="Y695"/>
      <c r="Z695">
        <v>20200115</v>
      </c>
      <c r="AA695">
        <f t="shared" si="11"/>
        <v>53.6</v>
      </c>
      <c r="AC695"/>
      <c r="AF695"/>
      <c r="AL695">
        <v>340312890</v>
      </c>
      <c r="AM695" t="s">
        <v>40</v>
      </c>
    </row>
    <row r="696" spans="1:39" x14ac:dyDescent="0.35">
      <c r="A696">
        <v>3403</v>
      </c>
      <c r="B696" t="s">
        <v>39</v>
      </c>
      <c r="C696">
        <v>2020</v>
      </c>
      <c r="D696" s="1">
        <v>43831</v>
      </c>
      <c r="E696">
        <v>24</v>
      </c>
      <c r="F696">
        <v>300007990</v>
      </c>
      <c r="G696" t="s">
        <v>29</v>
      </c>
      <c r="H696">
        <v>81</v>
      </c>
      <c r="I696">
        <v>71101060</v>
      </c>
      <c r="J696">
        <v>11500060</v>
      </c>
      <c r="K696" t="s">
        <v>30</v>
      </c>
      <c r="L696" s="4">
        <v>284</v>
      </c>
      <c r="M696" t="s">
        <v>31</v>
      </c>
      <c r="N696" s="4">
        <v>284</v>
      </c>
      <c r="O696" t="s">
        <v>31</v>
      </c>
      <c r="X696" t="s">
        <v>39</v>
      </c>
      <c r="Y696"/>
      <c r="Z696">
        <v>20200115</v>
      </c>
      <c r="AA696">
        <f t="shared" si="11"/>
        <v>284</v>
      </c>
      <c r="AC696"/>
      <c r="AF696"/>
      <c r="AL696">
        <v>340312890</v>
      </c>
      <c r="AM696" t="s">
        <v>40</v>
      </c>
    </row>
    <row r="697" spans="1:39" x14ac:dyDescent="0.35">
      <c r="A697">
        <v>3403</v>
      </c>
      <c r="B697" t="s">
        <v>39</v>
      </c>
      <c r="C697">
        <v>2020</v>
      </c>
      <c r="D697" s="1">
        <v>43831</v>
      </c>
      <c r="E697">
        <v>26</v>
      </c>
      <c r="F697">
        <v>300007990</v>
      </c>
      <c r="G697" t="s">
        <v>29</v>
      </c>
      <c r="H697">
        <v>81</v>
      </c>
      <c r="I697">
        <v>71101060</v>
      </c>
      <c r="J697">
        <v>11500060</v>
      </c>
      <c r="K697" t="s">
        <v>30</v>
      </c>
      <c r="L697" s="4">
        <v>284</v>
      </c>
      <c r="M697" t="s">
        <v>31</v>
      </c>
      <c r="N697" s="4">
        <v>284</v>
      </c>
      <c r="O697" t="s">
        <v>31</v>
      </c>
      <c r="X697" t="s">
        <v>39</v>
      </c>
      <c r="Y697"/>
      <c r="Z697">
        <v>20200115</v>
      </c>
      <c r="AA697">
        <f t="shared" si="11"/>
        <v>284</v>
      </c>
      <c r="AC697"/>
      <c r="AF697"/>
      <c r="AL697">
        <v>340312890</v>
      </c>
      <c r="AM697" t="s">
        <v>40</v>
      </c>
    </row>
    <row r="698" spans="1:39" x14ac:dyDescent="0.35">
      <c r="A698">
        <v>3403</v>
      </c>
      <c r="B698" t="s">
        <v>39</v>
      </c>
      <c r="C698">
        <v>2020</v>
      </c>
      <c r="D698" s="1">
        <v>43831</v>
      </c>
      <c r="E698">
        <v>28</v>
      </c>
      <c r="F698">
        <v>300007990</v>
      </c>
      <c r="G698" t="s">
        <v>29</v>
      </c>
      <c r="H698">
        <v>81</v>
      </c>
      <c r="I698">
        <v>71101060</v>
      </c>
      <c r="J698">
        <v>11500060</v>
      </c>
      <c r="K698" t="s">
        <v>30</v>
      </c>
      <c r="L698" s="4">
        <v>284</v>
      </c>
      <c r="M698" t="s">
        <v>31</v>
      </c>
      <c r="N698" s="4">
        <v>284</v>
      </c>
      <c r="O698" t="s">
        <v>31</v>
      </c>
      <c r="X698" t="s">
        <v>39</v>
      </c>
      <c r="Y698"/>
      <c r="Z698">
        <v>20200115</v>
      </c>
      <c r="AA698">
        <f t="shared" si="11"/>
        <v>284</v>
      </c>
      <c r="AC698"/>
      <c r="AF698"/>
      <c r="AL698">
        <v>340312890</v>
      </c>
      <c r="AM698" t="s">
        <v>40</v>
      </c>
    </row>
    <row r="699" spans="1:39" x14ac:dyDescent="0.35">
      <c r="A699">
        <v>3403</v>
      </c>
      <c r="B699" t="s">
        <v>39</v>
      </c>
      <c r="C699">
        <v>2020</v>
      </c>
      <c r="D699" s="1">
        <v>43831</v>
      </c>
      <c r="E699">
        <v>30</v>
      </c>
      <c r="F699">
        <v>300007990</v>
      </c>
      <c r="G699" t="s">
        <v>29</v>
      </c>
      <c r="H699">
        <v>81</v>
      </c>
      <c r="I699">
        <v>71101060</v>
      </c>
      <c r="J699">
        <v>11500060</v>
      </c>
      <c r="K699" t="s">
        <v>30</v>
      </c>
      <c r="L699" s="4">
        <v>152</v>
      </c>
      <c r="M699" t="s">
        <v>31</v>
      </c>
      <c r="N699" s="4">
        <v>152</v>
      </c>
      <c r="O699" t="s">
        <v>31</v>
      </c>
      <c r="X699" t="s">
        <v>39</v>
      </c>
      <c r="Y699"/>
      <c r="Z699">
        <v>20200115</v>
      </c>
      <c r="AA699">
        <f t="shared" si="11"/>
        <v>152</v>
      </c>
      <c r="AC699"/>
      <c r="AF699"/>
      <c r="AL699">
        <v>340312890</v>
      </c>
      <c r="AM699" t="s">
        <v>40</v>
      </c>
    </row>
    <row r="700" spans="1:39" x14ac:dyDescent="0.35">
      <c r="A700">
        <v>3403</v>
      </c>
      <c r="B700" t="s">
        <v>39</v>
      </c>
      <c r="C700">
        <v>2020</v>
      </c>
      <c r="D700" s="1">
        <v>43831</v>
      </c>
      <c r="E700">
        <v>32</v>
      </c>
      <c r="F700">
        <v>300007990</v>
      </c>
      <c r="G700" t="s">
        <v>29</v>
      </c>
      <c r="H700">
        <v>81</v>
      </c>
      <c r="I700">
        <v>71101060</v>
      </c>
      <c r="J700">
        <v>11500060</v>
      </c>
      <c r="K700" t="s">
        <v>30</v>
      </c>
      <c r="L700" s="4">
        <v>477.6</v>
      </c>
      <c r="M700" t="s">
        <v>31</v>
      </c>
      <c r="N700" s="4">
        <v>477.6</v>
      </c>
      <c r="O700" t="s">
        <v>31</v>
      </c>
      <c r="X700" t="s">
        <v>39</v>
      </c>
      <c r="Y700"/>
      <c r="Z700">
        <v>20200115</v>
      </c>
      <c r="AA700">
        <f t="shared" si="11"/>
        <v>477.6</v>
      </c>
      <c r="AC700"/>
      <c r="AF700"/>
      <c r="AL700">
        <v>340312890</v>
      </c>
      <c r="AM700" t="s">
        <v>40</v>
      </c>
    </row>
    <row r="701" spans="1:39" x14ac:dyDescent="0.35">
      <c r="A701">
        <v>3403</v>
      </c>
      <c r="B701" t="s">
        <v>39</v>
      </c>
      <c r="C701">
        <v>2020</v>
      </c>
      <c r="D701" s="1">
        <v>43831</v>
      </c>
      <c r="E701">
        <v>38</v>
      </c>
      <c r="F701">
        <v>300007990</v>
      </c>
      <c r="G701" t="s">
        <v>29</v>
      </c>
      <c r="H701">
        <v>81</v>
      </c>
      <c r="I701">
        <v>71101060</v>
      </c>
      <c r="J701">
        <v>11500060</v>
      </c>
      <c r="K701" t="s">
        <v>30</v>
      </c>
      <c r="L701" s="4">
        <v>4766.3999999999996</v>
      </c>
      <c r="M701" t="s">
        <v>31</v>
      </c>
      <c r="N701" s="4">
        <v>4766.3999999999996</v>
      </c>
      <c r="O701" t="s">
        <v>31</v>
      </c>
      <c r="X701" t="s">
        <v>39</v>
      </c>
      <c r="Y701"/>
      <c r="Z701">
        <v>20200115</v>
      </c>
      <c r="AA701">
        <f t="shared" si="11"/>
        <v>4766.3999999999996</v>
      </c>
      <c r="AC701"/>
      <c r="AF701"/>
      <c r="AL701">
        <v>340312890</v>
      </c>
      <c r="AM701" t="s">
        <v>40</v>
      </c>
    </row>
    <row r="702" spans="1:39" x14ac:dyDescent="0.35">
      <c r="A702">
        <v>3403</v>
      </c>
      <c r="B702" t="s">
        <v>39</v>
      </c>
      <c r="C702">
        <v>2020</v>
      </c>
      <c r="D702" s="1">
        <v>43831</v>
      </c>
      <c r="E702">
        <v>42</v>
      </c>
      <c r="F702">
        <v>300007990</v>
      </c>
      <c r="G702" t="s">
        <v>29</v>
      </c>
      <c r="H702">
        <v>81</v>
      </c>
      <c r="I702">
        <v>71101060</v>
      </c>
      <c r="J702">
        <v>11500060</v>
      </c>
      <c r="K702" t="s">
        <v>30</v>
      </c>
      <c r="L702" s="4">
        <v>1852</v>
      </c>
      <c r="M702" t="s">
        <v>31</v>
      </c>
      <c r="N702" s="4">
        <v>1852</v>
      </c>
      <c r="O702" t="s">
        <v>31</v>
      </c>
      <c r="X702" t="s">
        <v>39</v>
      </c>
      <c r="Y702"/>
      <c r="Z702">
        <v>20200115</v>
      </c>
      <c r="AA702">
        <f t="shared" si="11"/>
        <v>1852</v>
      </c>
      <c r="AC702"/>
      <c r="AF702"/>
      <c r="AL702">
        <v>340312890</v>
      </c>
      <c r="AM702" t="s">
        <v>40</v>
      </c>
    </row>
    <row r="703" spans="1:39" x14ac:dyDescent="0.35">
      <c r="A703">
        <v>3403</v>
      </c>
      <c r="B703" t="s">
        <v>39</v>
      </c>
      <c r="C703">
        <v>2020</v>
      </c>
      <c r="D703" s="1">
        <v>43831</v>
      </c>
      <c r="E703">
        <v>46</v>
      </c>
      <c r="F703">
        <v>300007990</v>
      </c>
      <c r="G703" t="s">
        <v>29</v>
      </c>
      <c r="H703">
        <v>81</v>
      </c>
      <c r="I703">
        <v>71101060</v>
      </c>
      <c r="J703">
        <v>11500060</v>
      </c>
      <c r="K703" t="s">
        <v>30</v>
      </c>
      <c r="L703" s="4">
        <v>285</v>
      </c>
      <c r="M703" t="s">
        <v>31</v>
      </c>
      <c r="N703" s="4">
        <v>285</v>
      </c>
      <c r="O703" t="s">
        <v>31</v>
      </c>
      <c r="X703" t="s">
        <v>39</v>
      </c>
      <c r="Y703"/>
      <c r="Z703">
        <v>20200115</v>
      </c>
      <c r="AA703">
        <f t="shared" si="11"/>
        <v>285</v>
      </c>
      <c r="AC703"/>
      <c r="AF703"/>
      <c r="AL703">
        <v>340312890</v>
      </c>
      <c r="AM703" t="s">
        <v>40</v>
      </c>
    </row>
    <row r="704" spans="1:39" x14ac:dyDescent="0.35">
      <c r="A704">
        <v>3403</v>
      </c>
      <c r="B704" t="s">
        <v>39</v>
      </c>
      <c r="C704">
        <v>2020</v>
      </c>
      <c r="D704" s="1">
        <v>43831</v>
      </c>
      <c r="E704">
        <v>48</v>
      </c>
      <c r="F704">
        <v>300007990</v>
      </c>
      <c r="G704" t="s">
        <v>29</v>
      </c>
      <c r="H704">
        <v>81</v>
      </c>
      <c r="I704">
        <v>71101060</v>
      </c>
      <c r="J704">
        <v>11500060</v>
      </c>
      <c r="K704" t="s">
        <v>30</v>
      </c>
      <c r="L704" s="4">
        <v>1510.3</v>
      </c>
      <c r="M704" t="s">
        <v>31</v>
      </c>
      <c r="N704" s="4">
        <v>1510.3</v>
      </c>
      <c r="O704" t="s">
        <v>31</v>
      </c>
      <c r="X704" t="s">
        <v>39</v>
      </c>
      <c r="Y704"/>
      <c r="Z704">
        <v>20200115</v>
      </c>
      <c r="AA704">
        <f t="shared" si="11"/>
        <v>1510.3</v>
      </c>
      <c r="AC704"/>
      <c r="AF704"/>
      <c r="AL704">
        <v>340312890</v>
      </c>
      <c r="AM704" t="s">
        <v>40</v>
      </c>
    </row>
    <row r="705" spans="1:39" x14ac:dyDescent="0.35">
      <c r="A705">
        <v>3403</v>
      </c>
      <c r="B705" t="s">
        <v>39</v>
      </c>
      <c r="C705">
        <v>2020</v>
      </c>
      <c r="D705" s="1">
        <v>43831</v>
      </c>
      <c r="E705">
        <v>50</v>
      </c>
      <c r="F705">
        <v>300007990</v>
      </c>
      <c r="G705" t="s">
        <v>29</v>
      </c>
      <c r="H705">
        <v>81</v>
      </c>
      <c r="I705">
        <v>71101060</v>
      </c>
      <c r="J705">
        <v>11500060</v>
      </c>
      <c r="K705" t="s">
        <v>30</v>
      </c>
      <c r="L705" s="4">
        <v>26361.5</v>
      </c>
      <c r="M705" t="s">
        <v>31</v>
      </c>
      <c r="N705" s="4">
        <v>26361.5</v>
      </c>
      <c r="O705" t="s">
        <v>31</v>
      </c>
      <c r="X705" t="s">
        <v>39</v>
      </c>
      <c r="Y705"/>
      <c r="Z705">
        <v>20200115</v>
      </c>
      <c r="AA705">
        <f t="shared" si="11"/>
        <v>26361.5</v>
      </c>
      <c r="AC705"/>
      <c r="AF705"/>
      <c r="AL705">
        <v>340312890</v>
      </c>
      <c r="AM705" t="s">
        <v>40</v>
      </c>
    </row>
    <row r="706" spans="1:39" x14ac:dyDescent="0.35">
      <c r="A706">
        <v>3403</v>
      </c>
      <c r="B706" t="s">
        <v>39</v>
      </c>
      <c r="C706">
        <v>2020</v>
      </c>
      <c r="D706" s="1">
        <v>43831</v>
      </c>
      <c r="E706">
        <v>52</v>
      </c>
      <c r="F706">
        <v>300007990</v>
      </c>
      <c r="G706" t="s">
        <v>29</v>
      </c>
      <c r="H706">
        <v>81</v>
      </c>
      <c r="I706">
        <v>71101060</v>
      </c>
      <c r="J706">
        <v>11500060</v>
      </c>
      <c r="K706" t="s">
        <v>30</v>
      </c>
      <c r="L706" s="4">
        <v>6000</v>
      </c>
      <c r="M706" t="s">
        <v>31</v>
      </c>
      <c r="N706" s="4">
        <v>6000</v>
      </c>
      <c r="O706" t="s">
        <v>31</v>
      </c>
      <c r="X706" t="s">
        <v>39</v>
      </c>
      <c r="Y706"/>
      <c r="Z706">
        <v>20200115</v>
      </c>
      <c r="AA706">
        <f t="shared" si="11"/>
        <v>6000</v>
      </c>
      <c r="AC706"/>
      <c r="AF706"/>
      <c r="AL706">
        <v>340312890</v>
      </c>
      <c r="AM706" t="s">
        <v>40</v>
      </c>
    </row>
    <row r="707" spans="1:39" x14ac:dyDescent="0.35">
      <c r="A707">
        <v>3403</v>
      </c>
      <c r="B707" t="s">
        <v>39</v>
      </c>
      <c r="C707">
        <v>2020</v>
      </c>
      <c r="D707" s="1">
        <v>43831</v>
      </c>
      <c r="E707">
        <v>10</v>
      </c>
      <c r="F707">
        <v>300007995</v>
      </c>
      <c r="G707" t="s">
        <v>29</v>
      </c>
      <c r="H707">
        <v>81</v>
      </c>
      <c r="I707">
        <v>71101060</v>
      </c>
      <c r="J707">
        <v>11500060</v>
      </c>
      <c r="K707" t="s">
        <v>30</v>
      </c>
      <c r="L707" s="4">
        <v>600</v>
      </c>
      <c r="M707" t="s">
        <v>31</v>
      </c>
      <c r="N707" s="4">
        <v>600</v>
      </c>
      <c r="O707" t="s">
        <v>31</v>
      </c>
      <c r="X707" t="s">
        <v>39</v>
      </c>
      <c r="Y707"/>
      <c r="Z707">
        <v>20200115</v>
      </c>
      <c r="AA707">
        <f t="shared" si="11"/>
        <v>600</v>
      </c>
      <c r="AC707"/>
      <c r="AF707"/>
      <c r="AL707">
        <v>340312390</v>
      </c>
      <c r="AM707" t="s">
        <v>40</v>
      </c>
    </row>
    <row r="708" spans="1:39" x14ac:dyDescent="0.35">
      <c r="A708">
        <v>3403</v>
      </c>
      <c r="B708" t="s">
        <v>39</v>
      </c>
      <c r="C708">
        <v>2020</v>
      </c>
      <c r="D708" s="1">
        <v>43831</v>
      </c>
      <c r="E708">
        <v>8</v>
      </c>
      <c r="F708">
        <v>300008000</v>
      </c>
      <c r="G708" t="s">
        <v>29</v>
      </c>
      <c r="H708">
        <v>81</v>
      </c>
      <c r="I708">
        <v>71101060</v>
      </c>
      <c r="J708">
        <v>11500040</v>
      </c>
      <c r="K708" t="s">
        <v>30</v>
      </c>
      <c r="L708" s="4">
        <v>1200</v>
      </c>
      <c r="M708" t="s">
        <v>31</v>
      </c>
      <c r="N708" s="4">
        <v>1200</v>
      </c>
      <c r="O708" t="s">
        <v>31</v>
      </c>
      <c r="X708" t="s">
        <v>39</v>
      </c>
      <c r="Y708"/>
      <c r="Z708">
        <v>20200115</v>
      </c>
      <c r="AA708">
        <f t="shared" si="11"/>
        <v>1200</v>
      </c>
      <c r="AC708"/>
      <c r="AF708"/>
      <c r="AL708">
        <v>340310490</v>
      </c>
      <c r="AM708" t="s">
        <v>40</v>
      </c>
    </row>
    <row r="709" spans="1:39" x14ac:dyDescent="0.35">
      <c r="A709">
        <v>3403</v>
      </c>
      <c r="B709" t="s">
        <v>39</v>
      </c>
      <c r="C709">
        <v>2020</v>
      </c>
      <c r="D709" s="1">
        <v>43831</v>
      </c>
      <c r="E709">
        <v>10</v>
      </c>
      <c r="F709">
        <v>300008000</v>
      </c>
      <c r="G709" t="s">
        <v>29</v>
      </c>
      <c r="H709">
        <v>81</v>
      </c>
      <c r="I709">
        <v>71101060</v>
      </c>
      <c r="J709">
        <v>11500040</v>
      </c>
      <c r="K709" t="s">
        <v>30</v>
      </c>
      <c r="L709" s="4">
        <v>2400</v>
      </c>
      <c r="M709" t="s">
        <v>31</v>
      </c>
      <c r="N709" s="4">
        <v>2400</v>
      </c>
      <c r="O709" t="s">
        <v>31</v>
      </c>
      <c r="X709" t="s">
        <v>39</v>
      </c>
      <c r="Y709"/>
      <c r="Z709">
        <v>20200115</v>
      </c>
      <c r="AA709">
        <f t="shared" si="11"/>
        <v>2400</v>
      </c>
      <c r="AC709"/>
      <c r="AF709"/>
      <c r="AL709">
        <v>340310490</v>
      </c>
      <c r="AM709" t="s">
        <v>40</v>
      </c>
    </row>
    <row r="710" spans="1:39" x14ac:dyDescent="0.35">
      <c r="A710">
        <v>3403</v>
      </c>
      <c r="B710" t="s">
        <v>39</v>
      </c>
      <c r="C710">
        <v>2020</v>
      </c>
      <c r="D710" s="1">
        <v>43831</v>
      </c>
      <c r="E710">
        <v>12</v>
      </c>
      <c r="F710">
        <v>300008000</v>
      </c>
      <c r="G710" t="s">
        <v>29</v>
      </c>
      <c r="H710">
        <v>81</v>
      </c>
      <c r="I710">
        <v>71101060</v>
      </c>
      <c r="J710">
        <v>11500040</v>
      </c>
      <c r="K710" t="s">
        <v>30</v>
      </c>
      <c r="L710" s="4">
        <v>1980</v>
      </c>
      <c r="M710" t="s">
        <v>31</v>
      </c>
      <c r="N710" s="4">
        <v>1980</v>
      </c>
      <c r="O710" t="s">
        <v>31</v>
      </c>
      <c r="X710" t="s">
        <v>39</v>
      </c>
      <c r="Y710"/>
      <c r="Z710">
        <v>20200115</v>
      </c>
      <c r="AA710">
        <f t="shared" si="11"/>
        <v>1980</v>
      </c>
      <c r="AC710"/>
      <c r="AF710"/>
      <c r="AL710">
        <v>340310490</v>
      </c>
      <c r="AM710" t="s">
        <v>40</v>
      </c>
    </row>
    <row r="711" spans="1:39" x14ac:dyDescent="0.35">
      <c r="A711">
        <v>3403</v>
      </c>
      <c r="B711" t="s">
        <v>39</v>
      </c>
      <c r="C711">
        <v>2020</v>
      </c>
      <c r="D711" s="1">
        <v>43831</v>
      </c>
      <c r="E711">
        <v>14</v>
      </c>
      <c r="F711">
        <v>300008000</v>
      </c>
      <c r="G711" t="s">
        <v>29</v>
      </c>
      <c r="H711">
        <v>81</v>
      </c>
      <c r="I711">
        <v>71101060</v>
      </c>
      <c r="J711">
        <v>11500040</v>
      </c>
      <c r="K711" t="s">
        <v>30</v>
      </c>
      <c r="L711" s="4">
        <v>1200</v>
      </c>
      <c r="M711" t="s">
        <v>31</v>
      </c>
      <c r="N711" s="4">
        <v>1200</v>
      </c>
      <c r="O711" t="s">
        <v>31</v>
      </c>
      <c r="X711" t="s">
        <v>39</v>
      </c>
      <c r="Y711"/>
      <c r="Z711">
        <v>20200115</v>
      </c>
      <c r="AA711">
        <f t="shared" si="11"/>
        <v>1200</v>
      </c>
      <c r="AC711"/>
      <c r="AF711"/>
      <c r="AL711">
        <v>340310490</v>
      </c>
      <c r="AM711" t="s">
        <v>40</v>
      </c>
    </row>
    <row r="712" spans="1:39" x14ac:dyDescent="0.35">
      <c r="A712">
        <v>3403</v>
      </c>
      <c r="B712" t="s">
        <v>39</v>
      </c>
      <c r="C712">
        <v>2020</v>
      </c>
      <c r="D712" s="1">
        <v>43831</v>
      </c>
      <c r="E712">
        <v>22</v>
      </c>
      <c r="F712">
        <v>300008000</v>
      </c>
      <c r="G712" t="s">
        <v>29</v>
      </c>
      <c r="H712">
        <v>81</v>
      </c>
      <c r="I712">
        <v>71101060</v>
      </c>
      <c r="J712">
        <v>11500040</v>
      </c>
      <c r="K712" t="s">
        <v>30</v>
      </c>
      <c r="L712" s="4">
        <v>4530.8999999999996</v>
      </c>
      <c r="M712" t="s">
        <v>31</v>
      </c>
      <c r="N712" s="4">
        <v>4530.8999999999996</v>
      </c>
      <c r="O712" t="s">
        <v>31</v>
      </c>
      <c r="X712" t="s">
        <v>39</v>
      </c>
      <c r="Y712"/>
      <c r="Z712">
        <v>20200115</v>
      </c>
      <c r="AA712">
        <f t="shared" si="11"/>
        <v>4530.8999999999996</v>
      </c>
      <c r="AC712"/>
      <c r="AF712"/>
      <c r="AL712">
        <v>340310490</v>
      </c>
      <c r="AM712" t="s">
        <v>40</v>
      </c>
    </row>
    <row r="713" spans="1:39" x14ac:dyDescent="0.35">
      <c r="A713">
        <v>3403</v>
      </c>
      <c r="B713" t="s">
        <v>39</v>
      </c>
      <c r="C713">
        <v>2020</v>
      </c>
      <c r="D713" s="1">
        <v>43831</v>
      </c>
      <c r="E713">
        <v>24</v>
      </c>
      <c r="F713">
        <v>300008000</v>
      </c>
      <c r="G713" t="s">
        <v>29</v>
      </c>
      <c r="H713">
        <v>81</v>
      </c>
      <c r="I713">
        <v>71101060</v>
      </c>
      <c r="J713">
        <v>11500040</v>
      </c>
      <c r="K713" t="s">
        <v>30</v>
      </c>
      <c r="L713" s="4">
        <v>141.6</v>
      </c>
      <c r="M713" t="s">
        <v>31</v>
      </c>
      <c r="N713" s="4">
        <v>141.6</v>
      </c>
      <c r="O713" t="s">
        <v>31</v>
      </c>
      <c r="X713" t="s">
        <v>39</v>
      </c>
      <c r="Y713"/>
      <c r="Z713">
        <v>20200115</v>
      </c>
      <c r="AA713">
        <f t="shared" si="11"/>
        <v>141.6</v>
      </c>
      <c r="AC713"/>
      <c r="AF713"/>
      <c r="AL713">
        <v>340310490</v>
      </c>
      <c r="AM713" t="s">
        <v>40</v>
      </c>
    </row>
    <row r="714" spans="1:39" x14ac:dyDescent="0.35">
      <c r="A714">
        <v>3403</v>
      </c>
      <c r="B714" t="s">
        <v>39</v>
      </c>
      <c r="C714">
        <v>2020</v>
      </c>
      <c r="D714" s="1">
        <v>43831</v>
      </c>
      <c r="E714">
        <v>36</v>
      </c>
      <c r="F714">
        <v>300008000</v>
      </c>
      <c r="G714" t="s">
        <v>29</v>
      </c>
      <c r="H714">
        <v>81</v>
      </c>
      <c r="I714">
        <v>71101060</v>
      </c>
      <c r="J714">
        <v>11500040</v>
      </c>
      <c r="K714" t="s">
        <v>30</v>
      </c>
      <c r="L714" s="4">
        <v>552</v>
      </c>
      <c r="M714" t="s">
        <v>31</v>
      </c>
      <c r="N714" s="4">
        <v>552</v>
      </c>
      <c r="O714" t="s">
        <v>31</v>
      </c>
      <c r="X714" t="s">
        <v>39</v>
      </c>
      <c r="Y714"/>
      <c r="Z714">
        <v>20200115</v>
      </c>
      <c r="AA714">
        <f t="shared" si="11"/>
        <v>552</v>
      </c>
      <c r="AC714"/>
      <c r="AF714"/>
      <c r="AL714">
        <v>340310490</v>
      </c>
      <c r="AM714" t="s">
        <v>40</v>
      </c>
    </row>
    <row r="715" spans="1:39" x14ac:dyDescent="0.35">
      <c r="A715">
        <v>3403</v>
      </c>
      <c r="B715" t="s">
        <v>39</v>
      </c>
      <c r="C715">
        <v>2020</v>
      </c>
      <c r="D715" s="1">
        <v>43831</v>
      </c>
      <c r="E715">
        <v>38</v>
      </c>
      <c r="F715">
        <v>300008000</v>
      </c>
      <c r="G715" t="s">
        <v>29</v>
      </c>
      <c r="H715">
        <v>81</v>
      </c>
      <c r="I715">
        <v>71101060</v>
      </c>
      <c r="J715">
        <v>11500040</v>
      </c>
      <c r="K715" t="s">
        <v>30</v>
      </c>
      <c r="L715" s="4">
        <v>380</v>
      </c>
      <c r="M715" t="s">
        <v>31</v>
      </c>
      <c r="N715" s="4">
        <v>380</v>
      </c>
      <c r="O715" t="s">
        <v>31</v>
      </c>
      <c r="X715" t="s">
        <v>39</v>
      </c>
      <c r="Y715"/>
      <c r="Z715">
        <v>20200115</v>
      </c>
      <c r="AA715">
        <f t="shared" si="11"/>
        <v>380</v>
      </c>
      <c r="AC715"/>
      <c r="AF715"/>
      <c r="AL715">
        <v>340310490</v>
      </c>
      <c r="AM715" t="s">
        <v>40</v>
      </c>
    </row>
    <row r="716" spans="1:39" x14ac:dyDescent="0.35">
      <c r="A716">
        <v>3403</v>
      </c>
      <c r="B716" t="s">
        <v>39</v>
      </c>
      <c r="C716">
        <v>2020</v>
      </c>
      <c r="D716" s="1">
        <v>43831</v>
      </c>
      <c r="E716">
        <v>40</v>
      </c>
      <c r="F716">
        <v>300008000</v>
      </c>
      <c r="G716" t="s">
        <v>29</v>
      </c>
      <c r="H716">
        <v>81</v>
      </c>
      <c r="I716">
        <v>71101060</v>
      </c>
      <c r="J716">
        <v>11500040</v>
      </c>
      <c r="K716" t="s">
        <v>30</v>
      </c>
      <c r="L716" s="4">
        <v>641.28</v>
      </c>
      <c r="M716" t="s">
        <v>31</v>
      </c>
      <c r="N716" s="4">
        <v>641.28</v>
      </c>
      <c r="O716" t="s">
        <v>31</v>
      </c>
      <c r="X716" t="s">
        <v>39</v>
      </c>
      <c r="Y716"/>
      <c r="Z716">
        <v>20200115</v>
      </c>
      <c r="AA716">
        <f t="shared" si="11"/>
        <v>641.28</v>
      </c>
      <c r="AC716"/>
      <c r="AF716"/>
      <c r="AL716">
        <v>340310490</v>
      </c>
      <c r="AM716" t="s">
        <v>40</v>
      </c>
    </row>
    <row r="717" spans="1:39" x14ac:dyDescent="0.35">
      <c r="A717">
        <v>3403</v>
      </c>
      <c r="B717" t="s">
        <v>39</v>
      </c>
      <c r="C717">
        <v>2020</v>
      </c>
      <c r="D717" s="1">
        <v>43831</v>
      </c>
      <c r="E717">
        <v>42</v>
      </c>
      <c r="F717">
        <v>300008000</v>
      </c>
      <c r="G717" t="s">
        <v>29</v>
      </c>
      <c r="H717">
        <v>81</v>
      </c>
      <c r="I717">
        <v>71101060</v>
      </c>
      <c r="J717">
        <v>11500040</v>
      </c>
      <c r="K717" t="s">
        <v>30</v>
      </c>
      <c r="L717" s="4">
        <v>100.5</v>
      </c>
      <c r="M717" t="s">
        <v>31</v>
      </c>
      <c r="N717" s="4">
        <v>100.5</v>
      </c>
      <c r="O717" t="s">
        <v>31</v>
      </c>
      <c r="X717" t="s">
        <v>39</v>
      </c>
      <c r="Y717"/>
      <c r="Z717">
        <v>20200115</v>
      </c>
      <c r="AA717">
        <f t="shared" si="11"/>
        <v>100.5</v>
      </c>
      <c r="AC717"/>
      <c r="AF717"/>
      <c r="AL717">
        <v>340310490</v>
      </c>
      <c r="AM717" t="s">
        <v>40</v>
      </c>
    </row>
    <row r="718" spans="1:39" x14ac:dyDescent="0.35">
      <c r="A718">
        <v>3403</v>
      </c>
      <c r="B718" t="s">
        <v>39</v>
      </c>
      <c r="C718">
        <v>2020</v>
      </c>
      <c r="D718" s="1">
        <v>43831</v>
      </c>
      <c r="E718">
        <v>44</v>
      </c>
      <c r="F718">
        <v>300008000</v>
      </c>
      <c r="G718" t="s">
        <v>29</v>
      </c>
      <c r="H718">
        <v>81</v>
      </c>
      <c r="I718">
        <v>71101060</v>
      </c>
      <c r="J718">
        <v>11500040</v>
      </c>
      <c r="K718" t="s">
        <v>30</v>
      </c>
      <c r="L718" s="4">
        <v>190</v>
      </c>
      <c r="M718" t="s">
        <v>31</v>
      </c>
      <c r="N718" s="4">
        <v>190</v>
      </c>
      <c r="O718" t="s">
        <v>31</v>
      </c>
      <c r="X718" t="s">
        <v>39</v>
      </c>
      <c r="Y718"/>
      <c r="Z718">
        <v>20200115</v>
      </c>
      <c r="AA718">
        <f t="shared" si="11"/>
        <v>190</v>
      </c>
      <c r="AC718"/>
      <c r="AF718"/>
      <c r="AL718">
        <v>340310490</v>
      </c>
      <c r="AM718" t="s">
        <v>40</v>
      </c>
    </row>
    <row r="719" spans="1:39" x14ac:dyDescent="0.35">
      <c r="A719">
        <v>3403</v>
      </c>
      <c r="B719" t="s">
        <v>39</v>
      </c>
      <c r="C719">
        <v>2020</v>
      </c>
      <c r="D719" s="1">
        <v>43831</v>
      </c>
      <c r="E719">
        <v>46</v>
      </c>
      <c r="F719">
        <v>300008000</v>
      </c>
      <c r="G719" t="s">
        <v>29</v>
      </c>
      <c r="H719">
        <v>81</v>
      </c>
      <c r="I719">
        <v>71101060</v>
      </c>
      <c r="J719">
        <v>11500040</v>
      </c>
      <c r="K719" t="s">
        <v>30</v>
      </c>
      <c r="L719" s="4">
        <v>278.88</v>
      </c>
      <c r="M719" t="s">
        <v>31</v>
      </c>
      <c r="N719" s="4">
        <v>278.88</v>
      </c>
      <c r="O719" t="s">
        <v>31</v>
      </c>
      <c r="X719" t="s">
        <v>39</v>
      </c>
      <c r="Y719"/>
      <c r="Z719">
        <v>20200115</v>
      </c>
      <c r="AA719">
        <f t="shared" si="11"/>
        <v>278.88</v>
      </c>
      <c r="AC719"/>
      <c r="AF719"/>
      <c r="AL719">
        <v>340310490</v>
      </c>
      <c r="AM719" t="s">
        <v>40</v>
      </c>
    </row>
    <row r="720" spans="1:39" x14ac:dyDescent="0.35">
      <c r="A720">
        <v>3403</v>
      </c>
      <c r="B720" t="s">
        <v>39</v>
      </c>
      <c r="C720">
        <v>2020</v>
      </c>
      <c r="D720" s="1">
        <v>43831</v>
      </c>
      <c r="E720">
        <v>48</v>
      </c>
      <c r="F720">
        <v>300008000</v>
      </c>
      <c r="G720" t="s">
        <v>29</v>
      </c>
      <c r="H720">
        <v>81</v>
      </c>
      <c r="I720">
        <v>71101060</v>
      </c>
      <c r="J720">
        <v>11500040</v>
      </c>
      <c r="K720" t="s">
        <v>30</v>
      </c>
      <c r="L720" s="4">
        <v>642.24</v>
      </c>
      <c r="M720" t="s">
        <v>31</v>
      </c>
      <c r="N720" s="4">
        <v>642.24</v>
      </c>
      <c r="O720" t="s">
        <v>31</v>
      </c>
      <c r="X720" t="s">
        <v>39</v>
      </c>
      <c r="Y720"/>
      <c r="Z720">
        <v>20200115</v>
      </c>
      <c r="AA720">
        <f t="shared" si="11"/>
        <v>642.24</v>
      </c>
      <c r="AC720"/>
      <c r="AF720"/>
      <c r="AL720">
        <v>340310490</v>
      </c>
      <c r="AM720" t="s">
        <v>40</v>
      </c>
    </row>
    <row r="721" spans="1:39" x14ac:dyDescent="0.35">
      <c r="A721">
        <v>3403</v>
      </c>
      <c r="B721" t="s">
        <v>39</v>
      </c>
      <c r="C721">
        <v>2020</v>
      </c>
      <c r="D721" s="1">
        <v>43831</v>
      </c>
      <c r="E721">
        <v>50</v>
      </c>
      <c r="F721">
        <v>300008000</v>
      </c>
      <c r="G721" t="s">
        <v>29</v>
      </c>
      <c r="H721">
        <v>81</v>
      </c>
      <c r="I721">
        <v>71101060</v>
      </c>
      <c r="J721">
        <v>11500040</v>
      </c>
      <c r="K721" t="s">
        <v>30</v>
      </c>
      <c r="L721" s="4">
        <v>119.7</v>
      </c>
      <c r="M721" t="s">
        <v>31</v>
      </c>
      <c r="N721" s="4">
        <v>119.7</v>
      </c>
      <c r="O721" t="s">
        <v>31</v>
      </c>
      <c r="X721" t="s">
        <v>39</v>
      </c>
      <c r="Y721"/>
      <c r="Z721">
        <v>20200115</v>
      </c>
      <c r="AA721">
        <f t="shared" si="11"/>
        <v>119.7</v>
      </c>
      <c r="AC721"/>
      <c r="AF721"/>
      <c r="AL721">
        <v>340310490</v>
      </c>
      <c r="AM721" t="s">
        <v>40</v>
      </c>
    </row>
    <row r="722" spans="1:39" x14ac:dyDescent="0.35">
      <c r="A722">
        <v>3403</v>
      </c>
      <c r="B722" t="s">
        <v>39</v>
      </c>
      <c r="C722">
        <v>2020</v>
      </c>
      <c r="D722" s="1">
        <v>43831</v>
      </c>
      <c r="E722">
        <v>8</v>
      </c>
      <c r="F722">
        <v>300008002</v>
      </c>
      <c r="G722" t="s">
        <v>29</v>
      </c>
      <c r="H722">
        <v>81</v>
      </c>
      <c r="I722">
        <v>71101060</v>
      </c>
      <c r="J722">
        <v>11500060</v>
      </c>
      <c r="K722" t="s">
        <v>30</v>
      </c>
      <c r="L722" s="4">
        <v>1894</v>
      </c>
      <c r="M722" t="s">
        <v>31</v>
      </c>
      <c r="N722" s="4">
        <v>1894</v>
      </c>
      <c r="O722" t="s">
        <v>31</v>
      </c>
      <c r="X722" t="s">
        <v>39</v>
      </c>
      <c r="Y722"/>
      <c r="Z722">
        <v>20200115</v>
      </c>
      <c r="AA722">
        <f t="shared" ref="AA722:AA785" si="12">L722</f>
        <v>1894</v>
      </c>
      <c r="AC722"/>
      <c r="AF722"/>
      <c r="AL722">
        <v>340310590</v>
      </c>
      <c r="AM722" t="s">
        <v>40</v>
      </c>
    </row>
    <row r="723" spans="1:39" x14ac:dyDescent="0.35">
      <c r="A723">
        <v>3403</v>
      </c>
      <c r="B723" t="s">
        <v>39</v>
      </c>
      <c r="C723">
        <v>2020</v>
      </c>
      <c r="D723" s="1">
        <v>43831</v>
      </c>
      <c r="E723">
        <v>10</v>
      </c>
      <c r="F723">
        <v>300008002</v>
      </c>
      <c r="G723" t="s">
        <v>29</v>
      </c>
      <c r="H723">
        <v>81</v>
      </c>
      <c r="I723">
        <v>71101060</v>
      </c>
      <c r="J723">
        <v>11500060</v>
      </c>
      <c r="K723" t="s">
        <v>30</v>
      </c>
      <c r="L723" s="4">
        <v>537</v>
      </c>
      <c r="M723" t="s">
        <v>31</v>
      </c>
      <c r="N723" s="4">
        <v>537</v>
      </c>
      <c r="O723" t="s">
        <v>31</v>
      </c>
      <c r="X723" t="s">
        <v>39</v>
      </c>
      <c r="Y723"/>
      <c r="Z723">
        <v>20200115</v>
      </c>
      <c r="AA723">
        <f t="shared" si="12"/>
        <v>537</v>
      </c>
      <c r="AC723"/>
      <c r="AF723"/>
      <c r="AL723">
        <v>340310590</v>
      </c>
      <c r="AM723" t="s">
        <v>40</v>
      </c>
    </row>
    <row r="724" spans="1:39" x14ac:dyDescent="0.35">
      <c r="A724">
        <v>3403</v>
      </c>
      <c r="B724" t="s">
        <v>39</v>
      </c>
      <c r="C724">
        <v>2020</v>
      </c>
      <c r="D724" s="1">
        <v>43831</v>
      </c>
      <c r="E724">
        <v>12</v>
      </c>
      <c r="F724">
        <v>300008002</v>
      </c>
      <c r="G724" t="s">
        <v>29</v>
      </c>
      <c r="H724">
        <v>81</v>
      </c>
      <c r="I724">
        <v>71101060</v>
      </c>
      <c r="J724">
        <v>11500060</v>
      </c>
      <c r="K724" t="s">
        <v>30</v>
      </c>
      <c r="L724" s="4">
        <v>214.08</v>
      </c>
      <c r="M724" t="s">
        <v>31</v>
      </c>
      <c r="N724" s="4">
        <v>214.08</v>
      </c>
      <c r="O724" t="s">
        <v>31</v>
      </c>
      <c r="X724" t="s">
        <v>39</v>
      </c>
      <c r="Y724"/>
      <c r="Z724">
        <v>20200115</v>
      </c>
      <c r="AA724">
        <f t="shared" si="12"/>
        <v>214.08</v>
      </c>
      <c r="AC724"/>
      <c r="AF724"/>
      <c r="AL724">
        <v>340310590</v>
      </c>
      <c r="AM724" t="s">
        <v>40</v>
      </c>
    </row>
    <row r="725" spans="1:39" x14ac:dyDescent="0.35">
      <c r="A725">
        <v>3403</v>
      </c>
      <c r="B725" t="s">
        <v>39</v>
      </c>
      <c r="C725">
        <v>2020</v>
      </c>
      <c r="D725" s="1">
        <v>43831</v>
      </c>
      <c r="E725">
        <v>14</v>
      </c>
      <c r="F725">
        <v>300008002</v>
      </c>
      <c r="G725" t="s">
        <v>29</v>
      </c>
      <c r="H725">
        <v>81</v>
      </c>
      <c r="I725">
        <v>71101060</v>
      </c>
      <c r="J725">
        <v>11500060</v>
      </c>
      <c r="K725" t="s">
        <v>30</v>
      </c>
      <c r="L725" s="4">
        <v>114</v>
      </c>
      <c r="M725" t="s">
        <v>31</v>
      </c>
      <c r="N725" s="4">
        <v>114</v>
      </c>
      <c r="O725" t="s">
        <v>31</v>
      </c>
      <c r="X725" t="s">
        <v>39</v>
      </c>
      <c r="Y725"/>
      <c r="Z725">
        <v>20200115</v>
      </c>
      <c r="AA725">
        <f t="shared" si="12"/>
        <v>114</v>
      </c>
      <c r="AC725"/>
      <c r="AF725"/>
      <c r="AL725">
        <v>340310590</v>
      </c>
      <c r="AM725" t="s">
        <v>40</v>
      </c>
    </row>
    <row r="726" spans="1:39" x14ac:dyDescent="0.35">
      <c r="A726">
        <v>3403</v>
      </c>
      <c r="B726" t="s">
        <v>39</v>
      </c>
      <c r="C726">
        <v>2020</v>
      </c>
      <c r="D726" s="1">
        <v>43831</v>
      </c>
      <c r="E726">
        <v>16</v>
      </c>
      <c r="F726">
        <v>300008002</v>
      </c>
      <c r="G726" t="s">
        <v>29</v>
      </c>
      <c r="H726">
        <v>81</v>
      </c>
      <c r="I726">
        <v>71101060</v>
      </c>
      <c r="J726">
        <v>11500060</v>
      </c>
      <c r="K726" t="s">
        <v>30</v>
      </c>
      <c r="L726" s="4">
        <v>552</v>
      </c>
      <c r="M726" t="s">
        <v>31</v>
      </c>
      <c r="N726" s="4">
        <v>552</v>
      </c>
      <c r="O726" t="s">
        <v>31</v>
      </c>
      <c r="X726" t="s">
        <v>39</v>
      </c>
      <c r="Y726"/>
      <c r="Z726">
        <v>20200115</v>
      </c>
      <c r="AA726">
        <f t="shared" si="12"/>
        <v>552</v>
      </c>
      <c r="AC726"/>
      <c r="AF726"/>
      <c r="AL726">
        <v>340310590</v>
      </c>
      <c r="AM726" t="s">
        <v>40</v>
      </c>
    </row>
    <row r="727" spans="1:39" x14ac:dyDescent="0.35">
      <c r="A727">
        <v>3403</v>
      </c>
      <c r="B727" t="s">
        <v>39</v>
      </c>
      <c r="C727">
        <v>2020</v>
      </c>
      <c r="D727" s="1">
        <v>43831</v>
      </c>
      <c r="E727">
        <v>24</v>
      </c>
      <c r="F727">
        <v>300008002</v>
      </c>
      <c r="G727" t="s">
        <v>29</v>
      </c>
      <c r="H727">
        <v>81</v>
      </c>
      <c r="I727">
        <v>71101060</v>
      </c>
      <c r="J727">
        <v>11500060</v>
      </c>
      <c r="K727" t="s">
        <v>30</v>
      </c>
      <c r="L727" s="4">
        <v>95.2</v>
      </c>
      <c r="M727" t="s">
        <v>31</v>
      </c>
      <c r="N727" s="4">
        <v>95.2</v>
      </c>
      <c r="O727" t="s">
        <v>31</v>
      </c>
      <c r="X727" t="s">
        <v>39</v>
      </c>
      <c r="Y727"/>
      <c r="Z727">
        <v>20200115</v>
      </c>
      <c r="AA727">
        <f t="shared" si="12"/>
        <v>95.2</v>
      </c>
      <c r="AC727"/>
      <c r="AF727"/>
      <c r="AL727">
        <v>340310590</v>
      </c>
      <c r="AM727" t="s">
        <v>40</v>
      </c>
    </row>
    <row r="728" spans="1:39" x14ac:dyDescent="0.35">
      <c r="A728">
        <v>3403</v>
      </c>
      <c r="B728" t="s">
        <v>39</v>
      </c>
      <c r="C728">
        <v>2020</v>
      </c>
      <c r="D728" s="1">
        <v>43831</v>
      </c>
      <c r="E728">
        <v>26</v>
      </c>
      <c r="F728">
        <v>300008002</v>
      </c>
      <c r="G728" t="s">
        <v>29</v>
      </c>
      <c r="H728">
        <v>81</v>
      </c>
      <c r="I728">
        <v>71101060</v>
      </c>
      <c r="J728">
        <v>11500060</v>
      </c>
      <c r="K728" t="s">
        <v>30</v>
      </c>
      <c r="L728" s="4">
        <v>196</v>
      </c>
      <c r="M728" t="s">
        <v>31</v>
      </c>
      <c r="N728" s="4">
        <v>196</v>
      </c>
      <c r="O728" t="s">
        <v>31</v>
      </c>
      <c r="X728" t="s">
        <v>39</v>
      </c>
      <c r="Y728"/>
      <c r="Z728">
        <v>20200115</v>
      </c>
      <c r="AA728">
        <f t="shared" si="12"/>
        <v>196</v>
      </c>
      <c r="AC728"/>
      <c r="AF728"/>
      <c r="AL728">
        <v>340310590</v>
      </c>
      <c r="AM728" t="s">
        <v>40</v>
      </c>
    </row>
    <row r="729" spans="1:39" x14ac:dyDescent="0.35">
      <c r="A729">
        <v>3403</v>
      </c>
      <c r="B729" t="s">
        <v>39</v>
      </c>
      <c r="C729">
        <v>2020</v>
      </c>
      <c r="D729" s="1">
        <v>43831</v>
      </c>
      <c r="E729">
        <v>28</v>
      </c>
      <c r="F729">
        <v>300008002</v>
      </c>
      <c r="G729" t="s">
        <v>29</v>
      </c>
      <c r="H729">
        <v>81</v>
      </c>
      <c r="I729">
        <v>71101060</v>
      </c>
      <c r="J729">
        <v>11500060</v>
      </c>
      <c r="K729" t="s">
        <v>30</v>
      </c>
      <c r="L729" s="4">
        <v>2077.5300000000002</v>
      </c>
      <c r="M729" t="s">
        <v>31</v>
      </c>
      <c r="N729" s="4">
        <v>2077.5300000000002</v>
      </c>
      <c r="O729" t="s">
        <v>31</v>
      </c>
      <c r="X729" t="s">
        <v>39</v>
      </c>
      <c r="Y729"/>
      <c r="Z729">
        <v>20200115</v>
      </c>
      <c r="AA729">
        <f t="shared" si="12"/>
        <v>2077.5300000000002</v>
      </c>
      <c r="AC729"/>
      <c r="AF729"/>
      <c r="AL729">
        <v>340310590</v>
      </c>
      <c r="AM729" t="s">
        <v>40</v>
      </c>
    </row>
    <row r="730" spans="1:39" x14ac:dyDescent="0.35">
      <c r="A730">
        <v>3403</v>
      </c>
      <c r="B730" t="s">
        <v>39</v>
      </c>
      <c r="C730">
        <v>2020</v>
      </c>
      <c r="D730" s="1">
        <v>43831</v>
      </c>
      <c r="E730">
        <v>32</v>
      </c>
      <c r="F730">
        <v>300008002</v>
      </c>
      <c r="G730" t="s">
        <v>29</v>
      </c>
      <c r="H730">
        <v>81</v>
      </c>
      <c r="I730">
        <v>71101060</v>
      </c>
      <c r="J730">
        <v>11500060</v>
      </c>
      <c r="K730" t="s">
        <v>30</v>
      </c>
      <c r="L730" s="4">
        <v>3020.6</v>
      </c>
      <c r="M730" t="s">
        <v>31</v>
      </c>
      <c r="N730" s="4">
        <v>3020.6</v>
      </c>
      <c r="O730" t="s">
        <v>31</v>
      </c>
      <c r="X730" t="s">
        <v>39</v>
      </c>
      <c r="Y730"/>
      <c r="Z730">
        <v>20200115</v>
      </c>
      <c r="AA730">
        <f t="shared" si="12"/>
        <v>3020.6</v>
      </c>
      <c r="AC730"/>
      <c r="AF730"/>
      <c r="AL730">
        <v>340310590</v>
      </c>
      <c r="AM730" t="s">
        <v>40</v>
      </c>
    </row>
    <row r="731" spans="1:39" x14ac:dyDescent="0.35">
      <c r="A731">
        <v>3403</v>
      </c>
      <c r="B731" t="s">
        <v>39</v>
      </c>
      <c r="C731">
        <v>2020</v>
      </c>
      <c r="D731" s="1">
        <v>43831</v>
      </c>
      <c r="E731">
        <v>34</v>
      </c>
      <c r="F731">
        <v>300008002</v>
      </c>
      <c r="G731" t="s">
        <v>29</v>
      </c>
      <c r="H731">
        <v>81</v>
      </c>
      <c r="I731">
        <v>71101060</v>
      </c>
      <c r="J731">
        <v>11500060</v>
      </c>
      <c r="K731" t="s">
        <v>30</v>
      </c>
      <c r="L731" s="4">
        <v>879.42</v>
      </c>
      <c r="M731" t="s">
        <v>31</v>
      </c>
      <c r="N731" s="4">
        <v>879.42</v>
      </c>
      <c r="O731" t="s">
        <v>31</v>
      </c>
      <c r="X731" t="s">
        <v>39</v>
      </c>
      <c r="Y731"/>
      <c r="Z731">
        <v>20200115</v>
      </c>
      <c r="AA731">
        <f t="shared" si="12"/>
        <v>879.42</v>
      </c>
      <c r="AC731"/>
      <c r="AF731"/>
      <c r="AL731">
        <v>340310590</v>
      </c>
      <c r="AM731" t="s">
        <v>40</v>
      </c>
    </row>
    <row r="732" spans="1:39" x14ac:dyDescent="0.35">
      <c r="A732">
        <v>3403</v>
      </c>
      <c r="B732" t="s">
        <v>39</v>
      </c>
      <c r="C732">
        <v>2020</v>
      </c>
      <c r="D732" s="1">
        <v>43831</v>
      </c>
      <c r="E732">
        <v>36</v>
      </c>
      <c r="F732">
        <v>300008002</v>
      </c>
      <c r="G732" t="s">
        <v>29</v>
      </c>
      <c r="H732">
        <v>81</v>
      </c>
      <c r="I732">
        <v>71101060</v>
      </c>
      <c r="J732">
        <v>11500060</v>
      </c>
      <c r="K732" t="s">
        <v>30</v>
      </c>
      <c r="L732" s="4">
        <v>9262.2999999999993</v>
      </c>
      <c r="M732" t="s">
        <v>31</v>
      </c>
      <c r="N732" s="4">
        <v>9262.2999999999993</v>
      </c>
      <c r="O732" t="s">
        <v>31</v>
      </c>
      <c r="X732" t="s">
        <v>39</v>
      </c>
      <c r="Y732"/>
      <c r="Z732">
        <v>20200115</v>
      </c>
      <c r="AA732">
        <f t="shared" si="12"/>
        <v>9262.2999999999993</v>
      </c>
      <c r="AC732"/>
      <c r="AF732"/>
      <c r="AL732">
        <v>340310590</v>
      </c>
      <c r="AM732" t="s">
        <v>40</v>
      </c>
    </row>
    <row r="733" spans="1:39" x14ac:dyDescent="0.35">
      <c r="A733">
        <v>3403</v>
      </c>
      <c r="B733" t="s">
        <v>39</v>
      </c>
      <c r="C733">
        <v>2020</v>
      </c>
      <c r="D733" s="1">
        <v>43831</v>
      </c>
      <c r="E733">
        <v>40</v>
      </c>
      <c r="F733">
        <v>300008002</v>
      </c>
      <c r="G733" t="s">
        <v>29</v>
      </c>
      <c r="H733">
        <v>81</v>
      </c>
      <c r="I733">
        <v>71101060</v>
      </c>
      <c r="J733">
        <v>11500060</v>
      </c>
      <c r="K733" t="s">
        <v>30</v>
      </c>
      <c r="L733" s="4">
        <v>2400</v>
      </c>
      <c r="M733" t="s">
        <v>31</v>
      </c>
      <c r="N733" s="4">
        <v>2400</v>
      </c>
      <c r="O733" t="s">
        <v>31</v>
      </c>
      <c r="X733" t="s">
        <v>39</v>
      </c>
      <c r="Y733"/>
      <c r="Z733">
        <v>20200115</v>
      </c>
      <c r="AA733">
        <f t="shared" si="12"/>
        <v>2400</v>
      </c>
      <c r="AC733"/>
      <c r="AF733"/>
      <c r="AL733">
        <v>340310590</v>
      </c>
      <c r="AM733" t="s">
        <v>40</v>
      </c>
    </row>
    <row r="734" spans="1:39" x14ac:dyDescent="0.35">
      <c r="A734">
        <v>3403</v>
      </c>
      <c r="B734" t="s">
        <v>39</v>
      </c>
      <c r="C734">
        <v>2020</v>
      </c>
      <c r="D734" s="1">
        <v>43831</v>
      </c>
      <c r="E734">
        <v>42</v>
      </c>
      <c r="F734">
        <v>300008002</v>
      </c>
      <c r="G734" t="s">
        <v>29</v>
      </c>
      <c r="H734">
        <v>81</v>
      </c>
      <c r="I734">
        <v>71101060</v>
      </c>
      <c r="J734">
        <v>11500060</v>
      </c>
      <c r="K734" t="s">
        <v>30</v>
      </c>
      <c r="L734" s="4">
        <v>1200</v>
      </c>
      <c r="M734" t="s">
        <v>31</v>
      </c>
      <c r="N734" s="4">
        <v>1200</v>
      </c>
      <c r="O734" t="s">
        <v>31</v>
      </c>
      <c r="X734" t="s">
        <v>39</v>
      </c>
      <c r="Y734"/>
      <c r="Z734">
        <v>20200115</v>
      </c>
      <c r="AA734">
        <f t="shared" si="12"/>
        <v>1200</v>
      </c>
      <c r="AC734"/>
      <c r="AF734"/>
      <c r="AL734">
        <v>340310590</v>
      </c>
      <c r="AM734" t="s">
        <v>40</v>
      </c>
    </row>
    <row r="735" spans="1:39" x14ac:dyDescent="0.35">
      <c r="A735">
        <v>3403</v>
      </c>
      <c r="B735" t="s">
        <v>39</v>
      </c>
      <c r="C735">
        <v>2020</v>
      </c>
      <c r="D735" s="1">
        <v>43831</v>
      </c>
      <c r="E735">
        <v>24</v>
      </c>
      <c r="F735">
        <v>300008003</v>
      </c>
      <c r="G735" t="s">
        <v>29</v>
      </c>
      <c r="H735">
        <v>81</v>
      </c>
      <c r="I735">
        <v>71101060</v>
      </c>
      <c r="J735">
        <v>11500040</v>
      </c>
      <c r="K735" t="s">
        <v>30</v>
      </c>
      <c r="L735" s="4">
        <v>189.72</v>
      </c>
      <c r="M735" t="s">
        <v>31</v>
      </c>
      <c r="N735" s="4">
        <v>189.72</v>
      </c>
      <c r="O735" t="s">
        <v>31</v>
      </c>
      <c r="X735" t="s">
        <v>39</v>
      </c>
      <c r="Y735"/>
      <c r="Z735">
        <v>20200115</v>
      </c>
      <c r="AA735">
        <f t="shared" si="12"/>
        <v>189.72</v>
      </c>
      <c r="AC735"/>
      <c r="AF735"/>
      <c r="AL735">
        <v>340325290</v>
      </c>
      <c r="AM735" t="s">
        <v>40</v>
      </c>
    </row>
    <row r="736" spans="1:39" x14ac:dyDescent="0.35">
      <c r="A736">
        <v>3401</v>
      </c>
      <c r="B736" t="s">
        <v>39</v>
      </c>
      <c r="C736">
        <v>2020</v>
      </c>
      <c r="D736" s="1">
        <v>43831</v>
      </c>
      <c r="E736">
        <v>78</v>
      </c>
      <c r="F736">
        <v>100015645</v>
      </c>
      <c r="G736" t="s">
        <v>29</v>
      </c>
      <c r="H736">
        <v>81</v>
      </c>
      <c r="I736">
        <v>71101060</v>
      </c>
      <c r="J736">
        <v>11500060</v>
      </c>
      <c r="K736" t="s">
        <v>30</v>
      </c>
      <c r="L736" s="4">
        <v>3210</v>
      </c>
      <c r="M736" t="s">
        <v>31</v>
      </c>
      <c r="N736" s="4">
        <v>3210</v>
      </c>
      <c r="O736" t="s">
        <v>31</v>
      </c>
      <c r="X736" t="s">
        <v>43</v>
      </c>
      <c r="Y736"/>
      <c r="Z736">
        <v>20200115</v>
      </c>
      <c r="AA736">
        <f t="shared" si="12"/>
        <v>3210</v>
      </c>
      <c r="AC736"/>
      <c r="AF736"/>
      <c r="AL736">
        <v>340112490</v>
      </c>
      <c r="AM736" t="s">
        <v>44</v>
      </c>
    </row>
    <row r="737" spans="1:39" x14ac:dyDescent="0.35">
      <c r="A737">
        <v>3401</v>
      </c>
      <c r="B737" t="s">
        <v>39</v>
      </c>
      <c r="C737">
        <v>2020</v>
      </c>
      <c r="D737" s="1">
        <v>43831</v>
      </c>
      <c r="E737">
        <v>102</v>
      </c>
      <c r="F737">
        <v>100015645</v>
      </c>
      <c r="G737" t="s">
        <v>29</v>
      </c>
      <c r="H737">
        <v>81</v>
      </c>
      <c r="I737">
        <v>71101060</v>
      </c>
      <c r="J737">
        <v>11500060</v>
      </c>
      <c r="K737" t="s">
        <v>30</v>
      </c>
      <c r="L737" s="4">
        <v>1462.98</v>
      </c>
      <c r="M737" t="s">
        <v>31</v>
      </c>
      <c r="N737" s="4">
        <v>1462.98</v>
      </c>
      <c r="O737" t="s">
        <v>31</v>
      </c>
      <c r="X737" t="s">
        <v>43</v>
      </c>
      <c r="Y737"/>
      <c r="Z737">
        <v>20200115</v>
      </c>
      <c r="AA737">
        <f t="shared" si="12"/>
        <v>1462.98</v>
      </c>
      <c r="AC737"/>
      <c r="AF737"/>
      <c r="AL737">
        <v>340112490</v>
      </c>
      <c r="AM737" t="s">
        <v>44</v>
      </c>
    </row>
    <row r="738" spans="1:39" x14ac:dyDescent="0.35">
      <c r="A738">
        <v>3402</v>
      </c>
      <c r="B738" t="s">
        <v>39</v>
      </c>
      <c r="C738">
        <v>2020</v>
      </c>
      <c r="D738" s="1">
        <v>43831</v>
      </c>
      <c r="E738">
        <v>14</v>
      </c>
      <c r="F738">
        <v>200042597</v>
      </c>
      <c r="G738" t="s">
        <v>29</v>
      </c>
      <c r="H738">
        <v>81</v>
      </c>
      <c r="I738">
        <v>71101060</v>
      </c>
      <c r="J738">
        <v>11500060</v>
      </c>
      <c r="K738" t="s">
        <v>30</v>
      </c>
      <c r="L738" s="4">
        <v>5578.95</v>
      </c>
      <c r="M738" t="s">
        <v>31</v>
      </c>
      <c r="N738" s="4">
        <v>5578.95</v>
      </c>
      <c r="O738" t="s">
        <v>31</v>
      </c>
      <c r="X738" t="s">
        <v>43</v>
      </c>
      <c r="Y738"/>
      <c r="Z738">
        <v>20200115</v>
      </c>
      <c r="AA738">
        <f t="shared" si="12"/>
        <v>5578.95</v>
      </c>
      <c r="AC738"/>
      <c r="AF738"/>
      <c r="AL738">
        <v>340233190</v>
      </c>
      <c r="AM738" t="s">
        <v>38</v>
      </c>
    </row>
    <row r="739" spans="1:39" x14ac:dyDescent="0.35">
      <c r="A739">
        <v>3401</v>
      </c>
      <c r="B739" t="s">
        <v>39</v>
      </c>
      <c r="C739">
        <v>2020</v>
      </c>
      <c r="D739" s="1">
        <v>43831</v>
      </c>
      <c r="E739">
        <v>10</v>
      </c>
      <c r="F739">
        <v>100015664</v>
      </c>
      <c r="G739" t="s">
        <v>29</v>
      </c>
      <c r="H739">
        <v>81</v>
      </c>
      <c r="I739">
        <v>71101060</v>
      </c>
      <c r="J739">
        <v>11500040</v>
      </c>
      <c r="K739" t="s">
        <v>30</v>
      </c>
      <c r="L739" s="4">
        <v>1933.33</v>
      </c>
      <c r="M739" t="s">
        <v>31</v>
      </c>
      <c r="N739" s="4">
        <v>1933.33</v>
      </c>
      <c r="O739" t="s">
        <v>31</v>
      </c>
      <c r="X739" t="s">
        <v>43</v>
      </c>
      <c r="Y739"/>
      <c r="Z739">
        <v>20200115</v>
      </c>
      <c r="AA739">
        <f t="shared" si="12"/>
        <v>1933.33</v>
      </c>
      <c r="AC739"/>
      <c r="AF739"/>
      <c r="AL739">
        <v>340112790</v>
      </c>
      <c r="AM739" t="s">
        <v>44</v>
      </c>
    </row>
    <row r="740" spans="1:39" x14ac:dyDescent="0.35">
      <c r="A740">
        <v>3401</v>
      </c>
      <c r="B740" t="s">
        <v>39</v>
      </c>
      <c r="C740">
        <v>2020</v>
      </c>
      <c r="D740" s="1">
        <v>43831</v>
      </c>
      <c r="E740">
        <v>12</v>
      </c>
      <c r="F740">
        <v>100015664</v>
      </c>
      <c r="G740" t="s">
        <v>29</v>
      </c>
      <c r="H740">
        <v>81</v>
      </c>
      <c r="I740">
        <v>71101060</v>
      </c>
      <c r="J740">
        <v>11500040</v>
      </c>
      <c r="K740" t="s">
        <v>30</v>
      </c>
      <c r="L740" s="4">
        <v>5466.7</v>
      </c>
      <c r="M740" t="s">
        <v>31</v>
      </c>
      <c r="N740" s="4">
        <v>5466.7</v>
      </c>
      <c r="O740" t="s">
        <v>31</v>
      </c>
      <c r="X740" t="s">
        <v>43</v>
      </c>
      <c r="Y740"/>
      <c r="Z740">
        <v>20200115</v>
      </c>
      <c r="AA740">
        <f t="shared" si="12"/>
        <v>5466.7</v>
      </c>
      <c r="AC740"/>
      <c r="AF740"/>
      <c r="AL740">
        <v>340112790</v>
      </c>
      <c r="AM740" t="s">
        <v>44</v>
      </c>
    </row>
    <row r="741" spans="1:39" x14ac:dyDescent="0.35">
      <c r="A741">
        <v>3401</v>
      </c>
      <c r="B741" t="s">
        <v>39</v>
      </c>
      <c r="C741">
        <v>2020</v>
      </c>
      <c r="D741" s="1">
        <v>43831</v>
      </c>
      <c r="E741">
        <v>24</v>
      </c>
      <c r="F741">
        <v>100015664</v>
      </c>
      <c r="G741" t="s">
        <v>29</v>
      </c>
      <c r="H741">
        <v>81</v>
      </c>
      <c r="I741">
        <v>71101060</v>
      </c>
      <c r="J741">
        <v>11500040</v>
      </c>
      <c r="K741" t="s">
        <v>30</v>
      </c>
      <c r="L741" s="4">
        <v>112.7</v>
      </c>
      <c r="M741" t="s">
        <v>31</v>
      </c>
      <c r="N741" s="4">
        <v>112.7</v>
      </c>
      <c r="O741" t="s">
        <v>31</v>
      </c>
      <c r="X741" t="s">
        <v>43</v>
      </c>
      <c r="Y741"/>
      <c r="Z741">
        <v>20200115</v>
      </c>
      <c r="AA741">
        <f t="shared" si="12"/>
        <v>112.7</v>
      </c>
      <c r="AC741"/>
      <c r="AF741"/>
      <c r="AL741">
        <v>340112790</v>
      </c>
      <c r="AM741" t="s">
        <v>44</v>
      </c>
    </row>
    <row r="742" spans="1:39" x14ac:dyDescent="0.35">
      <c r="A742">
        <v>3401</v>
      </c>
      <c r="B742" t="s">
        <v>39</v>
      </c>
      <c r="C742">
        <v>2020</v>
      </c>
      <c r="D742" s="1">
        <v>43831</v>
      </c>
      <c r="E742">
        <v>28</v>
      </c>
      <c r="F742">
        <v>100015664</v>
      </c>
      <c r="G742" t="s">
        <v>29</v>
      </c>
      <c r="H742">
        <v>81</v>
      </c>
      <c r="I742">
        <v>71101060</v>
      </c>
      <c r="J742">
        <v>11500040</v>
      </c>
      <c r="K742" t="s">
        <v>30</v>
      </c>
      <c r="L742" s="4">
        <v>428</v>
      </c>
      <c r="M742" t="s">
        <v>31</v>
      </c>
      <c r="N742" s="4">
        <v>428</v>
      </c>
      <c r="O742" t="s">
        <v>31</v>
      </c>
      <c r="X742" t="s">
        <v>43</v>
      </c>
      <c r="Y742"/>
      <c r="Z742">
        <v>20200115</v>
      </c>
      <c r="AA742">
        <f t="shared" si="12"/>
        <v>428</v>
      </c>
      <c r="AC742"/>
      <c r="AF742"/>
      <c r="AL742">
        <v>340112790</v>
      </c>
      <c r="AM742" t="s">
        <v>44</v>
      </c>
    </row>
    <row r="743" spans="1:39" x14ac:dyDescent="0.35">
      <c r="A743">
        <v>3401</v>
      </c>
      <c r="B743" t="s">
        <v>39</v>
      </c>
      <c r="C743">
        <v>2020</v>
      </c>
      <c r="D743" s="1">
        <v>43831</v>
      </c>
      <c r="E743">
        <v>6</v>
      </c>
      <c r="F743">
        <v>100015667</v>
      </c>
      <c r="G743" t="s">
        <v>29</v>
      </c>
      <c r="H743">
        <v>81</v>
      </c>
      <c r="I743">
        <v>71101060</v>
      </c>
      <c r="J743">
        <v>11500040</v>
      </c>
      <c r="K743" t="s">
        <v>30</v>
      </c>
      <c r="L743" s="4">
        <v>2108.92</v>
      </c>
      <c r="M743" t="s">
        <v>31</v>
      </c>
      <c r="N743" s="4">
        <v>2108.92</v>
      </c>
      <c r="O743" t="s">
        <v>31</v>
      </c>
      <c r="X743" t="s">
        <v>43</v>
      </c>
      <c r="Y743"/>
      <c r="Z743">
        <v>20200115</v>
      </c>
      <c r="AA743">
        <f t="shared" si="12"/>
        <v>2108.92</v>
      </c>
      <c r="AC743"/>
      <c r="AF743"/>
      <c r="AL743">
        <v>340153290</v>
      </c>
      <c r="AM743" t="s">
        <v>44</v>
      </c>
    </row>
    <row r="744" spans="1:39" x14ac:dyDescent="0.35">
      <c r="A744">
        <v>3401</v>
      </c>
      <c r="B744" t="s">
        <v>39</v>
      </c>
      <c r="C744">
        <v>2020</v>
      </c>
      <c r="D744" s="1">
        <v>43831</v>
      </c>
      <c r="E744">
        <v>8</v>
      </c>
      <c r="F744">
        <v>100015667</v>
      </c>
      <c r="G744" t="s">
        <v>29</v>
      </c>
      <c r="H744">
        <v>81</v>
      </c>
      <c r="I744">
        <v>71101060</v>
      </c>
      <c r="J744">
        <v>11500040</v>
      </c>
      <c r="K744" t="s">
        <v>30</v>
      </c>
      <c r="L744" s="4">
        <v>715.06</v>
      </c>
      <c r="M744" t="s">
        <v>31</v>
      </c>
      <c r="N744" s="4">
        <v>715.06</v>
      </c>
      <c r="O744" t="s">
        <v>31</v>
      </c>
      <c r="X744" t="s">
        <v>43</v>
      </c>
      <c r="Y744"/>
      <c r="Z744">
        <v>20200115</v>
      </c>
      <c r="AA744">
        <f t="shared" si="12"/>
        <v>715.06</v>
      </c>
      <c r="AC744"/>
      <c r="AF744"/>
      <c r="AL744">
        <v>340153290</v>
      </c>
      <c r="AM744" t="s">
        <v>44</v>
      </c>
    </row>
    <row r="745" spans="1:39" x14ac:dyDescent="0.35">
      <c r="A745">
        <v>3402</v>
      </c>
      <c r="B745" t="s">
        <v>39</v>
      </c>
      <c r="C745">
        <v>2020</v>
      </c>
      <c r="D745" s="1">
        <v>43831</v>
      </c>
      <c r="E745">
        <v>68</v>
      </c>
      <c r="F745">
        <v>200042645</v>
      </c>
      <c r="G745" t="s">
        <v>29</v>
      </c>
      <c r="H745">
        <v>81</v>
      </c>
      <c r="I745">
        <v>71101060</v>
      </c>
      <c r="J745">
        <v>11500060</v>
      </c>
      <c r="K745" t="s">
        <v>30</v>
      </c>
      <c r="L745" s="4">
        <v>898.56</v>
      </c>
      <c r="M745" t="s">
        <v>31</v>
      </c>
      <c r="N745" s="4">
        <v>898.56</v>
      </c>
      <c r="O745" t="s">
        <v>31</v>
      </c>
      <c r="X745" t="s">
        <v>43</v>
      </c>
      <c r="Y745"/>
      <c r="Z745">
        <v>20200115</v>
      </c>
      <c r="AA745">
        <f t="shared" si="12"/>
        <v>898.56</v>
      </c>
      <c r="AC745"/>
      <c r="AF745"/>
      <c r="AL745">
        <v>340212590</v>
      </c>
      <c r="AM745" t="s">
        <v>46</v>
      </c>
    </row>
    <row r="746" spans="1:39" x14ac:dyDescent="0.35">
      <c r="A746">
        <v>3402</v>
      </c>
      <c r="B746" t="s">
        <v>39</v>
      </c>
      <c r="C746">
        <v>2020</v>
      </c>
      <c r="D746" s="1">
        <v>43831</v>
      </c>
      <c r="E746">
        <v>4</v>
      </c>
      <c r="F746">
        <v>200042648</v>
      </c>
      <c r="G746" t="s">
        <v>29</v>
      </c>
      <c r="H746">
        <v>81</v>
      </c>
      <c r="I746">
        <v>71101060</v>
      </c>
      <c r="J746">
        <v>11500060</v>
      </c>
      <c r="K746" t="s">
        <v>30</v>
      </c>
      <c r="L746" s="4">
        <v>568</v>
      </c>
      <c r="M746" t="s">
        <v>31</v>
      </c>
      <c r="N746" s="4">
        <v>568</v>
      </c>
      <c r="O746" t="s">
        <v>31</v>
      </c>
      <c r="X746" t="s">
        <v>43</v>
      </c>
      <c r="Y746"/>
      <c r="Z746">
        <v>20200115</v>
      </c>
      <c r="AA746">
        <f t="shared" si="12"/>
        <v>568</v>
      </c>
      <c r="AC746"/>
      <c r="AF746"/>
      <c r="AL746">
        <v>340255290</v>
      </c>
      <c r="AM746" t="s">
        <v>46</v>
      </c>
    </row>
    <row r="747" spans="1:39" x14ac:dyDescent="0.35">
      <c r="A747">
        <v>3402</v>
      </c>
      <c r="B747" t="s">
        <v>39</v>
      </c>
      <c r="C747">
        <v>2020</v>
      </c>
      <c r="D747" s="1">
        <v>43831</v>
      </c>
      <c r="E747">
        <v>2</v>
      </c>
      <c r="F747">
        <v>200042654</v>
      </c>
      <c r="G747" t="s">
        <v>29</v>
      </c>
      <c r="H747">
        <v>81</v>
      </c>
      <c r="I747">
        <v>71101060</v>
      </c>
      <c r="J747">
        <v>11500060</v>
      </c>
      <c r="K747" t="s">
        <v>30</v>
      </c>
      <c r="L747" s="4">
        <v>546.66999999999996</v>
      </c>
      <c r="M747" t="s">
        <v>31</v>
      </c>
      <c r="N747" s="4">
        <v>546.66999999999996</v>
      </c>
      <c r="O747" t="s">
        <v>31</v>
      </c>
      <c r="X747" t="s">
        <v>43</v>
      </c>
      <c r="Y747"/>
      <c r="Z747">
        <v>20200115</v>
      </c>
      <c r="AA747">
        <f t="shared" si="12"/>
        <v>546.66999999999996</v>
      </c>
      <c r="AC747"/>
      <c r="AF747"/>
      <c r="AL747">
        <v>340213190</v>
      </c>
      <c r="AM747" t="s">
        <v>38</v>
      </c>
    </row>
    <row r="748" spans="1:39" x14ac:dyDescent="0.35">
      <c r="A748">
        <v>3402</v>
      </c>
      <c r="B748" t="s">
        <v>39</v>
      </c>
      <c r="C748">
        <v>2020</v>
      </c>
      <c r="D748" s="1">
        <v>43831</v>
      </c>
      <c r="E748">
        <v>4</v>
      </c>
      <c r="F748">
        <v>200042654</v>
      </c>
      <c r="G748" t="s">
        <v>29</v>
      </c>
      <c r="H748">
        <v>81</v>
      </c>
      <c r="I748">
        <v>71101060</v>
      </c>
      <c r="J748">
        <v>11500060</v>
      </c>
      <c r="K748" t="s">
        <v>30</v>
      </c>
      <c r="L748" s="4">
        <v>1047.3499999999999</v>
      </c>
      <c r="M748" t="s">
        <v>31</v>
      </c>
      <c r="N748" s="4">
        <v>1047.3499999999999</v>
      </c>
      <c r="O748" t="s">
        <v>31</v>
      </c>
      <c r="X748" t="s">
        <v>43</v>
      </c>
      <c r="Y748"/>
      <c r="Z748">
        <v>20200115</v>
      </c>
      <c r="AA748">
        <f t="shared" si="12"/>
        <v>1047.3499999999999</v>
      </c>
      <c r="AC748"/>
      <c r="AF748"/>
      <c r="AL748">
        <v>340213190</v>
      </c>
      <c r="AM748" t="s">
        <v>38</v>
      </c>
    </row>
    <row r="749" spans="1:39" x14ac:dyDescent="0.35">
      <c r="A749">
        <v>3402</v>
      </c>
      <c r="B749" t="s">
        <v>39</v>
      </c>
      <c r="C749">
        <v>2020</v>
      </c>
      <c r="D749" s="1">
        <v>43831</v>
      </c>
      <c r="E749">
        <v>20</v>
      </c>
      <c r="F749">
        <v>200042657</v>
      </c>
      <c r="G749" t="s">
        <v>29</v>
      </c>
      <c r="H749">
        <v>81</v>
      </c>
      <c r="I749">
        <v>71101060</v>
      </c>
      <c r="J749">
        <v>11500040</v>
      </c>
      <c r="K749" t="s">
        <v>30</v>
      </c>
      <c r="L749" s="4">
        <v>112.08</v>
      </c>
      <c r="M749" t="s">
        <v>31</v>
      </c>
      <c r="N749" s="4">
        <v>112.08</v>
      </c>
      <c r="O749" t="s">
        <v>31</v>
      </c>
      <c r="X749" t="s">
        <v>43</v>
      </c>
      <c r="Y749"/>
      <c r="Z749">
        <v>20200115</v>
      </c>
      <c r="AA749">
        <f t="shared" si="12"/>
        <v>112.08</v>
      </c>
      <c r="AC749"/>
      <c r="AF749"/>
      <c r="AL749">
        <v>340215190</v>
      </c>
      <c r="AM749" t="s">
        <v>46</v>
      </c>
    </row>
    <row r="750" spans="1:39" x14ac:dyDescent="0.35">
      <c r="A750">
        <v>3402</v>
      </c>
      <c r="B750" t="s">
        <v>39</v>
      </c>
      <c r="C750">
        <v>2020</v>
      </c>
      <c r="D750" s="1">
        <v>43831</v>
      </c>
      <c r="E750">
        <v>22</v>
      </c>
      <c r="F750">
        <v>200042657</v>
      </c>
      <c r="G750" t="s">
        <v>29</v>
      </c>
      <c r="H750">
        <v>81</v>
      </c>
      <c r="I750">
        <v>71101060</v>
      </c>
      <c r="J750">
        <v>11500040</v>
      </c>
      <c r="K750" t="s">
        <v>30</v>
      </c>
      <c r="L750" s="4">
        <v>137.46</v>
      </c>
      <c r="M750" t="s">
        <v>31</v>
      </c>
      <c r="N750" s="4">
        <v>137.46</v>
      </c>
      <c r="O750" t="s">
        <v>31</v>
      </c>
      <c r="X750" t="s">
        <v>43</v>
      </c>
      <c r="Y750"/>
      <c r="Z750">
        <v>20200115</v>
      </c>
      <c r="AA750">
        <f t="shared" si="12"/>
        <v>137.46</v>
      </c>
      <c r="AC750"/>
      <c r="AF750"/>
      <c r="AL750">
        <v>340215190</v>
      </c>
      <c r="AM750" t="s">
        <v>46</v>
      </c>
    </row>
    <row r="751" spans="1:39" x14ac:dyDescent="0.35">
      <c r="A751">
        <v>3401</v>
      </c>
      <c r="B751" t="s">
        <v>39</v>
      </c>
      <c r="C751">
        <v>2020</v>
      </c>
      <c r="D751" s="1">
        <v>43831</v>
      </c>
      <c r="E751">
        <v>16</v>
      </c>
      <c r="F751">
        <v>100015673</v>
      </c>
      <c r="G751" t="s">
        <v>29</v>
      </c>
      <c r="H751">
        <v>81</v>
      </c>
      <c r="I751">
        <v>71101060</v>
      </c>
      <c r="J751">
        <v>11500050</v>
      </c>
      <c r="K751" t="s">
        <v>30</v>
      </c>
      <c r="L751" s="4">
        <v>6013.37</v>
      </c>
      <c r="M751" t="s">
        <v>31</v>
      </c>
      <c r="N751" s="4">
        <v>6013.37</v>
      </c>
      <c r="O751" t="s">
        <v>31</v>
      </c>
      <c r="X751" t="s">
        <v>43</v>
      </c>
      <c r="Y751"/>
      <c r="Z751">
        <v>20200115</v>
      </c>
      <c r="AA751">
        <f t="shared" si="12"/>
        <v>6013.37</v>
      </c>
      <c r="AC751"/>
      <c r="AF751"/>
      <c r="AL751">
        <v>340117690</v>
      </c>
      <c r="AM751" t="s">
        <v>44</v>
      </c>
    </row>
    <row r="752" spans="1:39" x14ac:dyDescent="0.35">
      <c r="A752">
        <v>3401</v>
      </c>
      <c r="B752" t="s">
        <v>39</v>
      </c>
      <c r="C752">
        <v>2020</v>
      </c>
      <c r="D752" s="1">
        <v>43831</v>
      </c>
      <c r="E752">
        <v>8</v>
      </c>
      <c r="F752">
        <v>100015677</v>
      </c>
      <c r="G752" t="s">
        <v>29</v>
      </c>
      <c r="H752">
        <v>81</v>
      </c>
      <c r="I752">
        <v>71101060</v>
      </c>
      <c r="J752">
        <v>11500020</v>
      </c>
      <c r="K752" t="s">
        <v>30</v>
      </c>
      <c r="L752" s="4">
        <v>546.66999999999996</v>
      </c>
      <c r="M752" t="s">
        <v>31</v>
      </c>
      <c r="N752" s="4">
        <v>546.66999999999996</v>
      </c>
      <c r="O752" t="s">
        <v>31</v>
      </c>
      <c r="X752" t="s">
        <v>43</v>
      </c>
      <c r="Y752"/>
      <c r="Z752">
        <v>20200115</v>
      </c>
      <c r="AA752">
        <f t="shared" si="12"/>
        <v>546.66999999999996</v>
      </c>
      <c r="AC752"/>
      <c r="AF752"/>
      <c r="AL752">
        <v>340153890</v>
      </c>
      <c r="AM752" t="s">
        <v>44</v>
      </c>
    </row>
    <row r="753" spans="1:39" x14ac:dyDescent="0.35">
      <c r="A753">
        <v>3402</v>
      </c>
      <c r="B753" t="s">
        <v>39</v>
      </c>
      <c r="C753">
        <v>2020</v>
      </c>
      <c r="D753" s="1">
        <v>43831</v>
      </c>
      <c r="E753">
        <v>16</v>
      </c>
      <c r="F753">
        <v>200042668</v>
      </c>
      <c r="G753" t="s">
        <v>29</v>
      </c>
      <c r="H753">
        <v>81</v>
      </c>
      <c r="I753">
        <v>71101060</v>
      </c>
      <c r="J753">
        <v>11500060</v>
      </c>
      <c r="K753" t="s">
        <v>30</v>
      </c>
      <c r="L753" s="4">
        <v>1859.65</v>
      </c>
      <c r="M753" t="s">
        <v>31</v>
      </c>
      <c r="N753" s="4">
        <v>1859.65</v>
      </c>
      <c r="O753" t="s">
        <v>31</v>
      </c>
      <c r="X753" t="s">
        <v>43</v>
      </c>
      <c r="Y753"/>
      <c r="Z753">
        <v>20200115</v>
      </c>
      <c r="AA753">
        <f t="shared" si="12"/>
        <v>1859.65</v>
      </c>
      <c r="AC753"/>
      <c r="AF753"/>
      <c r="AL753">
        <v>340232290</v>
      </c>
      <c r="AM753" t="s">
        <v>46</v>
      </c>
    </row>
    <row r="754" spans="1:39" x14ac:dyDescent="0.35">
      <c r="A754">
        <v>3402</v>
      </c>
      <c r="B754" t="s">
        <v>39</v>
      </c>
      <c r="C754">
        <v>2020</v>
      </c>
      <c r="D754" s="1">
        <v>43831</v>
      </c>
      <c r="E754">
        <v>18</v>
      </c>
      <c r="F754">
        <v>200042668</v>
      </c>
      <c r="G754" t="s">
        <v>29</v>
      </c>
      <c r="H754">
        <v>81</v>
      </c>
      <c r="I754">
        <v>71101060</v>
      </c>
      <c r="J754">
        <v>11500060</v>
      </c>
      <c r="K754" t="s">
        <v>30</v>
      </c>
      <c r="L754" s="4">
        <v>546.66999999999996</v>
      </c>
      <c r="M754" t="s">
        <v>31</v>
      </c>
      <c r="N754" s="4">
        <v>546.66999999999996</v>
      </c>
      <c r="O754" t="s">
        <v>31</v>
      </c>
      <c r="X754" t="s">
        <v>43</v>
      </c>
      <c r="Y754"/>
      <c r="Z754">
        <v>20200115</v>
      </c>
      <c r="AA754">
        <f t="shared" si="12"/>
        <v>546.66999999999996</v>
      </c>
      <c r="AC754"/>
      <c r="AF754"/>
      <c r="AL754">
        <v>340232290</v>
      </c>
      <c r="AM754" t="s">
        <v>46</v>
      </c>
    </row>
    <row r="755" spans="1:39" x14ac:dyDescent="0.35">
      <c r="A755">
        <v>3402</v>
      </c>
      <c r="B755" t="s">
        <v>39</v>
      </c>
      <c r="C755">
        <v>2020</v>
      </c>
      <c r="D755" s="1">
        <v>43831</v>
      </c>
      <c r="E755">
        <v>20</v>
      </c>
      <c r="F755">
        <v>200042668</v>
      </c>
      <c r="G755" t="s">
        <v>29</v>
      </c>
      <c r="H755">
        <v>81</v>
      </c>
      <c r="I755">
        <v>71101060</v>
      </c>
      <c r="J755">
        <v>11500060</v>
      </c>
      <c r="K755" t="s">
        <v>30</v>
      </c>
      <c r="L755" s="4">
        <v>232.8</v>
      </c>
      <c r="M755" t="s">
        <v>31</v>
      </c>
      <c r="N755" s="4">
        <v>232.8</v>
      </c>
      <c r="O755" t="s">
        <v>31</v>
      </c>
      <c r="X755" t="s">
        <v>43</v>
      </c>
      <c r="Y755"/>
      <c r="Z755">
        <v>20200115</v>
      </c>
      <c r="AA755">
        <f t="shared" si="12"/>
        <v>232.8</v>
      </c>
      <c r="AC755"/>
      <c r="AF755"/>
      <c r="AL755">
        <v>340232290</v>
      </c>
      <c r="AM755" t="s">
        <v>46</v>
      </c>
    </row>
    <row r="756" spans="1:39" x14ac:dyDescent="0.35">
      <c r="A756">
        <v>3402</v>
      </c>
      <c r="B756" t="s">
        <v>39</v>
      </c>
      <c r="C756">
        <v>2020</v>
      </c>
      <c r="D756" s="1">
        <v>43831</v>
      </c>
      <c r="E756">
        <v>22</v>
      </c>
      <c r="F756">
        <v>200042668</v>
      </c>
      <c r="G756" t="s">
        <v>29</v>
      </c>
      <c r="H756">
        <v>81</v>
      </c>
      <c r="I756">
        <v>71101060</v>
      </c>
      <c r="J756">
        <v>11500060</v>
      </c>
      <c r="K756" t="s">
        <v>30</v>
      </c>
      <c r="L756" s="4">
        <v>228.88</v>
      </c>
      <c r="M756" t="s">
        <v>31</v>
      </c>
      <c r="N756" s="4">
        <v>228.88</v>
      </c>
      <c r="O756" t="s">
        <v>31</v>
      </c>
      <c r="X756" t="s">
        <v>43</v>
      </c>
      <c r="Y756"/>
      <c r="Z756">
        <v>20200115</v>
      </c>
      <c r="AA756">
        <f t="shared" si="12"/>
        <v>228.88</v>
      </c>
      <c r="AC756"/>
      <c r="AF756"/>
      <c r="AL756">
        <v>340232290</v>
      </c>
      <c r="AM756" t="s">
        <v>46</v>
      </c>
    </row>
    <row r="757" spans="1:39" x14ac:dyDescent="0.35">
      <c r="A757">
        <v>3402</v>
      </c>
      <c r="B757" t="s">
        <v>39</v>
      </c>
      <c r="C757">
        <v>2020</v>
      </c>
      <c r="D757" s="1">
        <v>43831</v>
      </c>
      <c r="E757">
        <v>34</v>
      </c>
      <c r="F757">
        <v>200042668</v>
      </c>
      <c r="G757" t="s">
        <v>29</v>
      </c>
      <c r="H757">
        <v>81</v>
      </c>
      <c r="I757">
        <v>71101060</v>
      </c>
      <c r="J757">
        <v>11500060</v>
      </c>
      <c r="K757" t="s">
        <v>30</v>
      </c>
      <c r="L757" s="4">
        <v>692.81</v>
      </c>
      <c r="M757" t="s">
        <v>31</v>
      </c>
      <c r="N757" s="4">
        <v>692.81</v>
      </c>
      <c r="O757" t="s">
        <v>31</v>
      </c>
      <c r="X757" t="s">
        <v>43</v>
      </c>
      <c r="Y757"/>
      <c r="Z757">
        <v>20200115</v>
      </c>
      <c r="AA757">
        <f t="shared" si="12"/>
        <v>692.81</v>
      </c>
      <c r="AC757"/>
      <c r="AF757"/>
      <c r="AL757">
        <v>340232290</v>
      </c>
      <c r="AM757" t="s">
        <v>46</v>
      </c>
    </row>
    <row r="758" spans="1:39" x14ac:dyDescent="0.35">
      <c r="A758">
        <v>3402</v>
      </c>
      <c r="B758" t="s">
        <v>39</v>
      </c>
      <c r="C758">
        <v>2020</v>
      </c>
      <c r="D758" s="1">
        <v>43831</v>
      </c>
      <c r="E758">
        <v>40</v>
      </c>
      <c r="F758">
        <v>200042668</v>
      </c>
      <c r="G758" t="s">
        <v>29</v>
      </c>
      <c r="H758">
        <v>81</v>
      </c>
      <c r="I758">
        <v>71101060</v>
      </c>
      <c r="J758">
        <v>11500060</v>
      </c>
      <c r="K758" t="s">
        <v>30</v>
      </c>
      <c r="L758" s="4">
        <v>5549.76</v>
      </c>
      <c r="M758" t="s">
        <v>31</v>
      </c>
      <c r="N758" s="4">
        <v>5549.76</v>
      </c>
      <c r="O758" t="s">
        <v>31</v>
      </c>
      <c r="X758" t="s">
        <v>43</v>
      </c>
      <c r="Y758"/>
      <c r="Z758">
        <v>20200115</v>
      </c>
      <c r="AA758">
        <f t="shared" si="12"/>
        <v>5549.76</v>
      </c>
      <c r="AC758"/>
      <c r="AF758"/>
      <c r="AL758">
        <v>340232290</v>
      </c>
      <c r="AM758" t="s">
        <v>46</v>
      </c>
    </row>
    <row r="759" spans="1:39" x14ac:dyDescent="0.35">
      <c r="A759">
        <v>3402</v>
      </c>
      <c r="B759" t="s">
        <v>39</v>
      </c>
      <c r="C759">
        <v>2020</v>
      </c>
      <c r="D759" s="1">
        <v>43831</v>
      </c>
      <c r="E759">
        <v>42</v>
      </c>
      <c r="F759">
        <v>200042668</v>
      </c>
      <c r="G759" t="s">
        <v>29</v>
      </c>
      <c r="H759">
        <v>81</v>
      </c>
      <c r="I759">
        <v>71101060</v>
      </c>
      <c r="J759">
        <v>11500060</v>
      </c>
      <c r="K759" t="s">
        <v>30</v>
      </c>
      <c r="L759" s="4">
        <v>99.81</v>
      </c>
      <c r="M759" t="s">
        <v>31</v>
      </c>
      <c r="N759" s="4">
        <v>99.81</v>
      </c>
      <c r="O759" t="s">
        <v>31</v>
      </c>
      <c r="X759" t="s">
        <v>43</v>
      </c>
      <c r="Y759"/>
      <c r="Z759">
        <v>20200115</v>
      </c>
      <c r="AA759">
        <f t="shared" si="12"/>
        <v>99.81</v>
      </c>
      <c r="AC759"/>
      <c r="AF759"/>
      <c r="AL759">
        <v>340232290</v>
      </c>
      <c r="AM759" t="s">
        <v>46</v>
      </c>
    </row>
    <row r="760" spans="1:39" x14ac:dyDescent="0.35">
      <c r="A760">
        <v>3402</v>
      </c>
      <c r="B760" t="s">
        <v>39</v>
      </c>
      <c r="C760">
        <v>2020</v>
      </c>
      <c r="D760" s="1">
        <v>43831</v>
      </c>
      <c r="E760">
        <v>44</v>
      </c>
      <c r="F760">
        <v>200042668</v>
      </c>
      <c r="G760" t="s">
        <v>29</v>
      </c>
      <c r="H760">
        <v>81</v>
      </c>
      <c r="I760">
        <v>71101060</v>
      </c>
      <c r="J760">
        <v>11500060</v>
      </c>
      <c r="K760" t="s">
        <v>30</v>
      </c>
      <c r="L760" s="4">
        <v>503.27</v>
      </c>
      <c r="M760" t="s">
        <v>31</v>
      </c>
      <c r="N760" s="4">
        <v>503.27</v>
      </c>
      <c r="O760" t="s">
        <v>31</v>
      </c>
      <c r="X760" t="s">
        <v>43</v>
      </c>
      <c r="Y760"/>
      <c r="Z760">
        <v>20200115</v>
      </c>
      <c r="AA760">
        <f t="shared" si="12"/>
        <v>503.27</v>
      </c>
      <c r="AC760"/>
      <c r="AF760"/>
      <c r="AL760">
        <v>340232290</v>
      </c>
      <c r="AM760" t="s">
        <v>46</v>
      </c>
    </row>
    <row r="761" spans="1:39" x14ac:dyDescent="0.35">
      <c r="A761">
        <v>3402</v>
      </c>
      <c r="B761" t="s">
        <v>39</v>
      </c>
      <c r="C761">
        <v>2020</v>
      </c>
      <c r="D761" s="1">
        <v>43831</v>
      </c>
      <c r="E761">
        <v>46</v>
      </c>
      <c r="F761">
        <v>200042668</v>
      </c>
      <c r="G761" t="s">
        <v>29</v>
      </c>
      <c r="H761">
        <v>81</v>
      </c>
      <c r="I761">
        <v>71101060</v>
      </c>
      <c r="J761">
        <v>11500060</v>
      </c>
      <c r="K761" t="s">
        <v>30</v>
      </c>
      <c r="L761" s="4">
        <v>40.229999999999997</v>
      </c>
      <c r="M761" t="s">
        <v>31</v>
      </c>
      <c r="N761" s="4">
        <v>40.229999999999997</v>
      </c>
      <c r="O761" t="s">
        <v>31</v>
      </c>
      <c r="X761" t="s">
        <v>43</v>
      </c>
      <c r="Y761"/>
      <c r="Z761">
        <v>20200115</v>
      </c>
      <c r="AA761">
        <f t="shared" si="12"/>
        <v>40.229999999999997</v>
      </c>
      <c r="AC761"/>
      <c r="AF761"/>
      <c r="AL761">
        <v>340232290</v>
      </c>
      <c r="AM761" t="s">
        <v>46</v>
      </c>
    </row>
    <row r="762" spans="1:39" x14ac:dyDescent="0.35">
      <c r="A762">
        <v>3401</v>
      </c>
      <c r="B762" t="s">
        <v>39</v>
      </c>
      <c r="C762">
        <v>2020</v>
      </c>
      <c r="D762" s="1">
        <v>43831</v>
      </c>
      <c r="E762">
        <v>104</v>
      </c>
      <c r="F762">
        <v>100015685</v>
      </c>
      <c r="G762" t="s">
        <v>29</v>
      </c>
      <c r="H762">
        <v>81</v>
      </c>
      <c r="I762">
        <v>71101060</v>
      </c>
      <c r="J762">
        <v>11500010</v>
      </c>
      <c r="K762" t="s">
        <v>30</v>
      </c>
      <c r="L762" s="4">
        <v>1093.3399999999999</v>
      </c>
      <c r="M762" t="s">
        <v>31</v>
      </c>
      <c r="N762" s="4">
        <v>1093.3399999999999</v>
      </c>
      <c r="O762" t="s">
        <v>31</v>
      </c>
      <c r="X762" t="s">
        <v>43</v>
      </c>
      <c r="Y762"/>
      <c r="Z762">
        <v>20200115</v>
      </c>
      <c r="AA762">
        <f t="shared" si="12"/>
        <v>1093.3399999999999</v>
      </c>
      <c r="AC762"/>
      <c r="AF762"/>
      <c r="AL762">
        <v>340116690</v>
      </c>
      <c r="AM762" t="s">
        <v>44</v>
      </c>
    </row>
    <row r="763" spans="1:39" x14ac:dyDescent="0.35">
      <c r="A763">
        <v>3402</v>
      </c>
      <c r="B763" t="s">
        <v>39</v>
      </c>
      <c r="C763">
        <v>2020</v>
      </c>
      <c r="D763" s="1">
        <v>43831</v>
      </c>
      <c r="E763">
        <v>80</v>
      </c>
      <c r="F763">
        <v>200042671</v>
      </c>
      <c r="G763" t="s">
        <v>29</v>
      </c>
      <c r="H763">
        <v>81</v>
      </c>
      <c r="I763">
        <v>71101060</v>
      </c>
      <c r="J763">
        <v>11500050</v>
      </c>
      <c r="K763" t="s">
        <v>30</v>
      </c>
      <c r="L763" s="4">
        <v>56.04</v>
      </c>
      <c r="M763" t="s">
        <v>31</v>
      </c>
      <c r="N763" s="4">
        <v>56.04</v>
      </c>
      <c r="O763" t="s">
        <v>31</v>
      </c>
      <c r="X763" t="s">
        <v>43</v>
      </c>
      <c r="Y763"/>
      <c r="Z763">
        <v>20200115</v>
      </c>
      <c r="AA763">
        <f t="shared" si="12"/>
        <v>56.04</v>
      </c>
      <c r="AC763"/>
      <c r="AF763"/>
      <c r="AL763">
        <v>340217690</v>
      </c>
      <c r="AM763" t="s">
        <v>46</v>
      </c>
    </row>
    <row r="764" spans="1:39" x14ac:dyDescent="0.35">
      <c r="A764">
        <v>3402</v>
      </c>
      <c r="B764" t="s">
        <v>39</v>
      </c>
      <c r="C764">
        <v>2020</v>
      </c>
      <c r="D764" s="1">
        <v>43831</v>
      </c>
      <c r="E764">
        <v>82</v>
      </c>
      <c r="F764">
        <v>200042671</v>
      </c>
      <c r="G764" t="s">
        <v>29</v>
      </c>
      <c r="H764">
        <v>81</v>
      </c>
      <c r="I764">
        <v>71101060</v>
      </c>
      <c r="J764">
        <v>11500050</v>
      </c>
      <c r="K764" t="s">
        <v>30</v>
      </c>
      <c r="L764" s="4">
        <v>51.5</v>
      </c>
      <c r="M764" t="s">
        <v>31</v>
      </c>
      <c r="N764" s="4">
        <v>51.5</v>
      </c>
      <c r="O764" t="s">
        <v>31</v>
      </c>
      <c r="X764" t="s">
        <v>43</v>
      </c>
      <c r="Y764"/>
      <c r="Z764">
        <v>20200115</v>
      </c>
      <c r="AA764">
        <f t="shared" si="12"/>
        <v>51.5</v>
      </c>
      <c r="AC764"/>
      <c r="AF764"/>
      <c r="AL764">
        <v>340217690</v>
      </c>
      <c r="AM764" t="s">
        <v>46</v>
      </c>
    </row>
    <row r="765" spans="1:39" x14ac:dyDescent="0.35">
      <c r="A765">
        <v>3402</v>
      </c>
      <c r="B765" t="s">
        <v>39</v>
      </c>
      <c r="C765">
        <v>2020</v>
      </c>
      <c r="D765" s="1">
        <v>43831</v>
      </c>
      <c r="E765">
        <v>84</v>
      </c>
      <c r="F765">
        <v>200042671</v>
      </c>
      <c r="G765" t="s">
        <v>29</v>
      </c>
      <c r="H765">
        <v>81</v>
      </c>
      <c r="I765">
        <v>71101060</v>
      </c>
      <c r="J765">
        <v>11500050</v>
      </c>
      <c r="K765" t="s">
        <v>30</v>
      </c>
      <c r="L765" s="4">
        <v>21.5</v>
      </c>
      <c r="M765" t="s">
        <v>31</v>
      </c>
      <c r="N765" s="4">
        <v>21.5</v>
      </c>
      <c r="O765" t="s">
        <v>31</v>
      </c>
      <c r="X765" t="s">
        <v>43</v>
      </c>
      <c r="Y765"/>
      <c r="Z765">
        <v>20200115</v>
      </c>
      <c r="AA765">
        <f t="shared" si="12"/>
        <v>21.5</v>
      </c>
      <c r="AC765"/>
      <c r="AF765"/>
      <c r="AL765">
        <v>340217690</v>
      </c>
      <c r="AM765" t="s">
        <v>46</v>
      </c>
    </row>
    <row r="766" spans="1:39" x14ac:dyDescent="0.35">
      <c r="A766">
        <v>3402</v>
      </c>
      <c r="B766" t="s">
        <v>39</v>
      </c>
      <c r="C766">
        <v>2020</v>
      </c>
      <c r="D766" s="1">
        <v>43831</v>
      </c>
      <c r="E766">
        <v>86</v>
      </c>
      <c r="F766">
        <v>200042671</v>
      </c>
      <c r="G766" t="s">
        <v>29</v>
      </c>
      <c r="H766">
        <v>81</v>
      </c>
      <c r="I766">
        <v>71101060</v>
      </c>
      <c r="J766">
        <v>11500050</v>
      </c>
      <c r="K766" t="s">
        <v>30</v>
      </c>
      <c r="L766" s="4">
        <v>8.0500000000000007</v>
      </c>
      <c r="M766" t="s">
        <v>31</v>
      </c>
      <c r="N766" s="4">
        <v>8.0500000000000007</v>
      </c>
      <c r="O766" t="s">
        <v>31</v>
      </c>
      <c r="X766" t="s">
        <v>43</v>
      </c>
      <c r="Y766"/>
      <c r="Z766">
        <v>20200115</v>
      </c>
      <c r="AA766">
        <f t="shared" si="12"/>
        <v>8.0500000000000007</v>
      </c>
      <c r="AC766"/>
      <c r="AF766"/>
      <c r="AL766">
        <v>340217690</v>
      </c>
      <c r="AM766" t="s">
        <v>46</v>
      </c>
    </row>
    <row r="767" spans="1:39" x14ac:dyDescent="0.35">
      <c r="A767">
        <v>3402</v>
      </c>
      <c r="B767" t="s">
        <v>39</v>
      </c>
      <c r="C767">
        <v>2020</v>
      </c>
      <c r="D767" s="1">
        <v>43831</v>
      </c>
      <c r="E767">
        <v>88</v>
      </c>
      <c r="F767">
        <v>200042671</v>
      </c>
      <c r="G767" t="s">
        <v>29</v>
      </c>
      <c r="H767">
        <v>81</v>
      </c>
      <c r="I767">
        <v>71101060</v>
      </c>
      <c r="J767">
        <v>11500050</v>
      </c>
      <c r="K767" t="s">
        <v>30</v>
      </c>
      <c r="L767" s="4">
        <v>142.74</v>
      </c>
      <c r="M767" t="s">
        <v>31</v>
      </c>
      <c r="N767" s="4">
        <v>142.74</v>
      </c>
      <c r="O767" t="s">
        <v>31</v>
      </c>
      <c r="X767" t="s">
        <v>43</v>
      </c>
      <c r="Y767"/>
      <c r="Z767">
        <v>20200115</v>
      </c>
      <c r="AA767">
        <f t="shared" si="12"/>
        <v>142.74</v>
      </c>
      <c r="AC767"/>
      <c r="AF767"/>
      <c r="AL767">
        <v>340217690</v>
      </c>
      <c r="AM767" t="s">
        <v>46</v>
      </c>
    </row>
    <row r="768" spans="1:39" x14ac:dyDescent="0.35">
      <c r="A768">
        <v>3402</v>
      </c>
      <c r="B768" t="s">
        <v>39</v>
      </c>
      <c r="C768">
        <v>2020</v>
      </c>
      <c r="D768" s="1">
        <v>43831</v>
      </c>
      <c r="E768">
        <v>90</v>
      </c>
      <c r="F768">
        <v>200042671</v>
      </c>
      <c r="G768" t="s">
        <v>29</v>
      </c>
      <c r="H768">
        <v>81</v>
      </c>
      <c r="I768">
        <v>71101060</v>
      </c>
      <c r="J768">
        <v>11500050</v>
      </c>
      <c r="K768" t="s">
        <v>30</v>
      </c>
      <c r="L768" s="4">
        <v>112.7</v>
      </c>
      <c r="M768" t="s">
        <v>31</v>
      </c>
      <c r="N768" s="4">
        <v>112.7</v>
      </c>
      <c r="O768" t="s">
        <v>31</v>
      </c>
      <c r="X768" t="s">
        <v>43</v>
      </c>
      <c r="Y768"/>
      <c r="Z768">
        <v>20200115</v>
      </c>
      <c r="AA768">
        <f t="shared" si="12"/>
        <v>112.7</v>
      </c>
      <c r="AC768"/>
      <c r="AF768"/>
      <c r="AL768">
        <v>340217690</v>
      </c>
      <c r="AM768" t="s">
        <v>46</v>
      </c>
    </row>
    <row r="769" spans="1:39" x14ac:dyDescent="0.35">
      <c r="A769">
        <v>3402</v>
      </c>
      <c r="B769" t="s">
        <v>39</v>
      </c>
      <c r="C769">
        <v>2020</v>
      </c>
      <c r="D769" s="1">
        <v>43831</v>
      </c>
      <c r="E769">
        <v>96</v>
      </c>
      <c r="F769">
        <v>200042671</v>
      </c>
      <c r="G769" t="s">
        <v>29</v>
      </c>
      <c r="H769">
        <v>81</v>
      </c>
      <c r="I769">
        <v>71101060</v>
      </c>
      <c r="J769">
        <v>11500050</v>
      </c>
      <c r="K769" t="s">
        <v>30</v>
      </c>
      <c r="L769" s="4">
        <v>996.78</v>
      </c>
      <c r="M769" t="s">
        <v>31</v>
      </c>
      <c r="N769" s="4">
        <v>996.78</v>
      </c>
      <c r="O769" t="s">
        <v>31</v>
      </c>
      <c r="X769" t="s">
        <v>43</v>
      </c>
      <c r="Y769"/>
      <c r="Z769">
        <v>20200115</v>
      </c>
      <c r="AA769">
        <f t="shared" si="12"/>
        <v>996.78</v>
      </c>
      <c r="AC769"/>
      <c r="AF769"/>
      <c r="AL769">
        <v>340217690</v>
      </c>
      <c r="AM769" t="s">
        <v>46</v>
      </c>
    </row>
    <row r="770" spans="1:39" x14ac:dyDescent="0.35">
      <c r="A770">
        <v>3402</v>
      </c>
      <c r="B770" t="s">
        <v>39</v>
      </c>
      <c r="C770">
        <v>2020</v>
      </c>
      <c r="D770" s="1">
        <v>43831</v>
      </c>
      <c r="E770">
        <v>98</v>
      </c>
      <c r="F770">
        <v>200042671</v>
      </c>
      <c r="G770" t="s">
        <v>29</v>
      </c>
      <c r="H770">
        <v>81</v>
      </c>
      <c r="I770">
        <v>71101060</v>
      </c>
      <c r="J770">
        <v>11500050</v>
      </c>
      <c r="K770" t="s">
        <v>30</v>
      </c>
      <c r="L770" s="4">
        <v>24.33</v>
      </c>
      <c r="M770" t="s">
        <v>31</v>
      </c>
      <c r="N770" s="4">
        <v>24.33</v>
      </c>
      <c r="O770" t="s">
        <v>31</v>
      </c>
      <c r="X770" t="s">
        <v>43</v>
      </c>
      <c r="Y770"/>
      <c r="Z770">
        <v>20200115</v>
      </c>
      <c r="AA770">
        <f t="shared" si="12"/>
        <v>24.33</v>
      </c>
      <c r="AC770"/>
      <c r="AF770"/>
      <c r="AL770">
        <v>340217690</v>
      </c>
      <c r="AM770" t="s">
        <v>46</v>
      </c>
    </row>
    <row r="771" spans="1:39" x14ac:dyDescent="0.35">
      <c r="A771">
        <v>3402</v>
      </c>
      <c r="B771" t="s">
        <v>39</v>
      </c>
      <c r="C771">
        <v>2020</v>
      </c>
      <c r="D771" s="1">
        <v>43831</v>
      </c>
      <c r="E771">
        <v>100</v>
      </c>
      <c r="F771">
        <v>200042671</v>
      </c>
      <c r="G771" t="s">
        <v>29</v>
      </c>
      <c r="H771">
        <v>81</v>
      </c>
      <c r="I771">
        <v>71101060</v>
      </c>
      <c r="J771">
        <v>11500050</v>
      </c>
      <c r="K771" t="s">
        <v>30</v>
      </c>
      <c r="L771" s="4">
        <v>9293.39</v>
      </c>
      <c r="M771" t="s">
        <v>31</v>
      </c>
      <c r="N771" s="4">
        <v>9293.39</v>
      </c>
      <c r="O771" t="s">
        <v>31</v>
      </c>
      <c r="X771" t="s">
        <v>43</v>
      </c>
      <c r="Y771"/>
      <c r="Z771">
        <v>20200115</v>
      </c>
      <c r="AA771">
        <f t="shared" si="12"/>
        <v>9293.39</v>
      </c>
      <c r="AC771"/>
      <c r="AF771"/>
      <c r="AL771">
        <v>340217690</v>
      </c>
      <c r="AM771" t="s">
        <v>46</v>
      </c>
    </row>
    <row r="772" spans="1:39" x14ac:dyDescent="0.35">
      <c r="A772">
        <v>3401</v>
      </c>
      <c r="B772" t="s">
        <v>39</v>
      </c>
      <c r="C772">
        <v>2020</v>
      </c>
      <c r="D772" s="1">
        <v>43831</v>
      </c>
      <c r="E772">
        <v>8</v>
      </c>
      <c r="F772">
        <v>100015690</v>
      </c>
      <c r="G772" t="s">
        <v>29</v>
      </c>
      <c r="H772">
        <v>81</v>
      </c>
      <c r="I772">
        <v>71101060</v>
      </c>
      <c r="J772">
        <v>11500060</v>
      </c>
      <c r="K772" t="s">
        <v>30</v>
      </c>
      <c r="L772" s="4">
        <v>672</v>
      </c>
      <c r="M772" t="s">
        <v>31</v>
      </c>
      <c r="N772" s="4">
        <v>672</v>
      </c>
      <c r="O772" t="s">
        <v>31</v>
      </c>
      <c r="X772" t="s">
        <v>43</v>
      </c>
      <c r="Y772"/>
      <c r="Z772">
        <v>20200115</v>
      </c>
      <c r="AA772">
        <f t="shared" si="12"/>
        <v>672</v>
      </c>
      <c r="AC772"/>
      <c r="AF772"/>
      <c r="AL772">
        <v>340112890</v>
      </c>
      <c r="AM772" t="s">
        <v>44</v>
      </c>
    </row>
    <row r="773" spans="1:39" x14ac:dyDescent="0.35">
      <c r="A773">
        <v>3401</v>
      </c>
      <c r="B773" t="s">
        <v>39</v>
      </c>
      <c r="C773">
        <v>2020</v>
      </c>
      <c r="D773" s="1">
        <v>43831</v>
      </c>
      <c r="E773">
        <v>10</v>
      </c>
      <c r="F773">
        <v>100015690</v>
      </c>
      <c r="G773" t="s">
        <v>29</v>
      </c>
      <c r="H773">
        <v>81</v>
      </c>
      <c r="I773">
        <v>71101060</v>
      </c>
      <c r="J773">
        <v>11500060</v>
      </c>
      <c r="K773" t="s">
        <v>30</v>
      </c>
      <c r="L773" s="4">
        <v>3379.8</v>
      </c>
      <c r="M773" t="s">
        <v>31</v>
      </c>
      <c r="N773" s="4">
        <v>3379.8</v>
      </c>
      <c r="O773" t="s">
        <v>31</v>
      </c>
      <c r="X773" t="s">
        <v>43</v>
      </c>
      <c r="Y773"/>
      <c r="Z773">
        <v>20200115</v>
      </c>
      <c r="AA773">
        <f t="shared" si="12"/>
        <v>3379.8</v>
      </c>
      <c r="AC773"/>
      <c r="AF773"/>
      <c r="AL773">
        <v>340112890</v>
      </c>
      <c r="AM773" t="s">
        <v>44</v>
      </c>
    </row>
    <row r="774" spans="1:39" x14ac:dyDescent="0.35">
      <c r="A774">
        <v>3401</v>
      </c>
      <c r="B774" t="s">
        <v>39</v>
      </c>
      <c r="C774">
        <v>2020</v>
      </c>
      <c r="D774" s="1">
        <v>43831</v>
      </c>
      <c r="E774">
        <v>12</v>
      </c>
      <c r="F774">
        <v>100015690</v>
      </c>
      <c r="G774" t="s">
        <v>29</v>
      </c>
      <c r="H774">
        <v>81</v>
      </c>
      <c r="I774">
        <v>71101060</v>
      </c>
      <c r="J774">
        <v>11500060</v>
      </c>
      <c r="K774" t="s">
        <v>30</v>
      </c>
      <c r="L774" s="4">
        <v>1302.56</v>
      </c>
      <c r="M774" t="s">
        <v>31</v>
      </c>
      <c r="N774" s="4">
        <v>1302.56</v>
      </c>
      <c r="O774" t="s">
        <v>31</v>
      </c>
      <c r="X774" t="s">
        <v>43</v>
      </c>
      <c r="Y774"/>
      <c r="Z774">
        <v>20200115</v>
      </c>
      <c r="AA774">
        <f t="shared" si="12"/>
        <v>1302.56</v>
      </c>
      <c r="AC774"/>
      <c r="AF774"/>
      <c r="AL774">
        <v>340112890</v>
      </c>
      <c r="AM774" t="s">
        <v>44</v>
      </c>
    </row>
    <row r="775" spans="1:39" x14ac:dyDescent="0.35">
      <c r="A775">
        <v>3401</v>
      </c>
      <c r="B775" t="s">
        <v>39</v>
      </c>
      <c r="C775">
        <v>2020</v>
      </c>
      <c r="D775" s="1">
        <v>43831</v>
      </c>
      <c r="E775">
        <v>14</v>
      </c>
      <c r="F775">
        <v>100015690</v>
      </c>
      <c r="G775" t="s">
        <v>29</v>
      </c>
      <c r="H775">
        <v>81</v>
      </c>
      <c r="I775">
        <v>71101060</v>
      </c>
      <c r="J775">
        <v>11500060</v>
      </c>
      <c r="K775" t="s">
        <v>30</v>
      </c>
      <c r="L775" s="4">
        <v>1300</v>
      </c>
      <c r="M775" t="s">
        <v>31</v>
      </c>
      <c r="N775" s="4">
        <v>1300</v>
      </c>
      <c r="O775" t="s">
        <v>31</v>
      </c>
      <c r="X775" t="s">
        <v>43</v>
      </c>
      <c r="Y775"/>
      <c r="Z775">
        <v>20200115</v>
      </c>
      <c r="AA775">
        <f t="shared" si="12"/>
        <v>1300</v>
      </c>
      <c r="AC775"/>
      <c r="AF775"/>
      <c r="AL775">
        <v>340112890</v>
      </c>
      <c r="AM775" t="s">
        <v>44</v>
      </c>
    </row>
    <row r="776" spans="1:39" x14ac:dyDescent="0.35">
      <c r="A776">
        <v>3401</v>
      </c>
      <c r="B776" t="s">
        <v>39</v>
      </c>
      <c r="C776">
        <v>2020</v>
      </c>
      <c r="D776" s="1">
        <v>43831</v>
      </c>
      <c r="E776">
        <v>16</v>
      </c>
      <c r="F776">
        <v>100015690</v>
      </c>
      <c r="G776" t="s">
        <v>29</v>
      </c>
      <c r="H776">
        <v>81</v>
      </c>
      <c r="I776">
        <v>71101060</v>
      </c>
      <c r="J776">
        <v>11500060</v>
      </c>
      <c r="K776" t="s">
        <v>30</v>
      </c>
      <c r="L776" s="4">
        <v>3305.8</v>
      </c>
      <c r="M776" t="s">
        <v>31</v>
      </c>
      <c r="N776" s="4">
        <v>3305.8</v>
      </c>
      <c r="O776" t="s">
        <v>31</v>
      </c>
      <c r="X776" t="s">
        <v>43</v>
      </c>
      <c r="Y776"/>
      <c r="Z776">
        <v>20200115</v>
      </c>
      <c r="AA776">
        <f t="shared" si="12"/>
        <v>3305.8</v>
      </c>
      <c r="AC776"/>
      <c r="AF776"/>
      <c r="AL776">
        <v>340112890</v>
      </c>
      <c r="AM776" t="s">
        <v>44</v>
      </c>
    </row>
    <row r="777" spans="1:39" x14ac:dyDescent="0.35">
      <c r="A777">
        <v>3401</v>
      </c>
      <c r="B777" t="s">
        <v>39</v>
      </c>
      <c r="C777">
        <v>2020</v>
      </c>
      <c r="D777" s="1">
        <v>43831</v>
      </c>
      <c r="E777">
        <v>18</v>
      </c>
      <c r="F777">
        <v>100015690</v>
      </c>
      <c r="G777" t="s">
        <v>29</v>
      </c>
      <c r="H777">
        <v>81</v>
      </c>
      <c r="I777">
        <v>71101060</v>
      </c>
      <c r="J777">
        <v>11500060</v>
      </c>
      <c r="K777" t="s">
        <v>30</v>
      </c>
      <c r="L777" s="4">
        <v>1033.75</v>
      </c>
      <c r="M777" t="s">
        <v>31</v>
      </c>
      <c r="N777" s="4">
        <v>1033.75</v>
      </c>
      <c r="O777" t="s">
        <v>31</v>
      </c>
      <c r="X777" t="s">
        <v>43</v>
      </c>
      <c r="Y777"/>
      <c r="Z777">
        <v>20200115</v>
      </c>
      <c r="AA777">
        <f t="shared" si="12"/>
        <v>1033.75</v>
      </c>
      <c r="AC777"/>
      <c r="AF777"/>
      <c r="AL777">
        <v>340112890</v>
      </c>
      <c r="AM777" t="s">
        <v>44</v>
      </c>
    </row>
    <row r="778" spans="1:39" x14ac:dyDescent="0.35">
      <c r="A778">
        <v>3401</v>
      </c>
      <c r="B778" t="s">
        <v>39</v>
      </c>
      <c r="C778">
        <v>2020</v>
      </c>
      <c r="D778" s="1">
        <v>43831</v>
      </c>
      <c r="E778">
        <v>20</v>
      </c>
      <c r="F778">
        <v>100015690</v>
      </c>
      <c r="G778" t="s">
        <v>29</v>
      </c>
      <c r="H778">
        <v>81</v>
      </c>
      <c r="I778">
        <v>71101060</v>
      </c>
      <c r="J778">
        <v>11500060</v>
      </c>
      <c r="K778" t="s">
        <v>30</v>
      </c>
      <c r="L778" s="4">
        <v>77.3</v>
      </c>
      <c r="M778" t="s">
        <v>31</v>
      </c>
      <c r="N778" s="4">
        <v>77.3</v>
      </c>
      <c r="O778" t="s">
        <v>31</v>
      </c>
      <c r="X778" t="s">
        <v>43</v>
      </c>
      <c r="Y778"/>
      <c r="Z778">
        <v>20200115</v>
      </c>
      <c r="AA778">
        <f t="shared" si="12"/>
        <v>77.3</v>
      </c>
      <c r="AC778"/>
      <c r="AF778"/>
      <c r="AL778">
        <v>340112890</v>
      </c>
      <c r="AM778" t="s">
        <v>44</v>
      </c>
    </row>
    <row r="779" spans="1:39" x14ac:dyDescent="0.35">
      <c r="A779">
        <v>3401</v>
      </c>
      <c r="B779" t="s">
        <v>39</v>
      </c>
      <c r="C779">
        <v>2020</v>
      </c>
      <c r="D779" s="1">
        <v>43831</v>
      </c>
      <c r="E779">
        <v>22</v>
      </c>
      <c r="F779">
        <v>100015690</v>
      </c>
      <c r="G779" t="s">
        <v>29</v>
      </c>
      <c r="H779">
        <v>81</v>
      </c>
      <c r="I779">
        <v>71101060</v>
      </c>
      <c r="J779">
        <v>11500060</v>
      </c>
      <c r="K779" t="s">
        <v>30</v>
      </c>
      <c r="L779" s="4">
        <v>241.5</v>
      </c>
      <c r="M779" t="s">
        <v>31</v>
      </c>
      <c r="N779" s="4">
        <v>241.5</v>
      </c>
      <c r="O779" t="s">
        <v>31</v>
      </c>
      <c r="X779" t="s">
        <v>43</v>
      </c>
      <c r="Y779"/>
      <c r="Z779">
        <v>20200115</v>
      </c>
      <c r="AA779">
        <f t="shared" si="12"/>
        <v>241.5</v>
      </c>
      <c r="AC779"/>
      <c r="AF779"/>
      <c r="AL779">
        <v>340112890</v>
      </c>
      <c r="AM779" t="s">
        <v>44</v>
      </c>
    </row>
    <row r="780" spans="1:39" x14ac:dyDescent="0.35">
      <c r="A780">
        <v>3401</v>
      </c>
      <c r="B780" t="s">
        <v>39</v>
      </c>
      <c r="C780">
        <v>2020</v>
      </c>
      <c r="D780" s="1">
        <v>43831</v>
      </c>
      <c r="E780">
        <v>24</v>
      </c>
      <c r="F780">
        <v>100015690</v>
      </c>
      <c r="G780" t="s">
        <v>29</v>
      </c>
      <c r="H780">
        <v>81</v>
      </c>
      <c r="I780">
        <v>71101060</v>
      </c>
      <c r="J780">
        <v>11500060</v>
      </c>
      <c r="K780" t="s">
        <v>30</v>
      </c>
      <c r="L780" s="4">
        <v>110</v>
      </c>
      <c r="M780" t="s">
        <v>31</v>
      </c>
      <c r="N780" s="4">
        <v>110</v>
      </c>
      <c r="O780" t="s">
        <v>31</v>
      </c>
      <c r="X780" t="s">
        <v>43</v>
      </c>
      <c r="Y780"/>
      <c r="Z780">
        <v>20200115</v>
      </c>
      <c r="AA780">
        <f t="shared" si="12"/>
        <v>110</v>
      </c>
      <c r="AC780"/>
      <c r="AF780"/>
      <c r="AL780">
        <v>340112890</v>
      </c>
      <c r="AM780" t="s">
        <v>44</v>
      </c>
    </row>
    <row r="781" spans="1:39" x14ac:dyDescent="0.35">
      <c r="A781">
        <v>3401</v>
      </c>
      <c r="B781" t="s">
        <v>39</v>
      </c>
      <c r="C781">
        <v>2020</v>
      </c>
      <c r="D781" s="1">
        <v>43831</v>
      </c>
      <c r="E781">
        <v>26</v>
      </c>
      <c r="F781">
        <v>100015690</v>
      </c>
      <c r="G781" t="s">
        <v>29</v>
      </c>
      <c r="H781">
        <v>81</v>
      </c>
      <c r="I781">
        <v>71101060</v>
      </c>
      <c r="J781">
        <v>11500060</v>
      </c>
      <c r="K781" t="s">
        <v>30</v>
      </c>
      <c r="L781" s="4">
        <v>1087.5</v>
      </c>
      <c r="M781" t="s">
        <v>31</v>
      </c>
      <c r="N781" s="4">
        <v>1087.5</v>
      </c>
      <c r="O781" t="s">
        <v>31</v>
      </c>
      <c r="X781" t="s">
        <v>43</v>
      </c>
      <c r="Y781"/>
      <c r="Z781">
        <v>20200115</v>
      </c>
      <c r="AA781">
        <f t="shared" si="12"/>
        <v>1087.5</v>
      </c>
      <c r="AC781"/>
      <c r="AF781"/>
      <c r="AL781">
        <v>340112890</v>
      </c>
      <c r="AM781" t="s">
        <v>44</v>
      </c>
    </row>
    <row r="782" spans="1:39" x14ac:dyDescent="0.35">
      <c r="A782">
        <v>3401</v>
      </c>
      <c r="B782" t="s">
        <v>39</v>
      </c>
      <c r="C782">
        <v>2020</v>
      </c>
      <c r="D782" s="1">
        <v>43831</v>
      </c>
      <c r="E782">
        <v>28</v>
      </c>
      <c r="F782">
        <v>100015690</v>
      </c>
      <c r="G782" t="s">
        <v>29</v>
      </c>
      <c r="H782">
        <v>81</v>
      </c>
      <c r="I782">
        <v>71101060</v>
      </c>
      <c r="J782">
        <v>11500060</v>
      </c>
      <c r="K782" t="s">
        <v>30</v>
      </c>
      <c r="L782" s="4">
        <v>1028.5</v>
      </c>
      <c r="M782" t="s">
        <v>31</v>
      </c>
      <c r="N782" s="4">
        <v>1028.5</v>
      </c>
      <c r="O782" t="s">
        <v>31</v>
      </c>
      <c r="X782" t="s">
        <v>43</v>
      </c>
      <c r="Y782"/>
      <c r="Z782">
        <v>20200115</v>
      </c>
      <c r="AA782">
        <f t="shared" si="12"/>
        <v>1028.5</v>
      </c>
      <c r="AC782"/>
      <c r="AF782"/>
      <c r="AL782">
        <v>340112890</v>
      </c>
      <c r="AM782" t="s">
        <v>44</v>
      </c>
    </row>
    <row r="783" spans="1:39" x14ac:dyDescent="0.35">
      <c r="A783">
        <v>3401</v>
      </c>
      <c r="B783" t="s">
        <v>39</v>
      </c>
      <c r="C783">
        <v>2020</v>
      </c>
      <c r="D783" s="1">
        <v>43831</v>
      </c>
      <c r="E783">
        <v>30</v>
      </c>
      <c r="F783">
        <v>100015690</v>
      </c>
      <c r="G783" t="s">
        <v>29</v>
      </c>
      <c r="H783">
        <v>81</v>
      </c>
      <c r="I783">
        <v>71101060</v>
      </c>
      <c r="J783">
        <v>11500060</v>
      </c>
      <c r="K783" t="s">
        <v>30</v>
      </c>
      <c r="L783" s="4">
        <v>2448</v>
      </c>
      <c r="M783" t="s">
        <v>31</v>
      </c>
      <c r="N783" s="4">
        <v>2448</v>
      </c>
      <c r="O783" t="s">
        <v>31</v>
      </c>
      <c r="X783" t="s">
        <v>43</v>
      </c>
      <c r="Y783"/>
      <c r="Z783">
        <v>20200115</v>
      </c>
      <c r="AA783">
        <f t="shared" si="12"/>
        <v>2448</v>
      </c>
      <c r="AC783"/>
      <c r="AF783"/>
      <c r="AL783">
        <v>340112890</v>
      </c>
      <c r="AM783" t="s">
        <v>44</v>
      </c>
    </row>
    <row r="784" spans="1:39" x14ac:dyDescent="0.35">
      <c r="A784">
        <v>3401</v>
      </c>
      <c r="B784" t="s">
        <v>39</v>
      </c>
      <c r="C784">
        <v>2020</v>
      </c>
      <c r="D784" s="1">
        <v>43831</v>
      </c>
      <c r="E784">
        <v>32</v>
      </c>
      <c r="F784">
        <v>100015690</v>
      </c>
      <c r="G784" t="s">
        <v>29</v>
      </c>
      <c r="H784">
        <v>81</v>
      </c>
      <c r="I784">
        <v>71101060</v>
      </c>
      <c r="J784">
        <v>11500060</v>
      </c>
      <c r="K784" t="s">
        <v>30</v>
      </c>
      <c r="L784" s="4">
        <v>2254</v>
      </c>
      <c r="M784" t="s">
        <v>31</v>
      </c>
      <c r="N784" s="4">
        <v>2254</v>
      </c>
      <c r="O784" t="s">
        <v>31</v>
      </c>
      <c r="X784" t="s">
        <v>43</v>
      </c>
      <c r="Y784"/>
      <c r="Z784">
        <v>20200115</v>
      </c>
      <c r="AA784">
        <f t="shared" si="12"/>
        <v>2254</v>
      </c>
      <c r="AC784"/>
      <c r="AF784"/>
      <c r="AL784">
        <v>340112890</v>
      </c>
      <c r="AM784" t="s">
        <v>44</v>
      </c>
    </row>
    <row r="785" spans="1:39" x14ac:dyDescent="0.35">
      <c r="A785">
        <v>3401</v>
      </c>
      <c r="B785" t="s">
        <v>39</v>
      </c>
      <c r="C785">
        <v>2020</v>
      </c>
      <c r="D785" s="1">
        <v>43831</v>
      </c>
      <c r="E785">
        <v>34</v>
      </c>
      <c r="F785">
        <v>100015690</v>
      </c>
      <c r="G785" t="s">
        <v>29</v>
      </c>
      <c r="H785">
        <v>81</v>
      </c>
      <c r="I785">
        <v>71101060</v>
      </c>
      <c r="J785">
        <v>11500060</v>
      </c>
      <c r="K785" t="s">
        <v>30</v>
      </c>
      <c r="L785" s="4">
        <v>1320</v>
      </c>
      <c r="M785" t="s">
        <v>31</v>
      </c>
      <c r="N785" s="4">
        <v>1320</v>
      </c>
      <c r="O785" t="s">
        <v>31</v>
      </c>
      <c r="X785" t="s">
        <v>43</v>
      </c>
      <c r="Y785"/>
      <c r="Z785">
        <v>20200115</v>
      </c>
      <c r="AA785">
        <f t="shared" si="12"/>
        <v>1320</v>
      </c>
      <c r="AC785"/>
      <c r="AF785"/>
      <c r="AL785">
        <v>340112890</v>
      </c>
      <c r="AM785" t="s">
        <v>44</v>
      </c>
    </row>
    <row r="786" spans="1:39" x14ac:dyDescent="0.35">
      <c r="A786">
        <v>3401</v>
      </c>
      <c r="B786" t="s">
        <v>39</v>
      </c>
      <c r="C786">
        <v>2020</v>
      </c>
      <c r="D786" s="1">
        <v>43831</v>
      </c>
      <c r="E786">
        <v>46</v>
      </c>
      <c r="F786">
        <v>100015690</v>
      </c>
      <c r="G786" t="s">
        <v>29</v>
      </c>
      <c r="H786">
        <v>81</v>
      </c>
      <c r="I786">
        <v>71101060</v>
      </c>
      <c r="J786">
        <v>11500060</v>
      </c>
      <c r="K786" t="s">
        <v>30</v>
      </c>
      <c r="L786" s="4">
        <v>7404.4</v>
      </c>
      <c r="M786" t="s">
        <v>31</v>
      </c>
      <c r="N786" s="4">
        <v>7404.4</v>
      </c>
      <c r="O786" t="s">
        <v>31</v>
      </c>
      <c r="X786" t="s">
        <v>43</v>
      </c>
      <c r="Y786"/>
      <c r="Z786">
        <v>20200115</v>
      </c>
      <c r="AA786">
        <f t="shared" ref="AA786:AA849" si="13">L786</f>
        <v>7404.4</v>
      </c>
      <c r="AC786"/>
      <c r="AF786"/>
      <c r="AL786">
        <v>340112890</v>
      </c>
      <c r="AM786" t="s">
        <v>44</v>
      </c>
    </row>
    <row r="787" spans="1:39" x14ac:dyDescent="0.35">
      <c r="A787">
        <v>3401</v>
      </c>
      <c r="B787" t="s">
        <v>39</v>
      </c>
      <c r="C787">
        <v>2020</v>
      </c>
      <c r="D787" s="1">
        <v>43831</v>
      </c>
      <c r="E787">
        <v>48</v>
      </c>
      <c r="F787">
        <v>100015690</v>
      </c>
      <c r="G787" t="s">
        <v>29</v>
      </c>
      <c r="H787">
        <v>81</v>
      </c>
      <c r="I787">
        <v>71101060</v>
      </c>
      <c r="J787">
        <v>11500060</v>
      </c>
      <c r="K787" t="s">
        <v>30</v>
      </c>
      <c r="L787" s="4">
        <v>1824</v>
      </c>
      <c r="M787" t="s">
        <v>31</v>
      </c>
      <c r="N787" s="4">
        <v>1824</v>
      </c>
      <c r="O787" t="s">
        <v>31</v>
      </c>
      <c r="X787" t="s">
        <v>43</v>
      </c>
      <c r="Y787"/>
      <c r="Z787">
        <v>20200115</v>
      </c>
      <c r="AA787">
        <f t="shared" si="13"/>
        <v>1824</v>
      </c>
      <c r="AC787"/>
      <c r="AF787"/>
      <c r="AL787">
        <v>340112890</v>
      </c>
      <c r="AM787" t="s">
        <v>44</v>
      </c>
    </row>
    <row r="788" spans="1:39" x14ac:dyDescent="0.35">
      <c r="A788">
        <v>3401</v>
      </c>
      <c r="B788" t="s">
        <v>39</v>
      </c>
      <c r="C788">
        <v>2020</v>
      </c>
      <c r="D788" s="1">
        <v>43831</v>
      </c>
      <c r="E788">
        <v>50</v>
      </c>
      <c r="F788">
        <v>100015690</v>
      </c>
      <c r="G788" t="s">
        <v>29</v>
      </c>
      <c r="H788">
        <v>81</v>
      </c>
      <c r="I788">
        <v>71101060</v>
      </c>
      <c r="J788">
        <v>11500060</v>
      </c>
      <c r="K788" t="s">
        <v>30</v>
      </c>
      <c r="L788" s="4">
        <v>17493.439999999999</v>
      </c>
      <c r="M788" t="s">
        <v>31</v>
      </c>
      <c r="N788" s="4">
        <v>17493.439999999999</v>
      </c>
      <c r="O788" t="s">
        <v>31</v>
      </c>
      <c r="X788" t="s">
        <v>43</v>
      </c>
      <c r="Y788"/>
      <c r="Z788">
        <v>20200115</v>
      </c>
      <c r="AA788">
        <f t="shared" si="13"/>
        <v>17493.439999999999</v>
      </c>
      <c r="AC788"/>
      <c r="AF788"/>
      <c r="AL788">
        <v>340112890</v>
      </c>
      <c r="AM788" t="s">
        <v>44</v>
      </c>
    </row>
    <row r="789" spans="1:39" x14ac:dyDescent="0.35">
      <c r="A789">
        <v>3401</v>
      </c>
      <c r="B789" t="s">
        <v>39</v>
      </c>
      <c r="C789">
        <v>2020</v>
      </c>
      <c r="D789" s="1">
        <v>43831</v>
      </c>
      <c r="E789">
        <v>52</v>
      </c>
      <c r="F789">
        <v>100015690</v>
      </c>
      <c r="G789" t="s">
        <v>29</v>
      </c>
      <c r="H789">
        <v>81</v>
      </c>
      <c r="I789">
        <v>71101060</v>
      </c>
      <c r="J789">
        <v>11500060</v>
      </c>
      <c r="K789" t="s">
        <v>30</v>
      </c>
      <c r="L789" s="4">
        <v>3866.66</v>
      </c>
      <c r="M789" t="s">
        <v>31</v>
      </c>
      <c r="N789" s="4">
        <v>3866.66</v>
      </c>
      <c r="O789" t="s">
        <v>31</v>
      </c>
      <c r="X789" t="s">
        <v>43</v>
      </c>
      <c r="Y789"/>
      <c r="Z789">
        <v>20200115</v>
      </c>
      <c r="AA789">
        <f t="shared" si="13"/>
        <v>3866.66</v>
      </c>
      <c r="AC789"/>
      <c r="AF789"/>
      <c r="AL789">
        <v>340112890</v>
      </c>
      <c r="AM789" t="s">
        <v>44</v>
      </c>
    </row>
    <row r="790" spans="1:39" x14ac:dyDescent="0.35">
      <c r="A790">
        <v>3401</v>
      </c>
      <c r="B790" t="s">
        <v>39</v>
      </c>
      <c r="C790">
        <v>2020</v>
      </c>
      <c r="D790" s="1">
        <v>43831</v>
      </c>
      <c r="E790">
        <v>2</v>
      </c>
      <c r="F790">
        <v>100015691</v>
      </c>
      <c r="G790" t="s">
        <v>29</v>
      </c>
      <c r="H790">
        <v>81</v>
      </c>
      <c r="I790">
        <v>71101060</v>
      </c>
      <c r="J790">
        <v>11500060</v>
      </c>
      <c r="K790" t="s">
        <v>30</v>
      </c>
      <c r="L790" s="4">
        <v>5461.05</v>
      </c>
      <c r="M790" t="s">
        <v>31</v>
      </c>
      <c r="N790" s="4">
        <v>5461.05</v>
      </c>
      <c r="O790" t="s">
        <v>31</v>
      </c>
      <c r="X790" t="s">
        <v>43</v>
      </c>
      <c r="Y790"/>
      <c r="Z790">
        <v>20200115</v>
      </c>
      <c r="AA790">
        <f t="shared" si="13"/>
        <v>5461.05</v>
      </c>
      <c r="AC790"/>
      <c r="AF790"/>
      <c r="AL790">
        <v>340110590</v>
      </c>
      <c r="AM790" t="s">
        <v>44</v>
      </c>
    </row>
    <row r="791" spans="1:39" x14ac:dyDescent="0.35">
      <c r="A791">
        <v>3401</v>
      </c>
      <c r="B791" t="s">
        <v>39</v>
      </c>
      <c r="C791">
        <v>2020</v>
      </c>
      <c r="D791" s="1">
        <v>43831</v>
      </c>
      <c r="E791">
        <v>4</v>
      </c>
      <c r="F791">
        <v>100015691</v>
      </c>
      <c r="G791" t="s">
        <v>29</v>
      </c>
      <c r="H791">
        <v>81</v>
      </c>
      <c r="I791">
        <v>71101060</v>
      </c>
      <c r="J791">
        <v>11500060</v>
      </c>
      <c r="K791" t="s">
        <v>30</v>
      </c>
      <c r="L791" s="4">
        <v>224</v>
      </c>
      <c r="M791" t="s">
        <v>31</v>
      </c>
      <c r="N791" s="4">
        <v>224</v>
      </c>
      <c r="O791" t="s">
        <v>31</v>
      </c>
      <c r="X791" t="s">
        <v>43</v>
      </c>
      <c r="Y791"/>
      <c r="Z791">
        <v>20200115</v>
      </c>
      <c r="AA791">
        <f t="shared" si="13"/>
        <v>224</v>
      </c>
      <c r="AC791"/>
      <c r="AF791"/>
      <c r="AL791">
        <v>340110590</v>
      </c>
      <c r="AM791" t="s">
        <v>44</v>
      </c>
    </row>
    <row r="792" spans="1:39" x14ac:dyDescent="0.35">
      <c r="A792">
        <v>3401</v>
      </c>
      <c r="B792" t="s">
        <v>39</v>
      </c>
      <c r="C792">
        <v>2020</v>
      </c>
      <c r="D792" s="1">
        <v>43831</v>
      </c>
      <c r="E792">
        <v>6</v>
      </c>
      <c r="F792">
        <v>100015691</v>
      </c>
      <c r="G792" t="s">
        <v>29</v>
      </c>
      <c r="H792">
        <v>81</v>
      </c>
      <c r="I792">
        <v>71101060</v>
      </c>
      <c r="J792">
        <v>11500060</v>
      </c>
      <c r="K792" t="s">
        <v>30</v>
      </c>
      <c r="L792" s="4">
        <v>170</v>
      </c>
      <c r="M792" t="s">
        <v>31</v>
      </c>
      <c r="N792" s="4">
        <v>170</v>
      </c>
      <c r="O792" t="s">
        <v>31</v>
      </c>
      <c r="X792" t="s">
        <v>43</v>
      </c>
      <c r="Y792"/>
      <c r="Z792">
        <v>20200115</v>
      </c>
      <c r="AA792">
        <f t="shared" si="13"/>
        <v>170</v>
      </c>
      <c r="AC792"/>
      <c r="AF792"/>
      <c r="AL792">
        <v>340110590</v>
      </c>
      <c r="AM792" t="s">
        <v>44</v>
      </c>
    </row>
    <row r="793" spans="1:39" x14ac:dyDescent="0.35">
      <c r="A793">
        <v>3401</v>
      </c>
      <c r="B793" t="s">
        <v>39</v>
      </c>
      <c r="C793">
        <v>2020</v>
      </c>
      <c r="D793" s="1">
        <v>43831</v>
      </c>
      <c r="E793">
        <v>8</v>
      </c>
      <c r="F793">
        <v>100015691</v>
      </c>
      <c r="G793" t="s">
        <v>29</v>
      </c>
      <c r="H793">
        <v>81</v>
      </c>
      <c r="I793">
        <v>71101060</v>
      </c>
      <c r="J793">
        <v>11500060</v>
      </c>
      <c r="K793" t="s">
        <v>30</v>
      </c>
      <c r="L793" s="4">
        <v>277.2</v>
      </c>
      <c r="M793" t="s">
        <v>31</v>
      </c>
      <c r="N793" s="4">
        <v>277.2</v>
      </c>
      <c r="O793" t="s">
        <v>31</v>
      </c>
      <c r="X793" t="s">
        <v>43</v>
      </c>
      <c r="Y793"/>
      <c r="Z793">
        <v>20200115</v>
      </c>
      <c r="AA793">
        <f t="shared" si="13"/>
        <v>277.2</v>
      </c>
      <c r="AC793"/>
      <c r="AF793"/>
      <c r="AL793">
        <v>340110590</v>
      </c>
      <c r="AM793" t="s">
        <v>44</v>
      </c>
    </row>
    <row r="794" spans="1:39" x14ac:dyDescent="0.35">
      <c r="A794">
        <v>3401</v>
      </c>
      <c r="B794" t="s">
        <v>39</v>
      </c>
      <c r="C794">
        <v>2020</v>
      </c>
      <c r="D794" s="1">
        <v>43831</v>
      </c>
      <c r="E794">
        <v>10</v>
      </c>
      <c r="F794">
        <v>100015691</v>
      </c>
      <c r="G794" t="s">
        <v>29</v>
      </c>
      <c r="H794">
        <v>81</v>
      </c>
      <c r="I794">
        <v>71101060</v>
      </c>
      <c r="J794">
        <v>11500060</v>
      </c>
      <c r="K794" t="s">
        <v>30</v>
      </c>
      <c r="L794" s="4">
        <v>200</v>
      </c>
      <c r="M794" t="s">
        <v>31</v>
      </c>
      <c r="N794" s="4">
        <v>200</v>
      </c>
      <c r="O794" t="s">
        <v>31</v>
      </c>
      <c r="X794" t="s">
        <v>43</v>
      </c>
      <c r="Y794"/>
      <c r="Z794">
        <v>20200115</v>
      </c>
      <c r="AA794">
        <f t="shared" si="13"/>
        <v>200</v>
      </c>
      <c r="AC794"/>
      <c r="AF794"/>
      <c r="AL794">
        <v>340110590</v>
      </c>
      <c r="AM794" t="s">
        <v>44</v>
      </c>
    </row>
    <row r="795" spans="1:39" x14ac:dyDescent="0.35">
      <c r="A795">
        <v>3401</v>
      </c>
      <c r="B795" t="s">
        <v>39</v>
      </c>
      <c r="C795">
        <v>2020</v>
      </c>
      <c r="D795" s="1">
        <v>43831</v>
      </c>
      <c r="E795">
        <v>12</v>
      </c>
      <c r="F795">
        <v>100015691</v>
      </c>
      <c r="G795" t="s">
        <v>29</v>
      </c>
      <c r="H795">
        <v>81</v>
      </c>
      <c r="I795">
        <v>71101060</v>
      </c>
      <c r="J795">
        <v>11500060</v>
      </c>
      <c r="K795" t="s">
        <v>30</v>
      </c>
      <c r="L795" s="4">
        <v>80.5</v>
      </c>
      <c r="M795" t="s">
        <v>31</v>
      </c>
      <c r="N795" s="4">
        <v>80.5</v>
      </c>
      <c r="O795" t="s">
        <v>31</v>
      </c>
      <c r="X795" t="s">
        <v>43</v>
      </c>
      <c r="Y795"/>
      <c r="Z795">
        <v>20200115</v>
      </c>
      <c r="AA795">
        <f t="shared" si="13"/>
        <v>80.5</v>
      </c>
      <c r="AC795"/>
      <c r="AF795"/>
      <c r="AL795">
        <v>340110590</v>
      </c>
      <c r="AM795" t="s">
        <v>44</v>
      </c>
    </row>
    <row r="796" spans="1:39" x14ac:dyDescent="0.35">
      <c r="A796">
        <v>3401</v>
      </c>
      <c r="B796" t="s">
        <v>39</v>
      </c>
      <c r="C796">
        <v>2020</v>
      </c>
      <c r="D796" s="1">
        <v>43831</v>
      </c>
      <c r="E796">
        <v>14</v>
      </c>
      <c r="F796">
        <v>100015691</v>
      </c>
      <c r="G796" t="s">
        <v>29</v>
      </c>
      <c r="H796">
        <v>81</v>
      </c>
      <c r="I796">
        <v>71101060</v>
      </c>
      <c r="J796">
        <v>11500060</v>
      </c>
      <c r="K796" t="s">
        <v>30</v>
      </c>
      <c r="L796" s="4">
        <v>830</v>
      </c>
      <c r="M796" t="s">
        <v>31</v>
      </c>
      <c r="N796" s="4">
        <v>830</v>
      </c>
      <c r="O796" t="s">
        <v>31</v>
      </c>
      <c r="X796" t="s">
        <v>43</v>
      </c>
      <c r="Y796"/>
      <c r="Z796">
        <v>20200115</v>
      </c>
      <c r="AA796">
        <f t="shared" si="13"/>
        <v>830</v>
      </c>
      <c r="AC796"/>
      <c r="AF796"/>
      <c r="AL796">
        <v>340110590</v>
      </c>
      <c r="AM796" t="s">
        <v>44</v>
      </c>
    </row>
    <row r="797" spans="1:39" x14ac:dyDescent="0.35">
      <c r="A797">
        <v>3401</v>
      </c>
      <c r="B797" t="s">
        <v>39</v>
      </c>
      <c r="C797">
        <v>2020</v>
      </c>
      <c r="D797" s="1">
        <v>43831</v>
      </c>
      <c r="E797">
        <v>16</v>
      </c>
      <c r="F797">
        <v>100015691</v>
      </c>
      <c r="G797" t="s">
        <v>29</v>
      </c>
      <c r="H797">
        <v>81</v>
      </c>
      <c r="I797">
        <v>71101060</v>
      </c>
      <c r="J797">
        <v>11500060</v>
      </c>
      <c r="K797" t="s">
        <v>30</v>
      </c>
      <c r="L797" s="4">
        <v>187</v>
      </c>
      <c r="M797" t="s">
        <v>31</v>
      </c>
      <c r="N797" s="4">
        <v>187</v>
      </c>
      <c r="O797" t="s">
        <v>31</v>
      </c>
      <c r="X797" t="s">
        <v>43</v>
      </c>
      <c r="Y797"/>
      <c r="Z797">
        <v>20200115</v>
      </c>
      <c r="AA797">
        <f t="shared" si="13"/>
        <v>187</v>
      </c>
      <c r="AC797"/>
      <c r="AF797"/>
      <c r="AL797">
        <v>340110590</v>
      </c>
      <c r="AM797" t="s">
        <v>44</v>
      </c>
    </row>
    <row r="798" spans="1:39" x14ac:dyDescent="0.35">
      <c r="A798">
        <v>3401</v>
      </c>
      <c r="B798" t="s">
        <v>39</v>
      </c>
      <c r="C798">
        <v>2020</v>
      </c>
      <c r="D798" s="1">
        <v>43831</v>
      </c>
      <c r="E798">
        <v>32</v>
      </c>
      <c r="F798">
        <v>100015691</v>
      </c>
      <c r="G798" t="s">
        <v>29</v>
      </c>
      <c r="H798">
        <v>81</v>
      </c>
      <c r="I798">
        <v>71101060</v>
      </c>
      <c r="J798">
        <v>11500060</v>
      </c>
      <c r="K798" t="s">
        <v>30</v>
      </c>
      <c r="L798" s="4">
        <v>7980</v>
      </c>
      <c r="M798" t="s">
        <v>31</v>
      </c>
      <c r="N798" s="4">
        <v>7980</v>
      </c>
      <c r="O798" t="s">
        <v>31</v>
      </c>
      <c r="X798" t="s">
        <v>43</v>
      </c>
      <c r="Y798"/>
      <c r="Z798">
        <v>20200115</v>
      </c>
      <c r="AA798">
        <f t="shared" si="13"/>
        <v>7980</v>
      </c>
      <c r="AC798"/>
      <c r="AF798"/>
      <c r="AL798">
        <v>340110590</v>
      </c>
      <c r="AM798" t="s">
        <v>44</v>
      </c>
    </row>
    <row r="799" spans="1:39" x14ac:dyDescent="0.35">
      <c r="A799">
        <v>3401</v>
      </c>
      <c r="B799" t="s">
        <v>39</v>
      </c>
      <c r="C799">
        <v>2020</v>
      </c>
      <c r="D799" s="1">
        <v>43831</v>
      </c>
      <c r="E799">
        <v>34</v>
      </c>
      <c r="F799">
        <v>100015691</v>
      </c>
      <c r="G799" t="s">
        <v>29</v>
      </c>
      <c r="H799">
        <v>81</v>
      </c>
      <c r="I799">
        <v>71101060</v>
      </c>
      <c r="J799">
        <v>11500060</v>
      </c>
      <c r="K799" t="s">
        <v>30</v>
      </c>
      <c r="L799" s="4">
        <v>7096.5</v>
      </c>
      <c r="M799" t="s">
        <v>31</v>
      </c>
      <c r="N799" s="4">
        <v>7096.5</v>
      </c>
      <c r="O799" t="s">
        <v>31</v>
      </c>
      <c r="X799" t="s">
        <v>43</v>
      </c>
      <c r="Y799"/>
      <c r="Z799">
        <v>20200115</v>
      </c>
      <c r="AA799">
        <f t="shared" si="13"/>
        <v>7096.5</v>
      </c>
      <c r="AC799"/>
      <c r="AF799"/>
      <c r="AL799">
        <v>340110590</v>
      </c>
      <c r="AM799" t="s">
        <v>44</v>
      </c>
    </row>
    <row r="800" spans="1:39" x14ac:dyDescent="0.35">
      <c r="A800">
        <v>3401</v>
      </c>
      <c r="B800" t="s">
        <v>39</v>
      </c>
      <c r="C800">
        <v>2020</v>
      </c>
      <c r="D800" s="1">
        <v>43831</v>
      </c>
      <c r="E800">
        <v>36</v>
      </c>
      <c r="F800">
        <v>100015691</v>
      </c>
      <c r="G800" t="s">
        <v>29</v>
      </c>
      <c r="H800">
        <v>81</v>
      </c>
      <c r="I800">
        <v>71101060</v>
      </c>
      <c r="J800">
        <v>11500060</v>
      </c>
      <c r="K800" t="s">
        <v>30</v>
      </c>
      <c r="L800" s="4">
        <v>879.42</v>
      </c>
      <c r="M800" t="s">
        <v>31</v>
      </c>
      <c r="N800" s="4">
        <v>879.42</v>
      </c>
      <c r="O800" t="s">
        <v>31</v>
      </c>
      <c r="X800" t="s">
        <v>43</v>
      </c>
      <c r="Y800"/>
      <c r="Z800">
        <v>20200115</v>
      </c>
      <c r="AA800">
        <f t="shared" si="13"/>
        <v>879.42</v>
      </c>
      <c r="AC800"/>
      <c r="AF800"/>
      <c r="AL800">
        <v>340110590</v>
      </c>
      <c r="AM800" t="s">
        <v>44</v>
      </c>
    </row>
    <row r="801" spans="1:39" x14ac:dyDescent="0.35">
      <c r="A801">
        <v>3401</v>
      </c>
      <c r="B801" t="s">
        <v>39</v>
      </c>
      <c r="C801">
        <v>2020</v>
      </c>
      <c r="D801" s="1">
        <v>43831</v>
      </c>
      <c r="E801">
        <v>38</v>
      </c>
      <c r="F801">
        <v>100015691</v>
      </c>
      <c r="G801" t="s">
        <v>29</v>
      </c>
      <c r="H801">
        <v>81</v>
      </c>
      <c r="I801">
        <v>71101060</v>
      </c>
      <c r="J801">
        <v>11500060</v>
      </c>
      <c r="K801" t="s">
        <v>30</v>
      </c>
      <c r="L801" s="4">
        <v>1188.3800000000001</v>
      </c>
      <c r="M801" t="s">
        <v>31</v>
      </c>
      <c r="N801" s="4">
        <v>1188.3800000000001</v>
      </c>
      <c r="O801" t="s">
        <v>31</v>
      </c>
      <c r="X801" t="s">
        <v>43</v>
      </c>
      <c r="Y801"/>
      <c r="Z801">
        <v>20200115</v>
      </c>
      <c r="AA801">
        <f t="shared" si="13"/>
        <v>1188.3800000000001</v>
      </c>
      <c r="AC801"/>
      <c r="AF801"/>
      <c r="AL801">
        <v>340110590</v>
      </c>
      <c r="AM801" t="s">
        <v>44</v>
      </c>
    </row>
    <row r="802" spans="1:39" x14ac:dyDescent="0.35">
      <c r="A802">
        <v>3401</v>
      </c>
      <c r="B802" t="s">
        <v>39</v>
      </c>
      <c r="C802">
        <v>2020</v>
      </c>
      <c r="D802" s="1">
        <v>43831</v>
      </c>
      <c r="E802">
        <v>40</v>
      </c>
      <c r="F802">
        <v>100015691</v>
      </c>
      <c r="G802" t="s">
        <v>29</v>
      </c>
      <c r="H802">
        <v>81</v>
      </c>
      <c r="I802">
        <v>71101060</v>
      </c>
      <c r="J802">
        <v>11500060</v>
      </c>
      <c r="K802" t="s">
        <v>30</v>
      </c>
      <c r="L802" s="4">
        <v>2822.62</v>
      </c>
      <c r="M802" t="s">
        <v>31</v>
      </c>
      <c r="N802" s="4">
        <v>2822.62</v>
      </c>
      <c r="O802" t="s">
        <v>31</v>
      </c>
      <c r="X802" t="s">
        <v>43</v>
      </c>
      <c r="Y802"/>
      <c r="Z802">
        <v>20200115</v>
      </c>
      <c r="AA802">
        <f t="shared" si="13"/>
        <v>2822.62</v>
      </c>
      <c r="AC802"/>
      <c r="AF802"/>
      <c r="AL802">
        <v>340110590</v>
      </c>
      <c r="AM802" t="s">
        <v>44</v>
      </c>
    </row>
    <row r="803" spans="1:39" x14ac:dyDescent="0.35">
      <c r="A803">
        <v>3401</v>
      </c>
      <c r="B803" t="s">
        <v>39</v>
      </c>
      <c r="C803">
        <v>2020</v>
      </c>
      <c r="D803" s="1">
        <v>43831</v>
      </c>
      <c r="E803">
        <v>42</v>
      </c>
      <c r="F803">
        <v>100015691</v>
      </c>
      <c r="G803" t="s">
        <v>29</v>
      </c>
      <c r="H803">
        <v>81</v>
      </c>
      <c r="I803">
        <v>71101060</v>
      </c>
      <c r="J803">
        <v>11500060</v>
      </c>
      <c r="K803" t="s">
        <v>30</v>
      </c>
      <c r="L803" s="4">
        <v>3081.75</v>
      </c>
      <c r="M803" t="s">
        <v>31</v>
      </c>
      <c r="N803" s="4">
        <v>3081.75</v>
      </c>
      <c r="O803" t="s">
        <v>31</v>
      </c>
      <c r="X803" t="s">
        <v>43</v>
      </c>
      <c r="Y803"/>
      <c r="Z803">
        <v>20200115</v>
      </c>
      <c r="AA803">
        <f t="shared" si="13"/>
        <v>3081.75</v>
      </c>
      <c r="AC803"/>
      <c r="AF803"/>
      <c r="AL803">
        <v>340110590</v>
      </c>
      <c r="AM803" t="s">
        <v>44</v>
      </c>
    </row>
    <row r="804" spans="1:39" x14ac:dyDescent="0.35">
      <c r="A804">
        <v>3401</v>
      </c>
      <c r="B804" t="s">
        <v>39</v>
      </c>
      <c r="C804">
        <v>2020</v>
      </c>
      <c r="D804" s="1">
        <v>43831</v>
      </c>
      <c r="E804">
        <v>44</v>
      </c>
      <c r="F804">
        <v>100015691</v>
      </c>
      <c r="G804" t="s">
        <v>29</v>
      </c>
      <c r="H804">
        <v>81</v>
      </c>
      <c r="I804">
        <v>71101060</v>
      </c>
      <c r="J804">
        <v>11500060</v>
      </c>
      <c r="K804" t="s">
        <v>30</v>
      </c>
      <c r="L804" s="4">
        <v>2778.69</v>
      </c>
      <c r="M804" t="s">
        <v>31</v>
      </c>
      <c r="N804" s="4">
        <v>2778.69</v>
      </c>
      <c r="O804" t="s">
        <v>31</v>
      </c>
      <c r="X804" t="s">
        <v>43</v>
      </c>
      <c r="Y804"/>
      <c r="Z804">
        <v>20200115</v>
      </c>
      <c r="AA804">
        <f t="shared" si="13"/>
        <v>2778.69</v>
      </c>
      <c r="AC804"/>
      <c r="AF804"/>
      <c r="AL804">
        <v>340110590</v>
      </c>
      <c r="AM804" t="s">
        <v>44</v>
      </c>
    </row>
    <row r="805" spans="1:39" x14ac:dyDescent="0.35">
      <c r="A805">
        <v>3401</v>
      </c>
      <c r="B805" t="s">
        <v>39</v>
      </c>
      <c r="C805">
        <v>2020</v>
      </c>
      <c r="D805" s="1">
        <v>43831</v>
      </c>
      <c r="E805">
        <v>46</v>
      </c>
      <c r="F805">
        <v>100015691</v>
      </c>
      <c r="G805" t="s">
        <v>29</v>
      </c>
      <c r="H805">
        <v>81</v>
      </c>
      <c r="I805">
        <v>71101060</v>
      </c>
      <c r="J805">
        <v>11500060</v>
      </c>
      <c r="K805" t="s">
        <v>30</v>
      </c>
      <c r="L805" s="4">
        <v>796.99</v>
      </c>
      <c r="M805" t="s">
        <v>31</v>
      </c>
      <c r="N805" s="4">
        <v>796.99</v>
      </c>
      <c r="O805" t="s">
        <v>31</v>
      </c>
      <c r="X805" t="s">
        <v>43</v>
      </c>
      <c r="Y805"/>
      <c r="Z805">
        <v>20200115</v>
      </c>
      <c r="AA805">
        <f t="shared" si="13"/>
        <v>796.99</v>
      </c>
      <c r="AC805"/>
      <c r="AF805"/>
      <c r="AL805">
        <v>340110590</v>
      </c>
      <c r="AM805" t="s">
        <v>44</v>
      </c>
    </row>
    <row r="806" spans="1:39" x14ac:dyDescent="0.35">
      <c r="A806">
        <v>3401</v>
      </c>
      <c r="B806" t="s">
        <v>39</v>
      </c>
      <c r="C806">
        <v>2020</v>
      </c>
      <c r="D806" s="1">
        <v>43831</v>
      </c>
      <c r="E806">
        <v>48</v>
      </c>
      <c r="F806">
        <v>100015691</v>
      </c>
      <c r="G806" t="s">
        <v>29</v>
      </c>
      <c r="H806">
        <v>81</v>
      </c>
      <c r="I806">
        <v>71101060</v>
      </c>
      <c r="J806">
        <v>11500060</v>
      </c>
      <c r="K806" t="s">
        <v>30</v>
      </c>
      <c r="L806" s="4">
        <v>152</v>
      </c>
      <c r="M806" t="s">
        <v>31</v>
      </c>
      <c r="N806" s="4">
        <v>152</v>
      </c>
      <c r="O806" t="s">
        <v>31</v>
      </c>
      <c r="X806" t="s">
        <v>43</v>
      </c>
      <c r="Y806"/>
      <c r="Z806">
        <v>20200115</v>
      </c>
      <c r="AA806">
        <f t="shared" si="13"/>
        <v>152</v>
      </c>
      <c r="AC806"/>
      <c r="AF806"/>
      <c r="AL806">
        <v>340110590</v>
      </c>
      <c r="AM806" t="s">
        <v>44</v>
      </c>
    </row>
    <row r="807" spans="1:39" x14ac:dyDescent="0.35">
      <c r="A807">
        <v>3401</v>
      </c>
      <c r="B807" t="s">
        <v>39</v>
      </c>
      <c r="C807">
        <v>2020</v>
      </c>
      <c r="D807" s="1">
        <v>43831</v>
      </c>
      <c r="E807">
        <v>50</v>
      </c>
      <c r="F807">
        <v>100015691</v>
      </c>
      <c r="G807" t="s">
        <v>29</v>
      </c>
      <c r="H807">
        <v>81</v>
      </c>
      <c r="I807">
        <v>71101060</v>
      </c>
      <c r="J807">
        <v>11500060</v>
      </c>
      <c r="K807" t="s">
        <v>30</v>
      </c>
      <c r="L807" s="4">
        <v>420</v>
      </c>
      <c r="M807" t="s">
        <v>31</v>
      </c>
      <c r="N807" s="4">
        <v>420</v>
      </c>
      <c r="O807" t="s">
        <v>31</v>
      </c>
      <c r="X807" t="s">
        <v>43</v>
      </c>
      <c r="Y807"/>
      <c r="Z807">
        <v>20200115</v>
      </c>
      <c r="AA807">
        <f t="shared" si="13"/>
        <v>420</v>
      </c>
      <c r="AC807"/>
      <c r="AF807"/>
      <c r="AL807">
        <v>340110590</v>
      </c>
      <c r="AM807" t="s">
        <v>44</v>
      </c>
    </row>
    <row r="808" spans="1:39" x14ac:dyDescent="0.35">
      <c r="A808">
        <v>3401</v>
      </c>
      <c r="B808" t="s">
        <v>39</v>
      </c>
      <c r="C808">
        <v>2020</v>
      </c>
      <c r="D808" s="1">
        <v>43831</v>
      </c>
      <c r="E808">
        <v>52</v>
      </c>
      <c r="F808">
        <v>100015691</v>
      </c>
      <c r="G808" t="s">
        <v>29</v>
      </c>
      <c r="H808">
        <v>81</v>
      </c>
      <c r="I808">
        <v>71101060</v>
      </c>
      <c r="J808">
        <v>11500060</v>
      </c>
      <c r="K808" t="s">
        <v>30</v>
      </c>
      <c r="L808" s="4">
        <v>3826.69</v>
      </c>
      <c r="M808" t="s">
        <v>31</v>
      </c>
      <c r="N808" s="4">
        <v>3826.69</v>
      </c>
      <c r="O808" t="s">
        <v>31</v>
      </c>
      <c r="X808" t="s">
        <v>43</v>
      </c>
      <c r="Y808"/>
      <c r="Z808">
        <v>20200115</v>
      </c>
      <c r="AA808">
        <f t="shared" si="13"/>
        <v>3826.69</v>
      </c>
      <c r="AC808"/>
      <c r="AF808"/>
      <c r="AL808">
        <v>340110590</v>
      </c>
      <c r="AM808" t="s">
        <v>44</v>
      </c>
    </row>
    <row r="809" spans="1:39" x14ac:dyDescent="0.35">
      <c r="A809">
        <v>3401</v>
      </c>
      <c r="B809" t="s">
        <v>39</v>
      </c>
      <c r="C809">
        <v>2020</v>
      </c>
      <c r="D809" s="1">
        <v>43831</v>
      </c>
      <c r="E809">
        <v>54</v>
      </c>
      <c r="F809">
        <v>100015691</v>
      </c>
      <c r="G809" t="s">
        <v>29</v>
      </c>
      <c r="H809">
        <v>81</v>
      </c>
      <c r="I809">
        <v>71101060</v>
      </c>
      <c r="J809">
        <v>11500060</v>
      </c>
      <c r="K809" t="s">
        <v>30</v>
      </c>
      <c r="L809" s="4">
        <v>3719.3</v>
      </c>
      <c r="M809" t="s">
        <v>31</v>
      </c>
      <c r="N809" s="4">
        <v>3719.3</v>
      </c>
      <c r="O809" t="s">
        <v>31</v>
      </c>
      <c r="X809" t="s">
        <v>43</v>
      </c>
      <c r="Y809"/>
      <c r="Z809">
        <v>20200115</v>
      </c>
      <c r="AA809">
        <f t="shared" si="13"/>
        <v>3719.3</v>
      </c>
      <c r="AC809"/>
      <c r="AF809"/>
      <c r="AL809">
        <v>340110590</v>
      </c>
      <c r="AM809" t="s">
        <v>44</v>
      </c>
    </row>
    <row r="810" spans="1:39" x14ac:dyDescent="0.35">
      <c r="A810">
        <v>3401</v>
      </c>
      <c r="B810" t="s">
        <v>39</v>
      </c>
      <c r="C810">
        <v>2020</v>
      </c>
      <c r="D810" s="1">
        <v>43831</v>
      </c>
      <c r="E810">
        <v>56</v>
      </c>
      <c r="F810">
        <v>100015691</v>
      </c>
      <c r="G810" t="s">
        <v>29</v>
      </c>
      <c r="H810">
        <v>81</v>
      </c>
      <c r="I810">
        <v>71101060</v>
      </c>
      <c r="J810">
        <v>11500060</v>
      </c>
      <c r="K810" t="s">
        <v>30</v>
      </c>
      <c r="L810" s="4">
        <v>2059.38</v>
      </c>
      <c r="M810" t="s">
        <v>31</v>
      </c>
      <c r="N810" s="4">
        <v>2059.38</v>
      </c>
      <c r="O810" t="s">
        <v>31</v>
      </c>
      <c r="X810" t="s">
        <v>43</v>
      </c>
      <c r="Y810"/>
      <c r="Z810">
        <v>20200115</v>
      </c>
      <c r="AA810">
        <f t="shared" si="13"/>
        <v>2059.38</v>
      </c>
      <c r="AC810"/>
      <c r="AF810"/>
      <c r="AL810">
        <v>340110590</v>
      </c>
      <c r="AM810" t="s">
        <v>44</v>
      </c>
    </row>
    <row r="811" spans="1:39" x14ac:dyDescent="0.35">
      <c r="A811">
        <v>3402</v>
      </c>
      <c r="B811" t="s">
        <v>39</v>
      </c>
      <c r="C811">
        <v>2020</v>
      </c>
      <c r="D811" s="1">
        <v>43831</v>
      </c>
      <c r="E811">
        <v>12</v>
      </c>
      <c r="F811">
        <v>200042674</v>
      </c>
      <c r="G811" t="s">
        <v>29</v>
      </c>
      <c r="H811">
        <v>81</v>
      </c>
      <c r="I811">
        <v>71101060</v>
      </c>
      <c r="J811">
        <v>11500040</v>
      </c>
      <c r="K811" t="s">
        <v>30</v>
      </c>
      <c r="L811" s="4">
        <v>1075.6600000000001</v>
      </c>
      <c r="M811" t="s">
        <v>31</v>
      </c>
      <c r="N811" s="4">
        <v>1075.6600000000001</v>
      </c>
      <c r="O811" t="s">
        <v>31</v>
      </c>
      <c r="X811" t="s">
        <v>43</v>
      </c>
      <c r="Y811"/>
      <c r="Z811">
        <v>20200115</v>
      </c>
      <c r="AA811">
        <f t="shared" si="13"/>
        <v>1075.6600000000001</v>
      </c>
      <c r="AC811"/>
      <c r="AF811"/>
      <c r="AL811">
        <v>340253290</v>
      </c>
      <c r="AM811" t="s">
        <v>46</v>
      </c>
    </row>
    <row r="812" spans="1:39" x14ac:dyDescent="0.35">
      <c r="A812">
        <v>3402</v>
      </c>
      <c r="B812" t="s">
        <v>39</v>
      </c>
      <c r="C812">
        <v>2020</v>
      </c>
      <c r="D812" s="1">
        <v>43831</v>
      </c>
      <c r="E812">
        <v>14</v>
      </c>
      <c r="F812">
        <v>200042674</v>
      </c>
      <c r="G812" t="s">
        <v>29</v>
      </c>
      <c r="H812">
        <v>81</v>
      </c>
      <c r="I812">
        <v>71101060</v>
      </c>
      <c r="J812">
        <v>11500040</v>
      </c>
      <c r="K812" t="s">
        <v>30</v>
      </c>
      <c r="L812" s="4">
        <v>1455.03</v>
      </c>
      <c r="M812" t="s">
        <v>31</v>
      </c>
      <c r="N812" s="4">
        <v>1455.03</v>
      </c>
      <c r="O812" t="s">
        <v>31</v>
      </c>
      <c r="X812" t="s">
        <v>43</v>
      </c>
      <c r="Y812"/>
      <c r="Z812">
        <v>20200115</v>
      </c>
      <c r="AA812">
        <f t="shared" si="13"/>
        <v>1455.03</v>
      </c>
      <c r="AC812"/>
      <c r="AF812"/>
      <c r="AL812">
        <v>340253290</v>
      </c>
      <c r="AM812" t="s">
        <v>46</v>
      </c>
    </row>
    <row r="813" spans="1:39" x14ac:dyDescent="0.35">
      <c r="A813">
        <v>3402</v>
      </c>
      <c r="B813" t="s">
        <v>39</v>
      </c>
      <c r="C813">
        <v>2020</v>
      </c>
      <c r="D813" s="1">
        <v>43831</v>
      </c>
      <c r="E813">
        <v>16</v>
      </c>
      <c r="F813">
        <v>200042674</v>
      </c>
      <c r="G813" t="s">
        <v>29</v>
      </c>
      <c r="H813">
        <v>81</v>
      </c>
      <c r="I813">
        <v>71101060</v>
      </c>
      <c r="J813">
        <v>11500040</v>
      </c>
      <c r="K813" t="s">
        <v>30</v>
      </c>
      <c r="L813" s="4">
        <v>554.78</v>
      </c>
      <c r="M813" t="s">
        <v>31</v>
      </c>
      <c r="N813" s="4">
        <v>554.78</v>
      </c>
      <c r="O813" t="s">
        <v>31</v>
      </c>
      <c r="X813" t="s">
        <v>43</v>
      </c>
      <c r="Y813"/>
      <c r="Z813">
        <v>20200115</v>
      </c>
      <c r="AA813">
        <f t="shared" si="13"/>
        <v>554.78</v>
      </c>
      <c r="AC813"/>
      <c r="AF813"/>
      <c r="AL813">
        <v>340253290</v>
      </c>
      <c r="AM813" t="s">
        <v>46</v>
      </c>
    </row>
    <row r="814" spans="1:39" x14ac:dyDescent="0.35">
      <c r="A814">
        <v>3402</v>
      </c>
      <c r="B814" t="s">
        <v>39</v>
      </c>
      <c r="C814">
        <v>2020</v>
      </c>
      <c r="D814" s="1">
        <v>43831</v>
      </c>
      <c r="E814">
        <v>18</v>
      </c>
      <c r="F814">
        <v>200042674</v>
      </c>
      <c r="G814" t="s">
        <v>29</v>
      </c>
      <c r="H814">
        <v>81</v>
      </c>
      <c r="I814">
        <v>71101060</v>
      </c>
      <c r="J814">
        <v>11500040</v>
      </c>
      <c r="K814" t="s">
        <v>30</v>
      </c>
      <c r="L814" s="4">
        <v>926.07</v>
      </c>
      <c r="M814" t="s">
        <v>31</v>
      </c>
      <c r="N814" s="4">
        <v>926.07</v>
      </c>
      <c r="O814" t="s">
        <v>31</v>
      </c>
      <c r="X814" t="s">
        <v>43</v>
      </c>
      <c r="Y814"/>
      <c r="Z814">
        <v>20200115</v>
      </c>
      <c r="AA814">
        <f t="shared" si="13"/>
        <v>926.07</v>
      </c>
      <c r="AC814"/>
      <c r="AF814"/>
      <c r="AL814">
        <v>340253290</v>
      </c>
      <c r="AM814" t="s">
        <v>46</v>
      </c>
    </row>
    <row r="815" spans="1:39" x14ac:dyDescent="0.35">
      <c r="A815">
        <v>3402</v>
      </c>
      <c r="B815" t="s">
        <v>39</v>
      </c>
      <c r="C815">
        <v>2020</v>
      </c>
      <c r="D815" s="1">
        <v>43831</v>
      </c>
      <c r="E815">
        <v>24</v>
      </c>
      <c r="F815">
        <v>200042674</v>
      </c>
      <c r="G815" t="s">
        <v>29</v>
      </c>
      <c r="H815">
        <v>81</v>
      </c>
      <c r="I815">
        <v>71101060</v>
      </c>
      <c r="J815">
        <v>11500040</v>
      </c>
      <c r="K815" t="s">
        <v>30</v>
      </c>
      <c r="L815" s="4">
        <v>805.66</v>
      </c>
      <c r="M815" t="s">
        <v>31</v>
      </c>
      <c r="N815" s="4">
        <v>805.66</v>
      </c>
      <c r="O815" t="s">
        <v>31</v>
      </c>
      <c r="X815" t="s">
        <v>43</v>
      </c>
      <c r="Y815"/>
      <c r="Z815">
        <v>20200115</v>
      </c>
      <c r="AA815">
        <f t="shared" si="13"/>
        <v>805.66</v>
      </c>
      <c r="AC815"/>
      <c r="AF815"/>
      <c r="AL815">
        <v>340253290</v>
      </c>
      <c r="AM815" t="s">
        <v>46</v>
      </c>
    </row>
    <row r="816" spans="1:39" x14ac:dyDescent="0.35">
      <c r="A816">
        <v>3402</v>
      </c>
      <c r="B816" t="s">
        <v>39</v>
      </c>
      <c r="C816">
        <v>2020</v>
      </c>
      <c r="D816" s="1">
        <v>43831</v>
      </c>
      <c r="E816">
        <v>26</v>
      </c>
      <c r="F816">
        <v>200042674</v>
      </c>
      <c r="G816" t="s">
        <v>29</v>
      </c>
      <c r="H816">
        <v>81</v>
      </c>
      <c r="I816">
        <v>71101060</v>
      </c>
      <c r="J816">
        <v>11500040</v>
      </c>
      <c r="K816" t="s">
        <v>30</v>
      </c>
      <c r="L816" s="4">
        <v>1859.65</v>
      </c>
      <c r="M816" t="s">
        <v>31</v>
      </c>
      <c r="N816" s="4">
        <v>1859.65</v>
      </c>
      <c r="O816" t="s">
        <v>31</v>
      </c>
      <c r="X816" t="s">
        <v>43</v>
      </c>
      <c r="Y816"/>
      <c r="Z816">
        <v>20200115</v>
      </c>
      <c r="AA816">
        <f t="shared" si="13"/>
        <v>1859.65</v>
      </c>
      <c r="AC816"/>
      <c r="AF816"/>
      <c r="AL816">
        <v>340253290</v>
      </c>
      <c r="AM816" t="s">
        <v>46</v>
      </c>
    </row>
    <row r="817" spans="1:39" x14ac:dyDescent="0.35">
      <c r="A817">
        <v>3402</v>
      </c>
      <c r="B817" t="s">
        <v>39</v>
      </c>
      <c r="C817">
        <v>2020</v>
      </c>
      <c r="D817" s="1">
        <v>43831</v>
      </c>
      <c r="E817">
        <v>76</v>
      </c>
      <c r="F817">
        <v>200042674</v>
      </c>
      <c r="G817" t="s">
        <v>29</v>
      </c>
      <c r="H817">
        <v>81</v>
      </c>
      <c r="I817">
        <v>71101060</v>
      </c>
      <c r="J817">
        <v>11500040</v>
      </c>
      <c r="K817" t="s">
        <v>30</v>
      </c>
      <c r="L817" s="4">
        <v>810</v>
      </c>
      <c r="M817" t="s">
        <v>31</v>
      </c>
      <c r="N817" s="4">
        <v>810</v>
      </c>
      <c r="O817" t="s">
        <v>31</v>
      </c>
      <c r="X817" t="s">
        <v>43</v>
      </c>
      <c r="Y817"/>
      <c r="Z817">
        <v>20200115</v>
      </c>
      <c r="AA817">
        <f t="shared" si="13"/>
        <v>810</v>
      </c>
      <c r="AC817"/>
      <c r="AF817"/>
      <c r="AL817">
        <v>340253290</v>
      </c>
      <c r="AM817" t="s">
        <v>46</v>
      </c>
    </row>
    <row r="818" spans="1:39" x14ac:dyDescent="0.35">
      <c r="A818">
        <v>3402</v>
      </c>
      <c r="B818" t="s">
        <v>39</v>
      </c>
      <c r="C818">
        <v>2020</v>
      </c>
      <c r="D818" s="1">
        <v>43831</v>
      </c>
      <c r="E818">
        <v>6</v>
      </c>
      <c r="F818">
        <v>200042698</v>
      </c>
      <c r="G818" t="s">
        <v>29</v>
      </c>
      <c r="H818">
        <v>81</v>
      </c>
      <c r="I818">
        <v>71101060</v>
      </c>
      <c r="J818">
        <v>11500060</v>
      </c>
      <c r="K818" t="s">
        <v>30</v>
      </c>
      <c r="L818" s="4">
        <v>871.26</v>
      </c>
      <c r="M818" t="s">
        <v>31</v>
      </c>
      <c r="N818" s="4">
        <v>871.26</v>
      </c>
      <c r="O818" t="s">
        <v>31</v>
      </c>
      <c r="X818" t="s">
        <v>43</v>
      </c>
      <c r="Y818"/>
      <c r="Z818">
        <v>20200115</v>
      </c>
      <c r="AA818">
        <f t="shared" si="13"/>
        <v>871.26</v>
      </c>
      <c r="AC818"/>
      <c r="AF818"/>
      <c r="AL818">
        <v>340210590</v>
      </c>
      <c r="AM818" t="s">
        <v>38</v>
      </c>
    </row>
    <row r="819" spans="1:39" x14ac:dyDescent="0.35">
      <c r="A819">
        <v>3402</v>
      </c>
      <c r="B819" t="s">
        <v>39</v>
      </c>
      <c r="C819">
        <v>2020</v>
      </c>
      <c r="D819" s="1">
        <v>43831</v>
      </c>
      <c r="E819">
        <v>8</v>
      </c>
      <c r="F819">
        <v>200042698</v>
      </c>
      <c r="G819" t="s">
        <v>29</v>
      </c>
      <c r="H819">
        <v>81</v>
      </c>
      <c r="I819">
        <v>71101060</v>
      </c>
      <c r="J819">
        <v>11500060</v>
      </c>
      <c r="K819" t="s">
        <v>30</v>
      </c>
      <c r="L819" s="4">
        <v>224.64</v>
      </c>
      <c r="M819" t="s">
        <v>31</v>
      </c>
      <c r="N819" s="4">
        <v>224.64</v>
      </c>
      <c r="O819" t="s">
        <v>31</v>
      </c>
      <c r="X819" t="s">
        <v>43</v>
      </c>
      <c r="Y819"/>
      <c r="Z819">
        <v>20200115</v>
      </c>
      <c r="AA819">
        <f t="shared" si="13"/>
        <v>224.64</v>
      </c>
      <c r="AC819"/>
      <c r="AF819"/>
      <c r="AL819">
        <v>340210590</v>
      </c>
      <c r="AM819" t="s">
        <v>38</v>
      </c>
    </row>
    <row r="820" spans="1:39" x14ac:dyDescent="0.35">
      <c r="A820">
        <v>3402</v>
      </c>
      <c r="B820" t="s">
        <v>39</v>
      </c>
      <c r="C820">
        <v>2020</v>
      </c>
      <c r="D820" s="1">
        <v>43831</v>
      </c>
      <c r="E820">
        <v>10</v>
      </c>
      <c r="F820">
        <v>200042698</v>
      </c>
      <c r="G820" t="s">
        <v>29</v>
      </c>
      <c r="H820">
        <v>81</v>
      </c>
      <c r="I820">
        <v>71101060</v>
      </c>
      <c r="J820">
        <v>11500060</v>
      </c>
      <c r="K820" t="s">
        <v>30</v>
      </c>
      <c r="L820" s="4">
        <v>3226.98</v>
      </c>
      <c r="M820" t="s">
        <v>31</v>
      </c>
      <c r="N820" s="4">
        <v>3226.98</v>
      </c>
      <c r="O820" t="s">
        <v>31</v>
      </c>
      <c r="X820" t="s">
        <v>43</v>
      </c>
      <c r="Y820"/>
      <c r="Z820">
        <v>20200115</v>
      </c>
      <c r="AA820">
        <f t="shared" si="13"/>
        <v>3226.98</v>
      </c>
      <c r="AC820"/>
      <c r="AF820"/>
      <c r="AL820">
        <v>340210590</v>
      </c>
      <c r="AM820" t="s">
        <v>38</v>
      </c>
    </row>
    <row r="821" spans="1:39" x14ac:dyDescent="0.35">
      <c r="A821">
        <v>3402</v>
      </c>
      <c r="B821" t="s">
        <v>39</v>
      </c>
      <c r="C821">
        <v>2020</v>
      </c>
      <c r="D821" s="1">
        <v>43831</v>
      </c>
      <c r="E821">
        <v>12</v>
      </c>
      <c r="F821">
        <v>200042698</v>
      </c>
      <c r="G821" t="s">
        <v>29</v>
      </c>
      <c r="H821">
        <v>81</v>
      </c>
      <c r="I821">
        <v>71101060</v>
      </c>
      <c r="J821">
        <v>11500060</v>
      </c>
      <c r="K821" t="s">
        <v>30</v>
      </c>
      <c r="L821" s="4">
        <v>2198.5500000000002</v>
      </c>
      <c r="M821" t="s">
        <v>31</v>
      </c>
      <c r="N821" s="4">
        <v>2198.5500000000002</v>
      </c>
      <c r="O821" t="s">
        <v>31</v>
      </c>
      <c r="X821" t="s">
        <v>43</v>
      </c>
      <c r="Y821"/>
      <c r="Z821">
        <v>20200115</v>
      </c>
      <c r="AA821">
        <f t="shared" si="13"/>
        <v>2198.5500000000002</v>
      </c>
      <c r="AC821"/>
      <c r="AF821"/>
      <c r="AL821">
        <v>340210590</v>
      </c>
      <c r="AM821" t="s">
        <v>38</v>
      </c>
    </row>
    <row r="822" spans="1:39" x14ac:dyDescent="0.35">
      <c r="A822">
        <v>3402</v>
      </c>
      <c r="B822" t="s">
        <v>39</v>
      </c>
      <c r="C822">
        <v>2020</v>
      </c>
      <c r="D822" s="1">
        <v>43831</v>
      </c>
      <c r="E822">
        <v>14</v>
      </c>
      <c r="F822">
        <v>200042698</v>
      </c>
      <c r="G822" t="s">
        <v>29</v>
      </c>
      <c r="H822">
        <v>81</v>
      </c>
      <c r="I822">
        <v>71101060</v>
      </c>
      <c r="J822">
        <v>11500060</v>
      </c>
      <c r="K822" t="s">
        <v>30</v>
      </c>
      <c r="L822" s="4">
        <v>4907.42</v>
      </c>
      <c r="M822" t="s">
        <v>31</v>
      </c>
      <c r="N822" s="4">
        <v>4907.42</v>
      </c>
      <c r="O822" t="s">
        <v>31</v>
      </c>
      <c r="X822" t="s">
        <v>43</v>
      </c>
      <c r="Y822"/>
      <c r="Z822">
        <v>20200115</v>
      </c>
      <c r="AA822">
        <f t="shared" si="13"/>
        <v>4907.42</v>
      </c>
      <c r="AC822"/>
      <c r="AF822"/>
      <c r="AL822">
        <v>340210590</v>
      </c>
      <c r="AM822" t="s">
        <v>38</v>
      </c>
    </row>
    <row r="823" spans="1:39" x14ac:dyDescent="0.35">
      <c r="A823">
        <v>3402</v>
      </c>
      <c r="B823" t="s">
        <v>39</v>
      </c>
      <c r="C823">
        <v>2020</v>
      </c>
      <c r="D823" s="1">
        <v>43831</v>
      </c>
      <c r="E823">
        <v>16</v>
      </c>
      <c r="F823">
        <v>200042698</v>
      </c>
      <c r="G823" t="s">
        <v>29</v>
      </c>
      <c r="H823">
        <v>81</v>
      </c>
      <c r="I823">
        <v>71101060</v>
      </c>
      <c r="J823">
        <v>11500060</v>
      </c>
      <c r="K823" t="s">
        <v>30</v>
      </c>
      <c r="L823" s="4">
        <v>554.78</v>
      </c>
      <c r="M823" t="s">
        <v>31</v>
      </c>
      <c r="N823" s="4">
        <v>554.78</v>
      </c>
      <c r="O823" t="s">
        <v>31</v>
      </c>
      <c r="X823" t="s">
        <v>43</v>
      </c>
      <c r="Y823"/>
      <c r="Z823">
        <v>20200115</v>
      </c>
      <c r="AA823">
        <f t="shared" si="13"/>
        <v>554.78</v>
      </c>
      <c r="AC823"/>
      <c r="AF823"/>
      <c r="AL823">
        <v>340210590</v>
      </c>
      <c r="AM823" t="s">
        <v>38</v>
      </c>
    </row>
    <row r="824" spans="1:39" x14ac:dyDescent="0.35">
      <c r="A824">
        <v>3402</v>
      </c>
      <c r="B824" t="s">
        <v>39</v>
      </c>
      <c r="C824">
        <v>2020</v>
      </c>
      <c r="D824" s="1">
        <v>43831</v>
      </c>
      <c r="E824">
        <v>18</v>
      </c>
      <c r="F824">
        <v>200042698</v>
      </c>
      <c r="G824" t="s">
        <v>29</v>
      </c>
      <c r="H824">
        <v>81</v>
      </c>
      <c r="I824">
        <v>71101060</v>
      </c>
      <c r="J824">
        <v>11500060</v>
      </c>
      <c r="K824" t="s">
        <v>30</v>
      </c>
      <c r="L824" s="4">
        <v>6163.5</v>
      </c>
      <c r="M824" t="s">
        <v>31</v>
      </c>
      <c r="N824" s="4">
        <v>6163.5</v>
      </c>
      <c r="O824" t="s">
        <v>31</v>
      </c>
      <c r="X824" t="s">
        <v>43</v>
      </c>
      <c r="Y824"/>
      <c r="Z824">
        <v>20200115</v>
      </c>
      <c r="AA824">
        <f t="shared" si="13"/>
        <v>6163.5</v>
      </c>
      <c r="AC824"/>
      <c r="AF824"/>
      <c r="AL824">
        <v>340210590</v>
      </c>
      <c r="AM824" t="s">
        <v>38</v>
      </c>
    </row>
    <row r="825" spans="1:39" x14ac:dyDescent="0.35">
      <c r="A825">
        <v>3402</v>
      </c>
      <c r="B825" t="s">
        <v>39</v>
      </c>
      <c r="C825">
        <v>2020</v>
      </c>
      <c r="D825" s="1">
        <v>43831</v>
      </c>
      <c r="E825">
        <v>20</v>
      </c>
      <c r="F825">
        <v>200042698</v>
      </c>
      <c r="G825" t="s">
        <v>29</v>
      </c>
      <c r="H825">
        <v>81</v>
      </c>
      <c r="I825">
        <v>71101060</v>
      </c>
      <c r="J825">
        <v>11500060</v>
      </c>
      <c r="K825" t="s">
        <v>30</v>
      </c>
      <c r="L825" s="4">
        <v>7409.84</v>
      </c>
      <c r="M825" t="s">
        <v>31</v>
      </c>
      <c r="N825" s="4">
        <v>7409.84</v>
      </c>
      <c r="O825" t="s">
        <v>31</v>
      </c>
      <c r="X825" t="s">
        <v>43</v>
      </c>
      <c r="Y825"/>
      <c r="Z825">
        <v>20200115</v>
      </c>
      <c r="AA825">
        <f t="shared" si="13"/>
        <v>7409.84</v>
      </c>
      <c r="AC825"/>
      <c r="AF825"/>
      <c r="AL825">
        <v>340210590</v>
      </c>
      <c r="AM825" t="s">
        <v>38</v>
      </c>
    </row>
    <row r="826" spans="1:39" x14ac:dyDescent="0.35">
      <c r="A826">
        <v>3402</v>
      </c>
      <c r="B826" t="s">
        <v>39</v>
      </c>
      <c r="C826">
        <v>2020</v>
      </c>
      <c r="D826" s="1">
        <v>43831</v>
      </c>
      <c r="E826">
        <v>22</v>
      </c>
      <c r="F826">
        <v>200042698</v>
      </c>
      <c r="G826" t="s">
        <v>29</v>
      </c>
      <c r="H826">
        <v>81</v>
      </c>
      <c r="I826">
        <v>71101060</v>
      </c>
      <c r="J826">
        <v>11500060</v>
      </c>
      <c r="K826" t="s">
        <v>30</v>
      </c>
      <c r="L826" s="4">
        <v>3311.55</v>
      </c>
      <c r="M826" t="s">
        <v>31</v>
      </c>
      <c r="N826" s="4">
        <v>3311.55</v>
      </c>
      <c r="O826" t="s">
        <v>31</v>
      </c>
      <c r="X826" t="s">
        <v>43</v>
      </c>
      <c r="Y826"/>
      <c r="Z826">
        <v>20200115</v>
      </c>
      <c r="AA826">
        <f t="shared" si="13"/>
        <v>3311.55</v>
      </c>
      <c r="AC826"/>
      <c r="AF826"/>
      <c r="AL826">
        <v>340210590</v>
      </c>
      <c r="AM826" t="s">
        <v>38</v>
      </c>
    </row>
    <row r="827" spans="1:39" x14ac:dyDescent="0.35">
      <c r="A827">
        <v>3402</v>
      </c>
      <c r="B827" t="s">
        <v>39</v>
      </c>
      <c r="C827">
        <v>2020</v>
      </c>
      <c r="D827" s="1">
        <v>43831</v>
      </c>
      <c r="E827">
        <v>24</v>
      </c>
      <c r="F827">
        <v>200042698</v>
      </c>
      <c r="G827" t="s">
        <v>29</v>
      </c>
      <c r="H827">
        <v>81</v>
      </c>
      <c r="I827">
        <v>71101060</v>
      </c>
      <c r="J827">
        <v>11500060</v>
      </c>
      <c r="K827" t="s">
        <v>30</v>
      </c>
      <c r="L827" s="4">
        <v>2227.36</v>
      </c>
      <c r="M827" t="s">
        <v>31</v>
      </c>
      <c r="N827" s="4">
        <v>2227.36</v>
      </c>
      <c r="O827" t="s">
        <v>31</v>
      </c>
      <c r="X827" t="s">
        <v>43</v>
      </c>
      <c r="Y827"/>
      <c r="Z827">
        <v>20200115</v>
      </c>
      <c r="AA827">
        <f t="shared" si="13"/>
        <v>2227.36</v>
      </c>
      <c r="AC827"/>
      <c r="AF827"/>
      <c r="AL827">
        <v>340210590</v>
      </c>
      <c r="AM827" t="s">
        <v>38</v>
      </c>
    </row>
    <row r="828" spans="1:39" x14ac:dyDescent="0.35">
      <c r="A828">
        <v>3402</v>
      </c>
      <c r="B828" t="s">
        <v>39</v>
      </c>
      <c r="C828">
        <v>2020</v>
      </c>
      <c r="D828" s="1">
        <v>43831</v>
      </c>
      <c r="E828">
        <v>26</v>
      </c>
      <c r="F828">
        <v>200042698</v>
      </c>
      <c r="G828" t="s">
        <v>29</v>
      </c>
      <c r="H828">
        <v>81</v>
      </c>
      <c r="I828">
        <v>71101060</v>
      </c>
      <c r="J828">
        <v>11500060</v>
      </c>
      <c r="K828" t="s">
        <v>30</v>
      </c>
      <c r="L828" s="4">
        <v>110</v>
      </c>
      <c r="M828" t="s">
        <v>31</v>
      </c>
      <c r="N828" s="4">
        <v>110</v>
      </c>
      <c r="O828" t="s">
        <v>31</v>
      </c>
      <c r="X828" t="s">
        <v>43</v>
      </c>
      <c r="Y828"/>
      <c r="Z828">
        <v>20200115</v>
      </c>
      <c r="AA828">
        <f t="shared" si="13"/>
        <v>110</v>
      </c>
      <c r="AC828"/>
      <c r="AF828"/>
      <c r="AL828">
        <v>340210590</v>
      </c>
      <c r="AM828" t="s">
        <v>38</v>
      </c>
    </row>
    <row r="829" spans="1:39" x14ac:dyDescent="0.35">
      <c r="A829">
        <v>3402</v>
      </c>
      <c r="B829" t="s">
        <v>39</v>
      </c>
      <c r="C829">
        <v>2020</v>
      </c>
      <c r="D829" s="1">
        <v>43831</v>
      </c>
      <c r="E829">
        <v>28</v>
      </c>
      <c r="F829">
        <v>200042698</v>
      </c>
      <c r="G829" t="s">
        <v>29</v>
      </c>
      <c r="H829">
        <v>81</v>
      </c>
      <c r="I829">
        <v>71101060</v>
      </c>
      <c r="J829">
        <v>11500060</v>
      </c>
      <c r="K829" t="s">
        <v>30</v>
      </c>
      <c r="L829" s="4">
        <v>710.5</v>
      </c>
      <c r="M829" t="s">
        <v>31</v>
      </c>
      <c r="N829" s="4">
        <v>710.5</v>
      </c>
      <c r="O829" t="s">
        <v>31</v>
      </c>
      <c r="X829" t="s">
        <v>43</v>
      </c>
      <c r="Y829"/>
      <c r="Z829">
        <v>20200115</v>
      </c>
      <c r="AA829">
        <f t="shared" si="13"/>
        <v>710.5</v>
      </c>
      <c r="AC829"/>
      <c r="AF829"/>
      <c r="AL829">
        <v>340210590</v>
      </c>
      <c r="AM829" t="s">
        <v>38</v>
      </c>
    </row>
    <row r="830" spans="1:39" x14ac:dyDescent="0.35">
      <c r="A830">
        <v>3402</v>
      </c>
      <c r="B830" t="s">
        <v>39</v>
      </c>
      <c r="C830">
        <v>2020</v>
      </c>
      <c r="D830" s="1">
        <v>43831</v>
      </c>
      <c r="E830">
        <v>30</v>
      </c>
      <c r="F830">
        <v>200042698</v>
      </c>
      <c r="G830" t="s">
        <v>29</v>
      </c>
      <c r="H830">
        <v>81</v>
      </c>
      <c r="I830">
        <v>71101060</v>
      </c>
      <c r="J830">
        <v>11500060</v>
      </c>
      <c r="K830" t="s">
        <v>30</v>
      </c>
      <c r="L830" s="4">
        <v>4028.29</v>
      </c>
      <c r="M830" t="s">
        <v>31</v>
      </c>
      <c r="N830" s="4">
        <v>4028.29</v>
      </c>
      <c r="O830" t="s">
        <v>31</v>
      </c>
      <c r="X830" t="s">
        <v>43</v>
      </c>
      <c r="Y830"/>
      <c r="Z830">
        <v>20200115</v>
      </c>
      <c r="AA830">
        <f t="shared" si="13"/>
        <v>4028.29</v>
      </c>
      <c r="AC830"/>
      <c r="AF830"/>
      <c r="AL830">
        <v>340210590</v>
      </c>
      <c r="AM830" t="s">
        <v>38</v>
      </c>
    </row>
    <row r="831" spans="1:39" x14ac:dyDescent="0.35">
      <c r="A831">
        <v>3402</v>
      </c>
      <c r="B831" t="s">
        <v>39</v>
      </c>
      <c r="C831">
        <v>2020</v>
      </c>
      <c r="D831" s="1">
        <v>43831</v>
      </c>
      <c r="E831">
        <v>32</v>
      </c>
      <c r="F831">
        <v>200042698</v>
      </c>
      <c r="G831" t="s">
        <v>29</v>
      </c>
      <c r="H831">
        <v>81</v>
      </c>
      <c r="I831">
        <v>71101060</v>
      </c>
      <c r="J831">
        <v>11500060</v>
      </c>
      <c r="K831" t="s">
        <v>30</v>
      </c>
      <c r="L831" s="4">
        <v>1216.49</v>
      </c>
      <c r="M831" t="s">
        <v>31</v>
      </c>
      <c r="N831" s="4">
        <v>1216.49</v>
      </c>
      <c r="O831" t="s">
        <v>31</v>
      </c>
      <c r="X831" t="s">
        <v>43</v>
      </c>
      <c r="Y831"/>
      <c r="Z831">
        <v>20200115</v>
      </c>
      <c r="AA831">
        <f t="shared" si="13"/>
        <v>1216.49</v>
      </c>
      <c r="AC831"/>
      <c r="AF831"/>
      <c r="AL831">
        <v>340210590</v>
      </c>
      <c r="AM831" t="s">
        <v>38</v>
      </c>
    </row>
    <row r="832" spans="1:39" x14ac:dyDescent="0.35">
      <c r="A832">
        <v>3402</v>
      </c>
      <c r="B832" t="s">
        <v>39</v>
      </c>
      <c r="C832">
        <v>2020</v>
      </c>
      <c r="D832" s="1">
        <v>43831</v>
      </c>
      <c r="E832">
        <v>34</v>
      </c>
      <c r="F832">
        <v>200042698</v>
      </c>
      <c r="G832" t="s">
        <v>29</v>
      </c>
      <c r="H832">
        <v>81</v>
      </c>
      <c r="I832">
        <v>71101060</v>
      </c>
      <c r="J832">
        <v>11500060</v>
      </c>
      <c r="K832" t="s">
        <v>30</v>
      </c>
      <c r="L832" s="4">
        <v>6833.74</v>
      </c>
      <c r="M832" t="s">
        <v>31</v>
      </c>
      <c r="N832" s="4">
        <v>6833.74</v>
      </c>
      <c r="O832" t="s">
        <v>31</v>
      </c>
      <c r="X832" t="s">
        <v>43</v>
      </c>
      <c r="Y832"/>
      <c r="Z832">
        <v>20200115</v>
      </c>
      <c r="AA832">
        <f t="shared" si="13"/>
        <v>6833.74</v>
      </c>
      <c r="AC832"/>
      <c r="AF832"/>
      <c r="AL832">
        <v>340210590</v>
      </c>
      <c r="AM832" t="s">
        <v>38</v>
      </c>
    </row>
    <row r="833" spans="1:39" x14ac:dyDescent="0.35">
      <c r="A833">
        <v>3402</v>
      </c>
      <c r="B833" t="s">
        <v>39</v>
      </c>
      <c r="C833">
        <v>2020</v>
      </c>
      <c r="D833" s="1">
        <v>43831</v>
      </c>
      <c r="E833">
        <v>36</v>
      </c>
      <c r="F833">
        <v>200042698</v>
      </c>
      <c r="G833" t="s">
        <v>29</v>
      </c>
      <c r="H833">
        <v>81</v>
      </c>
      <c r="I833">
        <v>71101060</v>
      </c>
      <c r="J833">
        <v>11500060</v>
      </c>
      <c r="K833" t="s">
        <v>30</v>
      </c>
      <c r="L833" s="4">
        <v>1260</v>
      </c>
      <c r="M833" t="s">
        <v>31</v>
      </c>
      <c r="N833" s="4">
        <v>1260</v>
      </c>
      <c r="O833" t="s">
        <v>31</v>
      </c>
      <c r="X833" t="s">
        <v>43</v>
      </c>
      <c r="Y833"/>
      <c r="Z833">
        <v>20200115</v>
      </c>
      <c r="AA833">
        <f t="shared" si="13"/>
        <v>1260</v>
      </c>
      <c r="AC833"/>
      <c r="AF833"/>
      <c r="AL833">
        <v>340210590</v>
      </c>
      <c r="AM833" t="s">
        <v>38</v>
      </c>
    </row>
    <row r="834" spans="1:39" x14ac:dyDescent="0.35">
      <c r="A834">
        <v>3402</v>
      </c>
      <c r="B834" t="s">
        <v>39</v>
      </c>
      <c r="C834">
        <v>2020</v>
      </c>
      <c r="D834" s="1">
        <v>43831</v>
      </c>
      <c r="E834">
        <v>38</v>
      </c>
      <c r="F834">
        <v>200042698</v>
      </c>
      <c r="G834" t="s">
        <v>29</v>
      </c>
      <c r="H834">
        <v>81</v>
      </c>
      <c r="I834">
        <v>71101060</v>
      </c>
      <c r="J834">
        <v>11500060</v>
      </c>
      <c r="K834" t="s">
        <v>30</v>
      </c>
      <c r="L834" s="4">
        <v>4373.3599999999997</v>
      </c>
      <c r="M834" t="s">
        <v>31</v>
      </c>
      <c r="N834" s="4">
        <v>4373.3599999999997</v>
      </c>
      <c r="O834" t="s">
        <v>31</v>
      </c>
      <c r="X834" t="s">
        <v>43</v>
      </c>
      <c r="Y834"/>
      <c r="Z834">
        <v>20200115</v>
      </c>
      <c r="AA834">
        <f t="shared" si="13"/>
        <v>4373.3599999999997</v>
      </c>
      <c r="AC834"/>
      <c r="AF834"/>
      <c r="AL834">
        <v>340210590</v>
      </c>
      <c r="AM834" t="s">
        <v>38</v>
      </c>
    </row>
    <row r="835" spans="1:39" x14ac:dyDescent="0.35">
      <c r="A835">
        <v>3402</v>
      </c>
      <c r="B835" t="s">
        <v>39</v>
      </c>
      <c r="C835">
        <v>2020</v>
      </c>
      <c r="D835" s="1">
        <v>43831</v>
      </c>
      <c r="E835">
        <v>40</v>
      </c>
      <c r="F835">
        <v>200042698</v>
      </c>
      <c r="G835" t="s">
        <v>29</v>
      </c>
      <c r="H835">
        <v>81</v>
      </c>
      <c r="I835">
        <v>71101060</v>
      </c>
      <c r="J835">
        <v>11500060</v>
      </c>
      <c r="K835" t="s">
        <v>30</v>
      </c>
      <c r="L835" s="4">
        <v>9298.25</v>
      </c>
      <c r="M835" t="s">
        <v>31</v>
      </c>
      <c r="N835" s="4">
        <v>9298.25</v>
      </c>
      <c r="O835" t="s">
        <v>31</v>
      </c>
      <c r="X835" t="s">
        <v>43</v>
      </c>
      <c r="Y835"/>
      <c r="Z835">
        <v>20200115</v>
      </c>
      <c r="AA835">
        <f t="shared" si="13"/>
        <v>9298.25</v>
      </c>
      <c r="AC835"/>
      <c r="AF835"/>
      <c r="AL835">
        <v>340210590</v>
      </c>
      <c r="AM835" t="s">
        <v>38</v>
      </c>
    </row>
    <row r="836" spans="1:39" x14ac:dyDescent="0.35">
      <c r="A836">
        <v>3402</v>
      </c>
      <c r="B836" t="s">
        <v>39</v>
      </c>
      <c r="C836">
        <v>2020</v>
      </c>
      <c r="D836" s="1">
        <v>43831</v>
      </c>
      <c r="E836">
        <v>64</v>
      </c>
      <c r="F836">
        <v>200042698</v>
      </c>
      <c r="G836" t="s">
        <v>29</v>
      </c>
      <c r="H836">
        <v>81</v>
      </c>
      <c r="I836">
        <v>71101060</v>
      </c>
      <c r="J836">
        <v>11500060</v>
      </c>
      <c r="K836" t="s">
        <v>30</v>
      </c>
      <c r="L836" s="4">
        <v>9361.7999999999993</v>
      </c>
      <c r="M836" t="s">
        <v>31</v>
      </c>
      <c r="N836" s="4">
        <v>9361.7999999999993</v>
      </c>
      <c r="O836" t="s">
        <v>31</v>
      </c>
      <c r="X836" t="s">
        <v>43</v>
      </c>
      <c r="Y836"/>
      <c r="Z836">
        <v>20200115</v>
      </c>
      <c r="AA836">
        <f t="shared" si="13"/>
        <v>9361.7999999999993</v>
      </c>
      <c r="AC836"/>
      <c r="AF836"/>
      <c r="AL836">
        <v>340210590</v>
      </c>
      <c r="AM836" t="s">
        <v>38</v>
      </c>
    </row>
    <row r="837" spans="1:39" x14ac:dyDescent="0.35">
      <c r="A837">
        <v>3402</v>
      </c>
      <c r="B837" t="s">
        <v>39</v>
      </c>
      <c r="C837">
        <v>2020</v>
      </c>
      <c r="D837" s="1">
        <v>43831</v>
      </c>
      <c r="E837">
        <v>66</v>
      </c>
      <c r="F837">
        <v>200042698</v>
      </c>
      <c r="G837" t="s">
        <v>29</v>
      </c>
      <c r="H837">
        <v>81</v>
      </c>
      <c r="I837">
        <v>71101060</v>
      </c>
      <c r="J837">
        <v>11500060</v>
      </c>
      <c r="K837" t="s">
        <v>30</v>
      </c>
      <c r="L837" s="4">
        <v>448.34</v>
      </c>
      <c r="M837" t="s">
        <v>31</v>
      </c>
      <c r="N837" s="4">
        <v>448.34</v>
      </c>
      <c r="O837" t="s">
        <v>31</v>
      </c>
      <c r="X837" t="s">
        <v>43</v>
      </c>
      <c r="Y837"/>
      <c r="Z837">
        <v>20200115</v>
      </c>
      <c r="AA837">
        <f t="shared" si="13"/>
        <v>448.34</v>
      </c>
      <c r="AC837"/>
      <c r="AF837"/>
      <c r="AL837">
        <v>340210590</v>
      </c>
      <c r="AM837" t="s">
        <v>38</v>
      </c>
    </row>
    <row r="838" spans="1:39" x14ac:dyDescent="0.35">
      <c r="A838">
        <v>3402</v>
      </c>
      <c r="B838" t="s">
        <v>39</v>
      </c>
      <c r="C838">
        <v>2020</v>
      </c>
      <c r="D838" s="1">
        <v>43831</v>
      </c>
      <c r="E838">
        <v>68</v>
      </c>
      <c r="F838">
        <v>200042698</v>
      </c>
      <c r="G838" t="s">
        <v>29</v>
      </c>
      <c r="H838">
        <v>81</v>
      </c>
      <c r="I838">
        <v>71101060</v>
      </c>
      <c r="J838">
        <v>11500060</v>
      </c>
      <c r="K838" t="s">
        <v>30</v>
      </c>
      <c r="L838" s="4">
        <v>595</v>
      </c>
      <c r="M838" t="s">
        <v>31</v>
      </c>
      <c r="N838" s="4">
        <v>595</v>
      </c>
      <c r="O838" t="s">
        <v>31</v>
      </c>
      <c r="X838" t="s">
        <v>43</v>
      </c>
      <c r="Y838"/>
      <c r="Z838">
        <v>20200115</v>
      </c>
      <c r="AA838">
        <f t="shared" si="13"/>
        <v>595</v>
      </c>
      <c r="AC838"/>
      <c r="AF838"/>
      <c r="AL838">
        <v>340210590</v>
      </c>
      <c r="AM838" t="s">
        <v>38</v>
      </c>
    </row>
    <row r="839" spans="1:39" x14ac:dyDescent="0.35">
      <c r="A839">
        <v>3402</v>
      </c>
      <c r="B839" t="s">
        <v>39</v>
      </c>
      <c r="C839">
        <v>2020</v>
      </c>
      <c r="D839" s="1">
        <v>43831</v>
      </c>
      <c r="E839">
        <v>70</v>
      </c>
      <c r="F839">
        <v>200042698</v>
      </c>
      <c r="G839" t="s">
        <v>29</v>
      </c>
      <c r="H839">
        <v>81</v>
      </c>
      <c r="I839">
        <v>71101060</v>
      </c>
      <c r="J839">
        <v>11500060</v>
      </c>
      <c r="K839" t="s">
        <v>30</v>
      </c>
      <c r="L839" s="4">
        <v>554.4</v>
      </c>
      <c r="M839" t="s">
        <v>31</v>
      </c>
      <c r="N839" s="4">
        <v>554.4</v>
      </c>
      <c r="O839" t="s">
        <v>31</v>
      </c>
      <c r="X839" t="s">
        <v>43</v>
      </c>
      <c r="Y839"/>
      <c r="Z839">
        <v>20200115</v>
      </c>
      <c r="AA839">
        <f t="shared" si="13"/>
        <v>554.4</v>
      </c>
      <c r="AC839"/>
      <c r="AF839"/>
      <c r="AL839">
        <v>340210590</v>
      </c>
      <c r="AM839" t="s">
        <v>38</v>
      </c>
    </row>
    <row r="840" spans="1:39" x14ac:dyDescent="0.35">
      <c r="A840">
        <v>3402</v>
      </c>
      <c r="B840" t="s">
        <v>39</v>
      </c>
      <c r="C840">
        <v>2020</v>
      </c>
      <c r="D840" s="1">
        <v>43831</v>
      </c>
      <c r="E840">
        <v>72</v>
      </c>
      <c r="F840">
        <v>200042698</v>
      </c>
      <c r="G840" t="s">
        <v>29</v>
      </c>
      <c r="H840">
        <v>81</v>
      </c>
      <c r="I840">
        <v>71101060</v>
      </c>
      <c r="J840">
        <v>11500060</v>
      </c>
      <c r="K840" t="s">
        <v>30</v>
      </c>
      <c r="L840" s="4">
        <v>1100</v>
      </c>
      <c r="M840" t="s">
        <v>31</v>
      </c>
      <c r="N840" s="4">
        <v>1100</v>
      </c>
      <c r="O840" t="s">
        <v>31</v>
      </c>
      <c r="X840" t="s">
        <v>43</v>
      </c>
      <c r="Y840"/>
      <c r="Z840">
        <v>20200115</v>
      </c>
      <c r="AA840">
        <f t="shared" si="13"/>
        <v>1100</v>
      </c>
      <c r="AC840"/>
      <c r="AF840"/>
      <c r="AL840">
        <v>340210590</v>
      </c>
      <c r="AM840" t="s">
        <v>38</v>
      </c>
    </row>
    <row r="841" spans="1:39" x14ac:dyDescent="0.35">
      <c r="A841">
        <v>3402</v>
      </c>
      <c r="B841" t="s">
        <v>39</v>
      </c>
      <c r="C841">
        <v>2020</v>
      </c>
      <c r="D841" s="1">
        <v>43831</v>
      </c>
      <c r="E841">
        <v>74</v>
      </c>
      <c r="F841">
        <v>200042698</v>
      </c>
      <c r="G841" t="s">
        <v>29</v>
      </c>
      <c r="H841">
        <v>81</v>
      </c>
      <c r="I841">
        <v>71101060</v>
      </c>
      <c r="J841">
        <v>11500060</v>
      </c>
      <c r="K841" t="s">
        <v>30</v>
      </c>
      <c r="L841" s="4">
        <v>3305.8</v>
      </c>
      <c r="M841" t="s">
        <v>31</v>
      </c>
      <c r="N841" s="4">
        <v>3305.8</v>
      </c>
      <c r="O841" t="s">
        <v>31</v>
      </c>
      <c r="X841" t="s">
        <v>43</v>
      </c>
      <c r="Y841"/>
      <c r="Z841">
        <v>20200115</v>
      </c>
      <c r="AA841">
        <f t="shared" si="13"/>
        <v>3305.8</v>
      </c>
      <c r="AC841"/>
      <c r="AF841"/>
      <c r="AL841">
        <v>340210590</v>
      </c>
      <c r="AM841" t="s">
        <v>38</v>
      </c>
    </row>
    <row r="842" spans="1:39" x14ac:dyDescent="0.35">
      <c r="A842">
        <v>3402</v>
      </c>
      <c r="B842" t="s">
        <v>39</v>
      </c>
      <c r="C842">
        <v>2020</v>
      </c>
      <c r="D842" s="1">
        <v>43831</v>
      </c>
      <c r="E842">
        <v>76</v>
      </c>
      <c r="F842">
        <v>200042698</v>
      </c>
      <c r="G842" t="s">
        <v>29</v>
      </c>
      <c r="H842">
        <v>81</v>
      </c>
      <c r="I842">
        <v>71101060</v>
      </c>
      <c r="J842">
        <v>11500060</v>
      </c>
      <c r="K842" t="s">
        <v>30</v>
      </c>
      <c r="L842" s="4">
        <v>38</v>
      </c>
      <c r="M842" t="s">
        <v>31</v>
      </c>
      <c r="N842" s="4">
        <v>38</v>
      </c>
      <c r="O842" t="s">
        <v>31</v>
      </c>
      <c r="X842" t="s">
        <v>43</v>
      </c>
      <c r="Y842"/>
      <c r="Z842">
        <v>20200115</v>
      </c>
      <c r="AA842">
        <f t="shared" si="13"/>
        <v>38</v>
      </c>
      <c r="AC842"/>
      <c r="AF842"/>
      <c r="AL842">
        <v>340210590</v>
      </c>
      <c r="AM842" t="s">
        <v>38</v>
      </c>
    </row>
    <row r="843" spans="1:39" x14ac:dyDescent="0.35">
      <c r="A843">
        <v>3402</v>
      </c>
      <c r="B843" t="s">
        <v>39</v>
      </c>
      <c r="C843">
        <v>2020</v>
      </c>
      <c r="D843" s="1">
        <v>43831</v>
      </c>
      <c r="E843">
        <v>78</v>
      </c>
      <c r="F843">
        <v>200042698</v>
      </c>
      <c r="G843" t="s">
        <v>29</v>
      </c>
      <c r="H843">
        <v>81</v>
      </c>
      <c r="I843">
        <v>71101060</v>
      </c>
      <c r="J843">
        <v>11500060</v>
      </c>
      <c r="K843" t="s">
        <v>30</v>
      </c>
      <c r="L843" s="4">
        <v>80.459999999999994</v>
      </c>
      <c r="M843" t="s">
        <v>31</v>
      </c>
      <c r="N843" s="4">
        <v>80.459999999999994</v>
      </c>
      <c r="O843" t="s">
        <v>31</v>
      </c>
      <c r="X843" t="s">
        <v>43</v>
      </c>
      <c r="Y843"/>
      <c r="Z843">
        <v>20200115</v>
      </c>
      <c r="AA843">
        <f t="shared" si="13"/>
        <v>80.459999999999994</v>
      </c>
      <c r="AC843"/>
      <c r="AF843"/>
      <c r="AL843">
        <v>340210590</v>
      </c>
      <c r="AM843" t="s">
        <v>38</v>
      </c>
    </row>
    <row r="844" spans="1:39" x14ac:dyDescent="0.35">
      <c r="A844">
        <v>3402</v>
      </c>
      <c r="B844" t="s">
        <v>39</v>
      </c>
      <c r="C844">
        <v>2020</v>
      </c>
      <c r="D844" s="1">
        <v>43831</v>
      </c>
      <c r="E844">
        <v>80</v>
      </c>
      <c r="F844">
        <v>200042698</v>
      </c>
      <c r="G844" t="s">
        <v>29</v>
      </c>
      <c r="H844">
        <v>81</v>
      </c>
      <c r="I844">
        <v>71101060</v>
      </c>
      <c r="J844">
        <v>11500060</v>
      </c>
      <c r="K844" t="s">
        <v>30</v>
      </c>
      <c r="L844" s="4">
        <v>54.98</v>
      </c>
      <c r="M844" t="s">
        <v>31</v>
      </c>
      <c r="N844" s="4">
        <v>54.98</v>
      </c>
      <c r="O844" t="s">
        <v>31</v>
      </c>
      <c r="X844" t="s">
        <v>43</v>
      </c>
      <c r="Y844"/>
      <c r="Z844">
        <v>20200115</v>
      </c>
      <c r="AA844">
        <f t="shared" si="13"/>
        <v>54.98</v>
      </c>
      <c r="AC844"/>
      <c r="AF844"/>
      <c r="AL844">
        <v>340210590</v>
      </c>
      <c r="AM844" t="s">
        <v>38</v>
      </c>
    </row>
    <row r="845" spans="1:39" x14ac:dyDescent="0.35">
      <c r="A845">
        <v>3402</v>
      </c>
      <c r="B845" t="s">
        <v>39</v>
      </c>
      <c r="C845">
        <v>2020</v>
      </c>
      <c r="D845" s="1">
        <v>43831</v>
      </c>
      <c r="E845">
        <v>82</v>
      </c>
      <c r="F845">
        <v>200042698</v>
      </c>
      <c r="G845" t="s">
        <v>29</v>
      </c>
      <c r="H845">
        <v>81</v>
      </c>
      <c r="I845">
        <v>71101060</v>
      </c>
      <c r="J845">
        <v>11500060</v>
      </c>
      <c r="K845" t="s">
        <v>30</v>
      </c>
      <c r="L845" s="4">
        <v>309.99</v>
      </c>
      <c r="M845" t="s">
        <v>31</v>
      </c>
      <c r="N845" s="4">
        <v>309.99</v>
      </c>
      <c r="O845" t="s">
        <v>31</v>
      </c>
      <c r="X845" t="s">
        <v>43</v>
      </c>
      <c r="Y845"/>
      <c r="Z845">
        <v>20200115</v>
      </c>
      <c r="AA845">
        <f t="shared" si="13"/>
        <v>309.99</v>
      </c>
      <c r="AC845"/>
      <c r="AF845"/>
      <c r="AL845">
        <v>340210590</v>
      </c>
      <c r="AM845" t="s">
        <v>38</v>
      </c>
    </row>
    <row r="846" spans="1:39" x14ac:dyDescent="0.35">
      <c r="A846">
        <v>3402</v>
      </c>
      <c r="B846" t="s">
        <v>39</v>
      </c>
      <c r="C846">
        <v>2020</v>
      </c>
      <c r="D846" s="1">
        <v>43831</v>
      </c>
      <c r="E846">
        <v>84</v>
      </c>
      <c r="F846">
        <v>200042698</v>
      </c>
      <c r="G846" t="s">
        <v>29</v>
      </c>
      <c r="H846">
        <v>81</v>
      </c>
      <c r="I846">
        <v>71101060</v>
      </c>
      <c r="J846">
        <v>11500060</v>
      </c>
      <c r="K846" t="s">
        <v>30</v>
      </c>
      <c r="L846" s="4">
        <v>248.98</v>
      </c>
      <c r="M846" t="s">
        <v>31</v>
      </c>
      <c r="N846" s="4">
        <v>248.98</v>
      </c>
      <c r="O846" t="s">
        <v>31</v>
      </c>
      <c r="X846" t="s">
        <v>43</v>
      </c>
      <c r="Y846"/>
      <c r="Z846">
        <v>20200115</v>
      </c>
      <c r="AA846">
        <f t="shared" si="13"/>
        <v>248.98</v>
      </c>
      <c r="AC846"/>
      <c r="AF846"/>
      <c r="AL846">
        <v>340210590</v>
      </c>
      <c r="AM846" t="s">
        <v>38</v>
      </c>
    </row>
    <row r="847" spans="1:39" x14ac:dyDescent="0.35">
      <c r="A847">
        <v>3402</v>
      </c>
      <c r="B847" t="s">
        <v>39</v>
      </c>
      <c r="C847">
        <v>2020</v>
      </c>
      <c r="D847" s="1">
        <v>43831</v>
      </c>
      <c r="E847">
        <v>86</v>
      </c>
      <c r="F847">
        <v>200042698</v>
      </c>
      <c r="G847" t="s">
        <v>29</v>
      </c>
      <c r="H847">
        <v>81</v>
      </c>
      <c r="I847">
        <v>71101060</v>
      </c>
      <c r="J847">
        <v>11500060</v>
      </c>
      <c r="K847" t="s">
        <v>30</v>
      </c>
      <c r="L847" s="4">
        <v>248.99</v>
      </c>
      <c r="M847" t="s">
        <v>31</v>
      </c>
      <c r="N847" s="4">
        <v>248.99</v>
      </c>
      <c r="O847" t="s">
        <v>31</v>
      </c>
      <c r="X847" t="s">
        <v>43</v>
      </c>
      <c r="Y847"/>
      <c r="Z847">
        <v>20200115</v>
      </c>
      <c r="AA847">
        <f t="shared" si="13"/>
        <v>248.99</v>
      </c>
      <c r="AC847"/>
      <c r="AF847"/>
      <c r="AL847">
        <v>340210590</v>
      </c>
      <c r="AM847" t="s">
        <v>38</v>
      </c>
    </row>
    <row r="848" spans="1:39" x14ac:dyDescent="0.35">
      <c r="A848">
        <v>3402</v>
      </c>
      <c r="B848" t="s">
        <v>39</v>
      </c>
      <c r="C848">
        <v>2020</v>
      </c>
      <c r="D848" s="1">
        <v>43831</v>
      </c>
      <c r="E848">
        <v>88</v>
      </c>
      <c r="F848">
        <v>200042698</v>
      </c>
      <c r="G848" t="s">
        <v>29</v>
      </c>
      <c r="H848">
        <v>81</v>
      </c>
      <c r="I848">
        <v>71101060</v>
      </c>
      <c r="J848">
        <v>11500060</v>
      </c>
      <c r="K848" t="s">
        <v>30</v>
      </c>
      <c r="L848" s="4">
        <v>1577.8</v>
      </c>
      <c r="M848" t="s">
        <v>31</v>
      </c>
      <c r="N848" s="4">
        <v>1577.8</v>
      </c>
      <c r="O848" t="s">
        <v>31</v>
      </c>
      <c r="X848" t="s">
        <v>43</v>
      </c>
      <c r="Y848"/>
      <c r="Z848">
        <v>20200115</v>
      </c>
      <c r="AA848">
        <f t="shared" si="13"/>
        <v>1577.8</v>
      </c>
      <c r="AC848"/>
      <c r="AF848"/>
      <c r="AL848">
        <v>340210590</v>
      </c>
      <c r="AM848" t="s">
        <v>38</v>
      </c>
    </row>
    <row r="849" spans="1:39" x14ac:dyDescent="0.35">
      <c r="A849">
        <v>3402</v>
      </c>
      <c r="B849" t="s">
        <v>39</v>
      </c>
      <c r="C849">
        <v>2020</v>
      </c>
      <c r="D849" s="1">
        <v>43831</v>
      </c>
      <c r="E849">
        <v>90</v>
      </c>
      <c r="F849">
        <v>200042698</v>
      </c>
      <c r="G849" t="s">
        <v>29</v>
      </c>
      <c r="H849">
        <v>81</v>
      </c>
      <c r="I849">
        <v>71101060</v>
      </c>
      <c r="J849">
        <v>11500060</v>
      </c>
      <c r="K849" t="s">
        <v>30</v>
      </c>
      <c r="L849" s="4">
        <v>13769.99</v>
      </c>
      <c r="M849" t="s">
        <v>31</v>
      </c>
      <c r="N849" s="4">
        <v>13769.99</v>
      </c>
      <c r="O849" t="s">
        <v>31</v>
      </c>
      <c r="X849" t="s">
        <v>43</v>
      </c>
      <c r="Y849"/>
      <c r="Z849">
        <v>20200115</v>
      </c>
      <c r="AA849">
        <f t="shared" si="13"/>
        <v>13769.99</v>
      </c>
      <c r="AC849"/>
      <c r="AF849"/>
      <c r="AL849">
        <v>340210590</v>
      </c>
      <c r="AM849" t="s">
        <v>38</v>
      </c>
    </row>
    <row r="850" spans="1:39" x14ac:dyDescent="0.35">
      <c r="A850">
        <v>3402</v>
      </c>
      <c r="B850" t="s">
        <v>39</v>
      </c>
      <c r="C850">
        <v>2020</v>
      </c>
      <c r="D850" s="1">
        <v>43831</v>
      </c>
      <c r="E850">
        <v>34</v>
      </c>
      <c r="F850">
        <v>200042700</v>
      </c>
      <c r="G850" t="s">
        <v>29</v>
      </c>
      <c r="H850">
        <v>81</v>
      </c>
      <c r="I850">
        <v>71101060</v>
      </c>
      <c r="J850">
        <v>11500030</v>
      </c>
      <c r="K850" t="s">
        <v>30</v>
      </c>
      <c r="L850" s="4">
        <v>2733.35</v>
      </c>
      <c r="M850" t="s">
        <v>31</v>
      </c>
      <c r="N850" s="4">
        <v>2733.35</v>
      </c>
      <c r="O850" t="s">
        <v>31</v>
      </c>
      <c r="X850" t="s">
        <v>43</v>
      </c>
      <c r="Y850"/>
      <c r="Z850">
        <v>20200115</v>
      </c>
      <c r="AA850">
        <f t="shared" ref="AA850:AA913" si="14">L850</f>
        <v>2733.35</v>
      </c>
      <c r="AC850"/>
      <c r="AF850"/>
      <c r="AL850">
        <v>340212690</v>
      </c>
      <c r="AM850" t="s">
        <v>38</v>
      </c>
    </row>
    <row r="851" spans="1:39" x14ac:dyDescent="0.35">
      <c r="A851">
        <v>3406</v>
      </c>
      <c r="B851" t="s">
        <v>39</v>
      </c>
      <c r="C851">
        <v>2020</v>
      </c>
      <c r="D851" s="1">
        <v>43831</v>
      </c>
      <c r="E851">
        <v>2</v>
      </c>
      <c r="F851">
        <v>600013672</v>
      </c>
      <c r="G851" t="s">
        <v>29</v>
      </c>
      <c r="H851">
        <v>81</v>
      </c>
      <c r="I851">
        <v>71101060</v>
      </c>
      <c r="J851">
        <v>11500060</v>
      </c>
      <c r="K851" t="s">
        <v>30</v>
      </c>
      <c r="L851" s="4">
        <v>752.64</v>
      </c>
      <c r="M851" t="s">
        <v>31</v>
      </c>
      <c r="N851" s="4">
        <v>752.64</v>
      </c>
      <c r="O851" t="s">
        <v>31</v>
      </c>
      <c r="X851" t="s">
        <v>43</v>
      </c>
      <c r="Y851"/>
      <c r="Z851">
        <v>20200115</v>
      </c>
      <c r="AA851">
        <f t="shared" si="14"/>
        <v>752.64</v>
      </c>
      <c r="AC851"/>
      <c r="AF851"/>
      <c r="AL851">
        <v>340632290</v>
      </c>
      <c r="AM851" t="s">
        <v>112</v>
      </c>
    </row>
    <row r="852" spans="1:39" x14ac:dyDescent="0.35">
      <c r="A852">
        <v>3406</v>
      </c>
      <c r="B852" t="s">
        <v>39</v>
      </c>
      <c r="C852">
        <v>2020</v>
      </c>
      <c r="D852" s="1">
        <v>43831</v>
      </c>
      <c r="E852">
        <v>4</v>
      </c>
      <c r="F852">
        <v>600013672</v>
      </c>
      <c r="G852" t="s">
        <v>29</v>
      </c>
      <c r="H852">
        <v>81</v>
      </c>
      <c r="I852">
        <v>71101060</v>
      </c>
      <c r="J852">
        <v>11500060</v>
      </c>
      <c r="K852" t="s">
        <v>30</v>
      </c>
      <c r="L852" s="4">
        <v>121.2</v>
      </c>
      <c r="M852" t="s">
        <v>31</v>
      </c>
      <c r="N852" s="4">
        <v>121.2</v>
      </c>
      <c r="O852" t="s">
        <v>31</v>
      </c>
      <c r="X852" t="s">
        <v>43</v>
      </c>
      <c r="Y852"/>
      <c r="Z852">
        <v>20200115</v>
      </c>
      <c r="AA852">
        <f t="shared" si="14"/>
        <v>121.2</v>
      </c>
      <c r="AC852"/>
      <c r="AF852"/>
      <c r="AL852">
        <v>340632290</v>
      </c>
      <c r="AM852" t="s">
        <v>112</v>
      </c>
    </row>
    <row r="853" spans="1:39" x14ac:dyDescent="0.35">
      <c r="A853">
        <v>3406</v>
      </c>
      <c r="B853" t="s">
        <v>39</v>
      </c>
      <c r="C853">
        <v>2020</v>
      </c>
      <c r="D853" s="1">
        <v>43831</v>
      </c>
      <c r="E853">
        <v>6</v>
      </c>
      <c r="F853">
        <v>600013672</v>
      </c>
      <c r="G853" t="s">
        <v>29</v>
      </c>
      <c r="H853">
        <v>81</v>
      </c>
      <c r="I853">
        <v>71101060</v>
      </c>
      <c r="J853">
        <v>11500060</v>
      </c>
      <c r="K853" t="s">
        <v>30</v>
      </c>
      <c r="L853" s="4">
        <v>232.8</v>
      </c>
      <c r="M853" t="s">
        <v>31</v>
      </c>
      <c r="N853" s="4">
        <v>232.8</v>
      </c>
      <c r="O853" t="s">
        <v>31</v>
      </c>
      <c r="X853" t="s">
        <v>43</v>
      </c>
      <c r="Y853"/>
      <c r="Z853">
        <v>20200115</v>
      </c>
      <c r="AA853">
        <f t="shared" si="14"/>
        <v>232.8</v>
      </c>
      <c r="AC853"/>
      <c r="AF853"/>
      <c r="AL853">
        <v>340632290</v>
      </c>
      <c r="AM853" t="s">
        <v>112</v>
      </c>
    </row>
    <row r="854" spans="1:39" x14ac:dyDescent="0.35">
      <c r="A854">
        <v>3406</v>
      </c>
      <c r="B854" t="s">
        <v>39</v>
      </c>
      <c r="C854">
        <v>2020</v>
      </c>
      <c r="D854" s="1">
        <v>43831</v>
      </c>
      <c r="E854">
        <v>8</v>
      </c>
      <c r="F854">
        <v>600013672</v>
      </c>
      <c r="G854" t="s">
        <v>29</v>
      </c>
      <c r="H854">
        <v>81</v>
      </c>
      <c r="I854">
        <v>71101060</v>
      </c>
      <c r="J854">
        <v>11500060</v>
      </c>
      <c r="K854" t="s">
        <v>30</v>
      </c>
      <c r="L854" s="4">
        <v>456</v>
      </c>
      <c r="M854" t="s">
        <v>31</v>
      </c>
      <c r="N854" s="4">
        <v>456</v>
      </c>
      <c r="O854" t="s">
        <v>31</v>
      </c>
      <c r="X854" t="s">
        <v>43</v>
      </c>
      <c r="Y854"/>
      <c r="Z854">
        <v>20200115</v>
      </c>
      <c r="AA854">
        <f t="shared" si="14"/>
        <v>456</v>
      </c>
      <c r="AC854"/>
      <c r="AF854"/>
      <c r="AL854">
        <v>340632290</v>
      </c>
      <c r="AM854" t="s">
        <v>112</v>
      </c>
    </row>
    <row r="855" spans="1:39" x14ac:dyDescent="0.35">
      <c r="A855">
        <v>3402</v>
      </c>
      <c r="B855" t="s">
        <v>39</v>
      </c>
      <c r="C855">
        <v>2020</v>
      </c>
      <c r="D855" s="1">
        <v>43831</v>
      </c>
      <c r="E855">
        <v>10</v>
      </c>
      <c r="F855">
        <v>200042704</v>
      </c>
      <c r="G855" t="s">
        <v>29</v>
      </c>
      <c r="H855">
        <v>81</v>
      </c>
      <c r="I855">
        <v>71101060</v>
      </c>
      <c r="J855">
        <v>11500060</v>
      </c>
      <c r="K855" t="s">
        <v>30</v>
      </c>
      <c r="L855" s="4">
        <v>1047.3499999999999</v>
      </c>
      <c r="M855" t="s">
        <v>31</v>
      </c>
      <c r="N855" s="4">
        <v>1047.3499999999999</v>
      </c>
      <c r="O855" t="s">
        <v>31</v>
      </c>
      <c r="X855" t="s">
        <v>43</v>
      </c>
      <c r="Y855"/>
      <c r="Z855">
        <v>20200115</v>
      </c>
      <c r="AA855">
        <f t="shared" si="14"/>
        <v>1047.3499999999999</v>
      </c>
      <c r="AC855"/>
      <c r="AF855"/>
      <c r="AL855">
        <v>340212390</v>
      </c>
      <c r="AM855" t="s">
        <v>38</v>
      </c>
    </row>
    <row r="856" spans="1:39" x14ac:dyDescent="0.35">
      <c r="A856">
        <v>3402</v>
      </c>
      <c r="B856" t="s">
        <v>39</v>
      </c>
      <c r="C856">
        <v>2020</v>
      </c>
      <c r="D856" s="1">
        <v>43831</v>
      </c>
      <c r="E856">
        <v>12</v>
      </c>
      <c r="F856">
        <v>200042704</v>
      </c>
      <c r="G856" t="s">
        <v>29</v>
      </c>
      <c r="H856">
        <v>81</v>
      </c>
      <c r="I856">
        <v>71101060</v>
      </c>
      <c r="J856">
        <v>11500060</v>
      </c>
      <c r="K856" t="s">
        <v>30</v>
      </c>
      <c r="L856" s="4">
        <v>404.25</v>
      </c>
      <c r="M856" t="s">
        <v>31</v>
      </c>
      <c r="N856" s="4">
        <v>404.25</v>
      </c>
      <c r="O856" t="s">
        <v>31</v>
      </c>
      <c r="X856" t="s">
        <v>43</v>
      </c>
      <c r="Y856"/>
      <c r="Z856">
        <v>20200115</v>
      </c>
      <c r="AA856">
        <f t="shared" si="14"/>
        <v>404.25</v>
      </c>
      <c r="AC856"/>
      <c r="AF856"/>
      <c r="AL856">
        <v>340212390</v>
      </c>
      <c r="AM856" t="s">
        <v>38</v>
      </c>
    </row>
    <row r="857" spans="1:39" x14ac:dyDescent="0.35">
      <c r="A857">
        <v>3402</v>
      </c>
      <c r="B857" t="s">
        <v>39</v>
      </c>
      <c r="C857">
        <v>2020</v>
      </c>
      <c r="D857" s="1">
        <v>43831</v>
      </c>
      <c r="E857">
        <v>28</v>
      </c>
      <c r="F857">
        <v>200042704</v>
      </c>
      <c r="G857" t="s">
        <v>29</v>
      </c>
      <c r="H857">
        <v>81</v>
      </c>
      <c r="I857">
        <v>71101060</v>
      </c>
      <c r="J857">
        <v>11500060</v>
      </c>
      <c r="K857" t="s">
        <v>30</v>
      </c>
      <c r="L857" s="4">
        <v>9293.39</v>
      </c>
      <c r="M857" t="s">
        <v>31</v>
      </c>
      <c r="N857" s="4">
        <v>9293.39</v>
      </c>
      <c r="O857" t="s">
        <v>31</v>
      </c>
      <c r="X857" t="s">
        <v>43</v>
      </c>
      <c r="Y857"/>
      <c r="Z857">
        <v>20200115</v>
      </c>
      <c r="AA857">
        <f t="shared" si="14"/>
        <v>9293.39</v>
      </c>
      <c r="AC857"/>
      <c r="AF857"/>
      <c r="AL857">
        <v>340212390</v>
      </c>
      <c r="AM857" t="s">
        <v>38</v>
      </c>
    </row>
    <row r="858" spans="1:39" x14ac:dyDescent="0.35">
      <c r="A858">
        <v>3402</v>
      </c>
      <c r="B858" t="s">
        <v>39</v>
      </c>
      <c r="C858">
        <v>2020</v>
      </c>
      <c r="D858" s="1">
        <v>43831</v>
      </c>
      <c r="E858">
        <v>30</v>
      </c>
      <c r="F858">
        <v>200042704</v>
      </c>
      <c r="G858" t="s">
        <v>29</v>
      </c>
      <c r="H858">
        <v>81</v>
      </c>
      <c r="I858">
        <v>71101060</v>
      </c>
      <c r="J858">
        <v>11500060</v>
      </c>
      <c r="K858" t="s">
        <v>30</v>
      </c>
      <c r="L858" s="4">
        <v>1933.33</v>
      </c>
      <c r="M858" t="s">
        <v>31</v>
      </c>
      <c r="N858" s="4">
        <v>1933.33</v>
      </c>
      <c r="O858" t="s">
        <v>31</v>
      </c>
      <c r="X858" t="s">
        <v>43</v>
      </c>
      <c r="Y858"/>
      <c r="Z858">
        <v>20200115</v>
      </c>
      <c r="AA858">
        <f t="shared" si="14"/>
        <v>1933.33</v>
      </c>
      <c r="AC858"/>
      <c r="AF858"/>
      <c r="AL858">
        <v>340212390</v>
      </c>
      <c r="AM858" t="s">
        <v>38</v>
      </c>
    </row>
    <row r="859" spans="1:39" x14ac:dyDescent="0.35">
      <c r="A859">
        <v>3402</v>
      </c>
      <c r="B859" t="s">
        <v>39</v>
      </c>
      <c r="C859">
        <v>2020</v>
      </c>
      <c r="D859" s="1">
        <v>43831</v>
      </c>
      <c r="E859">
        <v>66</v>
      </c>
      <c r="F859">
        <v>200042704</v>
      </c>
      <c r="G859" t="s">
        <v>29</v>
      </c>
      <c r="H859">
        <v>81</v>
      </c>
      <c r="I859">
        <v>71101060</v>
      </c>
      <c r="J859">
        <v>11500060</v>
      </c>
      <c r="K859" t="s">
        <v>30</v>
      </c>
      <c r="L859" s="4">
        <v>1711.99</v>
      </c>
      <c r="M859" t="s">
        <v>31</v>
      </c>
      <c r="N859" s="4">
        <v>1711.99</v>
      </c>
      <c r="O859" t="s">
        <v>31</v>
      </c>
      <c r="X859" t="s">
        <v>43</v>
      </c>
      <c r="Y859"/>
      <c r="Z859">
        <v>20200115</v>
      </c>
      <c r="AA859">
        <f t="shared" si="14"/>
        <v>1711.99</v>
      </c>
      <c r="AC859"/>
      <c r="AF859"/>
      <c r="AL859">
        <v>340212390</v>
      </c>
      <c r="AM859" t="s">
        <v>38</v>
      </c>
    </row>
    <row r="860" spans="1:39" x14ac:dyDescent="0.35">
      <c r="A860">
        <v>3402</v>
      </c>
      <c r="B860" t="s">
        <v>39</v>
      </c>
      <c r="C860">
        <v>2020</v>
      </c>
      <c r="D860" s="1">
        <v>43831</v>
      </c>
      <c r="E860">
        <v>4</v>
      </c>
      <c r="F860">
        <v>200042710</v>
      </c>
      <c r="G860" t="s">
        <v>29</v>
      </c>
      <c r="H860">
        <v>81</v>
      </c>
      <c r="I860">
        <v>71101060</v>
      </c>
      <c r="J860">
        <v>11500060</v>
      </c>
      <c r="K860" t="s">
        <v>30</v>
      </c>
      <c r="L860" s="4">
        <v>112.08</v>
      </c>
      <c r="M860" t="s">
        <v>31</v>
      </c>
      <c r="N860" s="4">
        <v>112.08</v>
      </c>
      <c r="O860" t="s">
        <v>31</v>
      </c>
      <c r="X860" t="s">
        <v>43</v>
      </c>
      <c r="Y860"/>
      <c r="Z860">
        <v>20200115</v>
      </c>
      <c r="AA860">
        <f t="shared" si="14"/>
        <v>112.08</v>
      </c>
      <c r="AC860"/>
      <c r="AF860"/>
      <c r="AL860">
        <v>340212790</v>
      </c>
      <c r="AM860" t="s">
        <v>38</v>
      </c>
    </row>
    <row r="861" spans="1:39" x14ac:dyDescent="0.35">
      <c r="A861">
        <v>3402</v>
      </c>
      <c r="B861" t="s">
        <v>39</v>
      </c>
      <c r="C861">
        <v>2020</v>
      </c>
      <c r="D861" s="1">
        <v>43831</v>
      </c>
      <c r="E861">
        <v>6</v>
      </c>
      <c r="F861">
        <v>200042710</v>
      </c>
      <c r="G861" t="s">
        <v>29</v>
      </c>
      <c r="H861">
        <v>81</v>
      </c>
      <c r="I861">
        <v>71101060</v>
      </c>
      <c r="J861">
        <v>11500060</v>
      </c>
      <c r="K861" t="s">
        <v>30</v>
      </c>
      <c r="L861" s="4">
        <v>430</v>
      </c>
      <c r="M861" t="s">
        <v>31</v>
      </c>
      <c r="N861" s="4">
        <v>430</v>
      </c>
      <c r="O861" t="s">
        <v>31</v>
      </c>
      <c r="X861" t="s">
        <v>43</v>
      </c>
      <c r="Y861"/>
      <c r="Z861">
        <v>20200115</v>
      </c>
      <c r="AA861">
        <f t="shared" si="14"/>
        <v>430</v>
      </c>
      <c r="AC861"/>
      <c r="AF861"/>
      <c r="AL861">
        <v>340212790</v>
      </c>
      <c r="AM861" t="s">
        <v>38</v>
      </c>
    </row>
    <row r="862" spans="1:39" x14ac:dyDescent="0.35">
      <c r="A862">
        <v>3402</v>
      </c>
      <c r="B862" t="s">
        <v>39</v>
      </c>
      <c r="C862">
        <v>2020</v>
      </c>
      <c r="D862" s="1">
        <v>43831</v>
      </c>
      <c r="E862">
        <v>8</v>
      </c>
      <c r="F862">
        <v>200042710</v>
      </c>
      <c r="G862" t="s">
        <v>29</v>
      </c>
      <c r="H862">
        <v>81</v>
      </c>
      <c r="I862">
        <v>71101060</v>
      </c>
      <c r="J862">
        <v>11500060</v>
      </c>
      <c r="K862" t="s">
        <v>30</v>
      </c>
      <c r="L862" s="4">
        <v>210</v>
      </c>
      <c r="M862" t="s">
        <v>31</v>
      </c>
      <c r="N862" s="4">
        <v>210</v>
      </c>
      <c r="O862" t="s">
        <v>31</v>
      </c>
      <c r="X862" t="s">
        <v>43</v>
      </c>
      <c r="Y862"/>
      <c r="Z862">
        <v>20200115</v>
      </c>
      <c r="AA862">
        <f t="shared" si="14"/>
        <v>210</v>
      </c>
      <c r="AC862"/>
      <c r="AF862"/>
      <c r="AL862">
        <v>340212790</v>
      </c>
      <c r="AM862" t="s">
        <v>38</v>
      </c>
    </row>
    <row r="863" spans="1:39" x14ac:dyDescent="0.35">
      <c r="A863">
        <v>3402</v>
      </c>
      <c r="B863" t="s">
        <v>39</v>
      </c>
      <c r="C863">
        <v>2020</v>
      </c>
      <c r="D863" s="1">
        <v>43831</v>
      </c>
      <c r="E863">
        <v>10</v>
      </c>
      <c r="F863">
        <v>200042710</v>
      </c>
      <c r="G863" t="s">
        <v>29</v>
      </c>
      <c r="H863">
        <v>81</v>
      </c>
      <c r="I863">
        <v>71101060</v>
      </c>
      <c r="J863">
        <v>11500060</v>
      </c>
      <c r="K863" t="s">
        <v>30</v>
      </c>
      <c r="L863" s="4">
        <v>372.05</v>
      </c>
      <c r="M863" t="s">
        <v>31</v>
      </c>
      <c r="N863" s="4">
        <v>372.05</v>
      </c>
      <c r="O863" t="s">
        <v>31</v>
      </c>
      <c r="X863" t="s">
        <v>43</v>
      </c>
      <c r="Y863"/>
      <c r="Z863">
        <v>20200115</v>
      </c>
      <c r="AA863">
        <f t="shared" si="14"/>
        <v>372.05</v>
      </c>
      <c r="AC863"/>
      <c r="AF863"/>
      <c r="AL863">
        <v>340212790</v>
      </c>
      <c r="AM863" t="s">
        <v>38</v>
      </c>
    </row>
    <row r="864" spans="1:39" x14ac:dyDescent="0.35">
      <c r="A864">
        <v>3402</v>
      </c>
      <c r="B864" t="s">
        <v>39</v>
      </c>
      <c r="C864">
        <v>2020</v>
      </c>
      <c r="D864" s="1">
        <v>43831</v>
      </c>
      <c r="E864">
        <v>12</v>
      </c>
      <c r="F864">
        <v>200042710</v>
      </c>
      <c r="G864" t="s">
        <v>29</v>
      </c>
      <c r="H864">
        <v>81</v>
      </c>
      <c r="I864">
        <v>71101060</v>
      </c>
      <c r="J864">
        <v>11500060</v>
      </c>
      <c r="K864" t="s">
        <v>30</v>
      </c>
      <c r="L864" s="4">
        <v>16.09</v>
      </c>
      <c r="M864" t="s">
        <v>31</v>
      </c>
      <c r="N864" s="4">
        <v>16.09</v>
      </c>
      <c r="O864" t="s">
        <v>31</v>
      </c>
      <c r="X864" t="s">
        <v>43</v>
      </c>
      <c r="Y864"/>
      <c r="Z864">
        <v>20200115</v>
      </c>
      <c r="AA864">
        <f t="shared" si="14"/>
        <v>16.09</v>
      </c>
      <c r="AC864"/>
      <c r="AF864"/>
      <c r="AL864">
        <v>340212790</v>
      </c>
      <c r="AM864" t="s">
        <v>38</v>
      </c>
    </row>
    <row r="865" spans="1:39" x14ac:dyDescent="0.35">
      <c r="A865">
        <v>3402</v>
      </c>
      <c r="B865" t="s">
        <v>39</v>
      </c>
      <c r="C865">
        <v>2020</v>
      </c>
      <c r="D865" s="1">
        <v>43831</v>
      </c>
      <c r="E865">
        <v>14</v>
      </c>
      <c r="F865">
        <v>200042710</v>
      </c>
      <c r="G865" t="s">
        <v>29</v>
      </c>
      <c r="H865">
        <v>81</v>
      </c>
      <c r="I865">
        <v>71101060</v>
      </c>
      <c r="J865">
        <v>11500060</v>
      </c>
      <c r="K865" t="s">
        <v>30</v>
      </c>
      <c r="L865" s="4">
        <v>142</v>
      </c>
      <c r="M865" t="s">
        <v>31</v>
      </c>
      <c r="N865" s="4">
        <v>142</v>
      </c>
      <c r="O865" t="s">
        <v>31</v>
      </c>
      <c r="X865" t="s">
        <v>43</v>
      </c>
      <c r="Y865"/>
      <c r="Z865">
        <v>20200115</v>
      </c>
      <c r="AA865">
        <f t="shared" si="14"/>
        <v>142</v>
      </c>
      <c r="AC865"/>
      <c r="AF865"/>
      <c r="AL865">
        <v>340212790</v>
      </c>
      <c r="AM865" t="s">
        <v>38</v>
      </c>
    </row>
    <row r="866" spans="1:39" x14ac:dyDescent="0.35">
      <c r="A866">
        <v>3402</v>
      </c>
      <c r="B866" t="s">
        <v>39</v>
      </c>
      <c r="C866">
        <v>2020</v>
      </c>
      <c r="D866" s="1">
        <v>43831</v>
      </c>
      <c r="E866">
        <v>16</v>
      </c>
      <c r="F866">
        <v>200042710</v>
      </c>
      <c r="G866" t="s">
        <v>29</v>
      </c>
      <c r="H866">
        <v>81</v>
      </c>
      <c r="I866">
        <v>71101060</v>
      </c>
      <c r="J866">
        <v>11500060</v>
      </c>
      <c r="K866" t="s">
        <v>30</v>
      </c>
      <c r="L866" s="4">
        <v>142.33000000000001</v>
      </c>
      <c r="M866" t="s">
        <v>31</v>
      </c>
      <c r="N866" s="4">
        <v>142.33000000000001</v>
      </c>
      <c r="O866" t="s">
        <v>31</v>
      </c>
      <c r="X866" t="s">
        <v>43</v>
      </c>
      <c r="Y866"/>
      <c r="Z866">
        <v>20200115</v>
      </c>
      <c r="AA866">
        <f t="shared" si="14"/>
        <v>142.33000000000001</v>
      </c>
      <c r="AC866"/>
      <c r="AF866"/>
      <c r="AL866">
        <v>340212790</v>
      </c>
      <c r="AM866" t="s">
        <v>38</v>
      </c>
    </row>
    <row r="867" spans="1:39" x14ac:dyDescent="0.35">
      <c r="A867">
        <v>3402</v>
      </c>
      <c r="B867" t="s">
        <v>39</v>
      </c>
      <c r="C867">
        <v>2020</v>
      </c>
      <c r="D867" s="1">
        <v>43831</v>
      </c>
      <c r="E867">
        <v>18</v>
      </c>
      <c r="F867">
        <v>200042710</v>
      </c>
      <c r="G867" t="s">
        <v>29</v>
      </c>
      <c r="H867">
        <v>81</v>
      </c>
      <c r="I867">
        <v>71101060</v>
      </c>
      <c r="J867">
        <v>11500060</v>
      </c>
      <c r="K867" t="s">
        <v>30</v>
      </c>
      <c r="L867" s="4">
        <v>510</v>
      </c>
      <c r="M867" t="s">
        <v>31</v>
      </c>
      <c r="N867" s="4">
        <v>510</v>
      </c>
      <c r="O867" t="s">
        <v>31</v>
      </c>
      <c r="X867" t="s">
        <v>43</v>
      </c>
      <c r="Y867"/>
      <c r="Z867">
        <v>20200115</v>
      </c>
      <c r="AA867">
        <f t="shared" si="14"/>
        <v>510</v>
      </c>
      <c r="AC867"/>
      <c r="AF867"/>
      <c r="AL867">
        <v>340212790</v>
      </c>
      <c r="AM867" t="s">
        <v>38</v>
      </c>
    </row>
    <row r="868" spans="1:39" x14ac:dyDescent="0.35">
      <c r="A868">
        <v>3402</v>
      </c>
      <c r="B868" t="s">
        <v>39</v>
      </c>
      <c r="C868">
        <v>2020</v>
      </c>
      <c r="D868" s="1">
        <v>43831</v>
      </c>
      <c r="E868">
        <v>28</v>
      </c>
      <c r="F868">
        <v>200042710</v>
      </c>
      <c r="G868" t="s">
        <v>29</v>
      </c>
      <c r="H868">
        <v>81</v>
      </c>
      <c r="I868">
        <v>71101060</v>
      </c>
      <c r="J868">
        <v>11500060</v>
      </c>
      <c r="K868" t="s">
        <v>30</v>
      </c>
      <c r="L868" s="4">
        <v>1155.24</v>
      </c>
      <c r="M868" t="s">
        <v>31</v>
      </c>
      <c r="N868" s="4">
        <v>1155.24</v>
      </c>
      <c r="O868" t="s">
        <v>31</v>
      </c>
      <c r="X868" t="s">
        <v>43</v>
      </c>
      <c r="Y868"/>
      <c r="Z868">
        <v>20200115</v>
      </c>
      <c r="AA868">
        <f t="shared" si="14"/>
        <v>1155.24</v>
      </c>
      <c r="AC868"/>
      <c r="AF868"/>
      <c r="AL868">
        <v>340212790</v>
      </c>
      <c r="AM868" t="s">
        <v>38</v>
      </c>
    </row>
    <row r="869" spans="1:39" x14ac:dyDescent="0.35">
      <c r="A869">
        <v>3402</v>
      </c>
      <c r="B869" t="s">
        <v>39</v>
      </c>
      <c r="C869">
        <v>2020</v>
      </c>
      <c r="D869" s="1">
        <v>43831</v>
      </c>
      <c r="E869">
        <v>30</v>
      </c>
      <c r="F869">
        <v>200042710</v>
      </c>
      <c r="G869" t="s">
        <v>29</v>
      </c>
      <c r="H869">
        <v>81</v>
      </c>
      <c r="I869">
        <v>71101060</v>
      </c>
      <c r="J869">
        <v>11500060</v>
      </c>
      <c r="K869" t="s">
        <v>30</v>
      </c>
      <c r="L869" s="4">
        <v>5571.36</v>
      </c>
      <c r="M869" t="s">
        <v>31</v>
      </c>
      <c r="N869" s="4">
        <v>5571.36</v>
      </c>
      <c r="O869" t="s">
        <v>31</v>
      </c>
      <c r="X869" t="s">
        <v>43</v>
      </c>
      <c r="Y869"/>
      <c r="Z869">
        <v>20200115</v>
      </c>
      <c r="AA869">
        <f t="shared" si="14"/>
        <v>5571.36</v>
      </c>
      <c r="AC869"/>
      <c r="AF869"/>
      <c r="AL869">
        <v>340212790</v>
      </c>
      <c r="AM869" t="s">
        <v>38</v>
      </c>
    </row>
    <row r="870" spans="1:39" x14ac:dyDescent="0.35">
      <c r="A870">
        <v>3402</v>
      </c>
      <c r="B870" t="s">
        <v>39</v>
      </c>
      <c r="C870">
        <v>2020</v>
      </c>
      <c r="D870" s="1">
        <v>43831</v>
      </c>
      <c r="E870">
        <v>32</v>
      </c>
      <c r="F870">
        <v>200042710</v>
      </c>
      <c r="G870" t="s">
        <v>29</v>
      </c>
      <c r="H870">
        <v>81</v>
      </c>
      <c r="I870">
        <v>71101060</v>
      </c>
      <c r="J870">
        <v>11500060</v>
      </c>
      <c r="K870" t="s">
        <v>30</v>
      </c>
      <c r="L870" s="4">
        <v>2910.06</v>
      </c>
      <c r="M870" t="s">
        <v>31</v>
      </c>
      <c r="N870" s="4">
        <v>2910.06</v>
      </c>
      <c r="O870" t="s">
        <v>31</v>
      </c>
      <c r="X870" t="s">
        <v>43</v>
      </c>
      <c r="Y870"/>
      <c r="Z870">
        <v>20200115</v>
      </c>
      <c r="AA870">
        <f t="shared" si="14"/>
        <v>2910.06</v>
      </c>
      <c r="AC870"/>
      <c r="AF870"/>
      <c r="AL870">
        <v>340212790</v>
      </c>
      <c r="AM870" t="s">
        <v>38</v>
      </c>
    </row>
    <row r="871" spans="1:39" x14ac:dyDescent="0.35">
      <c r="A871">
        <v>3402</v>
      </c>
      <c r="B871" t="s">
        <v>39</v>
      </c>
      <c r="C871">
        <v>2020</v>
      </c>
      <c r="D871" s="1">
        <v>43831</v>
      </c>
      <c r="E871">
        <v>34</v>
      </c>
      <c r="F871">
        <v>200042710</v>
      </c>
      <c r="G871" t="s">
        <v>29</v>
      </c>
      <c r="H871">
        <v>81</v>
      </c>
      <c r="I871">
        <v>71101060</v>
      </c>
      <c r="J871">
        <v>11500060</v>
      </c>
      <c r="K871" t="s">
        <v>30</v>
      </c>
      <c r="L871" s="4">
        <v>1973.16</v>
      </c>
      <c r="M871" t="s">
        <v>31</v>
      </c>
      <c r="N871" s="4">
        <v>1973.16</v>
      </c>
      <c r="O871" t="s">
        <v>31</v>
      </c>
      <c r="X871" t="s">
        <v>43</v>
      </c>
      <c r="Y871"/>
      <c r="Z871">
        <v>20200115</v>
      </c>
      <c r="AA871">
        <f t="shared" si="14"/>
        <v>1973.16</v>
      </c>
      <c r="AC871"/>
      <c r="AF871"/>
      <c r="AL871">
        <v>340212790</v>
      </c>
      <c r="AM871" t="s">
        <v>38</v>
      </c>
    </row>
    <row r="872" spans="1:39" x14ac:dyDescent="0.35">
      <c r="A872">
        <v>3402</v>
      </c>
      <c r="B872" t="s">
        <v>39</v>
      </c>
      <c r="C872">
        <v>2020</v>
      </c>
      <c r="D872" s="1">
        <v>43831</v>
      </c>
      <c r="E872">
        <v>36</v>
      </c>
      <c r="F872">
        <v>200042710</v>
      </c>
      <c r="G872" t="s">
        <v>29</v>
      </c>
      <c r="H872">
        <v>81</v>
      </c>
      <c r="I872">
        <v>71101060</v>
      </c>
      <c r="J872">
        <v>11500060</v>
      </c>
      <c r="K872" t="s">
        <v>30</v>
      </c>
      <c r="L872" s="4">
        <v>8095.5</v>
      </c>
      <c r="M872" t="s">
        <v>31</v>
      </c>
      <c r="N872" s="4">
        <v>8095.5</v>
      </c>
      <c r="O872" t="s">
        <v>31</v>
      </c>
      <c r="X872" t="s">
        <v>43</v>
      </c>
      <c r="Y872"/>
      <c r="Z872">
        <v>20200115</v>
      </c>
      <c r="AA872">
        <f t="shared" si="14"/>
        <v>8095.5</v>
      </c>
      <c r="AC872"/>
      <c r="AF872"/>
      <c r="AL872">
        <v>340212790</v>
      </c>
      <c r="AM872" t="s">
        <v>38</v>
      </c>
    </row>
    <row r="873" spans="1:39" x14ac:dyDescent="0.35">
      <c r="A873">
        <v>3402</v>
      </c>
      <c r="B873" t="s">
        <v>39</v>
      </c>
      <c r="C873">
        <v>2020</v>
      </c>
      <c r="D873" s="1">
        <v>43831</v>
      </c>
      <c r="E873">
        <v>40</v>
      </c>
      <c r="F873">
        <v>200042710</v>
      </c>
      <c r="G873" t="s">
        <v>29</v>
      </c>
      <c r="H873">
        <v>81</v>
      </c>
      <c r="I873">
        <v>71101060</v>
      </c>
      <c r="J873">
        <v>11500060</v>
      </c>
      <c r="K873" t="s">
        <v>30</v>
      </c>
      <c r="L873" s="4">
        <v>48.66</v>
      </c>
      <c r="M873" t="s">
        <v>31</v>
      </c>
      <c r="N873" s="4">
        <v>48.66</v>
      </c>
      <c r="O873" t="s">
        <v>31</v>
      </c>
      <c r="X873" t="s">
        <v>43</v>
      </c>
      <c r="Y873"/>
      <c r="Z873">
        <v>20200115</v>
      </c>
      <c r="AA873">
        <f t="shared" si="14"/>
        <v>48.66</v>
      </c>
      <c r="AC873"/>
      <c r="AF873"/>
      <c r="AL873">
        <v>340212790</v>
      </c>
      <c r="AM873" t="s">
        <v>38</v>
      </c>
    </row>
    <row r="874" spans="1:39" x14ac:dyDescent="0.35">
      <c r="A874">
        <v>3402</v>
      </c>
      <c r="B874" t="s">
        <v>39</v>
      </c>
      <c r="C874">
        <v>2020</v>
      </c>
      <c r="D874" s="1">
        <v>43831</v>
      </c>
      <c r="E874">
        <v>44</v>
      </c>
      <c r="F874">
        <v>200042710</v>
      </c>
      <c r="G874" t="s">
        <v>29</v>
      </c>
      <c r="H874">
        <v>81</v>
      </c>
      <c r="I874">
        <v>71101060</v>
      </c>
      <c r="J874">
        <v>11500060</v>
      </c>
      <c r="K874" t="s">
        <v>30</v>
      </c>
      <c r="L874" s="4">
        <v>4920.03</v>
      </c>
      <c r="M874" t="s">
        <v>31</v>
      </c>
      <c r="N874" s="4">
        <v>4920.03</v>
      </c>
      <c r="O874" t="s">
        <v>31</v>
      </c>
      <c r="X874" t="s">
        <v>43</v>
      </c>
      <c r="Y874"/>
      <c r="Z874">
        <v>20200115</v>
      </c>
      <c r="AA874">
        <f t="shared" si="14"/>
        <v>4920.03</v>
      </c>
      <c r="AC874"/>
      <c r="AF874"/>
      <c r="AL874">
        <v>340212790</v>
      </c>
      <c r="AM874" t="s">
        <v>38</v>
      </c>
    </row>
    <row r="875" spans="1:39" x14ac:dyDescent="0.35">
      <c r="A875">
        <v>3402</v>
      </c>
      <c r="B875" t="s">
        <v>39</v>
      </c>
      <c r="C875">
        <v>2020</v>
      </c>
      <c r="D875" s="1">
        <v>43831</v>
      </c>
      <c r="E875">
        <v>72</v>
      </c>
      <c r="F875">
        <v>200042710</v>
      </c>
      <c r="G875" t="s">
        <v>29</v>
      </c>
      <c r="H875">
        <v>81</v>
      </c>
      <c r="I875">
        <v>71101060</v>
      </c>
      <c r="J875">
        <v>11500060</v>
      </c>
      <c r="K875" t="s">
        <v>30</v>
      </c>
      <c r="L875" s="4">
        <v>1712</v>
      </c>
      <c r="M875" t="s">
        <v>31</v>
      </c>
      <c r="N875" s="4">
        <v>1712</v>
      </c>
      <c r="O875" t="s">
        <v>31</v>
      </c>
      <c r="X875" t="s">
        <v>43</v>
      </c>
      <c r="Y875"/>
      <c r="Z875">
        <v>20200115</v>
      </c>
      <c r="AA875">
        <f t="shared" si="14"/>
        <v>1712</v>
      </c>
      <c r="AC875"/>
      <c r="AF875"/>
      <c r="AL875">
        <v>340212790</v>
      </c>
      <c r="AM875" t="s">
        <v>38</v>
      </c>
    </row>
    <row r="876" spans="1:39" x14ac:dyDescent="0.35">
      <c r="A876">
        <v>3402</v>
      </c>
      <c r="B876" t="s">
        <v>39</v>
      </c>
      <c r="C876">
        <v>2020</v>
      </c>
      <c r="D876" s="1">
        <v>43831</v>
      </c>
      <c r="E876">
        <v>8</v>
      </c>
      <c r="F876">
        <v>200042727</v>
      </c>
      <c r="G876" t="s">
        <v>29</v>
      </c>
      <c r="H876">
        <v>81</v>
      </c>
      <c r="I876">
        <v>71101060</v>
      </c>
      <c r="J876">
        <v>11500060</v>
      </c>
      <c r="K876" t="s">
        <v>30</v>
      </c>
      <c r="L876" s="4">
        <v>36080.22</v>
      </c>
      <c r="M876" t="s">
        <v>31</v>
      </c>
      <c r="N876" s="4">
        <v>36080.22</v>
      </c>
      <c r="O876" t="s">
        <v>31</v>
      </c>
      <c r="X876" t="s">
        <v>43</v>
      </c>
      <c r="Y876"/>
      <c r="Z876">
        <v>20200115</v>
      </c>
      <c r="AA876">
        <f t="shared" si="14"/>
        <v>36080.22</v>
      </c>
      <c r="AC876"/>
      <c r="AF876"/>
      <c r="AL876">
        <v>340212890</v>
      </c>
      <c r="AM876" t="s">
        <v>46</v>
      </c>
    </row>
    <row r="877" spans="1:39" x14ac:dyDescent="0.35">
      <c r="A877">
        <v>3402</v>
      </c>
      <c r="B877" t="s">
        <v>39</v>
      </c>
      <c r="C877">
        <v>2020</v>
      </c>
      <c r="D877" s="1">
        <v>43831</v>
      </c>
      <c r="E877">
        <v>10</v>
      </c>
      <c r="F877">
        <v>200042727</v>
      </c>
      <c r="G877" t="s">
        <v>29</v>
      </c>
      <c r="H877">
        <v>81</v>
      </c>
      <c r="I877">
        <v>71101060</v>
      </c>
      <c r="J877">
        <v>11500060</v>
      </c>
      <c r="K877" t="s">
        <v>30</v>
      </c>
      <c r="L877" s="4">
        <v>3037.22</v>
      </c>
      <c r="M877" t="s">
        <v>31</v>
      </c>
      <c r="N877" s="4">
        <v>3037.22</v>
      </c>
      <c r="O877" t="s">
        <v>31</v>
      </c>
      <c r="X877" t="s">
        <v>43</v>
      </c>
      <c r="Y877"/>
      <c r="Z877">
        <v>20200115</v>
      </c>
      <c r="AA877">
        <f t="shared" si="14"/>
        <v>3037.22</v>
      </c>
      <c r="AC877"/>
      <c r="AF877"/>
      <c r="AL877">
        <v>340212890</v>
      </c>
      <c r="AM877" t="s">
        <v>46</v>
      </c>
    </row>
    <row r="878" spans="1:39" x14ac:dyDescent="0.35">
      <c r="A878">
        <v>3402</v>
      </c>
      <c r="B878" t="s">
        <v>39</v>
      </c>
      <c r="C878">
        <v>2020</v>
      </c>
      <c r="D878" s="1">
        <v>43831</v>
      </c>
      <c r="E878">
        <v>12</v>
      </c>
      <c r="F878">
        <v>200042727</v>
      </c>
      <c r="G878" t="s">
        <v>29</v>
      </c>
      <c r="H878">
        <v>81</v>
      </c>
      <c r="I878">
        <v>71101060</v>
      </c>
      <c r="J878">
        <v>11500060</v>
      </c>
      <c r="K878" t="s">
        <v>30</v>
      </c>
      <c r="L878" s="4">
        <v>145.97999999999999</v>
      </c>
      <c r="M878" t="s">
        <v>31</v>
      </c>
      <c r="N878" s="4">
        <v>145.97999999999999</v>
      </c>
      <c r="O878" t="s">
        <v>31</v>
      </c>
      <c r="X878" t="s">
        <v>43</v>
      </c>
      <c r="Y878"/>
      <c r="Z878">
        <v>20200115</v>
      </c>
      <c r="AA878">
        <f t="shared" si="14"/>
        <v>145.97999999999999</v>
      </c>
      <c r="AC878"/>
      <c r="AF878"/>
      <c r="AL878">
        <v>340212890</v>
      </c>
      <c r="AM878" t="s">
        <v>46</v>
      </c>
    </row>
    <row r="879" spans="1:39" x14ac:dyDescent="0.35">
      <c r="A879">
        <v>3402</v>
      </c>
      <c r="B879" t="s">
        <v>39</v>
      </c>
      <c r="C879">
        <v>2020</v>
      </c>
      <c r="D879" s="1">
        <v>43831</v>
      </c>
      <c r="E879">
        <v>18</v>
      </c>
      <c r="F879">
        <v>200042727</v>
      </c>
      <c r="G879" t="s">
        <v>29</v>
      </c>
      <c r="H879">
        <v>81</v>
      </c>
      <c r="I879">
        <v>71101060</v>
      </c>
      <c r="J879">
        <v>11500060</v>
      </c>
      <c r="K879" t="s">
        <v>30</v>
      </c>
      <c r="L879" s="4">
        <v>16191</v>
      </c>
      <c r="M879" t="s">
        <v>31</v>
      </c>
      <c r="N879" s="4">
        <v>16191</v>
      </c>
      <c r="O879" t="s">
        <v>31</v>
      </c>
      <c r="X879" t="s">
        <v>43</v>
      </c>
      <c r="Y879"/>
      <c r="Z879">
        <v>20200115</v>
      </c>
      <c r="AA879">
        <f t="shared" si="14"/>
        <v>16191</v>
      </c>
      <c r="AC879"/>
      <c r="AF879"/>
      <c r="AL879">
        <v>340212890</v>
      </c>
      <c r="AM879" t="s">
        <v>46</v>
      </c>
    </row>
    <row r="880" spans="1:39" x14ac:dyDescent="0.35">
      <c r="A880">
        <v>3402</v>
      </c>
      <c r="B880" t="s">
        <v>39</v>
      </c>
      <c r="C880">
        <v>2020</v>
      </c>
      <c r="D880" s="1">
        <v>43831</v>
      </c>
      <c r="E880">
        <v>20</v>
      </c>
      <c r="F880">
        <v>200042727</v>
      </c>
      <c r="G880" t="s">
        <v>29</v>
      </c>
      <c r="H880">
        <v>81</v>
      </c>
      <c r="I880">
        <v>71101060</v>
      </c>
      <c r="J880">
        <v>11500060</v>
      </c>
      <c r="K880" t="s">
        <v>30</v>
      </c>
      <c r="L880" s="4">
        <v>11838.96</v>
      </c>
      <c r="M880" t="s">
        <v>31</v>
      </c>
      <c r="N880" s="4">
        <v>11838.96</v>
      </c>
      <c r="O880" t="s">
        <v>31</v>
      </c>
      <c r="X880" t="s">
        <v>43</v>
      </c>
      <c r="Y880"/>
      <c r="Z880">
        <v>20200115</v>
      </c>
      <c r="AA880">
        <f t="shared" si="14"/>
        <v>11838.96</v>
      </c>
      <c r="AC880"/>
      <c r="AF880"/>
      <c r="AL880">
        <v>340212890</v>
      </c>
      <c r="AM880" t="s">
        <v>46</v>
      </c>
    </row>
    <row r="881" spans="1:39" x14ac:dyDescent="0.35">
      <c r="A881">
        <v>3402</v>
      </c>
      <c r="B881" t="s">
        <v>39</v>
      </c>
      <c r="C881">
        <v>2020</v>
      </c>
      <c r="D881" s="1">
        <v>43831</v>
      </c>
      <c r="E881">
        <v>22</v>
      </c>
      <c r="F881">
        <v>200042727</v>
      </c>
      <c r="G881" t="s">
        <v>29</v>
      </c>
      <c r="H881">
        <v>81</v>
      </c>
      <c r="I881">
        <v>71101060</v>
      </c>
      <c r="J881">
        <v>11500060</v>
      </c>
      <c r="K881" t="s">
        <v>30</v>
      </c>
      <c r="L881" s="4">
        <v>61111.26</v>
      </c>
      <c r="M881" t="s">
        <v>31</v>
      </c>
      <c r="N881" s="4">
        <v>61111.26</v>
      </c>
      <c r="O881" t="s">
        <v>31</v>
      </c>
      <c r="X881" t="s">
        <v>43</v>
      </c>
      <c r="Y881"/>
      <c r="Z881">
        <v>20200115</v>
      </c>
      <c r="AA881">
        <f t="shared" si="14"/>
        <v>61111.26</v>
      </c>
      <c r="AC881"/>
      <c r="AF881"/>
      <c r="AL881">
        <v>340212890</v>
      </c>
      <c r="AM881" t="s">
        <v>46</v>
      </c>
    </row>
    <row r="882" spans="1:39" x14ac:dyDescent="0.35">
      <c r="A882">
        <v>3402</v>
      </c>
      <c r="B882" t="s">
        <v>39</v>
      </c>
      <c r="C882">
        <v>2020</v>
      </c>
      <c r="D882" s="1">
        <v>43831</v>
      </c>
      <c r="E882">
        <v>24</v>
      </c>
      <c r="F882">
        <v>200042727</v>
      </c>
      <c r="G882" t="s">
        <v>29</v>
      </c>
      <c r="H882">
        <v>81</v>
      </c>
      <c r="I882">
        <v>71101060</v>
      </c>
      <c r="J882">
        <v>11500060</v>
      </c>
      <c r="K882" t="s">
        <v>30</v>
      </c>
      <c r="L882" s="4">
        <v>14441.25</v>
      </c>
      <c r="M882" t="s">
        <v>31</v>
      </c>
      <c r="N882" s="4">
        <v>14441.25</v>
      </c>
      <c r="O882" t="s">
        <v>31</v>
      </c>
      <c r="X882" t="s">
        <v>43</v>
      </c>
      <c r="Y882"/>
      <c r="Z882">
        <v>20200115</v>
      </c>
      <c r="AA882">
        <f t="shared" si="14"/>
        <v>14441.25</v>
      </c>
      <c r="AC882"/>
      <c r="AF882"/>
      <c r="AL882">
        <v>340212890</v>
      </c>
      <c r="AM882" t="s">
        <v>46</v>
      </c>
    </row>
    <row r="883" spans="1:39" x14ac:dyDescent="0.35">
      <c r="A883">
        <v>3402</v>
      </c>
      <c r="B883" t="s">
        <v>39</v>
      </c>
      <c r="C883">
        <v>2020</v>
      </c>
      <c r="D883" s="1">
        <v>43831</v>
      </c>
      <c r="E883">
        <v>26</v>
      </c>
      <c r="F883">
        <v>200042727</v>
      </c>
      <c r="G883" t="s">
        <v>29</v>
      </c>
      <c r="H883">
        <v>81</v>
      </c>
      <c r="I883">
        <v>71101060</v>
      </c>
      <c r="J883">
        <v>11500060</v>
      </c>
      <c r="K883" t="s">
        <v>30</v>
      </c>
      <c r="L883" s="4">
        <v>4693.3500000000004</v>
      </c>
      <c r="M883" t="s">
        <v>31</v>
      </c>
      <c r="N883" s="4">
        <v>4693.3500000000004</v>
      </c>
      <c r="O883" t="s">
        <v>31</v>
      </c>
      <c r="X883" t="s">
        <v>43</v>
      </c>
      <c r="Y883"/>
      <c r="Z883">
        <v>20200115</v>
      </c>
      <c r="AA883">
        <f t="shared" si="14"/>
        <v>4693.3500000000004</v>
      </c>
      <c r="AC883"/>
      <c r="AF883"/>
      <c r="AL883">
        <v>340212890</v>
      </c>
      <c r="AM883" t="s">
        <v>46</v>
      </c>
    </row>
    <row r="884" spans="1:39" x14ac:dyDescent="0.35">
      <c r="A884">
        <v>3402</v>
      </c>
      <c r="B884" t="s">
        <v>39</v>
      </c>
      <c r="C884">
        <v>2020</v>
      </c>
      <c r="D884" s="1">
        <v>43831</v>
      </c>
      <c r="E884">
        <v>28</v>
      </c>
      <c r="F884">
        <v>200042727</v>
      </c>
      <c r="G884" t="s">
        <v>29</v>
      </c>
      <c r="H884">
        <v>81</v>
      </c>
      <c r="I884">
        <v>71101060</v>
      </c>
      <c r="J884">
        <v>11500060</v>
      </c>
      <c r="K884" t="s">
        <v>30</v>
      </c>
      <c r="L884" s="4">
        <v>11142.72</v>
      </c>
      <c r="M884" t="s">
        <v>31</v>
      </c>
      <c r="N884" s="4">
        <v>11142.72</v>
      </c>
      <c r="O884" t="s">
        <v>31</v>
      </c>
      <c r="X884" t="s">
        <v>43</v>
      </c>
      <c r="Y884"/>
      <c r="Z884">
        <v>20200115</v>
      </c>
      <c r="AA884">
        <f t="shared" si="14"/>
        <v>11142.72</v>
      </c>
      <c r="AC884"/>
      <c r="AF884"/>
      <c r="AL884">
        <v>340212890</v>
      </c>
      <c r="AM884" t="s">
        <v>46</v>
      </c>
    </row>
    <row r="885" spans="1:39" x14ac:dyDescent="0.35">
      <c r="A885">
        <v>3402</v>
      </c>
      <c r="B885" t="s">
        <v>39</v>
      </c>
      <c r="C885">
        <v>2020</v>
      </c>
      <c r="D885" s="1">
        <v>43831</v>
      </c>
      <c r="E885">
        <v>30</v>
      </c>
      <c r="F885">
        <v>200042727</v>
      </c>
      <c r="G885" t="s">
        <v>29</v>
      </c>
      <c r="H885">
        <v>81</v>
      </c>
      <c r="I885">
        <v>71101060</v>
      </c>
      <c r="J885">
        <v>11500060</v>
      </c>
      <c r="K885" t="s">
        <v>30</v>
      </c>
      <c r="L885" s="4">
        <v>7130.28</v>
      </c>
      <c r="M885" t="s">
        <v>31</v>
      </c>
      <c r="N885" s="4">
        <v>7130.28</v>
      </c>
      <c r="O885" t="s">
        <v>31</v>
      </c>
      <c r="X885" t="s">
        <v>43</v>
      </c>
      <c r="Y885"/>
      <c r="Z885">
        <v>20200115</v>
      </c>
      <c r="AA885">
        <f t="shared" si="14"/>
        <v>7130.28</v>
      </c>
      <c r="AC885"/>
      <c r="AF885"/>
      <c r="AL885">
        <v>340212890</v>
      </c>
      <c r="AM885" t="s">
        <v>46</v>
      </c>
    </row>
    <row r="886" spans="1:39" x14ac:dyDescent="0.35">
      <c r="A886">
        <v>3402</v>
      </c>
      <c r="B886" t="s">
        <v>39</v>
      </c>
      <c r="C886">
        <v>2020</v>
      </c>
      <c r="D886" s="1">
        <v>43831</v>
      </c>
      <c r="E886">
        <v>32</v>
      </c>
      <c r="F886">
        <v>200042727</v>
      </c>
      <c r="G886" t="s">
        <v>29</v>
      </c>
      <c r="H886">
        <v>81</v>
      </c>
      <c r="I886">
        <v>71101060</v>
      </c>
      <c r="J886">
        <v>11500060</v>
      </c>
      <c r="K886" t="s">
        <v>30</v>
      </c>
      <c r="L886" s="4">
        <v>1319.13</v>
      </c>
      <c r="M886" t="s">
        <v>31</v>
      </c>
      <c r="N886" s="4">
        <v>1319.13</v>
      </c>
      <c r="O886" t="s">
        <v>31</v>
      </c>
      <c r="X886" t="s">
        <v>43</v>
      </c>
      <c r="Y886"/>
      <c r="Z886">
        <v>20200115</v>
      </c>
      <c r="AA886">
        <f t="shared" si="14"/>
        <v>1319.13</v>
      </c>
      <c r="AC886"/>
      <c r="AF886"/>
      <c r="AL886">
        <v>340212890</v>
      </c>
      <c r="AM886" t="s">
        <v>46</v>
      </c>
    </row>
    <row r="887" spans="1:39" x14ac:dyDescent="0.35">
      <c r="A887">
        <v>3402</v>
      </c>
      <c r="B887" t="s">
        <v>39</v>
      </c>
      <c r="C887">
        <v>2020</v>
      </c>
      <c r="D887" s="1">
        <v>43831</v>
      </c>
      <c r="E887">
        <v>34</v>
      </c>
      <c r="F887">
        <v>200042727</v>
      </c>
      <c r="G887" t="s">
        <v>29</v>
      </c>
      <c r="H887">
        <v>81</v>
      </c>
      <c r="I887">
        <v>71101060</v>
      </c>
      <c r="J887">
        <v>11500060</v>
      </c>
      <c r="K887" t="s">
        <v>30</v>
      </c>
      <c r="L887" s="4">
        <v>4620.96</v>
      </c>
      <c r="M887" t="s">
        <v>31</v>
      </c>
      <c r="N887" s="4">
        <v>4620.96</v>
      </c>
      <c r="O887" t="s">
        <v>31</v>
      </c>
      <c r="X887" t="s">
        <v>43</v>
      </c>
      <c r="Y887"/>
      <c r="Z887">
        <v>20200115</v>
      </c>
      <c r="AA887">
        <f t="shared" si="14"/>
        <v>4620.96</v>
      </c>
      <c r="AC887"/>
      <c r="AF887"/>
      <c r="AL887">
        <v>340212890</v>
      </c>
      <c r="AM887" t="s">
        <v>46</v>
      </c>
    </row>
    <row r="888" spans="1:39" x14ac:dyDescent="0.35">
      <c r="A888">
        <v>3402</v>
      </c>
      <c r="B888" t="s">
        <v>39</v>
      </c>
      <c r="C888">
        <v>2020</v>
      </c>
      <c r="D888" s="1">
        <v>43831</v>
      </c>
      <c r="E888">
        <v>36</v>
      </c>
      <c r="F888">
        <v>200042727</v>
      </c>
      <c r="G888" t="s">
        <v>29</v>
      </c>
      <c r="H888">
        <v>81</v>
      </c>
      <c r="I888">
        <v>71101060</v>
      </c>
      <c r="J888">
        <v>11500060</v>
      </c>
      <c r="K888" t="s">
        <v>30</v>
      </c>
      <c r="L888" s="4">
        <v>9585</v>
      </c>
      <c r="M888" t="s">
        <v>31</v>
      </c>
      <c r="N888" s="4">
        <v>9585</v>
      </c>
      <c r="O888" t="s">
        <v>31</v>
      </c>
      <c r="X888" t="s">
        <v>43</v>
      </c>
      <c r="Y888"/>
      <c r="Z888">
        <v>20200115</v>
      </c>
      <c r="AA888">
        <f t="shared" si="14"/>
        <v>9585</v>
      </c>
      <c r="AC888"/>
      <c r="AF888"/>
      <c r="AL888">
        <v>340212890</v>
      </c>
      <c r="AM888" t="s">
        <v>46</v>
      </c>
    </row>
    <row r="889" spans="1:39" x14ac:dyDescent="0.35">
      <c r="A889">
        <v>3402</v>
      </c>
      <c r="B889" t="s">
        <v>39</v>
      </c>
      <c r="C889">
        <v>2020</v>
      </c>
      <c r="D889" s="1">
        <v>43831</v>
      </c>
      <c r="E889">
        <v>50</v>
      </c>
      <c r="F889">
        <v>200042727</v>
      </c>
      <c r="G889" t="s">
        <v>29</v>
      </c>
      <c r="H889">
        <v>81</v>
      </c>
      <c r="I889">
        <v>71101060</v>
      </c>
      <c r="J889">
        <v>11500060</v>
      </c>
      <c r="K889" t="s">
        <v>30</v>
      </c>
      <c r="L889" s="4">
        <v>3060</v>
      </c>
      <c r="M889" t="s">
        <v>31</v>
      </c>
      <c r="N889" s="4">
        <v>3060</v>
      </c>
      <c r="O889" t="s">
        <v>31</v>
      </c>
      <c r="X889" t="s">
        <v>43</v>
      </c>
      <c r="Y889"/>
      <c r="Z889">
        <v>20200115</v>
      </c>
      <c r="AA889">
        <f t="shared" si="14"/>
        <v>3060</v>
      </c>
      <c r="AC889"/>
      <c r="AF889"/>
      <c r="AL889">
        <v>340212890</v>
      </c>
      <c r="AM889" t="s">
        <v>46</v>
      </c>
    </row>
    <row r="890" spans="1:39" x14ac:dyDescent="0.35">
      <c r="A890">
        <v>3402</v>
      </c>
      <c r="B890" t="s">
        <v>39</v>
      </c>
      <c r="C890">
        <v>2020</v>
      </c>
      <c r="D890" s="1">
        <v>43831</v>
      </c>
      <c r="E890">
        <v>52</v>
      </c>
      <c r="F890">
        <v>200042727</v>
      </c>
      <c r="G890" t="s">
        <v>29</v>
      </c>
      <c r="H890">
        <v>81</v>
      </c>
      <c r="I890">
        <v>71101060</v>
      </c>
      <c r="J890">
        <v>11500060</v>
      </c>
      <c r="K890" t="s">
        <v>30</v>
      </c>
      <c r="L890" s="4">
        <v>580</v>
      </c>
      <c r="M890" t="s">
        <v>31</v>
      </c>
      <c r="N890" s="4">
        <v>580</v>
      </c>
      <c r="O890" t="s">
        <v>31</v>
      </c>
      <c r="X890" t="s">
        <v>43</v>
      </c>
      <c r="Y890"/>
      <c r="Z890">
        <v>20200115</v>
      </c>
      <c r="AA890">
        <f t="shared" si="14"/>
        <v>580</v>
      </c>
      <c r="AC890"/>
      <c r="AF890"/>
      <c r="AL890">
        <v>340212890</v>
      </c>
      <c r="AM890" t="s">
        <v>46</v>
      </c>
    </row>
    <row r="891" spans="1:39" x14ac:dyDescent="0.35">
      <c r="A891">
        <v>3402</v>
      </c>
      <c r="B891" t="s">
        <v>39</v>
      </c>
      <c r="C891">
        <v>2020</v>
      </c>
      <c r="D891" s="1">
        <v>43831</v>
      </c>
      <c r="E891">
        <v>54</v>
      </c>
      <c r="F891">
        <v>200042727</v>
      </c>
      <c r="G891" t="s">
        <v>29</v>
      </c>
      <c r="H891">
        <v>81</v>
      </c>
      <c r="I891">
        <v>71101060</v>
      </c>
      <c r="J891">
        <v>11500060</v>
      </c>
      <c r="K891" t="s">
        <v>30</v>
      </c>
      <c r="L891" s="4">
        <v>852</v>
      </c>
      <c r="M891" t="s">
        <v>31</v>
      </c>
      <c r="N891" s="4">
        <v>852</v>
      </c>
      <c r="O891" t="s">
        <v>31</v>
      </c>
      <c r="X891" t="s">
        <v>43</v>
      </c>
      <c r="Y891"/>
      <c r="Z891">
        <v>20200115</v>
      </c>
      <c r="AA891">
        <f t="shared" si="14"/>
        <v>852</v>
      </c>
      <c r="AC891"/>
      <c r="AF891"/>
      <c r="AL891">
        <v>340212890</v>
      </c>
      <c r="AM891" t="s">
        <v>46</v>
      </c>
    </row>
    <row r="892" spans="1:39" x14ac:dyDescent="0.35">
      <c r="A892">
        <v>3402</v>
      </c>
      <c r="B892" t="s">
        <v>39</v>
      </c>
      <c r="C892">
        <v>2020</v>
      </c>
      <c r="D892" s="1">
        <v>43831</v>
      </c>
      <c r="E892">
        <v>56</v>
      </c>
      <c r="F892">
        <v>200042727</v>
      </c>
      <c r="G892" t="s">
        <v>29</v>
      </c>
      <c r="H892">
        <v>81</v>
      </c>
      <c r="I892">
        <v>71101060</v>
      </c>
      <c r="J892">
        <v>11500060</v>
      </c>
      <c r="K892" t="s">
        <v>30</v>
      </c>
      <c r="L892" s="4">
        <v>568</v>
      </c>
      <c r="M892" t="s">
        <v>31</v>
      </c>
      <c r="N892" s="4">
        <v>568</v>
      </c>
      <c r="O892" t="s">
        <v>31</v>
      </c>
      <c r="X892" t="s">
        <v>43</v>
      </c>
      <c r="Y892"/>
      <c r="Z892">
        <v>20200115</v>
      </c>
      <c r="AA892">
        <f t="shared" si="14"/>
        <v>568</v>
      </c>
      <c r="AC892"/>
      <c r="AF892"/>
      <c r="AL892">
        <v>340212890</v>
      </c>
      <c r="AM892" t="s">
        <v>46</v>
      </c>
    </row>
    <row r="893" spans="1:39" x14ac:dyDescent="0.35">
      <c r="A893">
        <v>3402</v>
      </c>
      <c r="B893" t="s">
        <v>39</v>
      </c>
      <c r="C893">
        <v>2020</v>
      </c>
      <c r="D893" s="1">
        <v>43831</v>
      </c>
      <c r="E893">
        <v>58</v>
      </c>
      <c r="F893">
        <v>200042727</v>
      </c>
      <c r="G893" t="s">
        <v>29</v>
      </c>
      <c r="H893">
        <v>81</v>
      </c>
      <c r="I893">
        <v>71101060</v>
      </c>
      <c r="J893">
        <v>11500060</v>
      </c>
      <c r="K893" t="s">
        <v>30</v>
      </c>
      <c r="L893" s="4">
        <v>710</v>
      </c>
      <c r="M893" t="s">
        <v>31</v>
      </c>
      <c r="N893" s="4">
        <v>710</v>
      </c>
      <c r="O893" t="s">
        <v>31</v>
      </c>
      <c r="X893" t="s">
        <v>43</v>
      </c>
      <c r="Y893"/>
      <c r="Z893">
        <v>20200115</v>
      </c>
      <c r="AA893">
        <f t="shared" si="14"/>
        <v>710</v>
      </c>
      <c r="AC893"/>
      <c r="AF893"/>
      <c r="AL893">
        <v>340212890</v>
      </c>
      <c r="AM893" t="s">
        <v>46</v>
      </c>
    </row>
    <row r="894" spans="1:39" x14ac:dyDescent="0.35">
      <c r="A894">
        <v>3402</v>
      </c>
      <c r="B894" t="s">
        <v>39</v>
      </c>
      <c r="C894">
        <v>2020</v>
      </c>
      <c r="D894" s="1">
        <v>43831</v>
      </c>
      <c r="E894">
        <v>60</v>
      </c>
      <c r="F894">
        <v>200042727</v>
      </c>
      <c r="G894" t="s">
        <v>29</v>
      </c>
      <c r="H894">
        <v>81</v>
      </c>
      <c r="I894">
        <v>71101060</v>
      </c>
      <c r="J894">
        <v>11500060</v>
      </c>
      <c r="K894" t="s">
        <v>30</v>
      </c>
      <c r="L894" s="4">
        <v>426</v>
      </c>
      <c r="M894" t="s">
        <v>31</v>
      </c>
      <c r="N894" s="4">
        <v>426</v>
      </c>
      <c r="O894" t="s">
        <v>31</v>
      </c>
      <c r="X894" t="s">
        <v>43</v>
      </c>
      <c r="Y894"/>
      <c r="Z894">
        <v>20200115</v>
      </c>
      <c r="AA894">
        <f t="shared" si="14"/>
        <v>426</v>
      </c>
      <c r="AC894"/>
      <c r="AF894"/>
      <c r="AL894">
        <v>340212890</v>
      </c>
      <c r="AM894" t="s">
        <v>46</v>
      </c>
    </row>
    <row r="895" spans="1:39" x14ac:dyDescent="0.35">
      <c r="A895">
        <v>3402</v>
      </c>
      <c r="B895" t="s">
        <v>39</v>
      </c>
      <c r="C895">
        <v>2020</v>
      </c>
      <c r="D895" s="1">
        <v>43831</v>
      </c>
      <c r="E895">
        <v>62</v>
      </c>
      <c r="F895">
        <v>200042727</v>
      </c>
      <c r="G895" t="s">
        <v>29</v>
      </c>
      <c r="H895">
        <v>81</v>
      </c>
      <c r="I895">
        <v>71101060</v>
      </c>
      <c r="J895">
        <v>11500060</v>
      </c>
      <c r="K895" t="s">
        <v>30</v>
      </c>
      <c r="L895" s="4">
        <v>852</v>
      </c>
      <c r="M895" t="s">
        <v>31</v>
      </c>
      <c r="N895" s="4">
        <v>852</v>
      </c>
      <c r="O895" t="s">
        <v>31</v>
      </c>
      <c r="X895" t="s">
        <v>43</v>
      </c>
      <c r="Y895"/>
      <c r="Z895">
        <v>20200115</v>
      </c>
      <c r="AA895">
        <f t="shared" si="14"/>
        <v>852</v>
      </c>
      <c r="AC895"/>
      <c r="AF895"/>
      <c r="AL895">
        <v>340212890</v>
      </c>
      <c r="AM895" t="s">
        <v>46</v>
      </c>
    </row>
    <row r="896" spans="1:39" x14ac:dyDescent="0.35">
      <c r="A896">
        <v>3402</v>
      </c>
      <c r="B896" t="s">
        <v>39</v>
      </c>
      <c r="C896">
        <v>2020</v>
      </c>
      <c r="D896" s="1">
        <v>43831</v>
      </c>
      <c r="E896">
        <v>64</v>
      </c>
      <c r="F896">
        <v>200042727</v>
      </c>
      <c r="G896" t="s">
        <v>29</v>
      </c>
      <c r="H896">
        <v>81</v>
      </c>
      <c r="I896">
        <v>71101060</v>
      </c>
      <c r="J896">
        <v>11500060</v>
      </c>
      <c r="K896" t="s">
        <v>30</v>
      </c>
      <c r="L896" s="4">
        <v>32.99</v>
      </c>
      <c r="M896" t="s">
        <v>31</v>
      </c>
      <c r="N896" s="4">
        <v>32.99</v>
      </c>
      <c r="O896" t="s">
        <v>31</v>
      </c>
      <c r="X896" t="s">
        <v>43</v>
      </c>
      <c r="Y896"/>
      <c r="Z896">
        <v>20200115</v>
      </c>
      <c r="AA896">
        <f t="shared" si="14"/>
        <v>32.99</v>
      </c>
      <c r="AC896"/>
      <c r="AF896"/>
      <c r="AL896">
        <v>340212890</v>
      </c>
      <c r="AM896" t="s">
        <v>46</v>
      </c>
    </row>
    <row r="897" spans="1:39" x14ac:dyDescent="0.35">
      <c r="A897">
        <v>3402</v>
      </c>
      <c r="B897" t="s">
        <v>39</v>
      </c>
      <c r="C897">
        <v>2020</v>
      </c>
      <c r="D897" s="1">
        <v>43831</v>
      </c>
      <c r="E897">
        <v>66</v>
      </c>
      <c r="F897">
        <v>200042727</v>
      </c>
      <c r="G897" t="s">
        <v>29</v>
      </c>
      <c r="H897">
        <v>81</v>
      </c>
      <c r="I897">
        <v>71101060</v>
      </c>
      <c r="J897">
        <v>11500060</v>
      </c>
      <c r="K897" t="s">
        <v>30</v>
      </c>
      <c r="L897" s="4">
        <v>42</v>
      </c>
      <c r="M897" t="s">
        <v>31</v>
      </c>
      <c r="N897" s="4">
        <v>42</v>
      </c>
      <c r="O897" t="s">
        <v>31</v>
      </c>
      <c r="X897" t="s">
        <v>43</v>
      </c>
      <c r="Y897"/>
      <c r="Z897">
        <v>20200115</v>
      </c>
      <c r="AA897">
        <f t="shared" si="14"/>
        <v>42</v>
      </c>
      <c r="AC897"/>
      <c r="AF897"/>
      <c r="AL897">
        <v>340212890</v>
      </c>
      <c r="AM897" t="s">
        <v>46</v>
      </c>
    </row>
    <row r="898" spans="1:39" x14ac:dyDescent="0.35">
      <c r="A898">
        <v>3402</v>
      </c>
      <c r="B898" t="s">
        <v>39</v>
      </c>
      <c r="C898">
        <v>2020</v>
      </c>
      <c r="D898" s="1">
        <v>43831</v>
      </c>
      <c r="E898">
        <v>68</v>
      </c>
      <c r="F898">
        <v>200042727</v>
      </c>
      <c r="G898" t="s">
        <v>29</v>
      </c>
      <c r="H898">
        <v>81</v>
      </c>
      <c r="I898">
        <v>71101060</v>
      </c>
      <c r="J898">
        <v>11500060</v>
      </c>
      <c r="K898" t="s">
        <v>30</v>
      </c>
      <c r="L898" s="4">
        <v>2480.3200000000002</v>
      </c>
      <c r="M898" t="s">
        <v>31</v>
      </c>
      <c r="N898" s="4">
        <v>2480.3200000000002</v>
      </c>
      <c r="O898" t="s">
        <v>31</v>
      </c>
      <c r="X898" t="s">
        <v>43</v>
      </c>
      <c r="Y898"/>
      <c r="Z898">
        <v>20200115</v>
      </c>
      <c r="AA898">
        <f t="shared" si="14"/>
        <v>2480.3200000000002</v>
      </c>
      <c r="AC898"/>
      <c r="AF898"/>
      <c r="AL898">
        <v>340212890</v>
      </c>
      <c r="AM898" t="s">
        <v>46</v>
      </c>
    </row>
    <row r="899" spans="1:39" x14ac:dyDescent="0.35">
      <c r="A899">
        <v>3402</v>
      </c>
      <c r="B899" t="s">
        <v>39</v>
      </c>
      <c r="C899">
        <v>2020</v>
      </c>
      <c r="D899" s="1">
        <v>43831</v>
      </c>
      <c r="E899">
        <v>70</v>
      </c>
      <c r="F899">
        <v>200042727</v>
      </c>
      <c r="G899" t="s">
        <v>29</v>
      </c>
      <c r="H899">
        <v>81</v>
      </c>
      <c r="I899">
        <v>71101060</v>
      </c>
      <c r="J899">
        <v>11500060</v>
      </c>
      <c r="K899" t="s">
        <v>30</v>
      </c>
      <c r="L899" s="4">
        <v>1200</v>
      </c>
      <c r="M899" t="s">
        <v>31</v>
      </c>
      <c r="N899" s="4">
        <v>1200</v>
      </c>
      <c r="O899" t="s">
        <v>31</v>
      </c>
      <c r="X899" t="s">
        <v>43</v>
      </c>
      <c r="Y899"/>
      <c r="Z899">
        <v>20200115</v>
      </c>
      <c r="AA899">
        <f t="shared" si="14"/>
        <v>1200</v>
      </c>
      <c r="AC899"/>
      <c r="AF899"/>
      <c r="AL899">
        <v>340212890</v>
      </c>
      <c r="AM899" t="s">
        <v>46</v>
      </c>
    </row>
    <row r="900" spans="1:39" x14ac:dyDescent="0.35">
      <c r="A900">
        <v>3402</v>
      </c>
      <c r="B900" t="s">
        <v>39</v>
      </c>
      <c r="C900">
        <v>2020</v>
      </c>
      <c r="D900" s="1">
        <v>43831</v>
      </c>
      <c r="E900">
        <v>72</v>
      </c>
      <c r="F900">
        <v>200042727</v>
      </c>
      <c r="G900" t="s">
        <v>29</v>
      </c>
      <c r="H900">
        <v>81</v>
      </c>
      <c r="I900">
        <v>71101060</v>
      </c>
      <c r="J900">
        <v>11500060</v>
      </c>
      <c r="K900" t="s">
        <v>30</v>
      </c>
      <c r="L900" s="4">
        <v>3440</v>
      </c>
      <c r="M900" t="s">
        <v>31</v>
      </c>
      <c r="N900" s="4">
        <v>3440</v>
      </c>
      <c r="O900" t="s">
        <v>31</v>
      </c>
      <c r="X900" t="s">
        <v>43</v>
      </c>
      <c r="Y900"/>
      <c r="Z900">
        <v>20200115</v>
      </c>
      <c r="AA900">
        <f t="shared" si="14"/>
        <v>3440</v>
      </c>
      <c r="AC900"/>
      <c r="AF900"/>
      <c r="AL900">
        <v>340212890</v>
      </c>
      <c r="AM900" t="s">
        <v>46</v>
      </c>
    </row>
    <row r="901" spans="1:39" x14ac:dyDescent="0.35">
      <c r="A901">
        <v>3402</v>
      </c>
      <c r="B901" t="s">
        <v>39</v>
      </c>
      <c r="C901">
        <v>2020</v>
      </c>
      <c r="D901" s="1">
        <v>43831</v>
      </c>
      <c r="E901">
        <v>74</v>
      </c>
      <c r="F901">
        <v>200042727</v>
      </c>
      <c r="G901" t="s">
        <v>29</v>
      </c>
      <c r="H901">
        <v>81</v>
      </c>
      <c r="I901">
        <v>71101060</v>
      </c>
      <c r="J901">
        <v>11500060</v>
      </c>
      <c r="K901" t="s">
        <v>30</v>
      </c>
      <c r="L901" s="4">
        <v>51</v>
      </c>
      <c r="M901" t="s">
        <v>31</v>
      </c>
      <c r="N901" s="4">
        <v>51</v>
      </c>
      <c r="O901" t="s">
        <v>31</v>
      </c>
      <c r="X901" t="s">
        <v>43</v>
      </c>
      <c r="Y901"/>
      <c r="Z901">
        <v>20200115</v>
      </c>
      <c r="AA901">
        <f t="shared" si="14"/>
        <v>51</v>
      </c>
      <c r="AC901"/>
      <c r="AF901"/>
      <c r="AL901">
        <v>340212890</v>
      </c>
      <c r="AM901" t="s">
        <v>46</v>
      </c>
    </row>
    <row r="902" spans="1:39" x14ac:dyDescent="0.35">
      <c r="A902">
        <v>3402</v>
      </c>
      <c r="B902" t="s">
        <v>39</v>
      </c>
      <c r="C902">
        <v>2020</v>
      </c>
      <c r="D902" s="1">
        <v>43831</v>
      </c>
      <c r="E902">
        <v>76</v>
      </c>
      <c r="F902">
        <v>200042727</v>
      </c>
      <c r="G902" t="s">
        <v>29</v>
      </c>
      <c r="H902">
        <v>81</v>
      </c>
      <c r="I902">
        <v>71101060</v>
      </c>
      <c r="J902">
        <v>11500060</v>
      </c>
      <c r="K902" t="s">
        <v>30</v>
      </c>
      <c r="L902" s="4">
        <v>224.17</v>
      </c>
      <c r="M902" t="s">
        <v>31</v>
      </c>
      <c r="N902" s="4">
        <v>224.17</v>
      </c>
      <c r="O902" t="s">
        <v>31</v>
      </c>
      <c r="X902" t="s">
        <v>43</v>
      </c>
      <c r="Y902"/>
      <c r="Z902">
        <v>20200115</v>
      </c>
      <c r="AA902">
        <f t="shared" si="14"/>
        <v>224.17</v>
      </c>
      <c r="AC902"/>
      <c r="AF902"/>
      <c r="AL902">
        <v>340212890</v>
      </c>
      <c r="AM902" t="s">
        <v>46</v>
      </c>
    </row>
    <row r="903" spans="1:39" x14ac:dyDescent="0.35">
      <c r="A903">
        <v>3402</v>
      </c>
      <c r="B903" t="s">
        <v>39</v>
      </c>
      <c r="C903">
        <v>2020</v>
      </c>
      <c r="D903" s="1">
        <v>43831</v>
      </c>
      <c r="E903">
        <v>80</v>
      </c>
      <c r="F903">
        <v>200042727</v>
      </c>
      <c r="G903" t="s">
        <v>29</v>
      </c>
      <c r="H903">
        <v>81</v>
      </c>
      <c r="I903">
        <v>71101060</v>
      </c>
      <c r="J903">
        <v>11500060</v>
      </c>
      <c r="K903" t="s">
        <v>30</v>
      </c>
      <c r="L903" s="4">
        <v>1177</v>
      </c>
      <c r="M903" t="s">
        <v>31</v>
      </c>
      <c r="N903" s="4">
        <v>1177</v>
      </c>
      <c r="O903" t="s">
        <v>31</v>
      </c>
      <c r="X903" t="s">
        <v>43</v>
      </c>
      <c r="Y903"/>
      <c r="Z903">
        <v>20200115</v>
      </c>
      <c r="AA903">
        <f t="shared" si="14"/>
        <v>1177</v>
      </c>
      <c r="AC903"/>
      <c r="AF903"/>
      <c r="AL903">
        <v>340212890</v>
      </c>
      <c r="AM903" t="s">
        <v>46</v>
      </c>
    </row>
    <row r="904" spans="1:39" x14ac:dyDescent="0.35">
      <c r="A904">
        <v>3402</v>
      </c>
      <c r="B904" t="s">
        <v>39</v>
      </c>
      <c r="C904">
        <v>2020</v>
      </c>
      <c r="D904" s="1">
        <v>43831</v>
      </c>
      <c r="E904">
        <v>34</v>
      </c>
      <c r="F904">
        <v>200042737</v>
      </c>
      <c r="G904" t="s">
        <v>29</v>
      </c>
      <c r="H904">
        <v>81</v>
      </c>
      <c r="I904">
        <v>71101060</v>
      </c>
      <c r="J904">
        <v>11500060</v>
      </c>
      <c r="K904" t="s">
        <v>30</v>
      </c>
      <c r="L904" s="4">
        <v>1177</v>
      </c>
      <c r="M904" t="s">
        <v>31</v>
      </c>
      <c r="N904" s="4">
        <v>1177</v>
      </c>
      <c r="O904" t="s">
        <v>31</v>
      </c>
      <c r="X904" t="s">
        <v>43</v>
      </c>
      <c r="Y904"/>
      <c r="Z904">
        <v>20200115</v>
      </c>
      <c r="AA904">
        <f t="shared" si="14"/>
        <v>1177</v>
      </c>
      <c r="AC904"/>
      <c r="AF904"/>
      <c r="AL904">
        <v>340212490</v>
      </c>
      <c r="AM904" t="s">
        <v>46</v>
      </c>
    </row>
    <row r="905" spans="1:39" x14ac:dyDescent="0.35">
      <c r="A905">
        <v>3402</v>
      </c>
      <c r="B905" t="s">
        <v>39</v>
      </c>
      <c r="C905">
        <v>2020</v>
      </c>
      <c r="D905" s="1">
        <v>43831</v>
      </c>
      <c r="E905">
        <v>76</v>
      </c>
      <c r="F905">
        <v>200042737</v>
      </c>
      <c r="G905" t="s">
        <v>29</v>
      </c>
      <c r="H905">
        <v>81</v>
      </c>
      <c r="I905">
        <v>71101060</v>
      </c>
      <c r="J905">
        <v>11500060</v>
      </c>
      <c r="K905" t="s">
        <v>30</v>
      </c>
      <c r="L905" s="4">
        <v>16736.849999999999</v>
      </c>
      <c r="M905" t="s">
        <v>31</v>
      </c>
      <c r="N905" s="4">
        <v>16736.849999999999</v>
      </c>
      <c r="O905" t="s">
        <v>31</v>
      </c>
      <c r="X905" t="s">
        <v>43</v>
      </c>
      <c r="Y905"/>
      <c r="Z905">
        <v>20200115</v>
      </c>
      <c r="AA905">
        <f t="shared" si="14"/>
        <v>16736.849999999999</v>
      </c>
      <c r="AC905"/>
      <c r="AF905"/>
      <c r="AL905">
        <v>340212490</v>
      </c>
      <c r="AM905" t="s">
        <v>46</v>
      </c>
    </row>
    <row r="906" spans="1:39" x14ac:dyDescent="0.35">
      <c r="A906">
        <v>3402</v>
      </c>
      <c r="B906" t="s">
        <v>39</v>
      </c>
      <c r="C906">
        <v>2020</v>
      </c>
      <c r="D906" s="1">
        <v>43831</v>
      </c>
      <c r="E906">
        <v>78</v>
      </c>
      <c r="F906">
        <v>200042737</v>
      </c>
      <c r="G906" t="s">
        <v>29</v>
      </c>
      <c r="H906">
        <v>81</v>
      </c>
      <c r="I906">
        <v>71101060</v>
      </c>
      <c r="J906">
        <v>11500060</v>
      </c>
      <c r="K906" t="s">
        <v>30</v>
      </c>
      <c r="L906" s="4">
        <v>15466.64</v>
      </c>
      <c r="M906" t="s">
        <v>31</v>
      </c>
      <c r="N906" s="4">
        <v>15466.64</v>
      </c>
      <c r="O906" t="s">
        <v>31</v>
      </c>
      <c r="X906" t="s">
        <v>43</v>
      </c>
      <c r="Y906"/>
      <c r="Z906">
        <v>20200115</v>
      </c>
      <c r="AA906">
        <f t="shared" si="14"/>
        <v>15466.64</v>
      </c>
      <c r="AC906"/>
      <c r="AF906"/>
      <c r="AL906">
        <v>340212490</v>
      </c>
      <c r="AM906" t="s">
        <v>46</v>
      </c>
    </row>
    <row r="907" spans="1:39" x14ac:dyDescent="0.35">
      <c r="A907">
        <v>3402</v>
      </c>
      <c r="B907" t="s">
        <v>39</v>
      </c>
      <c r="C907">
        <v>2020</v>
      </c>
      <c r="D907" s="1">
        <v>43831</v>
      </c>
      <c r="E907">
        <v>94</v>
      </c>
      <c r="F907">
        <v>200042737</v>
      </c>
      <c r="G907" t="s">
        <v>29</v>
      </c>
      <c r="H907">
        <v>81</v>
      </c>
      <c r="I907">
        <v>71101060</v>
      </c>
      <c r="J907">
        <v>11500060</v>
      </c>
      <c r="K907" t="s">
        <v>30</v>
      </c>
      <c r="L907" s="4">
        <v>14909.99</v>
      </c>
      <c r="M907" t="s">
        <v>31</v>
      </c>
      <c r="N907" s="4">
        <v>14909.99</v>
      </c>
      <c r="O907" t="s">
        <v>31</v>
      </c>
      <c r="X907" t="s">
        <v>43</v>
      </c>
      <c r="Y907"/>
      <c r="Z907">
        <v>20200115</v>
      </c>
      <c r="AA907">
        <f t="shared" si="14"/>
        <v>14909.99</v>
      </c>
      <c r="AC907"/>
      <c r="AF907"/>
      <c r="AL907">
        <v>340212490</v>
      </c>
      <c r="AM907" t="s">
        <v>46</v>
      </c>
    </row>
    <row r="908" spans="1:39" x14ac:dyDescent="0.35">
      <c r="A908">
        <v>3406</v>
      </c>
      <c r="B908" t="s">
        <v>39</v>
      </c>
      <c r="C908">
        <v>2020</v>
      </c>
      <c r="D908" s="1">
        <v>43831</v>
      </c>
      <c r="E908">
        <v>2</v>
      </c>
      <c r="F908">
        <v>600013700</v>
      </c>
      <c r="G908" t="s">
        <v>29</v>
      </c>
      <c r="H908">
        <v>81</v>
      </c>
      <c r="I908">
        <v>71101060</v>
      </c>
      <c r="J908">
        <v>11500060</v>
      </c>
      <c r="K908" t="s">
        <v>30</v>
      </c>
      <c r="L908" s="4">
        <v>1120</v>
      </c>
      <c r="M908" t="s">
        <v>31</v>
      </c>
      <c r="N908" s="4">
        <v>1120</v>
      </c>
      <c r="O908" t="s">
        <v>31</v>
      </c>
      <c r="X908" t="s">
        <v>43</v>
      </c>
      <c r="Y908"/>
      <c r="Z908">
        <v>20200115</v>
      </c>
      <c r="AA908">
        <f t="shared" si="14"/>
        <v>1120</v>
      </c>
      <c r="AC908"/>
      <c r="AF908"/>
      <c r="AL908">
        <v>340612490</v>
      </c>
      <c r="AM908" t="s">
        <v>36</v>
      </c>
    </row>
    <row r="909" spans="1:39" x14ac:dyDescent="0.35">
      <c r="A909">
        <v>3406</v>
      </c>
      <c r="B909" t="s">
        <v>39</v>
      </c>
      <c r="C909">
        <v>2020</v>
      </c>
      <c r="D909" s="1">
        <v>43831</v>
      </c>
      <c r="E909">
        <v>24</v>
      </c>
      <c r="F909">
        <v>600013700</v>
      </c>
      <c r="G909" t="s">
        <v>29</v>
      </c>
      <c r="H909">
        <v>81</v>
      </c>
      <c r="I909">
        <v>71101060</v>
      </c>
      <c r="J909">
        <v>11500060</v>
      </c>
      <c r="K909" t="s">
        <v>30</v>
      </c>
      <c r="L909" s="4">
        <v>1284</v>
      </c>
      <c r="M909" t="s">
        <v>31</v>
      </c>
      <c r="N909" s="4">
        <v>1284</v>
      </c>
      <c r="O909" t="s">
        <v>31</v>
      </c>
      <c r="X909" t="s">
        <v>43</v>
      </c>
      <c r="Y909"/>
      <c r="Z909">
        <v>20200115</v>
      </c>
      <c r="AA909">
        <f t="shared" si="14"/>
        <v>1284</v>
      </c>
      <c r="AC909"/>
      <c r="AF909"/>
      <c r="AL909">
        <v>340612490</v>
      </c>
      <c r="AM909" t="s">
        <v>36</v>
      </c>
    </row>
    <row r="910" spans="1:39" x14ac:dyDescent="0.35">
      <c r="A910">
        <v>3406</v>
      </c>
      <c r="B910" t="s">
        <v>39</v>
      </c>
      <c r="C910">
        <v>2020</v>
      </c>
      <c r="D910" s="1">
        <v>43831</v>
      </c>
      <c r="E910">
        <v>2</v>
      </c>
      <c r="F910">
        <v>600013701</v>
      </c>
      <c r="G910" t="s">
        <v>29</v>
      </c>
      <c r="H910">
        <v>81</v>
      </c>
      <c r="I910">
        <v>71101060</v>
      </c>
      <c r="J910">
        <v>11500060</v>
      </c>
      <c r="K910" t="s">
        <v>30</v>
      </c>
      <c r="L910" s="4">
        <v>1640.01</v>
      </c>
      <c r="M910" t="s">
        <v>31</v>
      </c>
      <c r="N910" s="4">
        <v>1640.01</v>
      </c>
      <c r="O910" t="s">
        <v>31</v>
      </c>
      <c r="X910" t="s">
        <v>43</v>
      </c>
      <c r="Y910"/>
      <c r="Z910">
        <v>20200115</v>
      </c>
      <c r="AA910">
        <f t="shared" si="14"/>
        <v>1640.01</v>
      </c>
      <c r="AC910"/>
      <c r="AF910"/>
      <c r="AL910">
        <v>340612790</v>
      </c>
      <c r="AM910" t="s">
        <v>36</v>
      </c>
    </row>
    <row r="911" spans="1:39" x14ac:dyDescent="0.35">
      <c r="A911">
        <v>3406</v>
      </c>
      <c r="B911" t="s">
        <v>39</v>
      </c>
      <c r="C911">
        <v>2020</v>
      </c>
      <c r="D911" s="1">
        <v>43831</v>
      </c>
      <c r="E911">
        <v>24</v>
      </c>
      <c r="F911">
        <v>600013701</v>
      </c>
      <c r="G911" t="s">
        <v>29</v>
      </c>
      <c r="H911">
        <v>81</v>
      </c>
      <c r="I911">
        <v>71101060</v>
      </c>
      <c r="J911">
        <v>11500060</v>
      </c>
      <c r="K911" t="s">
        <v>30</v>
      </c>
      <c r="L911" s="4">
        <v>535</v>
      </c>
      <c r="M911" t="s">
        <v>31</v>
      </c>
      <c r="N911" s="4">
        <v>535</v>
      </c>
      <c r="O911" t="s">
        <v>31</v>
      </c>
      <c r="X911" t="s">
        <v>43</v>
      </c>
      <c r="Y911"/>
      <c r="Z911">
        <v>20200115</v>
      </c>
      <c r="AA911">
        <f t="shared" si="14"/>
        <v>535</v>
      </c>
      <c r="AC911"/>
      <c r="AF911"/>
      <c r="AL911">
        <v>340612790</v>
      </c>
      <c r="AM911" t="s">
        <v>36</v>
      </c>
    </row>
    <row r="912" spans="1:39" x14ac:dyDescent="0.35">
      <c r="A912">
        <v>3406</v>
      </c>
      <c r="B912" t="s">
        <v>39</v>
      </c>
      <c r="C912">
        <v>2020</v>
      </c>
      <c r="D912" s="1">
        <v>43831</v>
      </c>
      <c r="E912">
        <v>8</v>
      </c>
      <c r="F912">
        <v>600013703</v>
      </c>
      <c r="G912" t="s">
        <v>29</v>
      </c>
      <c r="H912">
        <v>81</v>
      </c>
      <c r="I912">
        <v>71101060</v>
      </c>
      <c r="J912">
        <v>11500030</v>
      </c>
      <c r="K912" t="s">
        <v>30</v>
      </c>
      <c r="L912" s="4">
        <v>1462.98</v>
      </c>
      <c r="M912" t="s">
        <v>31</v>
      </c>
      <c r="N912" s="4">
        <v>1462.98</v>
      </c>
      <c r="O912" t="s">
        <v>31</v>
      </c>
      <c r="X912" t="s">
        <v>43</v>
      </c>
      <c r="Y912"/>
      <c r="Z912">
        <v>20200115</v>
      </c>
      <c r="AA912">
        <f t="shared" si="14"/>
        <v>1462.98</v>
      </c>
      <c r="AC912"/>
      <c r="AF912"/>
      <c r="AL912">
        <v>340612590</v>
      </c>
      <c r="AM912" t="s">
        <v>36</v>
      </c>
    </row>
    <row r="913" spans="1:39" x14ac:dyDescent="0.35">
      <c r="A913">
        <v>3406</v>
      </c>
      <c r="B913" t="s">
        <v>39</v>
      </c>
      <c r="C913">
        <v>2020</v>
      </c>
      <c r="D913" s="1">
        <v>43831</v>
      </c>
      <c r="E913">
        <v>2</v>
      </c>
      <c r="F913">
        <v>600013704</v>
      </c>
      <c r="G913" t="s">
        <v>29</v>
      </c>
      <c r="H913">
        <v>81</v>
      </c>
      <c r="I913">
        <v>71101060</v>
      </c>
      <c r="J913">
        <v>11500060</v>
      </c>
      <c r="K913" t="s">
        <v>30</v>
      </c>
      <c r="L913" s="4">
        <v>1462.98</v>
      </c>
      <c r="M913" t="s">
        <v>31</v>
      </c>
      <c r="N913" s="4">
        <v>1462.98</v>
      </c>
      <c r="O913" t="s">
        <v>31</v>
      </c>
      <c r="X913" t="s">
        <v>43</v>
      </c>
      <c r="Y913"/>
      <c r="Z913">
        <v>20200115</v>
      </c>
      <c r="AA913">
        <f t="shared" si="14"/>
        <v>1462.98</v>
      </c>
      <c r="AC913"/>
      <c r="AF913"/>
      <c r="AL913">
        <v>340612590</v>
      </c>
      <c r="AM913" t="s">
        <v>36</v>
      </c>
    </row>
    <row r="914" spans="1:39" x14ac:dyDescent="0.35">
      <c r="A914">
        <v>3406</v>
      </c>
      <c r="B914" t="s">
        <v>39</v>
      </c>
      <c r="C914">
        <v>2020</v>
      </c>
      <c r="D914" s="1">
        <v>43831</v>
      </c>
      <c r="E914">
        <v>2</v>
      </c>
      <c r="F914">
        <v>600013705</v>
      </c>
      <c r="G914" t="s">
        <v>29</v>
      </c>
      <c r="H914">
        <v>81</v>
      </c>
      <c r="I914">
        <v>71101060</v>
      </c>
      <c r="J914">
        <v>11500060</v>
      </c>
      <c r="K914" t="s">
        <v>30</v>
      </c>
      <c r="L914" s="4">
        <v>740.58</v>
      </c>
      <c r="M914" t="s">
        <v>31</v>
      </c>
      <c r="N914" s="4">
        <v>740.58</v>
      </c>
      <c r="O914" t="s">
        <v>31</v>
      </c>
      <c r="X914" t="s">
        <v>43</v>
      </c>
      <c r="Y914"/>
      <c r="Z914">
        <v>20200115</v>
      </c>
      <c r="AA914">
        <f t="shared" ref="AA914:AA977" si="15">L914</f>
        <v>740.58</v>
      </c>
      <c r="AC914"/>
      <c r="AF914"/>
      <c r="AL914">
        <v>340612890</v>
      </c>
      <c r="AM914" t="s">
        <v>36</v>
      </c>
    </row>
    <row r="915" spans="1:39" x14ac:dyDescent="0.35">
      <c r="A915">
        <v>3406</v>
      </c>
      <c r="B915" t="s">
        <v>39</v>
      </c>
      <c r="C915">
        <v>2020</v>
      </c>
      <c r="D915" s="1">
        <v>43831</v>
      </c>
      <c r="E915">
        <v>6</v>
      </c>
      <c r="F915">
        <v>600013705</v>
      </c>
      <c r="G915" t="s">
        <v>29</v>
      </c>
      <c r="H915">
        <v>81</v>
      </c>
      <c r="I915">
        <v>71101060</v>
      </c>
      <c r="J915">
        <v>11500060</v>
      </c>
      <c r="K915" t="s">
        <v>30</v>
      </c>
      <c r="L915" s="4">
        <v>20226.79</v>
      </c>
      <c r="M915" t="s">
        <v>31</v>
      </c>
      <c r="N915" s="4">
        <v>20226.79</v>
      </c>
      <c r="O915" t="s">
        <v>31</v>
      </c>
      <c r="X915" t="s">
        <v>43</v>
      </c>
      <c r="Y915"/>
      <c r="Z915">
        <v>20200115</v>
      </c>
      <c r="AA915">
        <f t="shared" si="15"/>
        <v>20226.79</v>
      </c>
      <c r="AC915"/>
      <c r="AF915"/>
      <c r="AL915">
        <v>340612890</v>
      </c>
      <c r="AM915" t="s">
        <v>36</v>
      </c>
    </row>
    <row r="916" spans="1:39" x14ac:dyDescent="0.35">
      <c r="A916">
        <v>3406</v>
      </c>
      <c r="B916" t="s">
        <v>39</v>
      </c>
      <c r="C916">
        <v>2020</v>
      </c>
      <c r="D916" s="1">
        <v>43831</v>
      </c>
      <c r="E916">
        <v>8</v>
      </c>
      <c r="F916">
        <v>600013705</v>
      </c>
      <c r="G916" t="s">
        <v>29</v>
      </c>
      <c r="H916">
        <v>81</v>
      </c>
      <c r="I916">
        <v>71101060</v>
      </c>
      <c r="J916">
        <v>11500060</v>
      </c>
      <c r="K916" t="s">
        <v>30</v>
      </c>
      <c r="L916" s="4">
        <v>3344</v>
      </c>
      <c r="M916" t="s">
        <v>31</v>
      </c>
      <c r="N916" s="4">
        <v>3344</v>
      </c>
      <c r="O916" t="s">
        <v>31</v>
      </c>
      <c r="X916" t="s">
        <v>43</v>
      </c>
      <c r="Y916"/>
      <c r="Z916">
        <v>20200115</v>
      </c>
      <c r="AA916">
        <f t="shared" si="15"/>
        <v>3344</v>
      </c>
      <c r="AC916"/>
      <c r="AF916"/>
      <c r="AL916">
        <v>340612890</v>
      </c>
      <c r="AM916" t="s">
        <v>36</v>
      </c>
    </row>
    <row r="917" spans="1:39" x14ac:dyDescent="0.35">
      <c r="A917">
        <v>3406</v>
      </c>
      <c r="B917" t="s">
        <v>39</v>
      </c>
      <c r="C917">
        <v>2020</v>
      </c>
      <c r="D917" s="1">
        <v>43831</v>
      </c>
      <c r="E917">
        <v>10</v>
      </c>
      <c r="F917">
        <v>600013705</v>
      </c>
      <c r="G917" t="s">
        <v>29</v>
      </c>
      <c r="H917">
        <v>81</v>
      </c>
      <c r="I917">
        <v>71101060</v>
      </c>
      <c r="J917">
        <v>11500060</v>
      </c>
      <c r="K917" t="s">
        <v>30</v>
      </c>
      <c r="L917" s="4">
        <v>1029.69</v>
      </c>
      <c r="M917" t="s">
        <v>31</v>
      </c>
      <c r="N917" s="4">
        <v>1029.69</v>
      </c>
      <c r="O917" t="s">
        <v>31</v>
      </c>
      <c r="X917" t="s">
        <v>43</v>
      </c>
      <c r="Y917"/>
      <c r="Z917">
        <v>20200115</v>
      </c>
      <c r="AA917">
        <f t="shared" si="15"/>
        <v>1029.69</v>
      </c>
      <c r="AC917"/>
      <c r="AF917"/>
      <c r="AL917">
        <v>340612890</v>
      </c>
      <c r="AM917" t="s">
        <v>36</v>
      </c>
    </row>
    <row r="918" spans="1:39" x14ac:dyDescent="0.35">
      <c r="A918">
        <v>3406</v>
      </c>
      <c r="B918" t="s">
        <v>39</v>
      </c>
      <c r="C918">
        <v>2020</v>
      </c>
      <c r="D918" s="1">
        <v>43831</v>
      </c>
      <c r="E918">
        <v>12</v>
      </c>
      <c r="F918">
        <v>600013705</v>
      </c>
      <c r="G918" t="s">
        <v>29</v>
      </c>
      <c r="H918">
        <v>81</v>
      </c>
      <c r="I918">
        <v>71101060</v>
      </c>
      <c r="J918">
        <v>11500060</v>
      </c>
      <c r="K918" t="s">
        <v>30</v>
      </c>
      <c r="L918" s="4">
        <v>121.65</v>
      </c>
      <c r="M918" t="s">
        <v>31</v>
      </c>
      <c r="N918" s="4">
        <v>121.65</v>
      </c>
      <c r="O918" t="s">
        <v>31</v>
      </c>
      <c r="X918" t="s">
        <v>43</v>
      </c>
      <c r="Y918"/>
      <c r="Z918">
        <v>20200115</v>
      </c>
      <c r="AA918">
        <f t="shared" si="15"/>
        <v>121.65</v>
      </c>
      <c r="AC918"/>
      <c r="AF918"/>
      <c r="AL918">
        <v>340612890</v>
      </c>
      <c r="AM918" t="s">
        <v>36</v>
      </c>
    </row>
    <row r="919" spans="1:39" x14ac:dyDescent="0.35">
      <c r="A919">
        <v>3406</v>
      </c>
      <c r="B919" t="s">
        <v>39</v>
      </c>
      <c r="C919">
        <v>2020</v>
      </c>
      <c r="D919" s="1">
        <v>43831</v>
      </c>
      <c r="E919">
        <v>14</v>
      </c>
      <c r="F919">
        <v>600013705</v>
      </c>
      <c r="G919" t="s">
        <v>29</v>
      </c>
      <c r="H919">
        <v>81</v>
      </c>
      <c r="I919">
        <v>71101060</v>
      </c>
      <c r="J919">
        <v>11500060</v>
      </c>
      <c r="K919" t="s">
        <v>30</v>
      </c>
      <c r="L919" s="4">
        <v>909.62</v>
      </c>
      <c r="M919" t="s">
        <v>31</v>
      </c>
      <c r="N919" s="4">
        <v>909.62</v>
      </c>
      <c r="O919" t="s">
        <v>31</v>
      </c>
      <c r="X919" t="s">
        <v>43</v>
      </c>
      <c r="Y919"/>
      <c r="Z919">
        <v>20200115</v>
      </c>
      <c r="AA919">
        <f t="shared" si="15"/>
        <v>909.62</v>
      </c>
      <c r="AC919"/>
      <c r="AF919"/>
      <c r="AL919">
        <v>340612890</v>
      </c>
      <c r="AM919" t="s">
        <v>36</v>
      </c>
    </row>
    <row r="920" spans="1:39" x14ac:dyDescent="0.35">
      <c r="A920">
        <v>3406</v>
      </c>
      <c r="B920" t="s">
        <v>39</v>
      </c>
      <c r="C920">
        <v>2020</v>
      </c>
      <c r="D920" s="1">
        <v>43831</v>
      </c>
      <c r="E920">
        <v>16</v>
      </c>
      <c r="F920">
        <v>600013705</v>
      </c>
      <c r="G920" t="s">
        <v>29</v>
      </c>
      <c r="H920">
        <v>81</v>
      </c>
      <c r="I920">
        <v>71101060</v>
      </c>
      <c r="J920">
        <v>11500060</v>
      </c>
      <c r="K920" t="s">
        <v>30</v>
      </c>
      <c r="L920" s="4">
        <v>1805.78</v>
      </c>
      <c r="M920" t="s">
        <v>31</v>
      </c>
      <c r="N920" s="4">
        <v>1805.78</v>
      </c>
      <c r="O920" t="s">
        <v>31</v>
      </c>
      <c r="X920" t="s">
        <v>43</v>
      </c>
      <c r="Y920"/>
      <c r="Z920">
        <v>20200115</v>
      </c>
      <c r="AA920">
        <f t="shared" si="15"/>
        <v>1805.78</v>
      </c>
      <c r="AC920"/>
      <c r="AF920"/>
      <c r="AL920">
        <v>340612890</v>
      </c>
      <c r="AM920" t="s">
        <v>36</v>
      </c>
    </row>
    <row r="921" spans="1:39" x14ac:dyDescent="0.35">
      <c r="A921">
        <v>3406</v>
      </c>
      <c r="B921" t="s">
        <v>39</v>
      </c>
      <c r="C921">
        <v>2020</v>
      </c>
      <c r="D921" s="1">
        <v>43831</v>
      </c>
      <c r="E921">
        <v>18</v>
      </c>
      <c r="F921">
        <v>600013705</v>
      </c>
      <c r="G921" t="s">
        <v>29</v>
      </c>
      <c r="H921">
        <v>81</v>
      </c>
      <c r="I921">
        <v>71101060</v>
      </c>
      <c r="J921">
        <v>11500060</v>
      </c>
      <c r="K921" t="s">
        <v>30</v>
      </c>
      <c r="L921" s="4">
        <v>1624.08</v>
      </c>
      <c r="M921" t="s">
        <v>31</v>
      </c>
      <c r="N921" s="4">
        <v>1624.08</v>
      </c>
      <c r="O921" t="s">
        <v>31</v>
      </c>
      <c r="X921" t="s">
        <v>43</v>
      </c>
      <c r="Y921"/>
      <c r="Z921">
        <v>20200115</v>
      </c>
      <c r="AA921">
        <f t="shared" si="15"/>
        <v>1624.08</v>
      </c>
      <c r="AC921"/>
      <c r="AF921"/>
      <c r="AL921">
        <v>340612890</v>
      </c>
      <c r="AM921" t="s">
        <v>36</v>
      </c>
    </row>
    <row r="922" spans="1:39" x14ac:dyDescent="0.35">
      <c r="A922">
        <v>3406</v>
      </c>
      <c r="B922" t="s">
        <v>39</v>
      </c>
      <c r="C922">
        <v>2020</v>
      </c>
      <c r="D922" s="1">
        <v>43831</v>
      </c>
      <c r="E922">
        <v>20</v>
      </c>
      <c r="F922">
        <v>600013705</v>
      </c>
      <c r="G922" t="s">
        <v>29</v>
      </c>
      <c r="H922">
        <v>81</v>
      </c>
      <c r="I922">
        <v>71101060</v>
      </c>
      <c r="J922">
        <v>11500060</v>
      </c>
      <c r="K922" t="s">
        <v>30</v>
      </c>
      <c r="L922" s="4">
        <v>732.39</v>
      </c>
      <c r="M922" t="s">
        <v>31</v>
      </c>
      <c r="N922" s="4">
        <v>732.39</v>
      </c>
      <c r="O922" t="s">
        <v>31</v>
      </c>
      <c r="X922" t="s">
        <v>43</v>
      </c>
      <c r="Y922"/>
      <c r="Z922">
        <v>20200115</v>
      </c>
      <c r="AA922">
        <f t="shared" si="15"/>
        <v>732.39</v>
      </c>
      <c r="AC922"/>
      <c r="AF922"/>
      <c r="AL922">
        <v>340612890</v>
      </c>
      <c r="AM922" t="s">
        <v>36</v>
      </c>
    </row>
    <row r="923" spans="1:39" x14ac:dyDescent="0.35">
      <c r="A923">
        <v>3406</v>
      </c>
      <c r="B923" t="s">
        <v>39</v>
      </c>
      <c r="C923">
        <v>2020</v>
      </c>
      <c r="D923" s="1">
        <v>43831</v>
      </c>
      <c r="E923">
        <v>22</v>
      </c>
      <c r="F923">
        <v>600013705</v>
      </c>
      <c r="G923" t="s">
        <v>29</v>
      </c>
      <c r="H923">
        <v>81</v>
      </c>
      <c r="I923">
        <v>71101060</v>
      </c>
      <c r="J923">
        <v>11500060</v>
      </c>
      <c r="K923" t="s">
        <v>30</v>
      </c>
      <c r="L923" s="4">
        <v>1411.31</v>
      </c>
      <c r="M923" t="s">
        <v>31</v>
      </c>
      <c r="N923" s="4">
        <v>1411.31</v>
      </c>
      <c r="O923" t="s">
        <v>31</v>
      </c>
      <c r="X923" t="s">
        <v>43</v>
      </c>
      <c r="Y923"/>
      <c r="Z923">
        <v>20200115</v>
      </c>
      <c r="AA923">
        <f t="shared" si="15"/>
        <v>1411.31</v>
      </c>
      <c r="AC923"/>
      <c r="AF923"/>
      <c r="AL923">
        <v>340612890</v>
      </c>
      <c r="AM923" t="s">
        <v>36</v>
      </c>
    </row>
    <row r="924" spans="1:39" x14ac:dyDescent="0.35">
      <c r="A924">
        <v>3406</v>
      </c>
      <c r="B924" t="s">
        <v>39</v>
      </c>
      <c r="C924">
        <v>2020</v>
      </c>
      <c r="D924" s="1">
        <v>43831</v>
      </c>
      <c r="E924">
        <v>24</v>
      </c>
      <c r="F924">
        <v>600013705</v>
      </c>
      <c r="G924" t="s">
        <v>29</v>
      </c>
      <c r="H924">
        <v>81</v>
      </c>
      <c r="I924">
        <v>71101060</v>
      </c>
      <c r="J924">
        <v>11500060</v>
      </c>
      <c r="K924" t="s">
        <v>30</v>
      </c>
      <c r="L924" s="4">
        <v>2888.25</v>
      </c>
      <c r="M924" t="s">
        <v>31</v>
      </c>
      <c r="N924" s="4">
        <v>2888.25</v>
      </c>
      <c r="O924" t="s">
        <v>31</v>
      </c>
      <c r="X924" t="s">
        <v>43</v>
      </c>
      <c r="Y924"/>
      <c r="Z924">
        <v>20200115</v>
      </c>
      <c r="AA924">
        <f t="shared" si="15"/>
        <v>2888.25</v>
      </c>
      <c r="AC924"/>
      <c r="AF924"/>
      <c r="AL924">
        <v>340612890</v>
      </c>
      <c r="AM924" t="s">
        <v>36</v>
      </c>
    </row>
    <row r="925" spans="1:39" x14ac:dyDescent="0.35">
      <c r="A925">
        <v>3406</v>
      </c>
      <c r="B925" t="s">
        <v>39</v>
      </c>
      <c r="C925">
        <v>2020</v>
      </c>
      <c r="D925" s="1">
        <v>43831</v>
      </c>
      <c r="E925">
        <v>26</v>
      </c>
      <c r="F925">
        <v>600013705</v>
      </c>
      <c r="G925" t="s">
        <v>29</v>
      </c>
      <c r="H925">
        <v>81</v>
      </c>
      <c r="I925">
        <v>71101060</v>
      </c>
      <c r="J925">
        <v>11500060</v>
      </c>
      <c r="K925" t="s">
        <v>30</v>
      </c>
      <c r="L925" s="4">
        <v>1857.12</v>
      </c>
      <c r="M925" t="s">
        <v>31</v>
      </c>
      <c r="N925" s="4">
        <v>1857.12</v>
      </c>
      <c r="O925" t="s">
        <v>31</v>
      </c>
      <c r="X925" t="s">
        <v>43</v>
      </c>
      <c r="Y925"/>
      <c r="Z925">
        <v>20200115</v>
      </c>
      <c r="AA925">
        <f t="shared" si="15"/>
        <v>1857.12</v>
      </c>
      <c r="AC925"/>
      <c r="AF925"/>
      <c r="AL925">
        <v>340612890</v>
      </c>
      <c r="AM925" t="s">
        <v>36</v>
      </c>
    </row>
    <row r="926" spans="1:39" x14ac:dyDescent="0.35">
      <c r="A926">
        <v>3406</v>
      </c>
      <c r="B926" t="s">
        <v>39</v>
      </c>
      <c r="C926">
        <v>2020</v>
      </c>
      <c r="D926" s="1">
        <v>43831</v>
      </c>
      <c r="E926">
        <v>28</v>
      </c>
      <c r="F926">
        <v>600013705</v>
      </c>
      <c r="G926" t="s">
        <v>29</v>
      </c>
      <c r="H926">
        <v>81</v>
      </c>
      <c r="I926">
        <v>71101060</v>
      </c>
      <c r="J926">
        <v>11500060</v>
      </c>
      <c r="K926" t="s">
        <v>30</v>
      </c>
      <c r="L926" s="4">
        <v>6161.28</v>
      </c>
      <c r="M926" t="s">
        <v>31</v>
      </c>
      <c r="N926" s="4">
        <v>6161.28</v>
      </c>
      <c r="O926" t="s">
        <v>31</v>
      </c>
      <c r="X926" t="s">
        <v>43</v>
      </c>
      <c r="Y926"/>
      <c r="Z926">
        <v>20200115</v>
      </c>
      <c r="AA926">
        <f t="shared" si="15"/>
        <v>6161.28</v>
      </c>
      <c r="AC926"/>
      <c r="AF926"/>
      <c r="AL926">
        <v>340612890</v>
      </c>
      <c r="AM926" t="s">
        <v>36</v>
      </c>
    </row>
    <row r="927" spans="1:39" x14ac:dyDescent="0.35">
      <c r="A927">
        <v>3406</v>
      </c>
      <c r="B927" t="s">
        <v>39</v>
      </c>
      <c r="C927">
        <v>2020</v>
      </c>
      <c r="D927" s="1">
        <v>43831</v>
      </c>
      <c r="E927">
        <v>32</v>
      </c>
      <c r="F927">
        <v>600013705</v>
      </c>
      <c r="G927" t="s">
        <v>29</v>
      </c>
      <c r="H927">
        <v>81</v>
      </c>
      <c r="I927">
        <v>71101060</v>
      </c>
      <c r="J927">
        <v>11500060</v>
      </c>
      <c r="K927" t="s">
        <v>30</v>
      </c>
      <c r="L927" s="4">
        <v>606</v>
      </c>
      <c r="M927" t="s">
        <v>31</v>
      </c>
      <c r="N927" s="4">
        <v>606</v>
      </c>
      <c r="O927" t="s">
        <v>31</v>
      </c>
      <c r="X927" t="s">
        <v>43</v>
      </c>
      <c r="Y927"/>
      <c r="Z927">
        <v>20200115</v>
      </c>
      <c r="AA927">
        <f t="shared" si="15"/>
        <v>606</v>
      </c>
      <c r="AC927"/>
      <c r="AF927"/>
      <c r="AL927">
        <v>340612890</v>
      </c>
      <c r="AM927" t="s">
        <v>36</v>
      </c>
    </row>
    <row r="928" spans="1:39" x14ac:dyDescent="0.35">
      <c r="A928">
        <v>3406</v>
      </c>
      <c r="B928" t="s">
        <v>39</v>
      </c>
      <c r="C928">
        <v>2020</v>
      </c>
      <c r="D928" s="1">
        <v>43831</v>
      </c>
      <c r="E928">
        <v>34</v>
      </c>
      <c r="F928">
        <v>600013705</v>
      </c>
      <c r="G928" t="s">
        <v>29</v>
      </c>
      <c r="H928">
        <v>81</v>
      </c>
      <c r="I928">
        <v>71101060</v>
      </c>
      <c r="J928">
        <v>11500060</v>
      </c>
      <c r="K928" t="s">
        <v>30</v>
      </c>
      <c r="L928" s="4">
        <v>1952.16</v>
      </c>
      <c r="M928" t="s">
        <v>31</v>
      </c>
      <c r="N928" s="4">
        <v>1952.16</v>
      </c>
      <c r="O928" t="s">
        <v>31</v>
      </c>
      <c r="X928" t="s">
        <v>43</v>
      </c>
      <c r="Y928"/>
      <c r="Z928">
        <v>20200115</v>
      </c>
      <c r="AA928">
        <f t="shared" si="15"/>
        <v>1952.16</v>
      </c>
      <c r="AC928"/>
      <c r="AF928"/>
      <c r="AL928">
        <v>340612890</v>
      </c>
      <c r="AM928" t="s">
        <v>36</v>
      </c>
    </row>
    <row r="929" spans="1:39" x14ac:dyDescent="0.35">
      <c r="A929">
        <v>3406</v>
      </c>
      <c r="B929" t="s">
        <v>39</v>
      </c>
      <c r="C929">
        <v>2020</v>
      </c>
      <c r="D929" s="1">
        <v>43831</v>
      </c>
      <c r="E929">
        <v>40</v>
      </c>
      <c r="F929">
        <v>600013705</v>
      </c>
      <c r="G929" t="s">
        <v>29</v>
      </c>
      <c r="H929">
        <v>81</v>
      </c>
      <c r="I929">
        <v>71101060</v>
      </c>
      <c r="J929">
        <v>11500060</v>
      </c>
      <c r="K929" t="s">
        <v>30</v>
      </c>
      <c r="L929" s="4">
        <v>1326</v>
      </c>
      <c r="M929" t="s">
        <v>31</v>
      </c>
      <c r="N929" s="4">
        <v>1326</v>
      </c>
      <c r="O929" t="s">
        <v>31</v>
      </c>
      <c r="X929" t="s">
        <v>43</v>
      </c>
      <c r="Y929"/>
      <c r="Z929">
        <v>20200115</v>
      </c>
      <c r="AA929">
        <f t="shared" si="15"/>
        <v>1326</v>
      </c>
      <c r="AC929"/>
      <c r="AF929"/>
      <c r="AL929">
        <v>340612890</v>
      </c>
      <c r="AM929" t="s">
        <v>36</v>
      </c>
    </row>
    <row r="930" spans="1:39" x14ac:dyDescent="0.35">
      <c r="A930">
        <v>3406</v>
      </c>
      <c r="B930" t="s">
        <v>39</v>
      </c>
      <c r="C930">
        <v>2020</v>
      </c>
      <c r="D930" s="1">
        <v>43831</v>
      </c>
      <c r="E930">
        <v>42</v>
      </c>
      <c r="F930">
        <v>600013705</v>
      </c>
      <c r="G930" t="s">
        <v>29</v>
      </c>
      <c r="H930">
        <v>81</v>
      </c>
      <c r="I930">
        <v>71101060</v>
      </c>
      <c r="J930">
        <v>11500060</v>
      </c>
      <c r="K930" t="s">
        <v>30</v>
      </c>
      <c r="L930" s="4">
        <v>287.75</v>
      </c>
      <c r="M930" t="s">
        <v>31</v>
      </c>
      <c r="N930" s="4">
        <v>287.75</v>
      </c>
      <c r="O930" t="s">
        <v>31</v>
      </c>
      <c r="X930" t="s">
        <v>43</v>
      </c>
      <c r="Y930"/>
      <c r="Z930">
        <v>20200115</v>
      </c>
      <c r="AA930">
        <f t="shared" si="15"/>
        <v>287.75</v>
      </c>
      <c r="AC930"/>
      <c r="AF930"/>
      <c r="AL930">
        <v>340612890</v>
      </c>
      <c r="AM930" t="s">
        <v>36</v>
      </c>
    </row>
    <row r="931" spans="1:39" x14ac:dyDescent="0.35">
      <c r="A931">
        <v>3406</v>
      </c>
      <c r="B931" t="s">
        <v>39</v>
      </c>
      <c r="C931">
        <v>2020</v>
      </c>
      <c r="D931" s="1">
        <v>43831</v>
      </c>
      <c r="E931">
        <v>44</v>
      </c>
      <c r="F931">
        <v>600013705</v>
      </c>
      <c r="G931" t="s">
        <v>29</v>
      </c>
      <c r="H931">
        <v>81</v>
      </c>
      <c r="I931">
        <v>71101060</v>
      </c>
      <c r="J931">
        <v>11500060</v>
      </c>
      <c r="K931" t="s">
        <v>30</v>
      </c>
      <c r="L931" s="4">
        <v>613.05999999999995</v>
      </c>
      <c r="M931" t="s">
        <v>31</v>
      </c>
      <c r="N931" s="4">
        <v>613.05999999999995</v>
      </c>
      <c r="O931" t="s">
        <v>31</v>
      </c>
      <c r="X931" t="s">
        <v>43</v>
      </c>
      <c r="Y931"/>
      <c r="Z931">
        <v>20200115</v>
      </c>
      <c r="AA931">
        <f t="shared" si="15"/>
        <v>613.05999999999995</v>
      </c>
      <c r="AC931"/>
      <c r="AF931"/>
      <c r="AL931">
        <v>340612890</v>
      </c>
      <c r="AM931" t="s">
        <v>36</v>
      </c>
    </row>
    <row r="932" spans="1:39" x14ac:dyDescent="0.35">
      <c r="A932">
        <v>3406</v>
      </c>
      <c r="B932" t="s">
        <v>39</v>
      </c>
      <c r="C932">
        <v>2020</v>
      </c>
      <c r="D932" s="1">
        <v>43831</v>
      </c>
      <c r="E932">
        <v>46</v>
      </c>
      <c r="F932">
        <v>600013705</v>
      </c>
      <c r="G932" t="s">
        <v>29</v>
      </c>
      <c r="H932">
        <v>81</v>
      </c>
      <c r="I932">
        <v>71101060</v>
      </c>
      <c r="J932">
        <v>11500060</v>
      </c>
      <c r="K932" t="s">
        <v>30</v>
      </c>
      <c r="L932" s="4">
        <v>22</v>
      </c>
      <c r="M932" t="s">
        <v>31</v>
      </c>
      <c r="N932" s="4">
        <v>22</v>
      </c>
      <c r="O932" t="s">
        <v>31</v>
      </c>
      <c r="X932" t="s">
        <v>43</v>
      </c>
      <c r="Y932"/>
      <c r="Z932">
        <v>20200115</v>
      </c>
      <c r="AA932">
        <f t="shared" si="15"/>
        <v>22</v>
      </c>
      <c r="AC932"/>
      <c r="AF932"/>
      <c r="AL932">
        <v>340612890</v>
      </c>
      <c r="AM932" t="s">
        <v>36</v>
      </c>
    </row>
    <row r="933" spans="1:39" x14ac:dyDescent="0.35">
      <c r="A933">
        <v>3406</v>
      </c>
      <c r="B933" t="s">
        <v>39</v>
      </c>
      <c r="C933">
        <v>2020</v>
      </c>
      <c r="D933" s="1">
        <v>43831</v>
      </c>
      <c r="E933">
        <v>48</v>
      </c>
      <c r="F933">
        <v>600013705</v>
      </c>
      <c r="G933" t="s">
        <v>29</v>
      </c>
      <c r="H933">
        <v>81</v>
      </c>
      <c r="I933">
        <v>71101060</v>
      </c>
      <c r="J933">
        <v>11500060</v>
      </c>
      <c r="K933" t="s">
        <v>30</v>
      </c>
      <c r="L933" s="4">
        <v>32.200000000000003</v>
      </c>
      <c r="M933" t="s">
        <v>31</v>
      </c>
      <c r="N933" s="4">
        <v>32.200000000000003</v>
      </c>
      <c r="O933" t="s">
        <v>31</v>
      </c>
      <c r="X933" t="s">
        <v>43</v>
      </c>
      <c r="Y933"/>
      <c r="Z933">
        <v>20200115</v>
      </c>
      <c r="AA933">
        <f t="shared" si="15"/>
        <v>32.200000000000003</v>
      </c>
      <c r="AC933"/>
      <c r="AF933"/>
      <c r="AL933">
        <v>340612890</v>
      </c>
      <c r="AM933" t="s">
        <v>36</v>
      </c>
    </row>
    <row r="934" spans="1:39" x14ac:dyDescent="0.35">
      <c r="A934">
        <v>3406</v>
      </c>
      <c r="B934" t="s">
        <v>39</v>
      </c>
      <c r="C934">
        <v>2020</v>
      </c>
      <c r="D934" s="1">
        <v>43831</v>
      </c>
      <c r="E934">
        <v>50</v>
      </c>
      <c r="F934">
        <v>600013705</v>
      </c>
      <c r="G934" t="s">
        <v>29</v>
      </c>
      <c r="H934">
        <v>81</v>
      </c>
      <c r="I934">
        <v>71101060</v>
      </c>
      <c r="J934">
        <v>11500060</v>
      </c>
      <c r="K934" t="s">
        <v>30</v>
      </c>
      <c r="L934" s="4">
        <v>116.05</v>
      </c>
      <c r="M934" t="s">
        <v>31</v>
      </c>
      <c r="N934" s="4">
        <v>116.05</v>
      </c>
      <c r="O934" t="s">
        <v>31</v>
      </c>
      <c r="X934" t="s">
        <v>43</v>
      </c>
      <c r="Y934"/>
      <c r="Z934">
        <v>20200115</v>
      </c>
      <c r="AA934">
        <f t="shared" si="15"/>
        <v>116.05</v>
      </c>
      <c r="AC934"/>
      <c r="AF934"/>
      <c r="AL934">
        <v>340612890</v>
      </c>
      <c r="AM934" t="s">
        <v>36</v>
      </c>
    </row>
    <row r="935" spans="1:39" x14ac:dyDescent="0.35">
      <c r="A935">
        <v>3406</v>
      </c>
      <c r="B935" t="s">
        <v>39</v>
      </c>
      <c r="C935">
        <v>2020</v>
      </c>
      <c r="D935" s="1">
        <v>43831</v>
      </c>
      <c r="E935">
        <v>52</v>
      </c>
      <c r="F935">
        <v>600013705</v>
      </c>
      <c r="G935" t="s">
        <v>29</v>
      </c>
      <c r="H935">
        <v>81</v>
      </c>
      <c r="I935">
        <v>71101060</v>
      </c>
      <c r="J935">
        <v>11500060</v>
      </c>
      <c r="K935" t="s">
        <v>30</v>
      </c>
      <c r="L935" s="4">
        <v>1033.75</v>
      </c>
      <c r="M935" t="s">
        <v>31</v>
      </c>
      <c r="N935" s="4">
        <v>1033.75</v>
      </c>
      <c r="O935" t="s">
        <v>31</v>
      </c>
      <c r="X935" t="s">
        <v>43</v>
      </c>
      <c r="Y935"/>
      <c r="Z935">
        <v>20200115</v>
      </c>
      <c r="AA935">
        <f t="shared" si="15"/>
        <v>1033.75</v>
      </c>
      <c r="AC935"/>
      <c r="AF935"/>
      <c r="AL935">
        <v>340612890</v>
      </c>
      <c r="AM935" t="s">
        <v>36</v>
      </c>
    </row>
    <row r="936" spans="1:39" x14ac:dyDescent="0.35">
      <c r="A936">
        <v>3406</v>
      </c>
      <c r="B936" t="s">
        <v>39</v>
      </c>
      <c r="C936">
        <v>2020</v>
      </c>
      <c r="D936" s="1">
        <v>43831</v>
      </c>
      <c r="E936">
        <v>54</v>
      </c>
      <c r="F936">
        <v>600013705</v>
      </c>
      <c r="G936" t="s">
        <v>29</v>
      </c>
      <c r="H936">
        <v>81</v>
      </c>
      <c r="I936">
        <v>71101060</v>
      </c>
      <c r="J936">
        <v>11500060</v>
      </c>
      <c r="K936" t="s">
        <v>30</v>
      </c>
      <c r="L936" s="4">
        <v>330.58</v>
      </c>
      <c r="M936" t="s">
        <v>31</v>
      </c>
      <c r="N936" s="4">
        <v>330.58</v>
      </c>
      <c r="O936" t="s">
        <v>31</v>
      </c>
      <c r="X936" t="s">
        <v>43</v>
      </c>
      <c r="Y936"/>
      <c r="Z936">
        <v>20200115</v>
      </c>
      <c r="AA936">
        <f t="shared" si="15"/>
        <v>330.58</v>
      </c>
      <c r="AC936"/>
      <c r="AF936"/>
      <c r="AL936">
        <v>340612890</v>
      </c>
      <c r="AM936" t="s">
        <v>36</v>
      </c>
    </row>
    <row r="937" spans="1:39" x14ac:dyDescent="0.35">
      <c r="A937">
        <v>3406</v>
      </c>
      <c r="B937" t="s">
        <v>39</v>
      </c>
      <c r="C937">
        <v>2020</v>
      </c>
      <c r="D937" s="1">
        <v>43831</v>
      </c>
      <c r="E937">
        <v>56</v>
      </c>
      <c r="F937">
        <v>600013705</v>
      </c>
      <c r="G937" t="s">
        <v>29</v>
      </c>
      <c r="H937">
        <v>81</v>
      </c>
      <c r="I937">
        <v>71101060</v>
      </c>
      <c r="J937">
        <v>11500060</v>
      </c>
      <c r="K937" t="s">
        <v>30</v>
      </c>
      <c r="L937" s="4">
        <v>960</v>
      </c>
      <c r="M937" t="s">
        <v>31</v>
      </c>
      <c r="N937" s="4">
        <v>960</v>
      </c>
      <c r="O937" t="s">
        <v>31</v>
      </c>
      <c r="X937" t="s">
        <v>43</v>
      </c>
      <c r="Y937"/>
      <c r="Z937">
        <v>20200115</v>
      </c>
      <c r="AA937">
        <f t="shared" si="15"/>
        <v>960</v>
      </c>
      <c r="AC937"/>
      <c r="AF937"/>
      <c r="AL937">
        <v>340612890</v>
      </c>
      <c r="AM937" t="s">
        <v>36</v>
      </c>
    </row>
    <row r="938" spans="1:39" x14ac:dyDescent="0.35">
      <c r="A938">
        <v>3406</v>
      </c>
      <c r="B938" t="s">
        <v>39</v>
      </c>
      <c r="C938">
        <v>2020</v>
      </c>
      <c r="D938" s="1">
        <v>43831</v>
      </c>
      <c r="E938">
        <v>58</v>
      </c>
      <c r="F938">
        <v>600013705</v>
      </c>
      <c r="G938" t="s">
        <v>29</v>
      </c>
      <c r="H938">
        <v>81</v>
      </c>
      <c r="I938">
        <v>71101060</v>
      </c>
      <c r="J938">
        <v>11500060</v>
      </c>
      <c r="K938" t="s">
        <v>30</v>
      </c>
      <c r="L938" s="4">
        <v>1791.02</v>
      </c>
      <c r="M938" t="s">
        <v>31</v>
      </c>
      <c r="N938" s="4">
        <v>1791.02</v>
      </c>
      <c r="O938" t="s">
        <v>31</v>
      </c>
      <c r="X938" t="s">
        <v>43</v>
      </c>
      <c r="Y938"/>
      <c r="Z938">
        <v>20200115</v>
      </c>
      <c r="AA938">
        <f t="shared" si="15"/>
        <v>1791.02</v>
      </c>
      <c r="AC938"/>
      <c r="AF938"/>
      <c r="AL938">
        <v>340612890</v>
      </c>
      <c r="AM938" t="s">
        <v>36</v>
      </c>
    </row>
    <row r="939" spans="1:39" x14ac:dyDescent="0.35">
      <c r="A939">
        <v>3406</v>
      </c>
      <c r="B939" t="s">
        <v>39</v>
      </c>
      <c r="C939">
        <v>2020</v>
      </c>
      <c r="D939" s="1">
        <v>43831</v>
      </c>
      <c r="E939">
        <v>60</v>
      </c>
      <c r="F939">
        <v>600013705</v>
      </c>
      <c r="G939" t="s">
        <v>29</v>
      </c>
      <c r="H939">
        <v>81</v>
      </c>
      <c r="I939">
        <v>71101060</v>
      </c>
      <c r="J939">
        <v>11500060</v>
      </c>
      <c r="K939" t="s">
        <v>30</v>
      </c>
      <c r="L939" s="4">
        <v>280</v>
      </c>
      <c r="M939" t="s">
        <v>31</v>
      </c>
      <c r="N939" s="4">
        <v>280</v>
      </c>
      <c r="O939" t="s">
        <v>31</v>
      </c>
      <c r="X939" t="s">
        <v>43</v>
      </c>
      <c r="Y939"/>
      <c r="Z939">
        <v>20200115</v>
      </c>
      <c r="AA939">
        <f t="shared" si="15"/>
        <v>280</v>
      </c>
      <c r="AC939"/>
      <c r="AF939"/>
      <c r="AL939">
        <v>340612890</v>
      </c>
      <c r="AM939" t="s">
        <v>36</v>
      </c>
    </row>
    <row r="940" spans="1:39" x14ac:dyDescent="0.35">
      <c r="A940">
        <v>3406</v>
      </c>
      <c r="B940" t="s">
        <v>39</v>
      </c>
      <c r="C940">
        <v>2020</v>
      </c>
      <c r="D940" s="1">
        <v>43831</v>
      </c>
      <c r="E940">
        <v>32</v>
      </c>
      <c r="F940">
        <v>600013709</v>
      </c>
      <c r="G940" t="s">
        <v>29</v>
      </c>
      <c r="H940">
        <v>81</v>
      </c>
      <c r="I940">
        <v>71101060</v>
      </c>
      <c r="J940">
        <v>11500050</v>
      </c>
      <c r="K940" t="s">
        <v>30</v>
      </c>
      <c r="L940" s="4">
        <v>8170</v>
      </c>
      <c r="M940" t="s">
        <v>31</v>
      </c>
      <c r="N940" s="4">
        <v>8170</v>
      </c>
      <c r="O940" t="s">
        <v>31</v>
      </c>
      <c r="X940" t="s">
        <v>43</v>
      </c>
      <c r="Y940"/>
      <c r="Z940">
        <v>20200115</v>
      </c>
      <c r="AA940">
        <f t="shared" si="15"/>
        <v>8170</v>
      </c>
      <c r="AC940"/>
      <c r="AF940"/>
      <c r="AL940">
        <v>340617690</v>
      </c>
      <c r="AM940" t="s">
        <v>36</v>
      </c>
    </row>
    <row r="941" spans="1:39" x14ac:dyDescent="0.35">
      <c r="A941">
        <v>3406</v>
      </c>
      <c r="B941" t="s">
        <v>39</v>
      </c>
      <c r="C941">
        <v>2020</v>
      </c>
      <c r="D941" s="1">
        <v>43831</v>
      </c>
      <c r="E941">
        <v>24</v>
      </c>
      <c r="F941">
        <v>600013713</v>
      </c>
      <c r="G941" t="s">
        <v>29</v>
      </c>
      <c r="H941">
        <v>81</v>
      </c>
      <c r="I941">
        <v>71101060</v>
      </c>
      <c r="J941">
        <v>11500060</v>
      </c>
      <c r="K941" t="s">
        <v>30</v>
      </c>
      <c r="L941" s="4">
        <v>731.49</v>
      </c>
      <c r="M941" t="s">
        <v>31</v>
      </c>
      <c r="N941" s="4">
        <v>731.49</v>
      </c>
      <c r="O941" t="s">
        <v>31</v>
      </c>
      <c r="X941" t="s">
        <v>43</v>
      </c>
      <c r="Y941"/>
      <c r="Z941">
        <v>20200115</v>
      </c>
      <c r="AA941">
        <f t="shared" si="15"/>
        <v>731.49</v>
      </c>
      <c r="AC941"/>
      <c r="AF941"/>
      <c r="AL941">
        <v>340612590</v>
      </c>
      <c r="AM941" t="s">
        <v>36</v>
      </c>
    </row>
    <row r="942" spans="1:39" x14ac:dyDescent="0.35">
      <c r="A942">
        <v>3406</v>
      </c>
      <c r="B942" t="s">
        <v>39</v>
      </c>
      <c r="C942">
        <v>2020</v>
      </c>
      <c r="D942" s="1">
        <v>43831</v>
      </c>
      <c r="E942">
        <v>30</v>
      </c>
      <c r="F942">
        <v>600013713</v>
      </c>
      <c r="G942" t="s">
        <v>29</v>
      </c>
      <c r="H942">
        <v>81</v>
      </c>
      <c r="I942">
        <v>71101060</v>
      </c>
      <c r="J942">
        <v>11500060</v>
      </c>
      <c r="K942" t="s">
        <v>30</v>
      </c>
      <c r="L942" s="4">
        <v>546.66999999999996</v>
      </c>
      <c r="M942" t="s">
        <v>31</v>
      </c>
      <c r="N942" s="4">
        <v>546.66999999999996</v>
      </c>
      <c r="O942" t="s">
        <v>31</v>
      </c>
      <c r="X942" t="s">
        <v>43</v>
      </c>
      <c r="Y942"/>
      <c r="Z942">
        <v>20200115</v>
      </c>
      <c r="AA942">
        <f t="shared" si="15"/>
        <v>546.66999999999996</v>
      </c>
      <c r="AC942"/>
      <c r="AF942"/>
      <c r="AL942">
        <v>340612590</v>
      </c>
      <c r="AM942" t="s">
        <v>36</v>
      </c>
    </row>
    <row r="943" spans="1:39" x14ac:dyDescent="0.35">
      <c r="A943">
        <v>3406</v>
      </c>
      <c r="B943" t="s">
        <v>39</v>
      </c>
      <c r="C943">
        <v>2020</v>
      </c>
      <c r="D943" s="1">
        <v>43831</v>
      </c>
      <c r="E943">
        <v>2</v>
      </c>
      <c r="F943">
        <v>600013714</v>
      </c>
      <c r="G943" t="s">
        <v>29</v>
      </c>
      <c r="H943">
        <v>81</v>
      </c>
      <c r="I943">
        <v>71101060</v>
      </c>
      <c r="J943">
        <v>11500060</v>
      </c>
      <c r="K943" t="s">
        <v>30</v>
      </c>
      <c r="L943" s="4">
        <v>3280.02</v>
      </c>
      <c r="M943" t="s">
        <v>31</v>
      </c>
      <c r="N943" s="4">
        <v>3280.02</v>
      </c>
      <c r="O943" t="s">
        <v>31</v>
      </c>
      <c r="X943" t="s">
        <v>43</v>
      </c>
      <c r="Y943"/>
      <c r="Z943">
        <v>20200115</v>
      </c>
      <c r="AA943">
        <f t="shared" si="15"/>
        <v>3280.02</v>
      </c>
      <c r="AC943"/>
      <c r="AF943"/>
      <c r="AL943">
        <v>340610590</v>
      </c>
      <c r="AM943" t="s">
        <v>36</v>
      </c>
    </row>
    <row r="944" spans="1:39" x14ac:dyDescent="0.35">
      <c r="A944">
        <v>3406</v>
      </c>
      <c r="B944" t="s">
        <v>39</v>
      </c>
      <c r="C944">
        <v>2020</v>
      </c>
      <c r="D944" s="1">
        <v>43831</v>
      </c>
      <c r="E944">
        <v>4</v>
      </c>
      <c r="F944">
        <v>600013714</v>
      </c>
      <c r="G944" t="s">
        <v>29</v>
      </c>
      <c r="H944">
        <v>81</v>
      </c>
      <c r="I944">
        <v>71101060</v>
      </c>
      <c r="J944">
        <v>11500060</v>
      </c>
      <c r="K944" t="s">
        <v>30</v>
      </c>
      <c r="L944" s="4">
        <v>1356.66</v>
      </c>
      <c r="M944" t="s">
        <v>31</v>
      </c>
      <c r="N944" s="4">
        <v>1356.66</v>
      </c>
      <c r="O944" t="s">
        <v>31</v>
      </c>
      <c r="X944" t="s">
        <v>43</v>
      </c>
      <c r="Y944"/>
      <c r="Z944">
        <v>20200115</v>
      </c>
      <c r="AA944">
        <f t="shared" si="15"/>
        <v>1356.66</v>
      </c>
      <c r="AC944"/>
      <c r="AF944"/>
      <c r="AL944">
        <v>340610590</v>
      </c>
      <c r="AM944" t="s">
        <v>36</v>
      </c>
    </row>
    <row r="945" spans="1:39" x14ac:dyDescent="0.35">
      <c r="A945">
        <v>3406</v>
      </c>
      <c r="B945" t="s">
        <v>39</v>
      </c>
      <c r="C945">
        <v>2020</v>
      </c>
      <c r="D945" s="1">
        <v>43831</v>
      </c>
      <c r="E945">
        <v>6</v>
      </c>
      <c r="F945">
        <v>600013714</v>
      </c>
      <c r="G945" t="s">
        <v>29</v>
      </c>
      <c r="H945">
        <v>81</v>
      </c>
      <c r="I945">
        <v>71101060</v>
      </c>
      <c r="J945">
        <v>11500060</v>
      </c>
      <c r="K945" t="s">
        <v>30</v>
      </c>
      <c r="L945" s="4">
        <v>1260</v>
      </c>
      <c r="M945" t="s">
        <v>31</v>
      </c>
      <c r="N945" s="4">
        <v>1260</v>
      </c>
      <c r="O945" t="s">
        <v>31</v>
      </c>
      <c r="X945" t="s">
        <v>43</v>
      </c>
      <c r="Y945"/>
      <c r="Z945">
        <v>20200115</v>
      </c>
      <c r="AA945">
        <f t="shared" si="15"/>
        <v>1260</v>
      </c>
      <c r="AC945"/>
      <c r="AF945"/>
      <c r="AL945">
        <v>340610590</v>
      </c>
      <c r="AM945" t="s">
        <v>36</v>
      </c>
    </row>
    <row r="946" spans="1:39" x14ac:dyDescent="0.35">
      <c r="A946">
        <v>3406</v>
      </c>
      <c r="B946" t="s">
        <v>39</v>
      </c>
      <c r="C946">
        <v>2020</v>
      </c>
      <c r="D946" s="1">
        <v>43831</v>
      </c>
      <c r="E946">
        <v>8</v>
      </c>
      <c r="F946">
        <v>600013714</v>
      </c>
      <c r="G946" t="s">
        <v>29</v>
      </c>
      <c r="H946">
        <v>81</v>
      </c>
      <c r="I946">
        <v>71101060</v>
      </c>
      <c r="J946">
        <v>11500060</v>
      </c>
      <c r="K946" t="s">
        <v>30</v>
      </c>
      <c r="L946" s="4">
        <v>243.3</v>
      </c>
      <c r="M946" t="s">
        <v>31</v>
      </c>
      <c r="N946" s="4">
        <v>243.3</v>
      </c>
      <c r="O946" t="s">
        <v>31</v>
      </c>
      <c r="X946" t="s">
        <v>43</v>
      </c>
      <c r="Y946"/>
      <c r="Z946">
        <v>20200115</v>
      </c>
      <c r="AA946">
        <f t="shared" si="15"/>
        <v>243.3</v>
      </c>
      <c r="AC946"/>
      <c r="AF946"/>
      <c r="AL946">
        <v>340610590</v>
      </c>
      <c r="AM946" t="s">
        <v>36</v>
      </c>
    </row>
    <row r="947" spans="1:39" x14ac:dyDescent="0.35">
      <c r="A947">
        <v>3406</v>
      </c>
      <c r="B947" t="s">
        <v>39</v>
      </c>
      <c r="C947">
        <v>2020</v>
      </c>
      <c r="D947" s="1">
        <v>43831</v>
      </c>
      <c r="E947">
        <v>16</v>
      </c>
      <c r="F947">
        <v>600013714</v>
      </c>
      <c r="G947" t="s">
        <v>29</v>
      </c>
      <c r="H947">
        <v>81</v>
      </c>
      <c r="I947">
        <v>71101060</v>
      </c>
      <c r="J947">
        <v>11500060</v>
      </c>
      <c r="K947" t="s">
        <v>30</v>
      </c>
      <c r="L947" s="4">
        <v>727.2</v>
      </c>
      <c r="M947" t="s">
        <v>31</v>
      </c>
      <c r="N947" s="4">
        <v>727.2</v>
      </c>
      <c r="O947" t="s">
        <v>31</v>
      </c>
      <c r="X947" t="s">
        <v>43</v>
      </c>
      <c r="Y947"/>
      <c r="Z947">
        <v>20200115</v>
      </c>
      <c r="AA947">
        <f t="shared" si="15"/>
        <v>727.2</v>
      </c>
      <c r="AC947"/>
      <c r="AF947"/>
      <c r="AL947">
        <v>340610590</v>
      </c>
      <c r="AM947" t="s">
        <v>36</v>
      </c>
    </row>
    <row r="948" spans="1:39" x14ac:dyDescent="0.35">
      <c r="A948">
        <v>3406</v>
      </c>
      <c r="B948" t="s">
        <v>39</v>
      </c>
      <c r="C948">
        <v>2020</v>
      </c>
      <c r="D948" s="1">
        <v>43831</v>
      </c>
      <c r="E948">
        <v>18</v>
      </c>
      <c r="F948">
        <v>600013714</v>
      </c>
      <c r="G948" t="s">
        <v>29</v>
      </c>
      <c r="H948">
        <v>81</v>
      </c>
      <c r="I948">
        <v>71101060</v>
      </c>
      <c r="J948">
        <v>11500060</v>
      </c>
      <c r="K948" t="s">
        <v>30</v>
      </c>
      <c r="L948" s="4">
        <v>83</v>
      </c>
      <c r="M948" t="s">
        <v>31</v>
      </c>
      <c r="N948" s="4">
        <v>83</v>
      </c>
      <c r="O948" t="s">
        <v>31</v>
      </c>
      <c r="X948" t="s">
        <v>43</v>
      </c>
      <c r="Y948"/>
      <c r="Z948">
        <v>20200115</v>
      </c>
      <c r="AA948">
        <f t="shared" si="15"/>
        <v>83</v>
      </c>
      <c r="AC948"/>
      <c r="AF948"/>
      <c r="AL948">
        <v>340610590</v>
      </c>
      <c r="AM948" t="s">
        <v>36</v>
      </c>
    </row>
    <row r="949" spans="1:39" x14ac:dyDescent="0.35">
      <c r="A949">
        <v>3406</v>
      </c>
      <c r="B949" t="s">
        <v>39</v>
      </c>
      <c r="C949">
        <v>2020</v>
      </c>
      <c r="D949" s="1">
        <v>43831</v>
      </c>
      <c r="E949">
        <v>22</v>
      </c>
      <c r="F949">
        <v>600013714</v>
      </c>
      <c r="G949" t="s">
        <v>29</v>
      </c>
      <c r="H949">
        <v>81</v>
      </c>
      <c r="I949">
        <v>71101060</v>
      </c>
      <c r="J949">
        <v>11500060</v>
      </c>
      <c r="K949" t="s">
        <v>30</v>
      </c>
      <c r="L949" s="4">
        <v>178.94</v>
      </c>
      <c r="M949" t="s">
        <v>31</v>
      </c>
      <c r="N949" s="4">
        <v>178.94</v>
      </c>
      <c r="O949" t="s">
        <v>31</v>
      </c>
      <c r="X949" t="s">
        <v>43</v>
      </c>
      <c r="Y949"/>
      <c r="Z949">
        <v>20200115</v>
      </c>
      <c r="AA949">
        <f t="shared" si="15"/>
        <v>178.94</v>
      </c>
      <c r="AC949"/>
      <c r="AF949"/>
      <c r="AL949">
        <v>340610590</v>
      </c>
      <c r="AM949" t="s">
        <v>36</v>
      </c>
    </row>
    <row r="950" spans="1:39" x14ac:dyDescent="0.35">
      <c r="A950">
        <v>3406</v>
      </c>
      <c r="B950" t="s">
        <v>39</v>
      </c>
      <c r="C950">
        <v>2020</v>
      </c>
      <c r="D950" s="1">
        <v>43831</v>
      </c>
      <c r="E950">
        <v>24</v>
      </c>
      <c r="F950">
        <v>600013714</v>
      </c>
      <c r="G950" t="s">
        <v>29</v>
      </c>
      <c r="H950">
        <v>81</v>
      </c>
      <c r="I950">
        <v>71101060</v>
      </c>
      <c r="J950">
        <v>11500060</v>
      </c>
      <c r="K950" t="s">
        <v>30</v>
      </c>
      <c r="L950" s="4">
        <v>162.82</v>
      </c>
      <c r="M950" t="s">
        <v>31</v>
      </c>
      <c r="N950" s="4">
        <v>162.82</v>
      </c>
      <c r="O950" t="s">
        <v>31</v>
      </c>
      <c r="X950" t="s">
        <v>43</v>
      </c>
      <c r="Y950"/>
      <c r="Z950">
        <v>20200115</v>
      </c>
      <c r="AA950">
        <f t="shared" si="15"/>
        <v>162.82</v>
      </c>
      <c r="AC950"/>
      <c r="AF950"/>
      <c r="AL950">
        <v>340610590</v>
      </c>
      <c r="AM950" t="s">
        <v>36</v>
      </c>
    </row>
    <row r="951" spans="1:39" x14ac:dyDescent="0.35">
      <c r="A951">
        <v>3406</v>
      </c>
      <c r="B951" t="s">
        <v>39</v>
      </c>
      <c r="C951">
        <v>2020</v>
      </c>
      <c r="D951" s="1">
        <v>43831</v>
      </c>
      <c r="E951">
        <v>26</v>
      </c>
      <c r="F951">
        <v>600013714</v>
      </c>
      <c r="G951" t="s">
        <v>29</v>
      </c>
      <c r="H951">
        <v>81</v>
      </c>
      <c r="I951">
        <v>71101060</v>
      </c>
      <c r="J951">
        <v>11500060</v>
      </c>
      <c r="K951" t="s">
        <v>30</v>
      </c>
      <c r="L951" s="4">
        <v>112</v>
      </c>
      <c r="M951" t="s">
        <v>31</v>
      </c>
      <c r="N951" s="4">
        <v>112</v>
      </c>
      <c r="O951" t="s">
        <v>31</v>
      </c>
      <c r="X951" t="s">
        <v>43</v>
      </c>
      <c r="Y951"/>
      <c r="Z951">
        <v>20200115</v>
      </c>
      <c r="AA951">
        <f t="shared" si="15"/>
        <v>112</v>
      </c>
      <c r="AC951"/>
      <c r="AF951"/>
      <c r="AL951">
        <v>340610590</v>
      </c>
      <c r="AM951" t="s">
        <v>36</v>
      </c>
    </row>
    <row r="952" spans="1:39" x14ac:dyDescent="0.35">
      <c r="A952">
        <v>3406</v>
      </c>
      <c r="B952" t="s">
        <v>39</v>
      </c>
      <c r="C952">
        <v>2020</v>
      </c>
      <c r="D952" s="1">
        <v>43831</v>
      </c>
      <c r="E952">
        <v>16</v>
      </c>
      <c r="F952">
        <v>600013716</v>
      </c>
      <c r="G952" t="s">
        <v>29</v>
      </c>
      <c r="H952">
        <v>81</v>
      </c>
      <c r="I952">
        <v>71101060</v>
      </c>
      <c r="J952">
        <v>11500030</v>
      </c>
      <c r="K952" t="s">
        <v>30</v>
      </c>
      <c r="L952" s="4">
        <v>731.49</v>
      </c>
      <c r="M952" t="s">
        <v>31</v>
      </c>
      <c r="N952" s="4">
        <v>731.49</v>
      </c>
      <c r="O952" t="s">
        <v>31</v>
      </c>
      <c r="X952" t="s">
        <v>43</v>
      </c>
      <c r="Y952"/>
      <c r="Z952">
        <v>20200115</v>
      </c>
      <c r="AA952">
        <f t="shared" si="15"/>
        <v>731.49</v>
      </c>
      <c r="AC952"/>
      <c r="AF952"/>
      <c r="AL952">
        <v>340612590</v>
      </c>
      <c r="AM952" t="s">
        <v>36</v>
      </c>
    </row>
    <row r="953" spans="1:39" x14ac:dyDescent="0.35">
      <c r="A953">
        <v>3406</v>
      </c>
      <c r="B953" t="s">
        <v>39</v>
      </c>
      <c r="C953">
        <v>2020</v>
      </c>
      <c r="D953" s="1">
        <v>43831</v>
      </c>
      <c r="E953">
        <v>60</v>
      </c>
      <c r="F953">
        <v>600013717</v>
      </c>
      <c r="G953" t="s">
        <v>29</v>
      </c>
      <c r="H953">
        <v>81</v>
      </c>
      <c r="I953">
        <v>71101060</v>
      </c>
      <c r="J953">
        <v>11500060</v>
      </c>
      <c r="K953" t="s">
        <v>30</v>
      </c>
      <c r="L953" s="4">
        <v>1356.66</v>
      </c>
      <c r="M953" t="s">
        <v>31</v>
      </c>
      <c r="N953" s="4">
        <v>1356.66</v>
      </c>
      <c r="O953" t="s">
        <v>31</v>
      </c>
      <c r="X953" t="s">
        <v>43</v>
      </c>
      <c r="Y953"/>
      <c r="Z953">
        <v>20200115</v>
      </c>
      <c r="AA953">
        <f t="shared" si="15"/>
        <v>1356.66</v>
      </c>
      <c r="AC953"/>
      <c r="AF953"/>
      <c r="AL953">
        <v>340653290</v>
      </c>
      <c r="AM953" t="s">
        <v>36</v>
      </c>
    </row>
    <row r="954" spans="1:39" x14ac:dyDescent="0.35">
      <c r="A954">
        <v>3406</v>
      </c>
      <c r="B954" t="s">
        <v>39</v>
      </c>
      <c r="C954">
        <v>2020</v>
      </c>
      <c r="D954" s="1">
        <v>43831</v>
      </c>
      <c r="E954">
        <v>62</v>
      </c>
      <c r="F954">
        <v>600013717</v>
      </c>
      <c r="G954" t="s">
        <v>29</v>
      </c>
      <c r="H954">
        <v>81</v>
      </c>
      <c r="I954">
        <v>71101060</v>
      </c>
      <c r="J954">
        <v>11500060</v>
      </c>
      <c r="K954" t="s">
        <v>30</v>
      </c>
      <c r="L954" s="4">
        <v>1093.3399999999999</v>
      </c>
      <c r="M954" t="s">
        <v>31</v>
      </c>
      <c r="N954" s="4">
        <v>1093.3399999999999</v>
      </c>
      <c r="O954" t="s">
        <v>31</v>
      </c>
      <c r="X954" t="s">
        <v>43</v>
      </c>
      <c r="Y954"/>
      <c r="Z954">
        <v>20200115</v>
      </c>
      <c r="AA954">
        <f t="shared" si="15"/>
        <v>1093.3399999999999</v>
      </c>
      <c r="AC954"/>
      <c r="AF954"/>
      <c r="AL954">
        <v>340653290</v>
      </c>
      <c r="AM954" t="s">
        <v>36</v>
      </c>
    </row>
    <row r="955" spans="1:39" x14ac:dyDescent="0.35">
      <c r="A955">
        <v>3406</v>
      </c>
      <c r="B955" t="s">
        <v>39</v>
      </c>
      <c r="C955">
        <v>2020</v>
      </c>
      <c r="D955" s="1">
        <v>43831</v>
      </c>
      <c r="E955">
        <v>2</v>
      </c>
      <c r="F955">
        <v>600013718</v>
      </c>
      <c r="G955" t="s">
        <v>29</v>
      </c>
      <c r="H955">
        <v>81</v>
      </c>
      <c r="I955">
        <v>71101060</v>
      </c>
      <c r="J955">
        <v>11500030</v>
      </c>
      <c r="K955" t="s">
        <v>30</v>
      </c>
      <c r="L955" s="4">
        <v>1093.3399999999999</v>
      </c>
      <c r="M955" t="s">
        <v>31</v>
      </c>
      <c r="N955" s="4">
        <v>1093.3399999999999</v>
      </c>
      <c r="O955" t="s">
        <v>31</v>
      </c>
      <c r="X955" t="s">
        <v>43</v>
      </c>
      <c r="Y955"/>
      <c r="Z955">
        <v>20200115</v>
      </c>
      <c r="AA955">
        <f t="shared" si="15"/>
        <v>1093.3399999999999</v>
      </c>
      <c r="AC955"/>
      <c r="AF955"/>
      <c r="AL955">
        <v>340612390</v>
      </c>
      <c r="AM955" t="s">
        <v>36</v>
      </c>
    </row>
    <row r="956" spans="1:39" x14ac:dyDescent="0.35">
      <c r="A956">
        <v>3406</v>
      </c>
      <c r="B956" t="s">
        <v>39</v>
      </c>
      <c r="C956">
        <v>2020</v>
      </c>
      <c r="D956" s="1">
        <v>43831</v>
      </c>
      <c r="E956">
        <v>30</v>
      </c>
      <c r="F956">
        <v>600013719</v>
      </c>
      <c r="G956" t="s">
        <v>29</v>
      </c>
      <c r="H956">
        <v>81</v>
      </c>
      <c r="I956">
        <v>71101060</v>
      </c>
      <c r="J956">
        <v>11500060</v>
      </c>
      <c r="K956" t="s">
        <v>30</v>
      </c>
      <c r="L956" s="4">
        <v>731.49</v>
      </c>
      <c r="M956" t="s">
        <v>31</v>
      </c>
      <c r="N956" s="4">
        <v>731.49</v>
      </c>
      <c r="O956" t="s">
        <v>31</v>
      </c>
      <c r="X956" t="s">
        <v>43</v>
      </c>
      <c r="Y956"/>
      <c r="Z956">
        <v>20200115</v>
      </c>
      <c r="AA956">
        <f t="shared" si="15"/>
        <v>731.49</v>
      </c>
      <c r="AC956"/>
      <c r="AF956"/>
      <c r="AL956">
        <v>340612590</v>
      </c>
      <c r="AM956" t="s">
        <v>36</v>
      </c>
    </row>
    <row r="957" spans="1:39" x14ac:dyDescent="0.35">
      <c r="A957">
        <v>3401</v>
      </c>
      <c r="B957" t="s">
        <v>39</v>
      </c>
      <c r="C957">
        <v>2020</v>
      </c>
      <c r="D957" s="1">
        <v>43831</v>
      </c>
      <c r="E957">
        <v>16</v>
      </c>
      <c r="F957">
        <v>100015738</v>
      </c>
      <c r="G957" t="s">
        <v>29</v>
      </c>
      <c r="H957">
        <v>81</v>
      </c>
      <c r="I957">
        <v>71101060</v>
      </c>
      <c r="J957">
        <v>11500040</v>
      </c>
      <c r="K957" t="s">
        <v>30</v>
      </c>
      <c r="L957" s="4">
        <v>3719.3</v>
      </c>
      <c r="M957" t="s">
        <v>31</v>
      </c>
      <c r="N957" s="4">
        <v>3719.3</v>
      </c>
      <c r="O957" t="s">
        <v>31</v>
      </c>
      <c r="X957" t="s">
        <v>43</v>
      </c>
      <c r="Y957"/>
      <c r="Z957">
        <v>20200115</v>
      </c>
      <c r="AA957">
        <f t="shared" si="15"/>
        <v>3719.3</v>
      </c>
      <c r="AC957"/>
      <c r="AF957"/>
      <c r="AL957">
        <v>340112390</v>
      </c>
      <c r="AM957" t="s">
        <v>44</v>
      </c>
    </row>
    <row r="958" spans="1:39" x14ac:dyDescent="0.35">
      <c r="A958">
        <v>3401</v>
      </c>
      <c r="B958" t="s">
        <v>39</v>
      </c>
      <c r="C958">
        <v>2020</v>
      </c>
      <c r="D958" s="1">
        <v>43831</v>
      </c>
      <c r="E958">
        <v>84</v>
      </c>
      <c r="F958">
        <v>100015738</v>
      </c>
      <c r="G958" t="s">
        <v>29</v>
      </c>
      <c r="H958">
        <v>81</v>
      </c>
      <c r="I958">
        <v>71101060</v>
      </c>
      <c r="J958">
        <v>11500040</v>
      </c>
      <c r="K958" t="s">
        <v>30</v>
      </c>
      <c r="L958" s="4">
        <v>321</v>
      </c>
      <c r="M958" t="s">
        <v>31</v>
      </c>
      <c r="N958" s="4">
        <v>321</v>
      </c>
      <c r="O958" t="s">
        <v>31</v>
      </c>
      <c r="X958" t="s">
        <v>43</v>
      </c>
      <c r="Y958"/>
      <c r="Z958">
        <v>20200115</v>
      </c>
      <c r="AA958">
        <f t="shared" si="15"/>
        <v>321</v>
      </c>
      <c r="AC958"/>
      <c r="AF958"/>
      <c r="AL958">
        <v>340112390</v>
      </c>
      <c r="AM958" t="s">
        <v>44</v>
      </c>
    </row>
    <row r="959" spans="1:39" x14ac:dyDescent="0.35">
      <c r="A959">
        <v>3401</v>
      </c>
      <c r="B959" t="s">
        <v>39</v>
      </c>
      <c r="C959">
        <v>2020</v>
      </c>
      <c r="D959" s="1">
        <v>43831</v>
      </c>
      <c r="E959">
        <v>92</v>
      </c>
      <c r="F959">
        <v>100015738</v>
      </c>
      <c r="G959" t="s">
        <v>29</v>
      </c>
      <c r="H959">
        <v>81</v>
      </c>
      <c r="I959">
        <v>71101060</v>
      </c>
      <c r="J959">
        <v>11500040</v>
      </c>
      <c r="K959" t="s">
        <v>30</v>
      </c>
      <c r="L959" s="4">
        <v>16.100000000000001</v>
      </c>
      <c r="M959" t="s">
        <v>31</v>
      </c>
      <c r="N959" s="4">
        <v>16.100000000000001</v>
      </c>
      <c r="O959" t="s">
        <v>31</v>
      </c>
      <c r="X959" t="s">
        <v>43</v>
      </c>
      <c r="Y959"/>
      <c r="Z959">
        <v>20200115</v>
      </c>
      <c r="AA959">
        <f t="shared" si="15"/>
        <v>16.100000000000001</v>
      </c>
      <c r="AC959"/>
      <c r="AF959"/>
      <c r="AL959">
        <v>340112390</v>
      </c>
      <c r="AM959" t="s">
        <v>44</v>
      </c>
    </row>
    <row r="960" spans="1:39" x14ac:dyDescent="0.35">
      <c r="A960">
        <v>3401</v>
      </c>
      <c r="B960" t="s">
        <v>39</v>
      </c>
      <c r="C960">
        <v>2020</v>
      </c>
      <c r="D960" s="1">
        <v>43831</v>
      </c>
      <c r="E960">
        <v>94</v>
      </c>
      <c r="F960">
        <v>100015738</v>
      </c>
      <c r="G960" t="s">
        <v>29</v>
      </c>
      <c r="H960">
        <v>81</v>
      </c>
      <c r="I960">
        <v>71101060</v>
      </c>
      <c r="J960">
        <v>11500040</v>
      </c>
      <c r="K960" t="s">
        <v>30</v>
      </c>
      <c r="L960" s="4">
        <v>205.7</v>
      </c>
      <c r="M960" t="s">
        <v>31</v>
      </c>
      <c r="N960" s="4">
        <v>205.7</v>
      </c>
      <c r="O960" t="s">
        <v>31</v>
      </c>
      <c r="X960" t="s">
        <v>43</v>
      </c>
      <c r="Y960"/>
      <c r="Z960">
        <v>20200115</v>
      </c>
      <c r="AA960">
        <f t="shared" si="15"/>
        <v>205.7</v>
      </c>
      <c r="AC960"/>
      <c r="AF960"/>
      <c r="AL960">
        <v>340112390</v>
      </c>
      <c r="AM960" t="s">
        <v>44</v>
      </c>
    </row>
    <row r="961" spans="1:39" x14ac:dyDescent="0.35">
      <c r="A961">
        <v>3401</v>
      </c>
      <c r="B961" t="s">
        <v>39</v>
      </c>
      <c r="C961">
        <v>2020</v>
      </c>
      <c r="D961" s="1">
        <v>43831</v>
      </c>
      <c r="E961">
        <v>96</v>
      </c>
      <c r="F961">
        <v>100015738</v>
      </c>
      <c r="G961" t="s">
        <v>29</v>
      </c>
      <c r="H961">
        <v>81</v>
      </c>
      <c r="I961">
        <v>71101060</v>
      </c>
      <c r="J961">
        <v>11500040</v>
      </c>
      <c r="K961" t="s">
        <v>30</v>
      </c>
      <c r="L961" s="4">
        <v>102</v>
      </c>
      <c r="M961" t="s">
        <v>31</v>
      </c>
      <c r="N961" s="4">
        <v>102</v>
      </c>
      <c r="O961" t="s">
        <v>31</v>
      </c>
      <c r="X961" t="s">
        <v>43</v>
      </c>
      <c r="Y961"/>
      <c r="Z961">
        <v>20200115</v>
      </c>
      <c r="AA961">
        <f t="shared" si="15"/>
        <v>102</v>
      </c>
      <c r="AC961"/>
      <c r="AF961"/>
      <c r="AL961">
        <v>340112390</v>
      </c>
      <c r="AM961" t="s">
        <v>44</v>
      </c>
    </row>
    <row r="962" spans="1:39" x14ac:dyDescent="0.35">
      <c r="A962">
        <v>3407</v>
      </c>
      <c r="B962" t="s">
        <v>39</v>
      </c>
      <c r="C962">
        <v>2020</v>
      </c>
      <c r="D962" s="1">
        <v>43831</v>
      </c>
      <c r="E962">
        <v>2</v>
      </c>
      <c r="F962">
        <v>700016384</v>
      </c>
      <c r="G962" t="s">
        <v>29</v>
      </c>
      <c r="H962">
        <v>81</v>
      </c>
      <c r="I962">
        <v>71101060</v>
      </c>
      <c r="J962">
        <v>11500060</v>
      </c>
      <c r="K962" t="s">
        <v>30</v>
      </c>
      <c r="L962" s="4">
        <v>2481</v>
      </c>
      <c r="M962" t="s">
        <v>31</v>
      </c>
      <c r="N962" s="4">
        <v>2481</v>
      </c>
      <c r="O962" t="s">
        <v>31</v>
      </c>
      <c r="X962" t="s">
        <v>43</v>
      </c>
      <c r="Y962"/>
      <c r="Z962">
        <v>20200115</v>
      </c>
      <c r="AA962">
        <f t="shared" si="15"/>
        <v>2481</v>
      </c>
      <c r="AC962"/>
      <c r="AF962"/>
      <c r="AL962">
        <v>340712390</v>
      </c>
      <c r="AM962" t="s">
        <v>113</v>
      </c>
    </row>
    <row r="963" spans="1:39" x14ac:dyDescent="0.35">
      <c r="A963">
        <v>3407</v>
      </c>
      <c r="B963" t="s">
        <v>39</v>
      </c>
      <c r="C963">
        <v>2020</v>
      </c>
      <c r="D963" s="1">
        <v>43831</v>
      </c>
      <c r="E963">
        <v>2</v>
      </c>
      <c r="F963">
        <v>700016397</v>
      </c>
      <c r="G963" t="s">
        <v>29</v>
      </c>
      <c r="H963">
        <v>81</v>
      </c>
      <c r="I963">
        <v>71101060</v>
      </c>
      <c r="J963">
        <v>11500060</v>
      </c>
      <c r="K963" t="s">
        <v>30</v>
      </c>
      <c r="L963" s="4">
        <v>375.06</v>
      </c>
      <c r="M963" t="s">
        <v>31</v>
      </c>
      <c r="N963" s="4">
        <v>375.06</v>
      </c>
      <c r="O963" t="s">
        <v>31</v>
      </c>
      <c r="X963" t="s">
        <v>43</v>
      </c>
      <c r="Y963"/>
      <c r="Z963">
        <v>20200115</v>
      </c>
      <c r="AA963">
        <f t="shared" si="15"/>
        <v>375.06</v>
      </c>
      <c r="AC963"/>
      <c r="AF963"/>
      <c r="AL963">
        <v>340715190</v>
      </c>
      <c r="AM963" t="s">
        <v>34</v>
      </c>
    </row>
    <row r="964" spans="1:39" x14ac:dyDescent="0.35">
      <c r="A964">
        <v>3407</v>
      </c>
      <c r="B964" t="s">
        <v>39</v>
      </c>
      <c r="C964">
        <v>2020</v>
      </c>
      <c r="D964" s="1">
        <v>43831</v>
      </c>
      <c r="E964">
        <v>4</v>
      </c>
      <c r="F964">
        <v>700016397</v>
      </c>
      <c r="G964" t="s">
        <v>29</v>
      </c>
      <c r="H964">
        <v>81</v>
      </c>
      <c r="I964">
        <v>71101060</v>
      </c>
      <c r="J964">
        <v>11500060</v>
      </c>
      <c r="K964" t="s">
        <v>30</v>
      </c>
      <c r="L964" s="4">
        <v>1659</v>
      </c>
      <c r="M964" t="s">
        <v>31</v>
      </c>
      <c r="N964" s="4">
        <v>1659</v>
      </c>
      <c r="O964" t="s">
        <v>31</v>
      </c>
      <c r="X964" t="s">
        <v>43</v>
      </c>
      <c r="Y964"/>
      <c r="Z964">
        <v>20200115</v>
      </c>
      <c r="AA964">
        <f t="shared" si="15"/>
        <v>1659</v>
      </c>
      <c r="AC964"/>
      <c r="AF964"/>
      <c r="AL964">
        <v>340715190</v>
      </c>
      <c r="AM964" t="s">
        <v>34</v>
      </c>
    </row>
    <row r="965" spans="1:39" x14ac:dyDescent="0.35">
      <c r="A965">
        <v>3407</v>
      </c>
      <c r="B965" t="s">
        <v>39</v>
      </c>
      <c r="C965">
        <v>2020</v>
      </c>
      <c r="D965" s="1">
        <v>43831</v>
      </c>
      <c r="E965">
        <v>14</v>
      </c>
      <c r="F965">
        <v>700016402</v>
      </c>
      <c r="G965" t="s">
        <v>29</v>
      </c>
      <c r="H965">
        <v>81</v>
      </c>
      <c r="I965">
        <v>71101060</v>
      </c>
      <c r="J965">
        <v>11500050</v>
      </c>
      <c r="K965" t="s">
        <v>30</v>
      </c>
      <c r="L965" s="4">
        <v>568</v>
      </c>
      <c r="M965" t="s">
        <v>31</v>
      </c>
      <c r="N965" s="4">
        <v>568</v>
      </c>
      <c r="O965" t="s">
        <v>31</v>
      </c>
      <c r="X965" t="s">
        <v>43</v>
      </c>
      <c r="Y965"/>
      <c r="Z965">
        <v>20200115</v>
      </c>
      <c r="AA965">
        <f t="shared" si="15"/>
        <v>568</v>
      </c>
      <c r="AC965"/>
      <c r="AF965"/>
      <c r="AL965">
        <v>340712890</v>
      </c>
      <c r="AM965" t="s">
        <v>33</v>
      </c>
    </row>
    <row r="966" spans="1:39" x14ac:dyDescent="0.35">
      <c r="A966">
        <v>3409</v>
      </c>
      <c r="B966" t="s">
        <v>39</v>
      </c>
      <c r="C966">
        <v>2020</v>
      </c>
      <c r="D966" s="1">
        <v>43831</v>
      </c>
      <c r="E966">
        <v>8</v>
      </c>
      <c r="F966">
        <v>900005482</v>
      </c>
      <c r="G966" t="s">
        <v>29</v>
      </c>
      <c r="H966">
        <v>81</v>
      </c>
      <c r="I966">
        <v>71101060</v>
      </c>
      <c r="J966">
        <v>11500030</v>
      </c>
      <c r="K966" t="s">
        <v>30</v>
      </c>
      <c r="L966" s="4">
        <v>112.06</v>
      </c>
      <c r="M966" t="s">
        <v>31</v>
      </c>
      <c r="N966" s="4">
        <v>112.06</v>
      </c>
      <c r="O966" t="s">
        <v>31</v>
      </c>
      <c r="X966" t="s">
        <v>43</v>
      </c>
      <c r="Y966"/>
      <c r="Z966">
        <v>20200115</v>
      </c>
      <c r="AA966">
        <f t="shared" si="15"/>
        <v>112.06</v>
      </c>
      <c r="AC966"/>
      <c r="AF966"/>
      <c r="AL966">
        <v>340925490</v>
      </c>
      <c r="AM966" t="s">
        <v>59</v>
      </c>
    </row>
    <row r="967" spans="1:39" x14ac:dyDescent="0.35">
      <c r="A967">
        <v>3407</v>
      </c>
      <c r="B967" t="s">
        <v>39</v>
      </c>
      <c r="C967">
        <v>2020</v>
      </c>
      <c r="D967" s="1">
        <v>43831</v>
      </c>
      <c r="E967">
        <v>2</v>
      </c>
      <c r="F967">
        <v>700016433</v>
      </c>
      <c r="G967" t="s">
        <v>29</v>
      </c>
      <c r="H967">
        <v>81</v>
      </c>
      <c r="I967">
        <v>71101060</v>
      </c>
      <c r="J967">
        <v>11500060</v>
      </c>
      <c r="K967" t="s">
        <v>30</v>
      </c>
      <c r="L967" s="4">
        <v>28.5</v>
      </c>
      <c r="M967" t="s">
        <v>31</v>
      </c>
      <c r="N967" s="4">
        <v>28.5</v>
      </c>
      <c r="O967" t="s">
        <v>31</v>
      </c>
      <c r="X967" t="s">
        <v>43</v>
      </c>
      <c r="Y967"/>
      <c r="Z967">
        <v>20200115</v>
      </c>
      <c r="AA967">
        <f t="shared" si="15"/>
        <v>28.5</v>
      </c>
      <c r="AC967"/>
      <c r="AF967"/>
      <c r="AL967">
        <v>340712690</v>
      </c>
      <c r="AM967" t="s">
        <v>33</v>
      </c>
    </row>
    <row r="968" spans="1:39" x14ac:dyDescent="0.35">
      <c r="A968">
        <v>3407</v>
      </c>
      <c r="B968" t="s">
        <v>39</v>
      </c>
      <c r="C968">
        <v>2020</v>
      </c>
      <c r="D968" s="1">
        <v>43831</v>
      </c>
      <c r="E968">
        <v>4</v>
      </c>
      <c r="F968">
        <v>700016433</v>
      </c>
      <c r="G968" t="s">
        <v>29</v>
      </c>
      <c r="H968">
        <v>81</v>
      </c>
      <c r="I968">
        <v>71101060</v>
      </c>
      <c r="J968">
        <v>11500060</v>
      </c>
      <c r="K968" t="s">
        <v>30</v>
      </c>
      <c r="L968" s="4">
        <v>120</v>
      </c>
      <c r="M968" t="s">
        <v>31</v>
      </c>
      <c r="N968" s="4">
        <v>120</v>
      </c>
      <c r="O968" t="s">
        <v>31</v>
      </c>
      <c r="X968" t="s">
        <v>43</v>
      </c>
      <c r="Y968"/>
      <c r="Z968">
        <v>20200115</v>
      </c>
      <c r="AA968">
        <f t="shared" si="15"/>
        <v>120</v>
      </c>
      <c r="AC968"/>
      <c r="AF968"/>
      <c r="AL968">
        <v>340712690</v>
      </c>
      <c r="AM968" t="s">
        <v>33</v>
      </c>
    </row>
    <row r="969" spans="1:39" x14ac:dyDescent="0.35">
      <c r="A969">
        <v>3407</v>
      </c>
      <c r="B969" t="s">
        <v>39</v>
      </c>
      <c r="C969">
        <v>2020</v>
      </c>
      <c r="D969" s="1">
        <v>43831</v>
      </c>
      <c r="E969">
        <v>12</v>
      </c>
      <c r="F969">
        <v>700016433</v>
      </c>
      <c r="G969" t="s">
        <v>29</v>
      </c>
      <c r="H969">
        <v>81</v>
      </c>
      <c r="I969">
        <v>71101060</v>
      </c>
      <c r="J969">
        <v>11500060</v>
      </c>
      <c r="K969" t="s">
        <v>30</v>
      </c>
      <c r="L969" s="4">
        <v>50</v>
      </c>
      <c r="M969" t="s">
        <v>31</v>
      </c>
      <c r="N969" s="4">
        <v>50</v>
      </c>
      <c r="O969" t="s">
        <v>31</v>
      </c>
      <c r="X969" t="s">
        <v>43</v>
      </c>
      <c r="Y969"/>
      <c r="Z969">
        <v>20200115</v>
      </c>
      <c r="AA969">
        <f t="shared" si="15"/>
        <v>50</v>
      </c>
      <c r="AC969"/>
      <c r="AF969"/>
      <c r="AL969">
        <v>340712690</v>
      </c>
      <c r="AM969" t="s">
        <v>33</v>
      </c>
    </row>
    <row r="970" spans="1:39" x14ac:dyDescent="0.35">
      <c r="A970">
        <v>3407</v>
      </c>
      <c r="B970" t="s">
        <v>39</v>
      </c>
      <c r="C970">
        <v>2020</v>
      </c>
      <c r="D970" s="1">
        <v>43831</v>
      </c>
      <c r="E970">
        <v>12</v>
      </c>
      <c r="F970">
        <v>700016434</v>
      </c>
      <c r="G970" t="s">
        <v>29</v>
      </c>
      <c r="H970">
        <v>81</v>
      </c>
      <c r="I970">
        <v>71101060</v>
      </c>
      <c r="J970">
        <v>11500060</v>
      </c>
      <c r="K970" t="s">
        <v>30</v>
      </c>
      <c r="L970" s="4">
        <v>450</v>
      </c>
      <c r="M970" t="s">
        <v>31</v>
      </c>
      <c r="N970" s="4">
        <v>450</v>
      </c>
      <c r="O970" t="s">
        <v>31</v>
      </c>
      <c r="X970" t="s">
        <v>43</v>
      </c>
      <c r="Y970"/>
      <c r="Z970">
        <v>20200115</v>
      </c>
      <c r="AA970">
        <f t="shared" si="15"/>
        <v>450</v>
      </c>
      <c r="AC970"/>
      <c r="AF970"/>
      <c r="AL970">
        <v>340712590</v>
      </c>
      <c r="AM970" t="s">
        <v>34</v>
      </c>
    </row>
    <row r="971" spans="1:39" x14ac:dyDescent="0.35">
      <c r="A971">
        <v>3407</v>
      </c>
      <c r="B971" t="s">
        <v>39</v>
      </c>
      <c r="C971">
        <v>2020</v>
      </c>
      <c r="D971" s="1">
        <v>43831</v>
      </c>
      <c r="E971">
        <v>14</v>
      </c>
      <c r="F971">
        <v>700016434</v>
      </c>
      <c r="G971" t="s">
        <v>29</v>
      </c>
      <c r="H971">
        <v>81</v>
      </c>
      <c r="I971">
        <v>71101060</v>
      </c>
      <c r="J971">
        <v>11500060</v>
      </c>
      <c r="K971" t="s">
        <v>30</v>
      </c>
      <c r="L971" s="4">
        <v>360</v>
      </c>
      <c r="M971" t="s">
        <v>31</v>
      </c>
      <c r="N971" s="4">
        <v>360</v>
      </c>
      <c r="O971" t="s">
        <v>31</v>
      </c>
      <c r="X971" t="s">
        <v>43</v>
      </c>
      <c r="Y971"/>
      <c r="Z971">
        <v>20200115</v>
      </c>
      <c r="AA971">
        <f t="shared" si="15"/>
        <v>360</v>
      </c>
      <c r="AC971"/>
      <c r="AF971"/>
      <c r="AL971">
        <v>340712590</v>
      </c>
      <c r="AM971" t="s">
        <v>34</v>
      </c>
    </row>
    <row r="972" spans="1:39" x14ac:dyDescent="0.35">
      <c r="A972">
        <v>3407</v>
      </c>
      <c r="B972" t="s">
        <v>39</v>
      </c>
      <c r="C972">
        <v>2020</v>
      </c>
      <c r="D972" s="1">
        <v>43831</v>
      </c>
      <c r="E972">
        <v>2</v>
      </c>
      <c r="F972">
        <v>700016435</v>
      </c>
      <c r="G972" t="s">
        <v>29</v>
      </c>
      <c r="H972">
        <v>81</v>
      </c>
      <c r="I972">
        <v>71101060</v>
      </c>
      <c r="J972">
        <v>11500060</v>
      </c>
      <c r="K972" t="s">
        <v>30</v>
      </c>
      <c r="L972" s="4">
        <v>2337</v>
      </c>
      <c r="M972" t="s">
        <v>31</v>
      </c>
      <c r="N972" s="4">
        <v>2337</v>
      </c>
      <c r="O972" t="s">
        <v>31</v>
      </c>
      <c r="X972" t="s">
        <v>43</v>
      </c>
      <c r="Y972"/>
      <c r="Z972">
        <v>20200115</v>
      </c>
      <c r="AA972">
        <f t="shared" si="15"/>
        <v>2337</v>
      </c>
      <c r="AC972"/>
      <c r="AF972"/>
      <c r="AL972">
        <v>340712590</v>
      </c>
      <c r="AM972" t="s">
        <v>34</v>
      </c>
    </row>
    <row r="973" spans="1:39" x14ac:dyDescent="0.35">
      <c r="A973">
        <v>3407</v>
      </c>
      <c r="B973" t="s">
        <v>39</v>
      </c>
      <c r="C973">
        <v>2020</v>
      </c>
      <c r="D973" s="1">
        <v>43831</v>
      </c>
      <c r="E973">
        <v>8</v>
      </c>
      <c r="F973">
        <v>700016439</v>
      </c>
      <c r="G973" t="s">
        <v>29</v>
      </c>
      <c r="H973">
        <v>81</v>
      </c>
      <c r="I973">
        <v>71101060</v>
      </c>
      <c r="J973">
        <v>11500060</v>
      </c>
      <c r="K973" t="s">
        <v>30</v>
      </c>
      <c r="L973" s="4">
        <v>200</v>
      </c>
      <c r="M973" t="s">
        <v>31</v>
      </c>
      <c r="N973" s="4">
        <v>200</v>
      </c>
      <c r="O973" t="s">
        <v>31</v>
      </c>
      <c r="X973" t="s">
        <v>43</v>
      </c>
      <c r="Y973"/>
      <c r="Z973">
        <v>20200115</v>
      </c>
      <c r="AA973">
        <f t="shared" si="15"/>
        <v>200</v>
      </c>
      <c r="AC973"/>
      <c r="AF973"/>
      <c r="AL973">
        <v>340712490</v>
      </c>
      <c r="AM973" t="s">
        <v>34</v>
      </c>
    </row>
    <row r="974" spans="1:39" x14ac:dyDescent="0.35">
      <c r="A974">
        <v>3409</v>
      </c>
      <c r="B974" t="s">
        <v>39</v>
      </c>
      <c r="C974">
        <v>2020</v>
      </c>
      <c r="D974" s="1">
        <v>43831</v>
      </c>
      <c r="E974">
        <v>10</v>
      </c>
      <c r="F974">
        <v>900005484</v>
      </c>
      <c r="G974" t="s">
        <v>29</v>
      </c>
      <c r="H974">
        <v>81</v>
      </c>
      <c r="I974">
        <v>71101060</v>
      </c>
      <c r="J974">
        <v>11500060</v>
      </c>
      <c r="K974" t="s">
        <v>30</v>
      </c>
      <c r="L974" s="4">
        <v>1752.16</v>
      </c>
      <c r="M974" t="s">
        <v>31</v>
      </c>
      <c r="N974" s="4">
        <v>1752.16</v>
      </c>
      <c r="O974" t="s">
        <v>31</v>
      </c>
      <c r="X974" t="s">
        <v>43</v>
      </c>
      <c r="Y974"/>
      <c r="Z974">
        <v>20200115</v>
      </c>
      <c r="AA974">
        <f t="shared" si="15"/>
        <v>1752.16</v>
      </c>
      <c r="AC974"/>
      <c r="AF974"/>
      <c r="AL974">
        <v>340981790</v>
      </c>
      <c r="AM974" t="s">
        <v>59</v>
      </c>
    </row>
    <row r="975" spans="1:39" x14ac:dyDescent="0.35">
      <c r="A975">
        <v>3407</v>
      </c>
      <c r="B975" t="s">
        <v>39</v>
      </c>
      <c r="C975">
        <v>2020</v>
      </c>
      <c r="D975" s="1">
        <v>43831</v>
      </c>
      <c r="E975">
        <v>18</v>
      </c>
      <c r="F975">
        <v>700016443</v>
      </c>
      <c r="G975" t="s">
        <v>29</v>
      </c>
      <c r="H975">
        <v>81</v>
      </c>
      <c r="I975">
        <v>71101060</v>
      </c>
      <c r="J975">
        <v>11500060</v>
      </c>
      <c r="K975" t="s">
        <v>30</v>
      </c>
      <c r="L975" s="4">
        <v>550</v>
      </c>
      <c r="M975" t="s">
        <v>31</v>
      </c>
      <c r="N975" s="4">
        <v>550</v>
      </c>
      <c r="O975" t="s">
        <v>31</v>
      </c>
      <c r="X975" t="s">
        <v>43</v>
      </c>
      <c r="Y975"/>
      <c r="Z975">
        <v>20200115</v>
      </c>
      <c r="AA975">
        <f t="shared" si="15"/>
        <v>550</v>
      </c>
      <c r="AC975"/>
      <c r="AF975"/>
      <c r="AL975">
        <v>340712590</v>
      </c>
      <c r="AM975" t="s">
        <v>34</v>
      </c>
    </row>
    <row r="976" spans="1:39" x14ac:dyDescent="0.35">
      <c r="A976">
        <v>3407</v>
      </c>
      <c r="B976" t="s">
        <v>39</v>
      </c>
      <c r="C976">
        <v>2020</v>
      </c>
      <c r="D976" s="1">
        <v>43831</v>
      </c>
      <c r="E976">
        <v>20</v>
      </c>
      <c r="F976">
        <v>700016443</v>
      </c>
      <c r="G976" t="s">
        <v>29</v>
      </c>
      <c r="H976">
        <v>81</v>
      </c>
      <c r="I976">
        <v>71101060</v>
      </c>
      <c r="J976">
        <v>11500060</v>
      </c>
      <c r="K976" t="s">
        <v>30</v>
      </c>
      <c r="L976" s="4">
        <v>95</v>
      </c>
      <c r="M976" t="s">
        <v>31</v>
      </c>
      <c r="N976" s="4">
        <v>95</v>
      </c>
      <c r="O976" t="s">
        <v>31</v>
      </c>
      <c r="X976" t="s">
        <v>43</v>
      </c>
      <c r="Y976"/>
      <c r="Z976">
        <v>20200115</v>
      </c>
      <c r="AA976">
        <f t="shared" si="15"/>
        <v>95</v>
      </c>
      <c r="AC976"/>
      <c r="AF976"/>
      <c r="AL976">
        <v>340712590</v>
      </c>
      <c r="AM976" t="s">
        <v>34</v>
      </c>
    </row>
    <row r="977" spans="1:39" x14ac:dyDescent="0.35">
      <c r="A977">
        <v>3407</v>
      </c>
      <c r="B977" t="s">
        <v>39</v>
      </c>
      <c r="C977">
        <v>2020</v>
      </c>
      <c r="D977" s="1">
        <v>43831</v>
      </c>
      <c r="E977">
        <v>22</v>
      </c>
      <c r="F977">
        <v>700016443</v>
      </c>
      <c r="G977" t="s">
        <v>29</v>
      </c>
      <c r="H977">
        <v>81</v>
      </c>
      <c r="I977">
        <v>71101060</v>
      </c>
      <c r="J977">
        <v>11500060</v>
      </c>
      <c r="K977" t="s">
        <v>30</v>
      </c>
      <c r="L977" s="4">
        <v>203.1</v>
      </c>
      <c r="M977" t="s">
        <v>31</v>
      </c>
      <c r="N977" s="4">
        <v>203.1</v>
      </c>
      <c r="O977" t="s">
        <v>31</v>
      </c>
      <c r="X977" t="s">
        <v>43</v>
      </c>
      <c r="Y977"/>
      <c r="Z977">
        <v>20200115</v>
      </c>
      <c r="AA977">
        <f t="shared" si="15"/>
        <v>203.1</v>
      </c>
      <c r="AC977"/>
      <c r="AF977"/>
      <c r="AL977">
        <v>340712590</v>
      </c>
      <c r="AM977" t="s">
        <v>34</v>
      </c>
    </row>
    <row r="978" spans="1:39" x14ac:dyDescent="0.35">
      <c r="A978">
        <v>3407</v>
      </c>
      <c r="B978" t="s">
        <v>39</v>
      </c>
      <c r="C978">
        <v>2020</v>
      </c>
      <c r="D978" s="1">
        <v>43831</v>
      </c>
      <c r="E978">
        <v>24</v>
      </c>
      <c r="F978">
        <v>700016443</v>
      </c>
      <c r="G978" t="s">
        <v>29</v>
      </c>
      <c r="H978">
        <v>81</v>
      </c>
      <c r="I978">
        <v>71101060</v>
      </c>
      <c r="J978">
        <v>11500060</v>
      </c>
      <c r="K978" t="s">
        <v>30</v>
      </c>
      <c r="L978" s="4">
        <v>408</v>
      </c>
      <c r="M978" t="s">
        <v>31</v>
      </c>
      <c r="N978" s="4">
        <v>408</v>
      </c>
      <c r="O978" t="s">
        <v>31</v>
      </c>
      <c r="X978" t="s">
        <v>43</v>
      </c>
      <c r="Y978"/>
      <c r="Z978">
        <v>20200115</v>
      </c>
      <c r="AA978">
        <f t="shared" ref="AA978:AA1041" si="16">L978</f>
        <v>408</v>
      </c>
      <c r="AC978"/>
      <c r="AF978"/>
      <c r="AL978">
        <v>340712590</v>
      </c>
      <c r="AM978" t="s">
        <v>34</v>
      </c>
    </row>
    <row r="979" spans="1:39" x14ac:dyDescent="0.35">
      <c r="A979">
        <v>3407</v>
      </c>
      <c r="B979" t="s">
        <v>39</v>
      </c>
      <c r="C979">
        <v>2020</v>
      </c>
      <c r="D979" s="1">
        <v>43831</v>
      </c>
      <c r="E979">
        <v>26</v>
      </c>
      <c r="F979">
        <v>700016443</v>
      </c>
      <c r="G979" t="s">
        <v>29</v>
      </c>
      <c r="H979">
        <v>81</v>
      </c>
      <c r="I979">
        <v>71101060</v>
      </c>
      <c r="J979">
        <v>11500060</v>
      </c>
      <c r="K979" t="s">
        <v>30</v>
      </c>
      <c r="L979" s="4">
        <v>480</v>
      </c>
      <c r="M979" t="s">
        <v>31</v>
      </c>
      <c r="N979" s="4">
        <v>480</v>
      </c>
      <c r="O979" t="s">
        <v>31</v>
      </c>
      <c r="X979" t="s">
        <v>43</v>
      </c>
      <c r="Y979"/>
      <c r="Z979">
        <v>20200115</v>
      </c>
      <c r="AA979">
        <f t="shared" si="16"/>
        <v>480</v>
      </c>
      <c r="AC979"/>
      <c r="AF979"/>
      <c r="AL979">
        <v>340712590</v>
      </c>
      <c r="AM979" t="s">
        <v>34</v>
      </c>
    </row>
    <row r="980" spans="1:39" x14ac:dyDescent="0.35">
      <c r="A980">
        <v>3409</v>
      </c>
      <c r="B980" t="s">
        <v>39</v>
      </c>
      <c r="C980">
        <v>2020</v>
      </c>
      <c r="D980" s="1">
        <v>43831</v>
      </c>
      <c r="E980">
        <v>10</v>
      </c>
      <c r="F980">
        <v>900005487</v>
      </c>
      <c r="G980" t="s">
        <v>29</v>
      </c>
      <c r="H980">
        <v>81</v>
      </c>
      <c r="I980">
        <v>71101060</v>
      </c>
      <c r="J980">
        <v>11500060</v>
      </c>
      <c r="K980" t="s">
        <v>30</v>
      </c>
      <c r="L980" s="4">
        <v>730.04</v>
      </c>
      <c r="M980" t="s">
        <v>31</v>
      </c>
      <c r="N980" s="4">
        <v>730.04</v>
      </c>
      <c r="O980" t="s">
        <v>31</v>
      </c>
      <c r="X980" t="s">
        <v>43</v>
      </c>
      <c r="Y980"/>
      <c r="Z980">
        <v>20200115</v>
      </c>
      <c r="AA980">
        <f t="shared" si="16"/>
        <v>730.04</v>
      </c>
      <c r="AC980"/>
      <c r="AF980"/>
      <c r="AL980">
        <v>340913090</v>
      </c>
      <c r="AM980" t="s">
        <v>59</v>
      </c>
    </row>
    <row r="981" spans="1:39" x14ac:dyDescent="0.35">
      <c r="A981">
        <v>3409</v>
      </c>
      <c r="B981" t="s">
        <v>39</v>
      </c>
      <c r="C981">
        <v>2020</v>
      </c>
      <c r="D981" s="1">
        <v>43831</v>
      </c>
      <c r="E981">
        <v>4</v>
      </c>
      <c r="F981">
        <v>900005489</v>
      </c>
      <c r="G981" t="s">
        <v>29</v>
      </c>
      <c r="H981">
        <v>81</v>
      </c>
      <c r="I981">
        <v>71101060</v>
      </c>
      <c r="J981">
        <v>11500060</v>
      </c>
      <c r="K981" t="s">
        <v>30</v>
      </c>
      <c r="L981" s="4">
        <v>5397</v>
      </c>
      <c r="M981" t="s">
        <v>31</v>
      </c>
      <c r="N981" s="4">
        <v>5397</v>
      </c>
      <c r="O981" t="s">
        <v>31</v>
      </c>
      <c r="X981" t="s">
        <v>43</v>
      </c>
      <c r="Y981"/>
      <c r="Z981">
        <v>20200115</v>
      </c>
      <c r="AA981">
        <f t="shared" si="16"/>
        <v>5397</v>
      </c>
      <c r="AC981"/>
      <c r="AF981"/>
      <c r="AL981">
        <v>340912890</v>
      </c>
      <c r="AM981" t="s">
        <v>45</v>
      </c>
    </row>
    <row r="982" spans="1:39" x14ac:dyDescent="0.35">
      <c r="A982">
        <v>3409</v>
      </c>
      <c r="B982" t="s">
        <v>39</v>
      </c>
      <c r="C982">
        <v>2020</v>
      </c>
      <c r="D982" s="1">
        <v>43831</v>
      </c>
      <c r="E982">
        <v>16</v>
      </c>
      <c r="F982">
        <v>900005489</v>
      </c>
      <c r="G982" t="s">
        <v>29</v>
      </c>
      <c r="H982">
        <v>81</v>
      </c>
      <c r="I982">
        <v>71101060</v>
      </c>
      <c r="J982">
        <v>11500060</v>
      </c>
      <c r="K982" t="s">
        <v>30</v>
      </c>
      <c r="L982" s="4">
        <v>770.16</v>
      </c>
      <c r="M982" t="s">
        <v>31</v>
      </c>
      <c r="N982" s="4">
        <v>770.16</v>
      </c>
      <c r="O982" t="s">
        <v>31</v>
      </c>
      <c r="X982" t="s">
        <v>43</v>
      </c>
      <c r="Y982"/>
      <c r="Z982">
        <v>20200115</v>
      </c>
      <c r="AA982">
        <f t="shared" si="16"/>
        <v>770.16</v>
      </c>
      <c r="AC982"/>
      <c r="AF982"/>
      <c r="AL982">
        <v>340912890</v>
      </c>
      <c r="AM982" t="s">
        <v>45</v>
      </c>
    </row>
    <row r="983" spans="1:39" x14ac:dyDescent="0.35">
      <c r="A983">
        <v>3409</v>
      </c>
      <c r="B983" t="s">
        <v>39</v>
      </c>
      <c r="C983">
        <v>2020</v>
      </c>
      <c r="D983" s="1">
        <v>43831</v>
      </c>
      <c r="E983">
        <v>18</v>
      </c>
      <c r="F983">
        <v>900005489</v>
      </c>
      <c r="G983" t="s">
        <v>29</v>
      </c>
      <c r="H983">
        <v>81</v>
      </c>
      <c r="I983">
        <v>71101060</v>
      </c>
      <c r="J983">
        <v>11500060</v>
      </c>
      <c r="K983" t="s">
        <v>30</v>
      </c>
      <c r="L983" s="4">
        <v>945</v>
      </c>
      <c r="M983" t="s">
        <v>31</v>
      </c>
      <c r="N983" s="4">
        <v>945</v>
      </c>
      <c r="O983" t="s">
        <v>31</v>
      </c>
      <c r="X983" t="s">
        <v>43</v>
      </c>
      <c r="Y983"/>
      <c r="Z983">
        <v>20200115</v>
      </c>
      <c r="AA983">
        <f t="shared" si="16"/>
        <v>945</v>
      </c>
      <c r="AC983"/>
      <c r="AF983"/>
      <c r="AL983">
        <v>340912890</v>
      </c>
      <c r="AM983" t="s">
        <v>45</v>
      </c>
    </row>
    <row r="984" spans="1:39" x14ac:dyDescent="0.35">
      <c r="A984">
        <v>3409</v>
      </c>
      <c r="B984" t="s">
        <v>39</v>
      </c>
      <c r="C984">
        <v>2020</v>
      </c>
      <c r="D984" s="1">
        <v>43831</v>
      </c>
      <c r="E984">
        <v>20</v>
      </c>
      <c r="F984">
        <v>900005489</v>
      </c>
      <c r="G984" t="s">
        <v>29</v>
      </c>
      <c r="H984">
        <v>81</v>
      </c>
      <c r="I984">
        <v>71101060</v>
      </c>
      <c r="J984">
        <v>11500060</v>
      </c>
      <c r="K984" t="s">
        <v>30</v>
      </c>
      <c r="L984" s="4">
        <v>1054.46</v>
      </c>
      <c r="M984" t="s">
        <v>31</v>
      </c>
      <c r="N984" s="4">
        <v>1054.46</v>
      </c>
      <c r="O984" t="s">
        <v>31</v>
      </c>
      <c r="X984" t="s">
        <v>43</v>
      </c>
      <c r="Y984"/>
      <c r="Z984">
        <v>20200115</v>
      </c>
      <c r="AA984">
        <f t="shared" si="16"/>
        <v>1054.46</v>
      </c>
      <c r="AC984"/>
      <c r="AF984"/>
      <c r="AL984">
        <v>340912890</v>
      </c>
      <c r="AM984" t="s">
        <v>45</v>
      </c>
    </row>
    <row r="985" spans="1:39" x14ac:dyDescent="0.35">
      <c r="A985">
        <v>3409</v>
      </c>
      <c r="B985" t="s">
        <v>39</v>
      </c>
      <c r="C985">
        <v>2020</v>
      </c>
      <c r="D985" s="1">
        <v>43831</v>
      </c>
      <c r="E985">
        <v>22</v>
      </c>
      <c r="F985">
        <v>900005489</v>
      </c>
      <c r="G985" t="s">
        <v>29</v>
      </c>
      <c r="H985">
        <v>81</v>
      </c>
      <c r="I985">
        <v>71101060</v>
      </c>
      <c r="J985">
        <v>11500060</v>
      </c>
      <c r="K985" t="s">
        <v>30</v>
      </c>
      <c r="L985" s="4">
        <v>2059.38</v>
      </c>
      <c r="M985" t="s">
        <v>31</v>
      </c>
      <c r="N985" s="4">
        <v>2059.38</v>
      </c>
      <c r="O985" t="s">
        <v>31</v>
      </c>
      <c r="X985" t="s">
        <v>43</v>
      </c>
      <c r="Y985"/>
      <c r="Z985">
        <v>20200115</v>
      </c>
      <c r="AA985">
        <f t="shared" si="16"/>
        <v>2059.38</v>
      </c>
      <c r="AC985"/>
      <c r="AF985"/>
      <c r="AL985">
        <v>340912890</v>
      </c>
      <c r="AM985" t="s">
        <v>45</v>
      </c>
    </row>
    <row r="986" spans="1:39" x14ac:dyDescent="0.35">
      <c r="A986">
        <v>3409</v>
      </c>
      <c r="B986" t="s">
        <v>39</v>
      </c>
      <c r="C986">
        <v>2020</v>
      </c>
      <c r="D986" s="1">
        <v>43831</v>
      </c>
      <c r="E986">
        <v>24</v>
      </c>
      <c r="F986">
        <v>900005489</v>
      </c>
      <c r="G986" t="s">
        <v>29</v>
      </c>
      <c r="H986">
        <v>81</v>
      </c>
      <c r="I986">
        <v>71101060</v>
      </c>
      <c r="J986">
        <v>11500060</v>
      </c>
      <c r="K986" t="s">
        <v>30</v>
      </c>
      <c r="L986" s="4">
        <v>420</v>
      </c>
      <c r="M986" t="s">
        <v>31</v>
      </c>
      <c r="N986" s="4">
        <v>420</v>
      </c>
      <c r="O986" t="s">
        <v>31</v>
      </c>
      <c r="X986" t="s">
        <v>43</v>
      </c>
      <c r="Y986"/>
      <c r="Z986">
        <v>20200115</v>
      </c>
      <c r="AA986">
        <f t="shared" si="16"/>
        <v>420</v>
      </c>
      <c r="AC986"/>
      <c r="AF986"/>
      <c r="AL986">
        <v>340912890</v>
      </c>
      <c r="AM986" t="s">
        <v>45</v>
      </c>
    </row>
    <row r="987" spans="1:39" x14ac:dyDescent="0.35">
      <c r="A987">
        <v>3409</v>
      </c>
      <c r="B987" t="s">
        <v>39</v>
      </c>
      <c r="C987">
        <v>2020</v>
      </c>
      <c r="D987" s="1">
        <v>43831</v>
      </c>
      <c r="E987">
        <v>28</v>
      </c>
      <c r="F987">
        <v>900005489</v>
      </c>
      <c r="G987" t="s">
        <v>29</v>
      </c>
      <c r="H987">
        <v>81</v>
      </c>
      <c r="I987">
        <v>71101060</v>
      </c>
      <c r="J987">
        <v>11500060</v>
      </c>
      <c r="K987" t="s">
        <v>30</v>
      </c>
      <c r="L987" s="4">
        <v>400.29</v>
      </c>
      <c r="M987" t="s">
        <v>31</v>
      </c>
      <c r="N987" s="4">
        <v>400.29</v>
      </c>
      <c r="O987" t="s">
        <v>31</v>
      </c>
      <c r="X987" t="s">
        <v>43</v>
      </c>
      <c r="Y987"/>
      <c r="Z987">
        <v>20200115</v>
      </c>
      <c r="AA987">
        <f t="shared" si="16"/>
        <v>400.29</v>
      </c>
      <c r="AC987"/>
      <c r="AF987"/>
      <c r="AL987">
        <v>340912890</v>
      </c>
      <c r="AM987" t="s">
        <v>45</v>
      </c>
    </row>
    <row r="988" spans="1:39" x14ac:dyDescent="0.35">
      <c r="A988">
        <v>3409</v>
      </c>
      <c r="B988" t="s">
        <v>39</v>
      </c>
      <c r="C988">
        <v>2020</v>
      </c>
      <c r="D988" s="1">
        <v>43831</v>
      </c>
      <c r="E988">
        <v>30</v>
      </c>
      <c r="F988">
        <v>900005489</v>
      </c>
      <c r="G988" t="s">
        <v>29</v>
      </c>
      <c r="H988">
        <v>81</v>
      </c>
      <c r="I988">
        <v>71101060</v>
      </c>
      <c r="J988">
        <v>11500060</v>
      </c>
      <c r="K988" t="s">
        <v>30</v>
      </c>
      <c r="L988" s="4">
        <v>317.33</v>
      </c>
      <c r="M988" t="s">
        <v>31</v>
      </c>
      <c r="N988" s="4">
        <v>317.33</v>
      </c>
      <c r="O988" t="s">
        <v>31</v>
      </c>
      <c r="X988" t="s">
        <v>43</v>
      </c>
      <c r="Y988"/>
      <c r="Z988">
        <v>20200115</v>
      </c>
      <c r="AA988">
        <f t="shared" si="16"/>
        <v>317.33</v>
      </c>
      <c r="AC988"/>
      <c r="AF988"/>
      <c r="AL988">
        <v>340912890</v>
      </c>
      <c r="AM988" t="s">
        <v>45</v>
      </c>
    </row>
    <row r="989" spans="1:39" x14ac:dyDescent="0.35">
      <c r="A989">
        <v>3409</v>
      </c>
      <c r="B989" t="s">
        <v>39</v>
      </c>
      <c r="C989">
        <v>2020</v>
      </c>
      <c r="D989" s="1">
        <v>43831</v>
      </c>
      <c r="E989">
        <v>32</v>
      </c>
      <c r="F989">
        <v>900005489</v>
      </c>
      <c r="G989" t="s">
        <v>29</v>
      </c>
      <c r="H989">
        <v>81</v>
      </c>
      <c r="I989">
        <v>71101060</v>
      </c>
      <c r="J989">
        <v>11500060</v>
      </c>
      <c r="K989" t="s">
        <v>30</v>
      </c>
      <c r="L989" s="4">
        <v>154.30000000000001</v>
      </c>
      <c r="M989" t="s">
        <v>31</v>
      </c>
      <c r="N989" s="4">
        <v>154.30000000000001</v>
      </c>
      <c r="O989" t="s">
        <v>31</v>
      </c>
      <c r="X989" t="s">
        <v>43</v>
      </c>
      <c r="Y989"/>
      <c r="Z989">
        <v>20200115</v>
      </c>
      <c r="AA989">
        <f t="shared" si="16"/>
        <v>154.30000000000001</v>
      </c>
      <c r="AC989"/>
      <c r="AF989"/>
      <c r="AL989">
        <v>340912890</v>
      </c>
      <c r="AM989" t="s">
        <v>45</v>
      </c>
    </row>
    <row r="990" spans="1:39" x14ac:dyDescent="0.35">
      <c r="A990">
        <v>3409</v>
      </c>
      <c r="B990" t="s">
        <v>39</v>
      </c>
      <c r="C990">
        <v>2020</v>
      </c>
      <c r="D990" s="1">
        <v>43831</v>
      </c>
      <c r="E990">
        <v>34</v>
      </c>
      <c r="F990">
        <v>900005489</v>
      </c>
      <c r="G990" t="s">
        <v>29</v>
      </c>
      <c r="H990">
        <v>81</v>
      </c>
      <c r="I990">
        <v>71101060</v>
      </c>
      <c r="J990">
        <v>11500060</v>
      </c>
      <c r="K990" t="s">
        <v>30</v>
      </c>
      <c r="L990" s="4">
        <v>524</v>
      </c>
      <c r="M990" t="s">
        <v>31</v>
      </c>
      <c r="N990" s="4">
        <v>524</v>
      </c>
      <c r="O990" t="s">
        <v>31</v>
      </c>
      <c r="X990" t="s">
        <v>43</v>
      </c>
      <c r="Y990"/>
      <c r="Z990">
        <v>20200115</v>
      </c>
      <c r="AA990">
        <f t="shared" si="16"/>
        <v>524</v>
      </c>
      <c r="AC990"/>
      <c r="AF990"/>
      <c r="AL990">
        <v>340912890</v>
      </c>
      <c r="AM990" t="s">
        <v>45</v>
      </c>
    </row>
    <row r="991" spans="1:39" x14ac:dyDescent="0.35">
      <c r="A991">
        <v>3409</v>
      </c>
      <c r="B991" t="s">
        <v>39</v>
      </c>
      <c r="C991">
        <v>2020</v>
      </c>
      <c r="D991" s="1">
        <v>43831</v>
      </c>
      <c r="E991">
        <v>36</v>
      </c>
      <c r="F991">
        <v>900005489</v>
      </c>
      <c r="G991" t="s">
        <v>29</v>
      </c>
      <c r="H991">
        <v>81</v>
      </c>
      <c r="I991">
        <v>71101060</v>
      </c>
      <c r="J991">
        <v>11500060</v>
      </c>
      <c r="K991" t="s">
        <v>30</v>
      </c>
      <c r="L991" s="4">
        <v>89.71</v>
      </c>
      <c r="M991" t="s">
        <v>31</v>
      </c>
      <c r="N991" s="4">
        <v>89.71</v>
      </c>
      <c r="O991" t="s">
        <v>31</v>
      </c>
      <c r="X991" t="s">
        <v>43</v>
      </c>
      <c r="Y991"/>
      <c r="Z991">
        <v>20200115</v>
      </c>
      <c r="AA991">
        <f t="shared" si="16"/>
        <v>89.71</v>
      </c>
      <c r="AC991"/>
      <c r="AF991"/>
      <c r="AL991">
        <v>340912890</v>
      </c>
      <c r="AM991" t="s">
        <v>45</v>
      </c>
    </row>
    <row r="992" spans="1:39" x14ac:dyDescent="0.35">
      <c r="A992">
        <v>3409</v>
      </c>
      <c r="B992" t="s">
        <v>39</v>
      </c>
      <c r="C992">
        <v>2020</v>
      </c>
      <c r="D992" s="1">
        <v>43831</v>
      </c>
      <c r="E992">
        <v>38</v>
      </c>
      <c r="F992">
        <v>900005489</v>
      </c>
      <c r="G992" t="s">
        <v>29</v>
      </c>
      <c r="H992">
        <v>81</v>
      </c>
      <c r="I992">
        <v>71101060</v>
      </c>
      <c r="J992">
        <v>11500060</v>
      </c>
      <c r="K992" t="s">
        <v>30</v>
      </c>
      <c r="L992" s="4">
        <v>404.76</v>
      </c>
      <c r="M992" t="s">
        <v>31</v>
      </c>
      <c r="N992" s="4">
        <v>404.76</v>
      </c>
      <c r="O992" t="s">
        <v>31</v>
      </c>
      <c r="X992" t="s">
        <v>43</v>
      </c>
      <c r="Y992"/>
      <c r="Z992">
        <v>20200115</v>
      </c>
      <c r="AA992">
        <f t="shared" si="16"/>
        <v>404.76</v>
      </c>
      <c r="AC992"/>
      <c r="AF992"/>
      <c r="AL992">
        <v>340912890</v>
      </c>
      <c r="AM992" t="s">
        <v>45</v>
      </c>
    </row>
    <row r="993" spans="1:39" x14ac:dyDescent="0.35">
      <c r="A993">
        <v>3409</v>
      </c>
      <c r="B993" t="s">
        <v>39</v>
      </c>
      <c r="C993">
        <v>2020</v>
      </c>
      <c r="D993" s="1">
        <v>43831</v>
      </c>
      <c r="E993">
        <v>42</v>
      </c>
      <c r="F993">
        <v>900005489</v>
      </c>
      <c r="G993" t="s">
        <v>29</v>
      </c>
      <c r="H993">
        <v>81</v>
      </c>
      <c r="I993">
        <v>71101060</v>
      </c>
      <c r="J993">
        <v>11500060</v>
      </c>
      <c r="K993" t="s">
        <v>30</v>
      </c>
      <c r="L993" s="4">
        <v>1573.23</v>
      </c>
      <c r="M993" t="s">
        <v>31</v>
      </c>
      <c r="N993" s="4">
        <v>1573.23</v>
      </c>
      <c r="O993" t="s">
        <v>31</v>
      </c>
      <c r="X993" t="s">
        <v>43</v>
      </c>
      <c r="Y993"/>
      <c r="Z993">
        <v>20200115</v>
      </c>
      <c r="AA993">
        <f t="shared" si="16"/>
        <v>1573.23</v>
      </c>
      <c r="AC993"/>
      <c r="AF993"/>
      <c r="AL993">
        <v>340912890</v>
      </c>
      <c r="AM993" t="s">
        <v>45</v>
      </c>
    </row>
    <row r="994" spans="1:39" x14ac:dyDescent="0.35">
      <c r="A994">
        <v>3409</v>
      </c>
      <c r="B994" t="s">
        <v>39</v>
      </c>
      <c r="C994">
        <v>2020</v>
      </c>
      <c r="D994" s="1">
        <v>43831</v>
      </c>
      <c r="E994">
        <v>44</v>
      </c>
      <c r="F994">
        <v>900005489</v>
      </c>
      <c r="G994" t="s">
        <v>29</v>
      </c>
      <c r="H994">
        <v>81</v>
      </c>
      <c r="I994">
        <v>71101060</v>
      </c>
      <c r="J994">
        <v>11500060</v>
      </c>
      <c r="K994" t="s">
        <v>30</v>
      </c>
      <c r="L994" s="4">
        <v>593.67999999999995</v>
      </c>
      <c r="M994" t="s">
        <v>31</v>
      </c>
      <c r="N994" s="4">
        <v>593.67999999999995</v>
      </c>
      <c r="O994" t="s">
        <v>31</v>
      </c>
      <c r="X994" t="s">
        <v>43</v>
      </c>
      <c r="Y994"/>
      <c r="Z994">
        <v>20200115</v>
      </c>
      <c r="AA994">
        <f t="shared" si="16"/>
        <v>593.67999999999995</v>
      </c>
      <c r="AC994"/>
      <c r="AF994"/>
      <c r="AL994">
        <v>340912890</v>
      </c>
      <c r="AM994" t="s">
        <v>45</v>
      </c>
    </row>
    <row r="995" spans="1:39" x14ac:dyDescent="0.35">
      <c r="A995">
        <v>3409</v>
      </c>
      <c r="B995" t="s">
        <v>39</v>
      </c>
      <c r="C995">
        <v>2020</v>
      </c>
      <c r="D995" s="1">
        <v>43831</v>
      </c>
      <c r="E995">
        <v>46</v>
      </c>
      <c r="F995">
        <v>900005489</v>
      </c>
      <c r="G995" t="s">
        <v>29</v>
      </c>
      <c r="H995">
        <v>81</v>
      </c>
      <c r="I995">
        <v>71101060</v>
      </c>
      <c r="J995">
        <v>11500060</v>
      </c>
      <c r="K995" t="s">
        <v>30</v>
      </c>
      <c r="L995" s="4">
        <v>439.71</v>
      </c>
      <c r="M995" t="s">
        <v>31</v>
      </c>
      <c r="N995" s="4">
        <v>439.71</v>
      </c>
      <c r="O995" t="s">
        <v>31</v>
      </c>
      <c r="X995" t="s">
        <v>43</v>
      </c>
      <c r="Y995"/>
      <c r="Z995">
        <v>20200115</v>
      </c>
      <c r="AA995">
        <f t="shared" si="16"/>
        <v>439.71</v>
      </c>
      <c r="AC995"/>
      <c r="AF995"/>
      <c r="AL995">
        <v>340912890</v>
      </c>
      <c r="AM995" t="s">
        <v>45</v>
      </c>
    </row>
    <row r="996" spans="1:39" x14ac:dyDescent="0.35">
      <c r="A996">
        <v>3409</v>
      </c>
      <c r="B996" t="s">
        <v>39</v>
      </c>
      <c r="C996">
        <v>2020</v>
      </c>
      <c r="D996" s="1">
        <v>43831</v>
      </c>
      <c r="E996">
        <v>48</v>
      </c>
      <c r="F996">
        <v>900005489</v>
      </c>
      <c r="G996" t="s">
        <v>29</v>
      </c>
      <c r="H996">
        <v>81</v>
      </c>
      <c r="I996">
        <v>71101060</v>
      </c>
      <c r="J996">
        <v>11500060</v>
      </c>
      <c r="K996" t="s">
        <v>30</v>
      </c>
      <c r="L996" s="4">
        <v>928.56</v>
      </c>
      <c r="M996" t="s">
        <v>31</v>
      </c>
      <c r="N996" s="4">
        <v>928.56</v>
      </c>
      <c r="O996" t="s">
        <v>31</v>
      </c>
      <c r="X996" t="s">
        <v>43</v>
      </c>
      <c r="Y996"/>
      <c r="Z996">
        <v>20200115</v>
      </c>
      <c r="AA996">
        <f t="shared" si="16"/>
        <v>928.56</v>
      </c>
      <c r="AC996"/>
      <c r="AF996"/>
      <c r="AL996">
        <v>340912890</v>
      </c>
      <c r="AM996" t="s">
        <v>45</v>
      </c>
    </row>
    <row r="997" spans="1:39" x14ac:dyDescent="0.35">
      <c r="A997">
        <v>3409</v>
      </c>
      <c r="B997" t="s">
        <v>39</v>
      </c>
      <c r="C997">
        <v>2020</v>
      </c>
      <c r="D997" s="1">
        <v>43831</v>
      </c>
      <c r="E997">
        <v>50</v>
      </c>
      <c r="F997">
        <v>900005489</v>
      </c>
      <c r="G997" t="s">
        <v>29</v>
      </c>
      <c r="H997">
        <v>81</v>
      </c>
      <c r="I997">
        <v>71101060</v>
      </c>
      <c r="J997">
        <v>11500060</v>
      </c>
      <c r="K997" t="s">
        <v>30</v>
      </c>
      <c r="L997" s="4">
        <v>1411.31</v>
      </c>
      <c r="M997" t="s">
        <v>31</v>
      </c>
      <c r="N997" s="4">
        <v>1411.31</v>
      </c>
      <c r="O997" t="s">
        <v>31</v>
      </c>
      <c r="X997" t="s">
        <v>43</v>
      </c>
      <c r="Y997"/>
      <c r="Z997">
        <v>20200115</v>
      </c>
      <c r="AA997">
        <f t="shared" si="16"/>
        <v>1411.31</v>
      </c>
      <c r="AC997"/>
      <c r="AF997"/>
      <c r="AL997">
        <v>340912890</v>
      </c>
      <c r="AM997" t="s">
        <v>45</v>
      </c>
    </row>
    <row r="998" spans="1:39" x14ac:dyDescent="0.35">
      <c r="A998">
        <v>3409</v>
      </c>
      <c r="B998" t="s">
        <v>39</v>
      </c>
      <c r="C998">
        <v>2020</v>
      </c>
      <c r="D998" s="1">
        <v>43831</v>
      </c>
      <c r="E998">
        <v>52</v>
      </c>
      <c r="F998">
        <v>900005489</v>
      </c>
      <c r="G998" t="s">
        <v>29</v>
      </c>
      <c r="H998">
        <v>81</v>
      </c>
      <c r="I998">
        <v>71101060</v>
      </c>
      <c r="J998">
        <v>11500060</v>
      </c>
      <c r="K998" t="s">
        <v>30</v>
      </c>
      <c r="L998" s="4">
        <v>762.91</v>
      </c>
      <c r="M998" t="s">
        <v>31</v>
      </c>
      <c r="N998" s="4">
        <v>762.91</v>
      </c>
      <c r="O998" t="s">
        <v>31</v>
      </c>
      <c r="X998" t="s">
        <v>43</v>
      </c>
      <c r="Y998"/>
      <c r="Z998">
        <v>20200115</v>
      </c>
      <c r="AA998">
        <f t="shared" si="16"/>
        <v>762.91</v>
      </c>
      <c r="AC998"/>
      <c r="AF998"/>
      <c r="AL998">
        <v>340912890</v>
      </c>
      <c r="AM998" t="s">
        <v>45</v>
      </c>
    </row>
    <row r="999" spans="1:39" x14ac:dyDescent="0.35">
      <c r="A999">
        <v>3409</v>
      </c>
      <c r="B999" t="s">
        <v>39</v>
      </c>
      <c r="C999">
        <v>2020</v>
      </c>
      <c r="D999" s="1">
        <v>43831</v>
      </c>
      <c r="E999">
        <v>54</v>
      </c>
      <c r="F999">
        <v>900005489</v>
      </c>
      <c r="G999" t="s">
        <v>29</v>
      </c>
      <c r="H999">
        <v>81</v>
      </c>
      <c r="I999">
        <v>71101060</v>
      </c>
      <c r="J999">
        <v>11500060</v>
      </c>
      <c r="K999" t="s">
        <v>30</v>
      </c>
      <c r="L999" s="4">
        <v>4096.9799999999996</v>
      </c>
      <c r="M999" t="s">
        <v>31</v>
      </c>
      <c r="N999" s="4">
        <v>4096.9799999999996</v>
      </c>
      <c r="O999" t="s">
        <v>31</v>
      </c>
      <c r="X999" t="s">
        <v>43</v>
      </c>
      <c r="Y999"/>
      <c r="Z999">
        <v>20200115</v>
      </c>
      <c r="AA999">
        <f t="shared" si="16"/>
        <v>4096.9799999999996</v>
      </c>
      <c r="AC999"/>
      <c r="AF999"/>
      <c r="AL999">
        <v>340912890</v>
      </c>
      <c r="AM999" t="s">
        <v>45</v>
      </c>
    </row>
    <row r="1000" spans="1:39" x14ac:dyDescent="0.35">
      <c r="A1000">
        <v>3409</v>
      </c>
      <c r="B1000" t="s">
        <v>39</v>
      </c>
      <c r="C1000">
        <v>2020</v>
      </c>
      <c r="D1000" s="1">
        <v>43831</v>
      </c>
      <c r="E1000">
        <v>56</v>
      </c>
      <c r="F1000">
        <v>900005489</v>
      </c>
      <c r="G1000" t="s">
        <v>29</v>
      </c>
      <c r="H1000">
        <v>81</v>
      </c>
      <c r="I1000">
        <v>71101060</v>
      </c>
      <c r="J1000">
        <v>11500060</v>
      </c>
      <c r="K1000" t="s">
        <v>30</v>
      </c>
      <c r="L1000" s="4">
        <v>336</v>
      </c>
      <c r="M1000" t="s">
        <v>31</v>
      </c>
      <c r="N1000" s="4">
        <v>336</v>
      </c>
      <c r="O1000" t="s">
        <v>31</v>
      </c>
      <c r="X1000" t="s">
        <v>43</v>
      </c>
      <c r="Y1000"/>
      <c r="Z1000">
        <v>20200115</v>
      </c>
      <c r="AA1000">
        <f t="shared" si="16"/>
        <v>336</v>
      </c>
      <c r="AC1000"/>
      <c r="AF1000"/>
      <c r="AL1000">
        <v>340912890</v>
      </c>
      <c r="AM1000" t="s">
        <v>45</v>
      </c>
    </row>
    <row r="1001" spans="1:39" x14ac:dyDescent="0.35">
      <c r="A1001">
        <v>3409</v>
      </c>
      <c r="B1001" t="s">
        <v>39</v>
      </c>
      <c r="C1001">
        <v>2020</v>
      </c>
      <c r="D1001" s="1">
        <v>43831</v>
      </c>
      <c r="E1001">
        <v>58</v>
      </c>
      <c r="F1001">
        <v>900005489</v>
      </c>
      <c r="G1001" t="s">
        <v>29</v>
      </c>
      <c r="H1001">
        <v>81</v>
      </c>
      <c r="I1001">
        <v>71101060</v>
      </c>
      <c r="J1001">
        <v>11500060</v>
      </c>
      <c r="K1001" t="s">
        <v>30</v>
      </c>
      <c r="L1001" s="4">
        <v>1860.59</v>
      </c>
      <c r="M1001" t="s">
        <v>31</v>
      </c>
      <c r="N1001" s="4">
        <v>1860.59</v>
      </c>
      <c r="O1001" t="s">
        <v>31</v>
      </c>
      <c r="X1001" t="s">
        <v>43</v>
      </c>
      <c r="Y1001"/>
      <c r="Z1001">
        <v>20200115</v>
      </c>
      <c r="AA1001">
        <f t="shared" si="16"/>
        <v>1860.59</v>
      </c>
      <c r="AC1001"/>
      <c r="AF1001"/>
      <c r="AL1001">
        <v>340912890</v>
      </c>
      <c r="AM1001" t="s">
        <v>45</v>
      </c>
    </row>
    <row r="1002" spans="1:39" x14ac:dyDescent="0.35">
      <c r="A1002">
        <v>3409</v>
      </c>
      <c r="B1002" t="s">
        <v>39</v>
      </c>
      <c r="C1002">
        <v>2020</v>
      </c>
      <c r="D1002" s="1">
        <v>43831</v>
      </c>
      <c r="E1002">
        <v>62</v>
      </c>
      <c r="F1002">
        <v>900005489</v>
      </c>
      <c r="G1002" t="s">
        <v>29</v>
      </c>
      <c r="H1002">
        <v>81</v>
      </c>
      <c r="I1002">
        <v>71101060</v>
      </c>
      <c r="J1002">
        <v>11500060</v>
      </c>
      <c r="K1002" t="s">
        <v>30</v>
      </c>
      <c r="L1002" s="4">
        <v>1852.14</v>
      </c>
      <c r="M1002" t="s">
        <v>31</v>
      </c>
      <c r="N1002" s="4">
        <v>1852.14</v>
      </c>
      <c r="O1002" t="s">
        <v>31</v>
      </c>
      <c r="X1002" t="s">
        <v>43</v>
      </c>
      <c r="Y1002"/>
      <c r="Z1002">
        <v>20200115</v>
      </c>
      <c r="AA1002">
        <f t="shared" si="16"/>
        <v>1852.14</v>
      </c>
      <c r="AC1002"/>
      <c r="AF1002"/>
      <c r="AL1002">
        <v>340912890</v>
      </c>
      <c r="AM1002" t="s">
        <v>45</v>
      </c>
    </row>
    <row r="1003" spans="1:39" x14ac:dyDescent="0.35">
      <c r="A1003">
        <v>3409</v>
      </c>
      <c r="B1003" t="s">
        <v>39</v>
      </c>
      <c r="C1003">
        <v>2020</v>
      </c>
      <c r="D1003" s="1">
        <v>43831</v>
      </c>
      <c r="E1003">
        <v>64</v>
      </c>
      <c r="F1003">
        <v>900005489</v>
      </c>
      <c r="G1003" t="s">
        <v>29</v>
      </c>
      <c r="H1003">
        <v>81</v>
      </c>
      <c r="I1003">
        <v>71101060</v>
      </c>
      <c r="J1003">
        <v>11500060</v>
      </c>
      <c r="K1003" t="s">
        <v>30</v>
      </c>
      <c r="L1003" s="4">
        <v>196.64</v>
      </c>
      <c r="M1003" t="s">
        <v>31</v>
      </c>
      <c r="N1003" s="4">
        <v>196.64</v>
      </c>
      <c r="O1003" t="s">
        <v>31</v>
      </c>
      <c r="X1003" t="s">
        <v>43</v>
      </c>
      <c r="Y1003"/>
      <c r="Z1003">
        <v>20200115</v>
      </c>
      <c r="AA1003">
        <f t="shared" si="16"/>
        <v>196.64</v>
      </c>
      <c r="AC1003"/>
      <c r="AF1003"/>
      <c r="AL1003">
        <v>340912890</v>
      </c>
      <c r="AM1003" t="s">
        <v>45</v>
      </c>
    </row>
    <row r="1004" spans="1:39" x14ac:dyDescent="0.35">
      <c r="A1004">
        <v>3409</v>
      </c>
      <c r="B1004" t="s">
        <v>39</v>
      </c>
      <c r="C1004">
        <v>2020</v>
      </c>
      <c r="D1004" s="1">
        <v>43831</v>
      </c>
      <c r="E1004">
        <v>66</v>
      </c>
      <c r="F1004">
        <v>900005489</v>
      </c>
      <c r="G1004" t="s">
        <v>29</v>
      </c>
      <c r="H1004">
        <v>81</v>
      </c>
      <c r="I1004">
        <v>71101060</v>
      </c>
      <c r="J1004">
        <v>11500060</v>
      </c>
      <c r="K1004" t="s">
        <v>30</v>
      </c>
      <c r="L1004" s="4">
        <v>196.64</v>
      </c>
      <c r="M1004" t="s">
        <v>31</v>
      </c>
      <c r="N1004" s="4">
        <v>196.64</v>
      </c>
      <c r="O1004" t="s">
        <v>31</v>
      </c>
      <c r="X1004" t="s">
        <v>43</v>
      </c>
      <c r="Y1004"/>
      <c r="Z1004">
        <v>20200115</v>
      </c>
      <c r="AA1004">
        <f t="shared" si="16"/>
        <v>196.64</v>
      </c>
      <c r="AC1004"/>
      <c r="AF1004"/>
      <c r="AL1004">
        <v>340912890</v>
      </c>
      <c r="AM1004" t="s">
        <v>45</v>
      </c>
    </row>
    <row r="1005" spans="1:39" x14ac:dyDescent="0.35">
      <c r="A1005">
        <v>3409</v>
      </c>
      <c r="B1005" t="s">
        <v>39</v>
      </c>
      <c r="C1005">
        <v>2020</v>
      </c>
      <c r="D1005" s="1">
        <v>43831</v>
      </c>
      <c r="E1005">
        <v>68</v>
      </c>
      <c r="F1005">
        <v>900005489</v>
      </c>
      <c r="G1005" t="s">
        <v>29</v>
      </c>
      <c r="H1005">
        <v>81</v>
      </c>
      <c r="I1005">
        <v>71101060</v>
      </c>
      <c r="J1005">
        <v>11500060</v>
      </c>
      <c r="K1005" t="s">
        <v>30</v>
      </c>
      <c r="L1005" s="4">
        <v>2317.56</v>
      </c>
      <c r="M1005" t="s">
        <v>31</v>
      </c>
      <c r="N1005" s="4">
        <v>2317.56</v>
      </c>
      <c r="O1005" t="s">
        <v>31</v>
      </c>
      <c r="X1005" t="s">
        <v>43</v>
      </c>
      <c r="Y1005"/>
      <c r="Z1005">
        <v>20200115</v>
      </c>
      <c r="AA1005">
        <f t="shared" si="16"/>
        <v>2317.56</v>
      </c>
      <c r="AC1005"/>
      <c r="AF1005"/>
      <c r="AL1005">
        <v>340912890</v>
      </c>
      <c r="AM1005" t="s">
        <v>45</v>
      </c>
    </row>
    <row r="1006" spans="1:39" x14ac:dyDescent="0.35">
      <c r="A1006">
        <v>3409</v>
      </c>
      <c r="B1006" t="s">
        <v>39</v>
      </c>
      <c r="C1006">
        <v>2020</v>
      </c>
      <c r="D1006" s="1">
        <v>43831</v>
      </c>
      <c r="E1006">
        <v>8</v>
      </c>
      <c r="F1006">
        <v>900005490</v>
      </c>
      <c r="G1006" t="s">
        <v>29</v>
      </c>
      <c r="H1006">
        <v>81</v>
      </c>
      <c r="I1006">
        <v>71101060</v>
      </c>
      <c r="J1006">
        <v>11500060</v>
      </c>
      <c r="K1006" t="s">
        <v>30</v>
      </c>
      <c r="L1006" s="4">
        <v>3504.33</v>
      </c>
      <c r="M1006" t="s">
        <v>31</v>
      </c>
      <c r="N1006" s="4">
        <v>3504.33</v>
      </c>
      <c r="O1006" t="s">
        <v>31</v>
      </c>
      <c r="X1006" t="s">
        <v>43</v>
      </c>
      <c r="Y1006"/>
      <c r="Z1006">
        <v>20200115</v>
      </c>
      <c r="AA1006">
        <f t="shared" si="16"/>
        <v>3504.33</v>
      </c>
      <c r="AC1006"/>
      <c r="AF1006"/>
      <c r="AL1006">
        <v>340980690</v>
      </c>
      <c r="AM1006" t="s">
        <v>59</v>
      </c>
    </row>
    <row r="1007" spans="1:39" x14ac:dyDescent="0.35">
      <c r="A1007">
        <v>3409</v>
      </c>
      <c r="B1007" t="s">
        <v>39</v>
      </c>
      <c r="C1007">
        <v>2020</v>
      </c>
      <c r="D1007" s="1">
        <v>43831</v>
      </c>
      <c r="E1007">
        <v>2</v>
      </c>
      <c r="F1007">
        <v>900005491</v>
      </c>
      <c r="G1007" t="s">
        <v>29</v>
      </c>
      <c r="H1007">
        <v>81</v>
      </c>
      <c r="I1007">
        <v>71101060</v>
      </c>
      <c r="J1007">
        <v>11500060</v>
      </c>
      <c r="K1007" t="s">
        <v>30</v>
      </c>
      <c r="L1007" s="4">
        <v>1568.02</v>
      </c>
      <c r="M1007" t="s">
        <v>31</v>
      </c>
      <c r="N1007" s="4">
        <v>1568.02</v>
      </c>
      <c r="O1007" t="s">
        <v>31</v>
      </c>
      <c r="X1007" t="s">
        <v>43</v>
      </c>
      <c r="Y1007"/>
      <c r="Z1007">
        <v>20200115</v>
      </c>
      <c r="AA1007">
        <f t="shared" si="16"/>
        <v>1568.02</v>
      </c>
      <c r="AC1007"/>
      <c r="AF1007"/>
      <c r="AL1007">
        <v>340925290</v>
      </c>
      <c r="AM1007" t="s">
        <v>45</v>
      </c>
    </row>
    <row r="1008" spans="1:39" x14ac:dyDescent="0.35">
      <c r="A1008">
        <v>3407</v>
      </c>
      <c r="B1008" t="s">
        <v>39</v>
      </c>
      <c r="C1008">
        <v>2020</v>
      </c>
      <c r="D1008" s="1">
        <v>43831</v>
      </c>
      <c r="E1008">
        <v>6</v>
      </c>
      <c r="F1008">
        <v>700016445</v>
      </c>
      <c r="G1008" t="s">
        <v>29</v>
      </c>
      <c r="H1008">
        <v>81</v>
      </c>
      <c r="I1008">
        <v>71101060</v>
      </c>
      <c r="J1008">
        <v>11500060</v>
      </c>
      <c r="K1008" t="s">
        <v>30</v>
      </c>
      <c r="L1008" s="4">
        <v>100</v>
      </c>
      <c r="M1008" t="s">
        <v>31</v>
      </c>
      <c r="N1008" s="4">
        <v>100</v>
      </c>
      <c r="O1008" t="s">
        <v>31</v>
      </c>
      <c r="X1008" t="s">
        <v>43</v>
      </c>
      <c r="Y1008"/>
      <c r="Z1008">
        <v>20200115</v>
      </c>
      <c r="AA1008">
        <f t="shared" si="16"/>
        <v>100</v>
      </c>
      <c r="AC1008"/>
      <c r="AF1008"/>
      <c r="AL1008">
        <v>340712590</v>
      </c>
      <c r="AM1008" t="s">
        <v>34</v>
      </c>
    </row>
    <row r="1009" spans="1:39" x14ac:dyDescent="0.35">
      <c r="A1009">
        <v>3407</v>
      </c>
      <c r="B1009" t="s">
        <v>39</v>
      </c>
      <c r="C1009">
        <v>2020</v>
      </c>
      <c r="D1009" s="1">
        <v>43831</v>
      </c>
      <c r="E1009">
        <v>8</v>
      </c>
      <c r="F1009">
        <v>700016445</v>
      </c>
      <c r="G1009" t="s">
        <v>29</v>
      </c>
      <c r="H1009">
        <v>81</v>
      </c>
      <c r="I1009">
        <v>71101060</v>
      </c>
      <c r="J1009">
        <v>11500060</v>
      </c>
      <c r="K1009" t="s">
        <v>30</v>
      </c>
      <c r="L1009" s="4">
        <v>120</v>
      </c>
      <c r="M1009" t="s">
        <v>31</v>
      </c>
      <c r="N1009" s="4">
        <v>120</v>
      </c>
      <c r="O1009" t="s">
        <v>31</v>
      </c>
      <c r="X1009" t="s">
        <v>43</v>
      </c>
      <c r="Y1009"/>
      <c r="Z1009">
        <v>20200115</v>
      </c>
      <c r="AA1009">
        <f t="shared" si="16"/>
        <v>120</v>
      </c>
      <c r="AC1009"/>
      <c r="AF1009"/>
      <c r="AL1009">
        <v>340712590</v>
      </c>
      <c r="AM1009" t="s">
        <v>34</v>
      </c>
    </row>
    <row r="1010" spans="1:39" x14ac:dyDescent="0.35">
      <c r="A1010">
        <v>3407</v>
      </c>
      <c r="B1010" t="s">
        <v>39</v>
      </c>
      <c r="C1010">
        <v>2020</v>
      </c>
      <c r="D1010" s="1">
        <v>43831</v>
      </c>
      <c r="E1010">
        <v>12</v>
      </c>
      <c r="F1010">
        <v>700016445</v>
      </c>
      <c r="G1010" t="s">
        <v>29</v>
      </c>
      <c r="H1010">
        <v>81</v>
      </c>
      <c r="I1010">
        <v>71101060</v>
      </c>
      <c r="J1010">
        <v>11500060</v>
      </c>
      <c r="K1010" t="s">
        <v>30</v>
      </c>
      <c r="L1010" s="4">
        <v>6232</v>
      </c>
      <c r="M1010" t="s">
        <v>31</v>
      </c>
      <c r="N1010" s="4">
        <v>6232</v>
      </c>
      <c r="O1010" t="s">
        <v>31</v>
      </c>
      <c r="X1010" t="s">
        <v>43</v>
      </c>
      <c r="Y1010"/>
      <c r="Z1010">
        <v>20200115</v>
      </c>
      <c r="AA1010">
        <f t="shared" si="16"/>
        <v>6232</v>
      </c>
      <c r="AC1010"/>
      <c r="AF1010"/>
      <c r="AL1010">
        <v>340712590</v>
      </c>
      <c r="AM1010" t="s">
        <v>34</v>
      </c>
    </row>
    <row r="1011" spans="1:39" x14ac:dyDescent="0.35">
      <c r="A1011">
        <v>3409</v>
      </c>
      <c r="B1011" t="s">
        <v>39</v>
      </c>
      <c r="C1011">
        <v>2020</v>
      </c>
      <c r="D1011" s="1">
        <v>43831</v>
      </c>
      <c r="E1011">
        <v>6</v>
      </c>
      <c r="F1011">
        <v>900005492</v>
      </c>
      <c r="G1011" t="s">
        <v>29</v>
      </c>
      <c r="H1011">
        <v>81</v>
      </c>
      <c r="I1011">
        <v>71101060</v>
      </c>
      <c r="J1011">
        <v>11500060</v>
      </c>
      <c r="K1011" t="s">
        <v>30</v>
      </c>
      <c r="L1011" s="4">
        <v>392</v>
      </c>
      <c r="M1011" t="s">
        <v>31</v>
      </c>
      <c r="N1011" s="4">
        <v>392</v>
      </c>
      <c r="O1011" t="s">
        <v>31</v>
      </c>
      <c r="X1011" t="s">
        <v>43</v>
      </c>
      <c r="Y1011"/>
      <c r="Z1011">
        <v>20200115</v>
      </c>
      <c r="AA1011">
        <f t="shared" si="16"/>
        <v>392</v>
      </c>
      <c r="AC1011"/>
      <c r="AF1011"/>
      <c r="AL1011">
        <v>340981090</v>
      </c>
      <c r="AM1011" t="s">
        <v>59</v>
      </c>
    </row>
    <row r="1012" spans="1:39" x14ac:dyDescent="0.35">
      <c r="A1012">
        <v>3409</v>
      </c>
      <c r="B1012" t="s">
        <v>39</v>
      </c>
      <c r="C1012">
        <v>2020</v>
      </c>
      <c r="D1012" s="1">
        <v>43831</v>
      </c>
      <c r="E1012">
        <v>4</v>
      </c>
      <c r="F1012">
        <v>900005493</v>
      </c>
      <c r="G1012" t="s">
        <v>29</v>
      </c>
      <c r="H1012">
        <v>81</v>
      </c>
      <c r="I1012">
        <v>71101060</v>
      </c>
      <c r="J1012">
        <v>11500060</v>
      </c>
      <c r="K1012" t="s">
        <v>30</v>
      </c>
      <c r="L1012" s="4">
        <v>208.27</v>
      </c>
      <c r="M1012" t="s">
        <v>31</v>
      </c>
      <c r="N1012" s="4">
        <v>208.27</v>
      </c>
      <c r="O1012" t="s">
        <v>31</v>
      </c>
      <c r="X1012" t="s">
        <v>43</v>
      </c>
      <c r="Y1012"/>
      <c r="Z1012">
        <v>20200115</v>
      </c>
      <c r="AA1012">
        <f t="shared" si="16"/>
        <v>208.27</v>
      </c>
      <c r="AC1012"/>
      <c r="AF1012"/>
      <c r="AL1012">
        <v>340917690</v>
      </c>
      <c r="AM1012" t="s">
        <v>45</v>
      </c>
    </row>
    <row r="1013" spans="1:39" x14ac:dyDescent="0.35">
      <c r="A1013">
        <v>3407</v>
      </c>
      <c r="B1013" t="s">
        <v>39</v>
      </c>
      <c r="C1013">
        <v>2020</v>
      </c>
      <c r="D1013" s="1">
        <v>43831</v>
      </c>
      <c r="E1013">
        <v>6</v>
      </c>
      <c r="F1013">
        <v>700016446</v>
      </c>
      <c r="G1013" t="s">
        <v>29</v>
      </c>
      <c r="H1013">
        <v>81</v>
      </c>
      <c r="I1013">
        <v>71101060</v>
      </c>
      <c r="J1013">
        <v>11500060</v>
      </c>
      <c r="K1013" t="s">
        <v>30</v>
      </c>
      <c r="L1013" s="4">
        <v>100</v>
      </c>
      <c r="M1013" t="s">
        <v>31</v>
      </c>
      <c r="N1013" s="4">
        <v>100</v>
      </c>
      <c r="O1013" t="s">
        <v>31</v>
      </c>
      <c r="X1013" t="s">
        <v>43</v>
      </c>
      <c r="Y1013"/>
      <c r="Z1013">
        <v>20200115</v>
      </c>
      <c r="AA1013">
        <f t="shared" si="16"/>
        <v>100</v>
      </c>
      <c r="AC1013"/>
      <c r="AF1013"/>
      <c r="AL1013">
        <v>340712590</v>
      </c>
      <c r="AM1013" t="s">
        <v>34</v>
      </c>
    </row>
    <row r="1014" spans="1:39" x14ac:dyDescent="0.35">
      <c r="A1014">
        <v>3409</v>
      </c>
      <c r="B1014" t="s">
        <v>39</v>
      </c>
      <c r="C1014">
        <v>2020</v>
      </c>
      <c r="D1014" s="1">
        <v>43831</v>
      </c>
      <c r="E1014">
        <v>4</v>
      </c>
      <c r="F1014">
        <v>900005495</v>
      </c>
      <c r="G1014" t="s">
        <v>29</v>
      </c>
      <c r="H1014">
        <v>81</v>
      </c>
      <c r="I1014">
        <v>71101060</v>
      </c>
      <c r="J1014">
        <v>11500060</v>
      </c>
      <c r="K1014" t="s">
        <v>30</v>
      </c>
      <c r="L1014" s="4">
        <v>321.95</v>
      </c>
      <c r="M1014" t="s">
        <v>31</v>
      </c>
      <c r="N1014" s="4">
        <v>321.95</v>
      </c>
      <c r="O1014" t="s">
        <v>31</v>
      </c>
      <c r="X1014" t="s">
        <v>43</v>
      </c>
      <c r="Y1014"/>
      <c r="Z1014">
        <v>20200115</v>
      </c>
      <c r="AA1014">
        <f t="shared" si="16"/>
        <v>321.95</v>
      </c>
      <c r="AC1014"/>
      <c r="AF1014"/>
      <c r="AL1014">
        <v>340932290</v>
      </c>
      <c r="AM1014" t="s">
        <v>45</v>
      </c>
    </row>
    <row r="1015" spans="1:39" x14ac:dyDescent="0.35">
      <c r="A1015">
        <v>3409</v>
      </c>
      <c r="B1015" t="s">
        <v>39</v>
      </c>
      <c r="C1015">
        <v>2020</v>
      </c>
      <c r="D1015" s="1">
        <v>43831</v>
      </c>
      <c r="E1015">
        <v>6</v>
      </c>
      <c r="F1015">
        <v>900005495</v>
      </c>
      <c r="G1015" t="s">
        <v>29</v>
      </c>
      <c r="H1015">
        <v>81</v>
      </c>
      <c r="I1015">
        <v>71101060</v>
      </c>
      <c r="J1015">
        <v>11500060</v>
      </c>
      <c r="K1015" t="s">
        <v>30</v>
      </c>
      <c r="L1015" s="4">
        <v>142.77000000000001</v>
      </c>
      <c r="M1015" t="s">
        <v>31</v>
      </c>
      <c r="N1015" s="4">
        <v>142.77000000000001</v>
      </c>
      <c r="O1015" t="s">
        <v>31</v>
      </c>
      <c r="X1015" t="s">
        <v>43</v>
      </c>
      <c r="Y1015"/>
      <c r="Z1015">
        <v>20200115</v>
      </c>
      <c r="AA1015">
        <f t="shared" si="16"/>
        <v>142.77000000000001</v>
      </c>
      <c r="AC1015"/>
      <c r="AF1015"/>
      <c r="AL1015">
        <v>340932290</v>
      </c>
      <c r="AM1015" t="s">
        <v>45</v>
      </c>
    </row>
    <row r="1016" spans="1:39" x14ac:dyDescent="0.35">
      <c r="A1016">
        <v>3407</v>
      </c>
      <c r="B1016" t="s">
        <v>39</v>
      </c>
      <c r="C1016">
        <v>2020</v>
      </c>
      <c r="D1016" s="1">
        <v>43831</v>
      </c>
      <c r="E1016">
        <v>6</v>
      </c>
      <c r="F1016">
        <v>700016461</v>
      </c>
      <c r="G1016" t="s">
        <v>29</v>
      </c>
      <c r="H1016">
        <v>81</v>
      </c>
      <c r="I1016">
        <v>71101060</v>
      </c>
      <c r="J1016">
        <v>11500060</v>
      </c>
      <c r="K1016" t="s">
        <v>30</v>
      </c>
      <c r="L1016" s="4">
        <v>221.39</v>
      </c>
      <c r="M1016" t="s">
        <v>31</v>
      </c>
      <c r="N1016" s="4">
        <v>221.39</v>
      </c>
      <c r="O1016" t="s">
        <v>31</v>
      </c>
      <c r="X1016" t="s">
        <v>43</v>
      </c>
      <c r="Y1016"/>
      <c r="Z1016">
        <v>20200115</v>
      </c>
      <c r="AA1016">
        <f t="shared" si="16"/>
        <v>221.39</v>
      </c>
      <c r="AC1016"/>
      <c r="AF1016"/>
      <c r="AL1016">
        <v>340712590</v>
      </c>
      <c r="AM1016" t="s">
        <v>34</v>
      </c>
    </row>
    <row r="1017" spans="1:39" x14ac:dyDescent="0.35">
      <c r="A1017">
        <v>3407</v>
      </c>
      <c r="B1017" t="s">
        <v>39</v>
      </c>
      <c r="C1017">
        <v>2020</v>
      </c>
      <c r="D1017" s="1">
        <v>43831</v>
      </c>
      <c r="E1017">
        <v>8</v>
      </c>
      <c r="F1017">
        <v>700016461</v>
      </c>
      <c r="G1017" t="s">
        <v>29</v>
      </c>
      <c r="H1017">
        <v>81</v>
      </c>
      <c r="I1017">
        <v>71101060</v>
      </c>
      <c r="J1017">
        <v>11500060</v>
      </c>
      <c r="K1017" t="s">
        <v>30</v>
      </c>
      <c r="L1017" s="4">
        <v>160</v>
      </c>
      <c r="M1017" t="s">
        <v>31</v>
      </c>
      <c r="N1017" s="4">
        <v>160</v>
      </c>
      <c r="O1017" t="s">
        <v>31</v>
      </c>
      <c r="X1017" t="s">
        <v>43</v>
      </c>
      <c r="Y1017"/>
      <c r="Z1017">
        <v>20200115</v>
      </c>
      <c r="AA1017">
        <f t="shared" si="16"/>
        <v>160</v>
      </c>
      <c r="AC1017"/>
      <c r="AF1017"/>
      <c r="AL1017">
        <v>340712590</v>
      </c>
      <c r="AM1017" t="s">
        <v>34</v>
      </c>
    </row>
    <row r="1018" spans="1:39" x14ac:dyDescent="0.35">
      <c r="A1018">
        <v>3407</v>
      </c>
      <c r="B1018" t="s">
        <v>39</v>
      </c>
      <c r="C1018">
        <v>2020</v>
      </c>
      <c r="D1018" s="1">
        <v>43831</v>
      </c>
      <c r="E1018">
        <v>10</v>
      </c>
      <c r="F1018">
        <v>700016461</v>
      </c>
      <c r="G1018" t="s">
        <v>29</v>
      </c>
      <c r="H1018">
        <v>81</v>
      </c>
      <c r="I1018">
        <v>71101060</v>
      </c>
      <c r="J1018">
        <v>11500060</v>
      </c>
      <c r="K1018" t="s">
        <v>30</v>
      </c>
      <c r="L1018" s="4">
        <v>360</v>
      </c>
      <c r="M1018" t="s">
        <v>31</v>
      </c>
      <c r="N1018" s="4">
        <v>360</v>
      </c>
      <c r="O1018" t="s">
        <v>31</v>
      </c>
      <c r="X1018" t="s">
        <v>43</v>
      </c>
      <c r="Y1018"/>
      <c r="Z1018">
        <v>20200115</v>
      </c>
      <c r="AA1018">
        <f t="shared" si="16"/>
        <v>360</v>
      </c>
      <c r="AC1018"/>
      <c r="AF1018"/>
      <c r="AL1018">
        <v>340712590</v>
      </c>
      <c r="AM1018" t="s">
        <v>34</v>
      </c>
    </row>
    <row r="1019" spans="1:39" x14ac:dyDescent="0.35">
      <c r="A1019">
        <v>3407</v>
      </c>
      <c r="B1019" t="s">
        <v>39</v>
      </c>
      <c r="C1019">
        <v>2020</v>
      </c>
      <c r="D1019" s="1">
        <v>43831</v>
      </c>
      <c r="E1019">
        <v>2</v>
      </c>
      <c r="F1019">
        <v>700016463</v>
      </c>
      <c r="G1019" t="s">
        <v>29</v>
      </c>
      <c r="H1019">
        <v>81</v>
      </c>
      <c r="I1019">
        <v>71101060</v>
      </c>
      <c r="J1019">
        <v>11500060</v>
      </c>
      <c r="K1019" t="s">
        <v>30</v>
      </c>
      <c r="L1019" s="4">
        <v>760</v>
      </c>
      <c r="M1019" t="s">
        <v>31</v>
      </c>
      <c r="N1019" s="4">
        <v>760</v>
      </c>
      <c r="O1019" t="s">
        <v>31</v>
      </c>
      <c r="X1019" t="s">
        <v>43</v>
      </c>
      <c r="Y1019"/>
      <c r="Z1019">
        <v>20200115</v>
      </c>
      <c r="AA1019">
        <f t="shared" si="16"/>
        <v>760</v>
      </c>
      <c r="AC1019"/>
      <c r="AF1019"/>
      <c r="AL1019">
        <v>340710490</v>
      </c>
      <c r="AM1019" t="s">
        <v>33</v>
      </c>
    </row>
    <row r="1020" spans="1:39" x14ac:dyDescent="0.35">
      <c r="A1020">
        <v>3407</v>
      </c>
      <c r="B1020" t="s">
        <v>39</v>
      </c>
      <c r="C1020">
        <v>2020</v>
      </c>
      <c r="D1020" s="1">
        <v>43831</v>
      </c>
      <c r="E1020">
        <v>4</v>
      </c>
      <c r="F1020">
        <v>700016463</v>
      </c>
      <c r="G1020" t="s">
        <v>29</v>
      </c>
      <c r="H1020">
        <v>81</v>
      </c>
      <c r="I1020">
        <v>71101060</v>
      </c>
      <c r="J1020">
        <v>11500060</v>
      </c>
      <c r="K1020" t="s">
        <v>30</v>
      </c>
      <c r="L1020" s="4">
        <v>270</v>
      </c>
      <c r="M1020" t="s">
        <v>31</v>
      </c>
      <c r="N1020" s="4">
        <v>270</v>
      </c>
      <c r="O1020" t="s">
        <v>31</v>
      </c>
      <c r="X1020" t="s">
        <v>43</v>
      </c>
      <c r="Y1020"/>
      <c r="Z1020">
        <v>20200115</v>
      </c>
      <c r="AA1020">
        <f t="shared" si="16"/>
        <v>270</v>
      </c>
      <c r="AC1020"/>
      <c r="AF1020"/>
      <c r="AL1020">
        <v>340710490</v>
      </c>
      <c r="AM1020" t="s">
        <v>33</v>
      </c>
    </row>
    <row r="1021" spans="1:39" x14ac:dyDescent="0.35">
      <c r="A1021">
        <v>3407</v>
      </c>
      <c r="B1021" t="s">
        <v>39</v>
      </c>
      <c r="C1021">
        <v>2020</v>
      </c>
      <c r="D1021" s="1">
        <v>43831</v>
      </c>
      <c r="E1021">
        <v>6</v>
      </c>
      <c r="F1021">
        <v>700016463</v>
      </c>
      <c r="G1021" t="s">
        <v>29</v>
      </c>
      <c r="H1021">
        <v>81</v>
      </c>
      <c r="I1021">
        <v>71101060</v>
      </c>
      <c r="J1021">
        <v>11500060</v>
      </c>
      <c r="K1021" t="s">
        <v>30</v>
      </c>
      <c r="L1021" s="4">
        <v>2530</v>
      </c>
      <c r="M1021" t="s">
        <v>31</v>
      </c>
      <c r="N1021" s="4">
        <v>2530</v>
      </c>
      <c r="O1021" t="s">
        <v>31</v>
      </c>
      <c r="X1021" t="s">
        <v>43</v>
      </c>
      <c r="Y1021"/>
      <c r="Z1021">
        <v>20200115</v>
      </c>
      <c r="AA1021">
        <f t="shared" si="16"/>
        <v>2530</v>
      </c>
      <c r="AC1021"/>
      <c r="AF1021"/>
      <c r="AL1021">
        <v>340710490</v>
      </c>
      <c r="AM1021" t="s">
        <v>33</v>
      </c>
    </row>
    <row r="1022" spans="1:39" x14ac:dyDescent="0.35">
      <c r="A1022">
        <v>3407</v>
      </c>
      <c r="B1022" t="s">
        <v>39</v>
      </c>
      <c r="C1022">
        <v>2020</v>
      </c>
      <c r="D1022" s="1">
        <v>43831</v>
      </c>
      <c r="E1022">
        <v>28</v>
      </c>
      <c r="F1022">
        <v>700016463</v>
      </c>
      <c r="G1022" t="s">
        <v>29</v>
      </c>
      <c r="H1022">
        <v>81</v>
      </c>
      <c r="I1022">
        <v>71101060</v>
      </c>
      <c r="J1022">
        <v>11500060</v>
      </c>
      <c r="K1022" t="s">
        <v>30</v>
      </c>
      <c r="L1022" s="4">
        <v>1240.5</v>
      </c>
      <c r="M1022" t="s">
        <v>31</v>
      </c>
      <c r="N1022" s="4">
        <v>1240.5</v>
      </c>
      <c r="O1022" t="s">
        <v>31</v>
      </c>
      <c r="X1022" t="s">
        <v>43</v>
      </c>
      <c r="Y1022"/>
      <c r="Z1022">
        <v>20200115</v>
      </c>
      <c r="AA1022">
        <f t="shared" si="16"/>
        <v>1240.5</v>
      </c>
      <c r="AC1022"/>
      <c r="AF1022"/>
      <c r="AL1022">
        <v>340710490</v>
      </c>
      <c r="AM1022" t="s">
        <v>33</v>
      </c>
    </row>
    <row r="1023" spans="1:39" x14ac:dyDescent="0.35">
      <c r="A1023">
        <v>3407</v>
      </c>
      <c r="B1023" t="s">
        <v>39</v>
      </c>
      <c r="C1023">
        <v>2020</v>
      </c>
      <c r="D1023" s="1">
        <v>43831</v>
      </c>
      <c r="E1023">
        <v>30</v>
      </c>
      <c r="F1023">
        <v>700016463</v>
      </c>
      <c r="G1023" t="s">
        <v>29</v>
      </c>
      <c r="H1023">
        <v>81</v>
      </c>
      <c r="I1023">
        <v>71101060</v>
      </c>
      <c r="J1023">
        <v>11500060</v>
      </c>
      <c r="K1023" t="s">
        <v>30</v>
      </c>
      <c r="L1023" s="4">
        <v>649.78</v>
      </c>
      <c r="M1023" t="s">
        <v>31</v>
      </c>
      <c r="N1023" s="4">
        <v>649.78</v>
      </c>
      <c r="O1023" t="s">
        <v>31</v>
      </c>
      <c r="X1023" t="s">
        <v>43</v>
      </c>
      <c r="Y1023"/>
      <c r="Z1023">
        <v>20200115</v>
      </c>
      <c r="AA1023">
        <f t="shared" si="16"/>
        <v>649.78</v>
      </c>
      <c r="AC1023"/>
      <c r="AF1023"/>
      <c r="AL1023">
        <v>340710490</v>
      </c>
      <c r="AM1023" t="s">
        <v>33</v>
      </c>
    </row>
    <row r="1024" spans="1:39" x14ac:dyDescent="0.35">
      <c r="A1024">
        <v>3407</v>
      </c>
      <c r="B1024" t="s">
        <v>39</v>
      </c>
      <c r="C1024">
        <v>2020</v>
      </c>
      <c r="D1024" s="1">
        <v>43831</v>
      </c>
      <c r="E1024">
        <v>8</v>
      </c>
      <c r="F1024">
        <v>700016464</v>
      </c>
      <c r="G1024" t="s">
        <v>29</v>
      </c>
      <c r="H1024">
        <v>81</v>
      </c>
      <c r="I1024">
        <v>71101060</v>
      </c>
      <c r="J1024">
        <v>11500060</v>
      </c>
      <c r="K1024" t="s">
        <v>30</v>
      </c>
      <c r="L1024" s="4">
        <v>360</v>
      </c>
      <c r="M1024" t="s">
        <v>31</v>
      </c>
      <c r="N1024" s="4">
        <v>360</v>
      </c>
      <c r="O1024" t="s">
        <v>31</v>
      </c>
      <c r="X1024" t="s">
        <v>43</v>
      </c>
      <c r="Y1024"/>
      <c r="Z1024">
        <v>20200115</v>
      </c>
      <c r="AA1024">
        <f t="shared" si="16"/>
        <v>360</v>
      </c>
      <c r="AC1024"/>
      <c r="AF1024"/>
      <c r="AL1024">
        <v>340712590</v>
      </c>
      <c r="AM1024" t="s">
        <v>34</v>
      </c>
    </row>
    <row r="1025" spans="1:39" x14ac:dyDescent="0.35">
      <c r="A1025">
        <v>3407</v>
      </c>
      <c r="B1025" t="s">
        <v>39</v>
      </c>
      <c r="C1025">
        <v>2020</v>
      </c>
      <c r="D1025" s="1">
        <v>43831</v>
      </c>
      <c r="E1025">
        <v>10</v>
      </c>
      <c r="F1025">
        <v>700016464</v>
      </c>
      <c r="G1025" t="s">
        <v>29</v>
      </c>
      <c r="H1025">
        <v>81</v>
      </c>
      <c r="I1025">
        <v>71101060</v>
      </c>
      <c r="J1025">
        <v>11500060</v>
      </c>
      <c r="K1025" t="s">
        <v>30</v>
      </c>
      <c r="L1025" s="4">
        <v>284.33999999999997</v>
      </c>
      <c r="M1025" t="s">
        <v>31</v>
      </c>
      <c r="N1025" s="4">
        <v>284.33999999999997</v>
      </c>
      <c r="O1025" t="s">
        <v>31</v>
      </c>
      <c r="X1025" t="s">
        <v>43</v>
      </c>
      <c r="Y1025"/>
      <c r="Z1025">
        <v>20200115</v>
      </c>
      <c r="AA1025">
        <f t="shared" si="16"/>
        <v>284.33999999999997</v>
      </c>
      <c r="AC1025"/>
      <c r="AF1025"/>
      <c r="AL1025">
        <v>340712590</v>
      </c>
      <c r="AM1025" t="s">
        <v>34</v>
      </c>
    </row>
    <row r="1026" spans="1:39" x14ac:dyDescent="0.35">
      <c r="A1026">
        <v>3407</v>
      </c>
      <c r="B1026" t="s">
        <v>39</v>
      </c>
      <c r="C1026">
        <v>2020</v>
      </c>
      <c r="D1026" s="1">
        <v>43831</v>
      </c>
      <c r="E1026">
        <v>12</v>
      </c>
      <c r="F1026">
        <v>700016464</v>
      </c>
      <c r="G1026" t="s">
        <v>29</v>
      </c>
      <c r="H1026">
        <v>81</v>
      </c>
      <c r="I1026">
        <v>71101060</v>
      </c>
      <c r="J1026">
        <v>11500060</v>
      </c>
      <c r="K1026" t="s">
        <v>30</v>
      </c>
      <c r="L1026" s="4">
        <v>66.5</v>
      </c>
      <c r="M1026" t="s">
        <v>31</v>
      </c>
      <c r="N1026" s="4">
        <v>66.5</v>
      </c>
      <c r="O1026" t="s">
        <v>31</v>
      </c>
      <c r="X1026" t="s">
        <v>43</v>
      </c>
      <c r="Y1026"/>
      <c r="Z1026">
        <v>20200115</v>
      </c>
      <c r="AA1026">
        <f t="shared" si="16"/>
        <v>66.5</v>
      </c>
      <c r="AC1026"/>
      <c r="AF1026"/>
      <c r="AL1026">
        <v>340712590</v>
      </c>
      <c r="AM1026" t="s">
        <v>34</v>
      </c>
    </row>
    <row r="1027" spans="1:39" x14ac:dyDescent="0.35">
      <c r="A1027">
        <v>3407</v>
      </c>
      <c r="B1027" t="s">
        <v>39</v>
      </c>
      <c r="C1027">
        <v>2020</v>
      </c>
      <c r="D1027" s="1">
        <v>43831</v>
      </c>
      <c r="E1027">
        <v>14</v>
      </c>
      <c r="F1027">
        <v>700016464</v>
      </c>
      <c r="G1027" t="s">
        <v>29</v>
      </c>
      <c r="H1027">
        <v>81</v>
      </c>
      <c r="I1027">
        <v>71101060</v>
      </c>
      <c r="J1027">
        <v>11500060</v>
      </c>
      <c r="K1027" t="s">
        <v>30</v>
      </c>
      <c r="L1027" s="4">
        <v>100</v>
      </c>
      <c r="M1027" t="s">
        <v>31</v>
      </c>
      <c r="N1027" s="4">
        <v>100</v>
      </c>
      <c r="O1027" t="s">
        <v>31</v>
      </c>
      <c r="X1027" t="s">
        <v>43</v>
      </c>
      <c r="Y1027"/>
      <c r="Z1027">
        <v>20200115</v>
      </c>
      <c r="AA1027">
        <f t="shared" si="16"/>
        <v>100</v>
      </c>
      <c r="AC1027"/>
      <c r="AF1027"/>
      <c r="AL1027">
        <v>340712590</v>
      </c>
      <c r="AM1027" t="s">
        <v>34</v>
      </c>
    </row>
    <row r="1028" spans="1:39" x14ac:dyDescent="0.35">
      <c r="A1028">
        <v>3407</v>
      </c>
      <c r="B1028" t="s">
        <v>39</v>
      </c>
      <c r="C1028">
        <v>2020</v>
      </c>
      <c r="D1028" s="1">
        <v>43831</v>
      </c>
      <c r="E1028">
        <v>16</v>
      </c>
      <c r="F1028">
        <v>700016464</v>
      </c>
      <c r="G1028" t="s">
        <v>29</v>
      </c>
      <c r="H1028">
        <v>81</v>
      </c>
      <c r="I1028">
        <v>71101060</v>
      </c>
      <c r="J1028">
        <v>11500060</v>
      </c>
      <c r="K1028" t="s">
        <v>30</v>
      </c>
      <c r="L1028" s="4">
        <v>332.08</v>
      </c>
      <c r="M1028" t="s">
        <v>31</v>
      </c>
      <c r="N1028" s="4">
        <v>332.08</v>
      </c>
      <c r="O1028" t="s">
        <v>31</v>
      </c>
      <c r="X1028" t="s">
        <v>43</v>
      </c>
      <c r="Y1028"/>
      <c r="Z1028">
        <v>20200115</v>
      </c>
      <c r="AA1028">
        <f t="shared" si="16"/>
        <v>332.08</v>
      </c>
      <c r="AC1028"/>
      <c r="AF1028"/>
      <c r="AL1028">
        <v>340712590</v>
      </c>
      <c r="AM1028" t="s">
        <v>34</v>
      </c>
    </row>
    <row r="1029" spans="1:39" x14ac:dyDescent="0.35">
      <c r="A1029">
        <v>3407</v>
      </c>
      <c r="B1029" t="s">
        <v>39</v>
      </c>
      <c r="C1029">
        <v>2020</v>
      </c>
      <c r="D1029" s="1">
        <v>43831</v>
      </c>
      <c r="E1029">
        <v>8</v>
      </c>
      <c r="F1029">
        <v>700016466</v>
      </c>
      <c r="G1029" t="s">
        <v>29</v>
      </c>
      <c r="H1029">
        <v>81</v>
      </c>
      <c r="I1029">
        <v>71101060</v>
      </c>
      <c r="J1029">
        <v>11500060</v>
      </c>
      <c r="K1029" t="s">
        <v>30</v>
      </c>
      <c r="L1029" s="4">
        <v>120</v>
      </c>
      <c r="M1029" t="s">
        <v>31</v>
      </c>
      <c r="N1029" s="4">
        <v>120</v>
      </c>
      <c r="O1029" t="s">
        <v>31</v>
      </c>
      <c r="X1029" t="s">
        <v>43</v>
      </c>
      <c r="Y1029"/>
      <c r="Z1029">
        <v>20200115</v>
      </c>
      <c r="AA1029">
        <f t="shared" si="16"/>
        <v>120</v>
      </c>
      <c r="AC1029"/>
      <c r="AF1029"/>
      <c r="AL1029">
        <v>340713090</v>
      </c>
      <c r="AM1029" t="s">
        <v>33</v>
      </c>
    </row>
    <row r="1030" spans="1:39" x14ac:dyDescent="0.35">
      <c r="A1030">
        <v>3409</v>
      </c>
      <c r="B1030" t="s">
        <v>39</v>
      </c>
      <c r="C1030">
        <v>2020</v>
      </c>
      <c r="D1030" s="1">
        <v>43831</v>
      </c>
      <c r="E1030">
        <v>2</v>
      </c>
      <c r="F1030">
        <v>900005498</v>
      </c>
      <c r="G1030" t="s">
        <v>29</v>
      </c>
      <c r="H1030">
        <v>81</v>
      </c>
      <c r="I1030">
        <v>71101060</v>
      </c>
      <c r="J1030">
        <v>11500060</v>
      </c>
      <c r="K1030" t="s">
        <v>30</v>
      </c>
      <c r="L1030" s="4">
        <v>448.54</v>
      </c>
      <c r="M1030" t="s">
        <v>31</v>
      </c>
      <c r="N1030" s="4">
        <v>448.54</v>
      </c>
      <c r="O1030" t="s">
        <v>31</v>
      </c>
      <c r="X1030" t="s">
        <v>43</v>
      </c>
      <c r="Y1030"/>
      <c r="Z1030">
        <v>20200115</v>
      </c>
      <c r="AA1030">
        <f t="shared" si="16"/>
        <v>448.54</v>
      </c>
      <c r="AC1030"/>
      <c r="AF1030"/>
      <c r="AL1030">
        <v>340910590</v>
      </c>
      <c r="AM1030" t="s">
        <v>45</v>
      </c>
    </row>
    <row r="1031" spans="1:39" x14ac:dyDescent="0.35">
      <c r="A1031">
        <v>3409</v>
      </c>
      <c r="B1031" t="s">
        <v>39</v>
      </c>
      <c r="C1031">
        <v>2020</v>
      </c>
      <c r="D1031" s="1">
        <v>43831</v>
      </c>
      <c r="E1031">
        <v>4</v>
      </c>
      <c r="F1031">
        <v>900005498</v>
      </c>
      <c r="G1031" t="s">
        <v>29</v>
      </c>
      <c r="H1031">
        <v>81</v>
      </c>
      <c r="I1031">
        <v>71101060</v>
      </c>
      <c r="J1031">
        <v>11500060</v>
      </c>
      <c r="K1031" t="s">
        <v>30</v>
      </c>
      <c r="L1031" s="4">
        <v>439.71</v>
      </c>
      <c r="M1031" t="s">
        <v>31</v>
      </c>
      <c r="N1031" s="4">
        <v>439.71</v>
      </c>
      <c r="O1031" t="s">
        <v>31</v>
      </c>
      <c r="X1031" t="s">
        <v>43</v>
      </c>
      <c r="Y1031"/>
      <c r="Z1031">
        <v>20200115</v>
      </c>
      <c r="AA1031">
        <f t="shared" si="16"/>
        <v>439.71</v>
      </c>
      <c r="AC1031"/>
      <c r="AF1031"/>
      <c r="AL1031">
        <v>340910590</v>
      </c>
      <c r="AM1031" t="s">
        <v>45</v>
      </c>
    </row>
    <row r="1032" spans="1:39" x14ac:dyDescent="0.35">
      <c r="A1032">
        <v>3409</v>
      </c>
      <c r="B1032" t="s">
        <v>39</v>
      </c>
      <c r="C1032">
        <v>2020</v>
      </c>
      <c r="D1032" s="1">
        <v>43831</v>
      </c>
      <c r="E1032">
        <v>6</v>
      </c>
      <c r="F1032">
        <v>900005498</v>
      </c>
      <c r="G1032" t="s">
        <v>29</v>
      </c>
      <c r="H1032">
        <v>81</v>
      </c>
      <c r="I1032">
        <v>71101060</v>
      </c>
      <c r="J1032">
        <v>11500060</v>
      </c>
      <c r="K1032" t="s">
        <v>30</v>
      </c>
      <c r="L1032" s="4">
        <v>1411.31</v>
      </c>
      <c r="M1032" t="s">
        <v>31</v>
      </c>
      <c r="N1032" s="4">
        <v>1411.31</v>
      </c>
      <c r="O1032" t="s">
        <v>31</v>
      </c>
      <c r="X1032" t="s">
        <v>43</v>
      </c>
      <c r="Y1032"/>
      <c r="Z1032">
        <v>20200115</v>
      </c>
      <c r="AA1032">
        <f t="shared" si="16"/>
        <v>1411.31</v>
      </c>
      <c r="AC1032"/>
      <c r="AF1032"/>
      <c r="AL1032">
        <v>340910590</v>
      </c>
      <c r="AM1032" t="s">
        <v>45</v>
      </c>
    </row>
    <row r="1033" spans="1:39" x14ac:dyDescent="0.35">
      <c r="A1033">
        <v>3409</v>
      </c>
      <c r="B1033" t="s">
        <v>39</v>
      </c>
      <c r="C1033">
        <v>2020</v>
      </c>
      <c r="D1033" s="1">
        <v>43831</v>
      </c>
      <c r="E1033">
        <v>8</v>
      </c>
      <c r="F1033">
        <v>900005498</v>
      </c>
      <c r="G1033" t="s">
        <v>29</v>
      </c>
      <c r="H1033">
        <v>81</v>
      </c>
      <c r="I1033">
        <v>71101060</v>
      </c>
      <c r="J1033">
        <v>11500060</v>
      </c>
      <c r="K1033" t="s">
        <v>30</v>
      </c>
      <c r="L1033" s="4">
        <v>1430.12</v>
      </c>
      <c r="M1033" t="s">
        <v>31</v>
      </c>
      <c r="N1033" s="4">
        <v>1430.12</v>
      </c>
      <c r="O1033" t="s">
        <v>31</v>
      </c>
      <c r="X1033" t="s">
        <v>43</v>
      </c>
      <c r="Y1033"/>
      <c r="Z1033">
        <v>20200115</v>
      </c>
      <c r="AA1033">
        <f t="shared" si="16"/>
        <v>1430.12</v>
      </c>
      <c r="AC1033"/>
      <c r="AF1033"/>
      <c r="AL1033">
        <v>340910590</v>
      </c>
      <c r="AM1033" t="s">
        <v>45</v>
      </c>
    </row>
    <row r="1034" spans="1:39" x14ac:dyDescent="0.35">
      <c r="A1034">
        <v>3409</v>
      </c>
      <c r="B1034" t="s">
        <v>39</v>
      </c>
      <c r="C1034">
        <v>2020</v>
      </c>
      <c r="D1034" s="1">
        <v>43831</v>
      </c>
      <c r="E1034">
        <v>10</v>
      </c>
      <c r="F1034">
        <v>900005498</v>
      </c>
      <c r="G1034" t="s">
        <v>29</v>
      </c>
      <c r="H1034">
        <v>81</v>
      </c>
      <c r="I1034">
        <v>71101060</v>
      </c>
      <c r="J1034">
        <v>11500060</v>
      </c>
      <c r="K1034" t="s">
        <v>30</v>
      </c>
      <c r="L1034" s="4">
        <v>762.91</v>
      </c>
      <c r="M1034" t="s">
        <v>31</v>
      </c>
      <c r="N1034" s="4">
        <v>762.91</v>
      </c>
      <c r="O1034" t="s">
        <v>31</v>
      </c>
      <c r="X1034" t="s">
        <v>43</v>
      </c>
      <c r="Y1034"/>
      <c r="Z1034">
        <v>20200115</v>
      </c>
      <c r="AA1034">
        <f t="shared" si="16"/>
        <v>762.91</v>
      </c>
      <c r="AC1034"/>
      <c r="AF1034"/>
      <c r="AL1034">
        <v>340910590</v>
      </c>
      <c r="AM1034" t="s">
        <v>45</v>
      </c>
    </row>
    <row r="1035" spans="1:39" x14ac:dyDescent="0.35">
      <c r="A1035">
        <v>3409</v>
      </c>
      <c r="B1035" t="s">
        <v>39</v>
      </c>
      <c r="C1035">
        <v>2020</v>
      </c>
      <c r="D1035" s="1">
        <v>43831</v>
      </c>
      <c r="E1035">
        <v>12</v>
      </c>
      <c r="F1035">
        <v>900005498</v>
      </c>
      <c r="G1035" t="s">
        <v>29</v>
      </c>
      <c r="H1035">
        <v>81</v>
      </c>
      <c r="I1035">
        <v>71101060</v>
      </c>
      <c r="J1035">
        <v>11500060</v>
      </c>
      <c r="K1035" t="s">
        <v>30</v>
      </c>
      <c r="L1035" s="4">
        <v>1152.08</v>
      </c>
      <c r="M1035" t="s">
        <v>31</v>
      </c>
      <c r="N1035" s="4">
        <v>1152.08</v>
      </c>
      <c r="O1035" t="s">
        <v>31</v>
      </c>
      <c r="X1035" t="s">
        <v>43</v>
      </c>
      <c r="Y1035"/>
      <c r="Z1035">
        <v>20200115</v>
      </c>
      <c r="AA1035">
        <f t="shared" si="16"/>
        <v>1152.08</v>
      </c>
      <c r="AC1035"/>
      <c r="AF1035"/>
      <c r="AL1035">
        <v>340910590</v>
      </c>
      <c r="AM1035" t="s">
        <v>45</v>
      </c>
    </row>
    <row r="1036" spans="1:39" x14ac:dyDescent="0.35">
      <c r="A1036">
        <v>3409</v>
      </c>
      <c r="B1036" t="s">
        <v>39</v>
      </c>
      <c r="C1036">
        <v>2020</v>
      </c>
      <c r="D1036" s="1">
        <v>43831</v>
      </c>
      <c r="E1036">
        <v>14</v>
      </c>
      <c r="F1036">
        <v>900005498</v>
      </c>
      <c r="G1036" t="s">
        <v>29</v>
      </c>
      <c r="H1036">
        <v>81</v>
      </c>
      <c r="I1036">
        <v>71101060</v>
      </c>
      <c r="J1036">
        <v>11500060</v>
      </c>
      <c r="K1036" t="s">
        <v>30</v>
      </c>
      <c r="L1036" s="4">
        <v>275.75</v>
      </c>
      <c r="M1036" t="s">
        <v>31</v>
      </c>
      <c r="N1036" s="4">
        <v>275.75</v>
      </c>
      <c r="O1036" t="s">
        <v>31</v>
      </c>
      <c r="X1036" t="s">
        <v>43</v>
      </c>
      <c r="Y1036"/>
      <c r="Z1036">
        <v>20200115</v>
      </c>
      <c r="AA1036">
        <f t="shared" si="16"/>
        <v>275.75</v>
      </c>
      <c r="AC1036"/>
      <c r="AF1036"/>
      <c r="AL1036">
        <v>340910590</v>
      </c>
      <c r="AM1036" t="s">
        <v>45</v>
      </c>
    </row>
    <row r="1037" spans="1:39" x14ac:dyDescent="0.35">
      <c r="A1037">
        <v>3409</v>
      </c>
      <c r="B1037" t="s">
        <v>39</v>
      </c>
      <c r="C1037">
        <v>2020</v>
      </c>
      <c r="D1037" s="1">
        <v>43831</v>
      </c>
      <c r="E1037">
        <v>16</v>
      </c>
      <c r="F1037">
        <v>900005498</v>
      </c>
      <c r="G1037" t="s">
        <v>29</v>
      </c>
      <c r="H1037">
        <v>81</v>
      </c>
      <c r="I1037">
        <v>71101060</v>
      </c>
      <c r="J1037">
        <v>11500060</v>
      </c>
      <c r="K1037" t="s">
        <v>30</v>
      </c>
      <c r="L1037" s="4">
        <v>618.5</v>
      </c>
      <c r="M1037" t="s">
        <v>31</v>
      </c>
      <c r="N1037" s="4">
        <v>618.5</v>
      </c>
      <c r="O1037" t="s">
        <v>31</v>
      </c>
      <c r="X1037" t="s">
        <v>43</v>
      </c>
      <c r="Y1037"/>
      <c r="Z1037">
        <v>20200115</v>
      </c>
      <c r="AA1037">
        <f t="shared" si="16"/>
        <v>618.5</v>
      </c>
      <c r="AC1037"/>
      <c r="AF1037"/>
      <c r="AL1037">
        <v>340910590</v>
      </c>
      <c r="AM1037" t="s">
        <v>45</v>
      </c>
    </row>
    <row r="1038" spans="1:39" x14ac:dyDescent="0.35">
      <c r="A1038">
        <v>3409</v>
      </c>
      <c r="B1038" t="s">
        <v>39</v>
      </c>
      <c r="C1038">
        <v>2020</v>
      </c>
      <c r="D1038" s="1">
        <v>43831</v>
      </c>
      <c r="E1038">
        <v>20</v>
      </c>
      <c r="F1038">
        <v>900005498</v>
      </c>
      <c r="G1038" t="s">
        <v>29</v>
      </c>
      <c r="H1038">
        <v>81</v>
      </c>
      <c r="I1038">
        <v>71101060</v>
      </c>
      <c r="J1038">
        <v>11500060</v>
      </c>
      <c r="K1038" t="s">
        <v>30</v>
      </c>
      <c r="L1038" s="4">
        <v>1679.9</v>
      </c>
      <c r="M1038" t="s">
        <v>31</v>
      </c>
      <c r="N1038" s="4">
        <v>1679.9</v>
      </c>
      <c r="O1038" t="s">
        <v>31</v>
      </c>
      <c r="X1038" t="s">
        <v>43</v>
      </c>
      <c r="Y1038"/>
      <c r="Z1038">
        <v>20200115</v>
      </c>
      <c r="AA1038">
        <f t="shared" si="16"/>
        <v>1679.9</v>
      </c>
      <c r="AC1038"/>
      <c r="AF1038"/>
      <c r="AL1038">
        <v>340910590</v>
      </c>
      <c r="AM1038" t="s">
        <v>45</v>
      </c>
    </row>
    <row r="1039" spans="1:39" x14ac:dyDescent="0.35">
      <c r="A1039">
        <v>3407</v>
      </c>
      <c r="B1039" t="s">
        <v>39</v>
      </c>
      <c r="C1039">
        <v>2020</v>
      </c>
      <c r="D1039" s="1">
        <v>43831</v>
      </c>
      <c r="E1039">
        <v>16</v>
      </c>
      <c r="F1039">
        <v>700016469</v>
      </c>
      <c r="G1039" t="s">
        <v>29</v>
      </c>
      <c r="H1039">
        <v>81</v>
      </c>
      <c r="I1039">
        <v>71101060</v>
      </c>
      <c r="J1039">
        <v>11500030</v>
      </c>
      <c r="K1039" t="s">
        <v>30</v>
      </c>
      <c r="L1039" s="4">
        <v>240.12</v>
      </c>
      <c r="M1039" t="s">
        <v>31</v>
      </c>
      <c r="N1039" s="4">
        <v>240.12</v>
      </c>
      <c r="O1039" t="s">
        <v>31</v>
      </c>
      <c r="X1039" t="s">
        <v>43</v>
      </c>
      <c r="Y1039"/>
      <c r="Z1039">
        <v>20200115</v>
      </c>
      <c r="AA1039">
        <f t="shared" si="16"/>
        <v>240.12</v>
      </c>
      <c r="AC1039"/>
      <c r="AF1039"/>
      <c r="AL1039">
        <v>340712790</v>
      </c>
      <c r="AM1039" t="s">
        <v>34</v>
      </c>
    </row>
    <row r="1040" spans="1:39" x14ac:dyDescent="0.35">
      <c r="A1040">
        <v>3407</v>
      </c>
      <c r="B1040" t="s">
        <v>39</v>
      </c>
      <c r="C1040">
        <v>2020</v>
      </c>
      <c r="D1040" s="1">
        <v>43831</v>
      </c>
      <c r="E1040">
        <v>18</v>
      </c>
      <c r="F1040">
        <v>700016469</v>
      </c>
      <c r="G1040" t="s">
        <v>29</v>
      </c>
      <c r="H1040">
        <v>81</v>
      </c>
      <c r="I1040">
        <v>71101060</v>
      </c>
      <c r="J1040">
        <v>11500030</v>
      </c>
      <c r="K1040" t="s">
        <v>30</v>
      </c>
      <c r="L1040" s="4">
        <v>76</v>
      </c>
      <c r="M1040" t="s">
        <v>31</v>
      </c>
      <c r="N1040" s="4">
        <v>76</v>
      </c>
      <c r="O1040" t="s">
        <v>31</v>
      </c>
      <c r="X1040" t="s">
        <v>43</v>
      </c>
      <c r="Y1040"/>
      <c r="Z1040">
        <v>20200115</v>
      </c>
      <c r="AA1040">
        <f t="shared" si="16"/>
        <v>76</v>
      </c>
      <c r="AC1040"/>
      <c r="AF1040"/>
      <c r="AL1040">
        <v>340712790</v>
      </c>
      <c r="AM1040" t="s">
        <v>34</v>
      </c>
    </row>
    <row r="1041" spans="1:39" x14ac:dyDescent="0.35">
      <c r="A1041">
        <v>3407</v>
      </c>
      <c r="B1041" t="s">
        <v>39</v>
      </c>
      <c r="C1041">
        <v>2020</v>
      </c>
      <c r="D1041" s="1">
        <v>43831</v>
      </c>
      <c r="E1041">
        <v>20</v>
      </c>
      <c r="F1041">
        <v>700016469</v>
      </c>
      <c r="G1041" t="s">
        <v>29</v>
      </c>
      <c r="H1041">
        <v>81</v>
      </c>
      <c r="I1041">
        <v>71101060</v>
      </c>
      <c r="J1041">
        <v>11500030</v>
      </c>
      <c r="K1041" t="s">
        <v>30</v>
      </c>
      <c r="L1041" s="4">
        <v>243.72</v>
      </c>
      <c r="M1041" t="s">
        <v>31</v>
      </c>
      <c r="N1041" s="4">
        <v>243.72</v>
      </c>
      <c r="O1041" t="s">
        <v>31</v>
      </c>
      <c r="X1041" t="s">
        <v>43</v>
      </c>
      <c r="Y1041"/>
      <c r="Z1041">
        <v>20200115</v>
      </c>
      <c r="AA1041">
        <f t="shared" si="16"/>
        <v>243.72</v>
      </c>
      <c r="AC1041"/>
      <c r="AF1041"/>
      <c r="AL1041">
        <v>340712790</v>
      </c>
      <c r="AM1041" t="s">
        <v>34</v>
      </c>
    </row>
    <row r="1042" spans="1:39" x14ac:dyDescent="0.35">
      <c r="A1042">
        <v>3407</v>
      </c>
      <c r="B1042" t="s">
        <v>39</v>
      </c>
      <c r="C1042">
        <v>2020</v>
      </c>
      <c r="D1042" s="1">
        <v>43831</v>
      </c>
      <c r="E1042">
        <v>28</v>
      </c>
      <c r="F1042">
        <v>700016469</v>
      </c>
      <c r="G1042" t="s">
        <v>29</v>
      </c>
      <c r="H1042">
        <v>81</v>
      </c>
      <c r="I1042">
        <v>71101060</v>
      </c>
      <c r="J1042">
        <v>11500030</v>
      </c>
      <c r="K1042" t="s">
        <v>30</v>
      </c>
      <c r="L1042" s="4">
        <v>7790</v>
      </c>
      <c r="M1042" t="s">
        <v>31</v>
      </c>
      <c r="N1042" s="4">
        <v>7790</v>
      </c>
      <c r="O1042" t="s">
        <v>31</v>
      </c>
      <c r="X1042" t="s">
        <v>43</v>
      </c>
      <c r="Y1042"/>
      <c r="Z1042">
        <v>20200115</v>
      </c>
      <c r="AA1042">
        <f t="shared" ref="AA1042:AA1105" si="17">L1042</f>
        <v>7790</v>
      </c>
      <c r="AC1042"/>
      <c r="AF1042"/>
      <c r="AL1042">
        <v>340712790</v>
      </c>
      <c r="AM1042" t="s">
        <v>34</v>
      </c>
    </row>
    <row r="1043" spans="1:39" x14ac:dyDescent="0.35">
      <c r="A1043">
        <v>3407</v>
      </c>
      <c r="B1043" t="s">
        <v>39</v>
      </c>
      <c r="C1043">
        <v>2020</v>
      </c>
      <c r="D1043" s="1">
        <v>43831</v>
      </c>
      <c r="E1043">
        <v>2</v>
      </c>
      <c r="F1043">
        <v>700016471</v>
      </c>
      <c r="G1043" t="s">
        <v>29</v>
      </c>
      <c r="H1043">
        <v>81</v>
      </c>
      <c r="I1043">
        <v>71101060</v>
      </c>
      <c r="J1043">
        <v>11500060</v>
      </c>
      <c r="K1043" t="s">
        <v>30</v>
      </c>
      <c r="L1043" s="4">
        <v>295.48</v>
      </c>
      <c r="M1043" t="s">
        <v>31</v>
      </c>
      <c r="N1043" s="4">
        <v>295.48</v>
      </c>
      <c r="O1043" t="s">
        <v>31</v>
      </c>
      <c r="X1043" t="s">
        <v>43</v>
      </c>
      <c r="Y1043"/>
      <c r="Z1043">
        <v>20200115</v>
      </c>
      <c r="AA1043">
        <f t="shared" si="17"/>
        <v>295.48</v>
      </c>
      <c r="AC1043"/>
      <c r="AF1043"/>
      <c r="AL1043">
        <v>340710590</v>
      </c>
      <c r="AM1043" t="s">
        <v>33</v>
      </c>
    </row>
    <row r="1044" spans="1:39" x14ac:dyDescent="0.35">
      <c r="A1044">
        <v>3407</v>
      </c>
      <c r="B1044" t="s">
        <v>39</v>
      </c>
      <c r="C1044">
        <v>2020</v>
      </c>
      <c r="D1044" s="1">
        <v>43831</v>
      </c>
      <c r="E1044">
        <v>4</v>
      </c>
      <c r="F1044">
        <v>700016471</v>
      </c>
      <c r="G1044" t="s">
        <v>29</v>
      </c>
      <c r="H1044">
        <v>81</v>
      </c>
      <c r="I1044">
        <v>71101060</v>
      </c>
      <c r="J1044">
        <v>11500060</v>
      </c>
      <c r="K1044" t="s">
        <v>30</v>
      </c>
      <c r="L1044" s="4">
        <v>1950</v>
      </c>
      <c r="M1044" t="s">
        <v>31</v>
      </c>
      <c r="N1044" s="4">
        <v>1950</v>
      </c>
      <c r="O1044" t="s">
        <v>31</v>
      </c>
      <c r="X1044" t="s">
        <v>43</v>
      </c>
      <c r="Y1044"/>
      <c r="Z1044">
        <v>20200115</v>
      </c>
      <c r="AA1044">
        <f t="shared" si="17"/>
        <v>1950</v>
      </c>
      <c r="AC1044"/>
      <c r="AF1044"/>
      <c r="AL1044">
        <v>340710590</v>
      </c>
      <c r="AM1044" t="s">
        <v>33</v>
      </c>
    </row>
    <row r="1045" spans="1:39" x14ac:dyDescent="0.35">
      <c r="A1045">
        <v>3407</v>
      </c>
      <c r="B1045" t="s">
        <v>39</v>
      </c>
      <c r="C1045">
        <v>2020</v>
      </c>
      <c r="D1045" s="1">
        <v>43831</v>
      </c>
      <c r="E1045">
        <v>6</v>
      </c>
      <c r="F1045">
        <v>700016471</v>
      </c>
      <c r="G1045" t="s">
        <v>29</v>
      </c>
      <c r="H1045">
        <v>81</v>
      </c>
      <c r="I1045">
        <v>71101060</v>
      </c>
      <c r="J1045">
        <v>11500060</v>
      </c>
      <c r="K1045" t="s">
        <v>30</v>
      </c>
      <c r="L1045" s="4">
        <v>3150</v>
      </c>
      <c r="M1045" t="s">
        <v>31</v>
      </c>
      <c r="N1045" s="4">
        <v>3150</v>
      </c>
      <c r="O1045" t="s">
        <v>31</v>
      </c>
      <c r="X1045" t="s">
        <v>43</v>
      </c>
      <c r="Y1045"/>
      <c r="Z1045">
        <v>20200115</v>
      </c>
      <c r="AA1045">
        <f t="shared" si="17"/>
        <v>3150</v>
      </c>
      <c r="AC1045"/>
      <c r="AF1045"/>
      <c r="AL1045">
        <v>340710590</v>
      </c>
      <c r="AM1045" t="s">
        <v>33</v>
      </c>
    </row>
    <row r="1046" spans="1:39" x14ac:dyDescent="0.35">
      <c r="A1046">
        <v>3407</v>
      </c>
      <c r="B1046" t="s">
        <v>39</v>
      </c>
      <c r="C1046">
        <v>2020</v>
      </c>
      <c r="D1046" s="1">
        <v>43831</v>
      </c>
      <c r="E1046">
        <v>8</v>
      </c>
      <c r="F1046">
        <v>700016471</v>
      </c>
      <c r="G1046" t="s">
        <v>29</v>
      </c>
      <c r="H1046">
        <v>81</v>
      </c>
      <c r="I1046">
        <v>71101060</v>
      </c>
      <c r="J1046">
        <v>11500060</v>
      </c>
      <c r="K1046" t="s">
        <v>30</v>
      </c>
      <c r="L1046" s="4">
        <v>347.28</v>
      </c>
      <c r="M1046" t="s">
        <v>31</v>
      </c>
      <c r="N1046" s="4">
        <v>347.28</v>
      </c>
      <c r="O1046" t="s">
        <v>31</v>
      </c>
      <c r="X1046" t="s">
        <v>43</v>
      </c>
      <c r="Y1046"/>
      <c r="Z1046">
        <v>20200115</v>
      </c>
      <c r="AA1046">
        <f t="shared" si="17"/>
        <v>347.28</v>
      </c>
      <c r="AC1046"/>
      <c r="AF1046"/>
      <c r="AL1046">
        <v>340710590</v>
      </c>
      <c r="AM1046" t="s">
        <v>33</v>
      </c>
    </row>
    <row r="1047" spans="1:39" x14ac:dyDescent="0.35">
      <c r="A1047">
        <v>3407</v>
      </c>
      <c r="B1047" t="s">
        <v>39</v>
      </c>
      <c r="C1047">
        <v>2020</v>
      </c>
      <c r="D1047" s="1">
        <v>43831</v>
      </c>
      <c r="E1047">
        <v>10</v>
      </c>
      <c r="F1047">
        <v>700016471</v>
      </c>
      <c r="G1047" t="s">
        <v>29</v>
      </c>
      <c r="H1047">
        <v>81</v>
      </c>
      <c r="I1047">
        <v>71101060</v>
      </c>
      <c r="J1047">
        <v>11500060</v>
      </c>
      <c r="K1047" t="s">
        <v>30</v>
      </c>
      <c r="L1047" s="4">
        <v>2481</v>
      </c>
      <c r="M1047" t="s">
        <v>31</v>
      </c>
      <c r="N1047" s="4">
        <v>2481</v>
      </c>
      <c r="O1047" t="s">
        <v>31</v>
      </c>
      <c r="X1047" t="s">
        <v>43</v>
      </c>
      <c r="Y1047"/>
      <c r="Z1047">
        <v>20200115</v>
      </c>
      <c r="AA1047">
        <f t="shared" si="17"/>
        <v>2481</v>
      </c>
      <c r="AC1047"/>
      <c r="AF1047"/>
      <c r="AL1047">
        <v>340710590</v>
      </c>
      <c r="AM1047" t="s">
        <v>33</v>
      </c>
    </row>
    <row r="1048" spans="1:39" x14ac:dyDescent="0.35">
      <c r="A1048">
        <v>3407</v>
      </c>
      <c r="B1048" t="s">
        <v>39</v>
      </c>
      <c r="C1048">
        <v>2020</v>
      </c>
      <c r="D1048" s="1">
        <v>43831</v>
      </c>
      <c r="E1048">
        <v>12</v>
      </c>
      <c r="F1048">
        <v>700016471</v>
      </c>
      <c r="G1048" t="s">
        <v>29</v>
      </c>
      <c r="H1048">
        <v>81</v>
      </c>
      <c r="I1048">
        <v>71101060</v>
      </c>
      <c r="J1048">
        <v>11500060</v>
      </c>
      <c r="K1048" t="s">
        <v>30</v>
      </c>
      <c r="L1048" s="4">
        <v>3505.1</v>
      </c>
      <c r="M1048" t="s">
        <v>31</v>
      </c>
      <c r="N1048" s="4">
        <v>3505.1</v>
      </c>
      <c r="O1048" t="s">
        <v>31</v>
      </c>
      <c r="X1048" t="s">
        <v>43</v>
      </c>
      <c r="Y1048"/>
      <c r="Z1048">
        <v>20200115</v>
      </c>
      <c r="AA1048">
        <f t="shared" si="17"/>
        <v>3505.1</v>
      </c>
      <c r="AC1048"/>
      <c r="AF1048"/>
      <c r="AL1048">
        <v>340710590</v>
      </c>
      <c r="AM1048" t="s">
        <v>33</v>
      </c>
    </row>
    <row r="1049" spans="1:39" x14ac:dyDescent="0.35">
      <c r="A1049">
        <v>3407</v>
      </c>
      <c r="B1049" t="s">
        <v>39</v>
      </c>
      <c r="C1049">
        <v>2020</v>
      </c>
      <c r="D1049" s="1">
        <v>43831</v>
      </c>
      <c r="E1049">
        <v>14</v>
      </c>
      <c r="F1049">
        <v>700016471</v>
      </c>
      <c r="G1049" t="s">
        <v>29</v>
      </c>
      <c r="H1049">
        <v>81</v>
      </c>
      <c r="I1049">
        <v>71101060</v>
      </c>
      <c r="J1049">
        <v>11500060</v>
      </c>
      <c r="K1049" t="s">
        <v>30</v>
      </c>
      <c r="L1049" s="4">
        <v>2525.1</v>
      </c>
      <c r="M1049" t="s">
        <v>31</v>
      </c>
      <c r="N1049" s="4">
        <v>2525.1</v>
      </c>
      <c r="O1049" t="s">
        <v>31</v>
      </c>
      <c r="X1049" t="s">
        <v>43</v>
      </c>
      <c r="Y1049"/>
      <c r="Z1049">
        <v>20200115</v>
      </c>
      <c r="AA1049">
        <f t="shared" si="17"/>
        <v>2525.1</v>
      </c>
      <c r="AC1049"/>
      <c r="AF1049"/>
      <c r="AL1049">
        <v>340710590</v>
      </c>
      <c r="AM1049" t="s">
        <v>33</v>
      </c>
    </row>
    <row r="1050" spans="1:39" x14ac:dyDescent="0.35">
      <c r="A1050">
        <v>3407</v>
      </c>
      <c r="B1050" t="s">
        <v>39</v>
      </c>
      <c r="C1050">
        <v>2020</v>
      </c>
      <c r="D1050" s="1">
        <v>43831</v>
      </c>
      <c r="E1050">
        <v>16</v>
      </c>
      <c r="F1050">
        <v>700016471</v>
      </c>
      <c r="G1050" t="s">
        <v>29</v>
      </c>
      <c r="H1050">
        <v>81</v>
      </c>
      <c r="I1050">
        <v>71101060</v>
      </c>
      <c r="J1050">
        <v>11500060</v>
      </c>
      <c r="K1050" t="s">
        <v>30</v>
      </c>
      <c r="L1050" s="4">
        <v>8256.7000000000007</v>
      </c>
      <c r="M1050" t="s">
        <v>31</v>
      </c>
      <c r="N1050" s="4">
        <v>8256.7000000000007</v>
      </c>
      <c r="O1050" t="s">
        <v>31</v>
      </c>
      <c r="X1050" t="s">
        <v>43</v>
      </c>
      <c r="Y1050"/>
      <c r="Z1050">
        <v>20200115</v>
      </c>
      <c r="AA1050">
        <f t="shared" si="17"/>
        <v>8256.7000000000007</v>
      </c>
      <c r="AC1050"/>
      <c r="AF1050"/>
      <c r="AL1050">
        <v>340710590</v>
      </c>
      <c r="AM1050" t="s">
        <v>33</v>
      </c>
    </row>
    <row r="1051" spans="1:39" x14ac:dyDescent="0.35">
      <c r="A1051">
        <v>3407</v>
      </c>
      <c r="B1051" t="s">
        <v>39</v>
      </c>
      <c r="C1051">
        <v>2020</v>
      </c>
      <c r="D1051" s="1">
        <v>43831</v>
      </c>
      <c r="E1051">
        <v>18</v>
      </c>
      <c r="F1051">
        <v>700016471</v>
      </c>
      <c r="G1051" t="s">
        <v>29</v>
      </c>
      <c r="H1051">
        <v>81</v>
      </c>
      <c r="I1051">
        <v>71101060</v>
      </c>
      <c r="J1051">
        <v>11500060</v>
      </c>
      <c r="K1051" t="s">
        <v>30</v>
      </c>
      <c r="L1051" s="4">
        <v>2198.5500000000002</v>
      </c>
      <c r="M1051" t="s">
        <v>31</v>
      </c>
      <c r="N1051" s="4">
        <v>2198.5500000000002</v>
      </c>
      <c r="O1051" t="s">
        <v>31</v>
      </c>
      <c r="X1051" t="s">
        <v>43</v>
      </c>
      <c r="Y1051"/>
      <c r="Z1051">
        <v>20200115</v>
      </c>
      <c r="AA1051">
        <f t="shared" si="17"/>
        <v>2198.5500000000002</v>
      </c>
      <c r="AC1051"/>
      <c r="AF1051"/>
      <c r="AL1051">
        <v>340710590</v>
      </c>
      <c r="AM1051" t="s">
        <v>33</v>
      </c>
    </row>
    <row r="1052" spans="1:39" x14ac:dyDescent="0.35">
      <c r="A1052">
        <v>3407</v>
      </c>
      <c r="B1052" t="s">
        <v>39</v>
      </c>
      <c r="C1052">
        <v>2020</v>
      </c>
      <c r="D1052" s="1">
        <v>43831</v>
      </c>
      <c r="E1052">
        <v>20</v>
      </c>
      <c r="F1052">
        <v>700016471</v>
      </c>
      <c r="G1052" t="s">
        <v>29</v>
      </c>
      <c r="H1052">
        <v>81</v>
      </c>
      <c r="I1052">
        <v>71101060</v>
      </c>
      <c r="J1052">
        <v>11500060</v>
      </c>
      <c r="K1052" t="s">
        <v>30</v>
      </c>
      <c r="L1052" s="4">
        <v>500.92</v>
      </c>
      <c r="M1052" t="s">
        <v>31</v>
      </c>
      <c r="N1052" s="4">
        <v>500.92</v>
      </c>
      <c r="O1052" t="s">
        <v>31</v>
      </c>
      <c r="X1052" t="s">
        <v>43</v>
      </c>
      <c r="Y1052"/>
      <c r="Z1052">
        <v>20200115</v>
      </c>
      <c r="AA1052">
        <f t="shared" si="17"/>
        <v>500.92</v>
      </c>
      <c r="AC1052"/>
      <c r="AF1052"/>
      <c r="AL1052">
        <v>340710590</v>
      </c>
      <c r="AM1052" t="s">
        <v>33</v>
      </c>
    </row>
    <row r="1053" spans="1:39" x14ac:dyDescent="0.35">
      <c r="A1053">
        <v>3407</v>
      </c>
      <c r="B1053" t="s">
        <v>39</v>
      </c>
      <c r="C1053">
        <v>2020</v>
      </c>
      <c r="D1053" s="1">
        <v>43831</v>
      </c>
      <c r="E1053">
        <v>22</v>
      </c>
      <c r="F1053">
        <v>700016471</v>
      </c>
      <c r="G1053" t="s">
        <v>29</v>
      </c>
      <c r="H1053">
        <v>81</v>
      </c>
      <c r="I1053">
        <v>71101060</v>
      </c>
      <c r="J1053">
        <v>11500060</v>
      </c>
      <c r="K1053" t="s">
        <v>30</v>
      </c>
      <c r="L1053" s="4">
        <v>328.74</v>
      </c>
      <c r="M1053" t="s">
        <v>31</v>
      </c>
      <c r="N1053" s="4">
        <v>328.74</v>
      </c>
      <c r="O1053" t="s">
        <v>31</v>
      </c>
      <c r="X1053" t="s">
        <v>43</v>
      </c>
      <c r="Y1053"/>
      <c r="Z1053">
        <v>20200115</v>
      </c>
      <c r="AA1053">
        <f t="shared" si="17"/>
        <v>328.74</v>
      </c>
      <c r="AC1053"/>
      <c r="AF1053"/>
      <c r="AL1053">
        <v>340710590</v>
      </c>
      <c r="AM1053" t="s">
        <v>33</v>
      </c>
    </row>
    <row r="1054" spans="1:39" x14ac:dyDescent="0.35">
      <c r="A1054">
        <v>3407</v>
      </c>
      <c r="B1054" t="s">
        <v>39</v>
      </c>
      <c r="C1054">
        <v>2020</v>
      </c>
      <c r="D1054" s="1">
        <v>43831</v>
      </c>
      <c r="E1054">
        <v>24</v>
      </c>
      <c r="F1054">
        <v>700016471</v>
      </c>
      <c r="G1054" t="s">
        <v>29</v>
      </c>
      <c r="H1054">
        <v>81</v>
      </c>
      <c r="I1054">
        <v>71101060</v>
      </c>
      <c r="J1054">
        <v>11500060</v>
      </c>
      <c r="K1054" t="s">
        <v>30</v>
      </c>
      <c r="L1054" s="4">
        <v>1485</v>
      </c>
      <c r="M1054" t="s">
        <v>31</v>
      </c>
      <c r="N1054" s="4">
        <v>1485</v>
      </c>
      <c r="O1054" t="s">
        <v>31</v>
      </c>
      <c r="X1054" t="s">
        <v>43</v>
      </c>
      <c r="Y1054"/>
      <c r="Z1054">
        <v>20200115</v>
      </c>
      <c r="AA1054">
        <f t="shared" si="17"/>
        <v>1485</v>
      </c>
      <c r="AC1054"/>
      <c r="AF1054"/>
      <c r="AL1054">
        <v>340710590</v>
      </c>
      <c r="AM1054" t="s">
        <v>33</v>
      </c>
    </row>
    <row r="1055" spans="1:39" x14ac:dyDescent="0.35">
      <c r="A1055">
        <v>3407</v>
      </c>
      <c r="B1055" t="s">
        <v>39</v>
      </c>
      <c r="C1055">
        <v>2020</v>
      </c>
      <c r="D1055" s="1">
        <v>43831</v>
      </c>
      <c r="E1055">
        <v>32</v>
      </c>
      <c r="F1055">
        <v>700016471</v>
      </c>
      <c r="G1055" t="s">
        <v>29</v>
      </c>
      <c r="H1055">
        <v>81</v>
      </c>
      <c r="I1055">
        <v>71101060</v>
      </c>
      <c r="J1055">
        <v>11500060</v>
      </c>
      <c r="K1055" t="s">
        <v>30</v>
      </c>
      <c r="L1055" s="4">
        <v>475</v>
      </c>
      <c r="M1055" t="s">
        <v>31</v>
      </c>
      <c r="N1055" s="4">
        <v>475</v>
      </c>
      <c r="O1055" t="s">
        <v>31</v>
      </c>
      <c r="X1055" t="s">
        <v>43</v>
      </c>
      <c r="Y1055"/>
      <c r="Z1055">
        <v>20200115</v>
      </c>
      <c r="AA1055">
        <f t="shared" si="17"/>
        <v>475</v>
      </c>
      <c r="AC1055"/>
      <c r="AF1055"/>
      <c r="AL1055">
        <v>340710590</v>
      </c>
      <c r="AM1055" t="s">
        <v>33</v>
      </c>
    </row>
    <row r="1056" spans="1:39" x14ac:dyDescent="0.35">
      <c r="A1056">
        <v>3407</v>
      </c>
      <c r="B1056" t="s">
        <v>39</v>
      </c>
      <c r="C1056">
        <v>2020</v>
      </c>
      <c r="D1056" s="1">
        <v>43831</v>
      </c>
      <c r="E1056">
        <v>34</v>
      </c>
      <c r="F1056">
        <v>700016471</v>
      </c>
      <c r="G1056" t="s">
        <v>29</v>
      </c>
      <c r="H1056">
        <v>81</v>
      </c>
      <c r="I1056">
        <v>71101060</v>
      </c>
      <c r="J1056">
        <v>11500060</v>
      </c>
      <c r="K1056" t="s">
        <v>30</v>
      </c>
      <c r="L1056" s="4">
        <v>600.29999999999995</v>
      </c>
      <c r="M1056" t="s">
        <v>31</v>
      </c>
      <c r="N1056" s="4">
        <v>600.29999999999995</v>
      </c>
      <c r="O1056" t="s">
        <v>31</v>
      </c>
      <c r="X1056" t="s">
        <v>43</v>
      </c>
      <c r="Y1056"/>
      <c r="Z1056">
        <v>20200115</v>
      </c>
      <c r="AA1056">
        <f t="shared" si="17"/>
        <v>600.29999999999995</v>
      </c>
      <c r="AC1056"/>
      <c r="AF1056"/>
      <c r="AL1056">
        <v>340710590</v>
      </c>
      <c r="AM1056" t="s">
        <v>33</v>
      </c>
    </row>
    <row r="1057" spans="1:39" x14ac:dyDescent="0.35">
      <c r="A1057">
        <v>3400</v>
      </c>
      <c r="B1057" t="s">
        <v>28</v>
      </c>
      <c r="C1057">
        <v>2020</v>
      </c>
      <c r="D1057" s="1">
        <v>43831</v>
      </c>
      <c r="E1057">
        <v>1</v>
      </c>
      <c r="F1057">
        <v>880003551</v>
      </c>
      <c r="G1057" t="s">
        <v>48</v>
      </c>
      <c r="H1057">
        <v>40</v>
      </c>
      <c r="I1057">
        <v>74010070</v>
      </c>
      <c r="J1057">
        <v>11127472</v>
      </c>
      <c r="K1057" t="s">
        <v>49</v>
      </c>
      <c r="L1057" s="4">
        <v>32</v>
      </c>
      <c r="M1057" t="s">
        <v>31</v>
      </c>
      <c r="N1057" s="4">
        <v>32</v>
      </c>
      <c r="O1057" t="s">
        <v>31</v>
      </c>
      <c r="P1057" t="s">
        <v>50</v>
      </c>
      <c r="X1057" t="s">
        <v>65</v>
      </c>
      <c r="Y1057"/>
      <c r="Z1057" t="s">
        <v>63</v>
      </c>
      <c r="AA1057">
        <f t="shared" si="17"/>
        <v>32</v>
      </c>
      <c r="AC1057"/>
      <c r="AE1057" t="s">
        <v>114</v>
      </c>
      <c r="AF1057"/>
      <c r="AL1057">
        <v>340099150</v>
      </c>
      <c r="AM1057" t="s">
        <v>52</v>
      </c>
    </row>
    <row r="1058" spans="1:39" x14ac:dyDescent="0.35">
      <c r="A1058">
        <v>3400</v>
      </c>
      <c r="B1058" t="s">
        <v>47</v>
      </c>
      <c r="C1058">
        <v>2020</v>
      </c>
      <c r="D1058" s="1">
        <v>43831</v>
      </c>
      <c r="E1058">
        <v>1</v>
      </c>
      <c r="F1058">
        <v>880003555</v>
      </c>
      <c r="G1058" t="s">
        <v>48</v>
      </c>
      <c r="H1058">
        <v>40</v>
      </c>
      <c r="I1058">
        <v>74010070</v>
      </c>
      <c r="J1058">
        <v>11128202</v>
      </c>
      <c r="K1058" t="s">
        <v>49</v>
      </c>
      <c r="L1058" s="4">
        <v>1000</v>
      </c>
      <c r="M1058" t="s">
        <v>31</v>
      </c>
      <c r="N1058" s="4">
        <v>1000</v>
      </c>
      <c r="O1058" t="s">
        <v>31</v>
      </c>
      <c r="P1058" t="s">
        <v>50</v>
      </c>
      <c r="X1058" t="s">
        <v>65</v>
      </c>
      <c r="Y1058"/>
      <c r="Z1058" t="s">
        <v>63</v>
      </c>
      <c r="AA1058">
        <f t="shared" si="17"/>
        <v>1000</v>
      </c>
      <c r="AC1058"/>
      <c r="AE1058" t="s">
        <v>115</v>
      </c>
      <c r="AF1058"/>
      <c r="AL1058">
        <v>340099150</v>
      </c>
      <c r="AM1058" t="s">
        <v>52</v>
      </c>
    </row>
    <row r="1059" spans="1:39" x14ac:dyDescent="0.35">
      <c r="A1059">
        <v>3400</v>
      </c>
      <c r="B1059" t="s">
        <v>61</v>
      </c>
      <c r="C1059">
        <v>2020</v>
      </c>
      <c r="D1059" s="1">
        <v>43831</v>
      </c>
      <c r="E1059">
        <v>1</v>
      </c>
      <c r="F1059">
        <v>880003557</v>
      </c>
      <c r="G1059" t="s">
        <v>48</v>
      </c>
      <c r="H1059">
        <v>40</v>
      </c>
      <c r="I1059">
        <v>74010070</v>
      </c>
      <c r="J1059">
        <v>11148112</v>
      </c>
      <c r="K1059" t="s">
        <v>49</v>
      </c>
      <c r="L1059" s="4">
        <v>30</v>
      </c>
      <c r="M1059" t="s">
        <v>31</v>
      </c>
      <c r="N1059" s="4">
        <v>30</v>
      </c>
      <c r="O1059" t="s">
        <v>31</v>
      </c>
      <c r="P1059" t="s">
        <v>50</v>
      </c>
      <c r="X1059" t="s">
        <v>65</v>
      </c>
      <c r="Y1059"/>
      <c r="Z1059" t="s">
        <v>63</v>
      </c>
      <c r="AA1059">
        <f t="shared" si="17"/>
        <v>30</v>
      </c>
      <c r="AC1059"/>
      <c r="AE1059" t="s">
        <v>116</v>
      </c>
      <c r="AF1059"/>
      <c r="AL1059">
        <v>340099150</v>
      </c>
      <c r="AM1059" t="s">
        <v>52</v>
      </c>
    </row>
    <row r="1060" spans="1:39" x14ac:dyDescent="0.35">
      <c r="A1060">
        <v>3400</v>
      </c>
      <c r="B1060" t="s">
        <v>28</v>
      </c>
      <c r="C1060">
        <v>2020</v>
      </c>
      <c r="D1060" s="1">
        <v>43831</v>
      </c>
      <c r="E1060">
        <v>1</v>
      </c>
      <c r="F1060">
        <v>880003722</v>
      </c>
      <c r="G1060" t="s">
        <v>48</v>
      </c>
      <c r="H1060">
        <v>40</v>
      </c>
      <c r="I1060">
        <v>74010070</v>
      </c>
      <c r="J1060">
        <v>11125152</v>
      </c>
      <c r="K1060" t="s">
        <v>49</v>
      </c>
      <c r="L1060" s="4">
        <v>110</v>
      </c>
      <c r="M1060" t="s">
        <v>54</v>
      </c>
      <c r="N1060" s="4">
        <v>2057.73</v>
      </c>
      <c r="O1060" t="s">
        <v>31</v>
      </c>
      <c r="P1060" t="s">
        <v>50</v>
      </c>
      <c r="X1060" t="s">
        <v>72</v>
      </c>
      <c r="Y1060"/>
      <c r="Z1060" t="s">
        <v>63</v>
      </c>
      <c r="AA1060">
        <f t="shared" si="17"/>
        <v>110</v>
      </c>
      <c r="AC1060"/>
      <c r="AE1060" t="s">
        <v>117</v>
      </c>
      <c r="AF1060"/>
      <c r="AL1060">
        <v>340099150</v>
      </c>
      <c r="AM1060" t="s">
        <v>52</v>
      </c>
    </row>
    <row r="1061" spans="1:39" x14ac:dyDescent="0.35">
      <c r="A1061">
        <v>3400</v>
      </c>
      <c r="B1061" t="s">
        <v>28</v>
      </c>
      <c r="C1061">
        <v>2020</v>
      </c>
      <c r="D1061" s="1">
        <v>43831</v>
      </c>
      <c r="E1061">
        <v>1</v>
      </c>
      <c r="F1061">
        <v>880003727</v>
      </c>
      <c r="G1061" t="s">
        <v>48</v>
      </c>
      <c r="H1061">
        <v>40</v>
      </c>
      <c r="I1061">
        <v>74010070</v>
      </c>
      <c r="J1061">
        <v>11128102</v>
      </c>
      <c r="K1061" t="s">
        <v>49</v>
      </c>
      <c r="L1061" s="4">
        <v>161288.15</v>
      </c>
      <c r="M1061" t="s">
        <v>31</v>
      </c>
      <c r="N1061" s="4">
        <v>161288.15</v>
      </c>
      <c r="O1061" t="s">
        <v>31</v>
      </c>
      <c r="P1061" t="s">
        <v>50</v>
      </c>
      <c r="X1061" t="s">
        <v>72</v>
      </c>
      <c r="Y1061"/>
      <c r="Z1061" t="s">
        <v>118</v>
      </c>
      <c r="AA1061">
        <f t="shared" si="17"/>
        <v>161288.15</v>
      </c>
      <c r="AC1061"/>
      <c r="AE1061" t="s">
        <v>119</v>
      </c>
      <c r="AF1061"/>
      <c r="AL1061">
        <v>340099150</v>
      </c>
      <c r="AM1061" t="s">
        <v>52</v>
      </c>
    </row>
    <row r="1062" spans="1:39" x14ac:dyDescent="0.35">
      <c r="A1062">
        <v>3401</v>
      </c>
      <c r="B1062" t="s">
        <v>61</v>
      </c>
      <c r="C1062">
        <v>2020</v>
      </c>
      <c r="D1062" s="1">
        <v>43831</v>
      </c>
      <c r="E1062">
        <v>1</v>
      </c>
      <c r="F1062">
        <v>100026729</v>
      </c>
      <c r="G1062" t="s">
        <v>120</v>
      </c>
      <c r="H1062">
        <v>81</v>
      </c>
      <c r="I1062">
        <v>71104010</v>
      </c>
      <c r="J1062">
        <v>21021040</v>
      </c>
      <c r="K1062" t="s">
        <v>121</v>
      </c>
      <c r="L1062" s="4">
        <v>49308.02</v>
      </c>
      <c r="M1062" t="s">
        <v>31</v>
      </c>
      <c r="N1062" s="4">
        <v>49308.02</v>
      </c>
      <c r="O1062" t="s">
        <v>31</v>
      </c>
      <c r="R1062" t="s">
        <v>122</v>
      </c>
      <c r="S1062" t="s">
        <v>1131</v>
      </c>
      <c r="T1062">
        <v>107211</v>
      </c>
      <c r="U1062" t="s">
        <v>123</v>
      </c>
      <c r="X1062" t="s">
        <v>61</v>
      </c>
      <c r="Y1062" s="8">
        <v>4501216248</v>
      </c>
      <c r="Z1062" t="s">
        <v>1127</v>
      </c>
      <c r="AA1062">
        <f t="shared" si="17"/>
        <v>49308.02</v>
      </c>
      <c r="AB1062" s="3">
        <v>368995.17</v>
      </c>
      <c r="AC1062" s="3">
        <v>2790526</v>
      </c>
      <c r="AD1062">
        <v>100036889</v>
      </c>
      <c r="AE1062" t="s">
        <v>1128</v>
      </c>
      <c r="AF1062" s="4">
        <f>AC1062</f>
        <v>2790526</v>
      </c>
      <c r="AG1062" t="s">
        <v>51</v>
      </c>
      <c r="AH1062" t="s">
        <v>1123</v>
      </c>
      <c r="AI1062">
        <v>100036917</v>
      </c>
      <c r="AJ1062" t="s">
        <v>1130</v>
      </c>
      <c r="AK1062" t="s">
        <v>1129</v>
      </c>
      <c r="AL1062">
        <v>340118590</v>
      </c>
      <c r="AM1062" t="s">
        <v>124</v>
      </c>
    </row>
    <row r="1063" spans="1:39" x14ac:dyDescent="0.35">
      <c r="A1063">
        <v>3401</v>
      </c>
      <c r="B1063" t="s">
        <v>61</v>
      </c>
      <c r="C1063">
        <v>2020</v>
      </c>
      <c r="D1063" s="1">
        <v>43831</v>
      </c>
      <c r="E1063">
        <v>1</v>
      </c>
      <c r="F1063">
        <v>100026958</v>
      </c>
      <c r="G1063" t="s">
        <v>120</v>
      </c>
      <c r="H1063">
        <v>81</v>
      </c>
      <c r="I1063">
        <v>71106040</v>
      </c>
      <c r="J1063">
        <v>21021040</v>
      </c>
      <c r="K1063" t="s">
        <v>125</v>
      </c>
      <c r="L1063" s="4">
        <v>10377.35</v>
      </c>
      <c r="M1063" t="s">
        <v>54</v>
      </c>
      <c r="N1063" s="4">
        <v>195112.86</v>
      </c>
      <c r="O1063" t="s">
        <v>31</v>
      </c>
      <c r="R1063" t="s">
        <v>1121</v>
      </c>
      <c r="S1063">
        <v>593383972</v>
      </c>
      <c r="T1063">
        <v>600226</v>
      </c>
      <c r="U1063" t="s">
        <v>126</v>
      </c>
      <c r="X1063" t="s">
        <v>61</v>
      </c>
      <c r="Y1063" s="8" t="s">
        <v>127</v>
      </c>
      <c r="Z1063">
        <v>20200127</v>
      </c>
      <c r="AA1063">
        <f t="shared" si="17"/>
        <v>10377.35</v>
      </c>
      <c r="AB1063">
        <v>0</v>
      </c>
      <c r="AC1063">
        <f>AA1063</f>
        <v>10377.35</v>
      </c>
      <c r="AD1063">
        <v>100030322</v>
      </c>
      <c r="AE1063" t="s">
        <v>128</v>
      </c>
      <c r="AF1063" s="4">
        <v>9433.9545454545441</v>
      </c>
      <c r="AG1063" t="s">
        <v>212</v>
      </c>
      <c r="AH1063" t="s">
        <v>1123</v>
      </c>
      <c r="AI1063">
        <v>100036041</v>
      </c>
      <c r="AJ1063" t="s">
        <v>1125</v>
      </c>
      <c r="AK1063" t="s">
        <v>1124</v>
      </c>
      <c r="AL1063">
        <v>340121790</v>
      </c>
      <c r="AM1063" t="s">
        <v>129</v>
      </c>
    </row>
    <row r="1064" spans="1:39" x14ac:dyDescent="0.35">
      <c r="A1064">
        <v>3401</v>
      </c>
      <c r="B1064" t="s">
        <v>61</v>
      </c>
      <c r="C1064">
        <v>2020</v>
      </c>
      <c r="D1064" s="1">
        <v>43831</v>
      </c>
      <c r="E1064">
        <v>1</v>
      </c>
      <c r="F1064">
        <v>100026728</v>
      </c>
      <c r="G1064" t="s">
        <v>120</v>
      </c>
      <c r="H1064">
        <v>81</v>
      </c>
      <c r="I1064">
        <v>71104010</v>
      </c>
      <c r="J1064">
        <v>21021040</v>
      </c>
      <c r="K1064" t="s">
        <v>121</v>
      </c>
      <c r="L1064" s="4">
        <v>39676</v>
      </c>
      <c r="M1064" t="s">
        <v>31</v>
      </c>
      <c r="N1064" s="4">
        <v>39676</v>
      </c>
      <c r="O1064" t="s">
        <v>31</v>
      </c>
      <c r="R1064" t="s">
        <v>122</v>
      </c>
      <c r="S1064" t="s">
        <v>1131</v>
      </c>
      <c r="T1064">
        <v>107211</v>
      </c>
      <c r="U1064" t="s">
        <v>123</v>
      </c>
      <c r="X1064" t="s">
        <v>61</v>
      </c>
      <c r="Y1064" s="8">
        <v>4501216248</v>
      </c>
      <c r="Z1064" t="s">
        <v>1127</v>
      </c>
      <c r="AA1064">
        <f t="shared" si="17"/>
        <v>39676</v>
      </c>
      <c r="AC1064"/>
      <c r="AD1064">
        <v>100036889</v>
      </c>
      <c r="AE1064" t="s">
        <v>1128</v>
      </c>
      <c r="AF1064" s="4">
        <v>3245.7840000000001</v>
      </c>
      <c r="AG1064" t="s">
        <v>51</v>
      </c>
      <c r="AH1064" t="s">
        <v>1123</v>
      </c>
      <c r="AI1064">
        <v>100036917</v>
      </c>
      <c r="AJ1064" t="s">
        <v>1130</v>
      </c>
      <c r="AK1064" t="s">
        <v>1129</v>
      </c>
      <c r="AL1064">
        <v>340118590</v>
      </c>
      <c r="AM1064" t="s">
        <v>124</v>
      </c>
    </row>
    <row r="1065" spans="1:39" x14ac:dyDescent="0.35">
      <c r="A1065">
        <v>3406</v>
      </c>
      <c r="B1065" t="s">
        <v>61</v>
      </c>
      <c r="C1065">
        <v>2020</v>
      </c>
      <c r="D1065" s="1">
        <v>43831</v>
      </c>
      <c r="E1065">
        <v>1</v>
      </c>
      <c r="F1065">
        <v>600025749</v>
      </c>
      <c r="G1065" t="s">
        <v>120</v>
      </c>
      <c r="H1065">
        <v>81</v>
      </c>
      <c r="I1065">
        <v>71106040</v>
      </c>
      <c r="J1065">
        <v>21021040</v>
      </c>
      <c r="K1065" t="s">
        <v>125</v>
      </c>
      <c r="L1065" s="4">
        <v>284.54000000000002</v>
      </c>
      <c r="M1065" t="s">
        <v>54</v>
      </c>
      <c r="N1065" s="4">
        <v>5349.86</v>
      </c>
      <c r="O1065" t="s">
        <v>31</v>
      </c>
      <c r="R1065" t="s">
        <v>1121</v>
      </c>
      <c r="S1065">
        <v>752738581</v>
      </c>
      <c r="T1065">
        <v>602358</v>
      </c>
      <c r="U1065" t="s">
        <v>130</v>
      </c>
      <c r="X1065" t="s">
        <v>61</v>
      </c>
      <c r="Y1065" s="8">
        <v>2292347</v>
      </c>
      <c r="Z1065">
        <v>20200127</v>
      </c>
      <c r="AA1065">
        <f t="shared" si="17"/>
        <v>284.54000000000002</v>
      </c>
      <c r="AB1065">
        <v>0</v>
      </c>
      <c r="AC1065">
        <f>AA1065</f>
        <v>284.54000000000002</v>
      </c>
      <c r="AD1065">
        <v>600027034</v>
      </c>
      <c r="AE1065" t="s">
        <v>131</v>
      </c>
      <c r="AF1065" s="4">
        <f>AC1065</f>
        <v>284.54000000000002</v>
      </c>
      <c r="AG1065" t="s">
        <v>1146</v>
      </c>
      <c r="AH1065" t="s">
        <v>1123</v>
      </c>
      <c r="AI1065">
        <v>600039069</v>
      </c>
      <c r="AJ1065" t="s">
        <v>1125</v>
      </c>
      <c r="AK1065" t="s">
        <v>1124</v>
      </c>
      <c r="AL1065">
        <v>340621790</v>
      </c>
      <c r="AM1065" t="s">
        <v>132</v>
      </c>
    </row>
    <row r="1066" spans="1:39" x14ac:dyDescent="0.35">
      <c r="A1066">
        <v>3402</v>
      </c>
      <c r="B1066" t="s">
        <v>61</v>
      </c>
      <c r="C1066">
        <v>2020</v>
      </c>
      <c r="D1066" s="1">
        <v>43831</v>
      </c>
      <c r="E1066">
        <v>1</v>
      </c>
      <c r="F1066">
        <v>200086370</v>
      </c>
      <c r="G1066" t="s">
        <v>120</v>
      </c>
      <c r="H1066">
        <v>81</v>
      </c>
      <c r="I1066">
        <v>71104010</v>
      </c>
      <c r="J1066">
        <v>21021040</v>
      </c>
      <c r="K1066" t="s">
        <v>121</v>
      </c>
      <c r="L1066" s="4">
        <v>175.05</v>
      </c>
      <c r="M1066" t="s">
        <v>31</v>
      </c>
      <c r="N1066" s="4">
        <v>175.05</v>
      </c>
      <c r="O1066" t="s">
        <v>31</v>
      </c>
      <c r="R1066" t="s">
        <v>133</v>
      </c>
      <c r="S1066" t="s">
        <v>1131</v>
      </c>
      <c r="T1066">
        <v>107211</v>
      </c>
      <c r="U1066" t="s">
        <v>123</v>
      </c>
      <c r="X1066" t="s">
        <v>61</v>
      </c>
      <c r="Y1066" s="8">
        <v>4501226797</v>
      </c>
      <c r="Z1066">
        <v>20200127</v>
      </c>
      <c r="AA1066">
        <f t="shared" si="17"/>
        <v>175.05</v>
      </c>
      <c r="AB1066">
        <f>AA1066*0.16</f>
        <v>28.008000000000003</v>
      </c>
      <c r="AC1066">
        <f>AA1066+AB1066</f>
        <v>203.05800000000002</v>
      </c>
      <c r="AD1066">
        <v>200127172</v>
      </c>
      <c r="AE1066" t="s">
        <v>134</v>
      </c>
      <c r="AF1066" s="4">
        <f>AC1066</f>
        <v>203.05800000000002</v>
      </c>
      <c r="AG1066" t="s">
        <v>1146</v>
      </c>
      <c r="AH1066" t="s">
        <v>1123</v>
      </c>
      <c r="AI1066">
        <v>200130320</v>
      </c>
      <c r="AJ1066" t="s">
        <v>1148</v>
      </c>
      <c r="AK1066" t="s">
        <v>1129</v>
      </c>
      <c r="AL1066">
        <v>340255290</v>
      </c>
      <c r="AM1066" t="s">
        <v>135</v>
      </c>
    </row>
    <row r="1067" spans="1:39" x14ac:dyDescent="0.35">
      <c r="A1067">
        <v>3402</v>
      </c>
      <c r="B1067" t="s">
        <v>61</v>
      </c>
      <c r="C1067">
        <v>2020</v>
      </c>
      <c r="D1067" s="1">
        <v>43831</v>
      </c>
      <c r="E1067">
        <v>3</v>
      </c>
      <c r="F1067">
        <v>200086370</v>
      </c>
      <c r="G1067" t="s">
        <v>120</v>
      </c>
      <c r="H1067">
        <v>81</v>
      </c>
      <c r="I1067">
        <v>71104010</v>
      </c>
      <c r="J1067">
        <v>21021040</v>
      </c>
      <c r="K1067" t="s">
        <v>121</v>
      </c>
      <c r="L1067" s="4">
        <v>2730.06</v>
      </c>
      <c r="M1067" t="s">
        <v>31</v>
      </c>
      <c r="N1067" s="4">
        <v>2730.06</v>
      </c>
      <c r="O1067" t="s">
        <v>31</v>
      </c>
      <c r="R1067" t="s">
        <v>133</v>
      </c>
      <c r="S1067" t="s">
        <v>1131</v>
      </c>
      <c r="T1067">
        <v>107211</v>
      </c>
      <c r="U1067" t="s">
        <v>123</v>
      </c>
      <c r="X1067" t="s">
        <v>61</v>
      </c>
      <c r="Y1067" s="8">
        <v>4501226797</v>
      </c>
      <c r="Z1067">
        <v>20200127</v>
      </c>
      <c r="AA1067">
        <f t="shared" si="17"/>
        <v>2730.06</v>
      </c>
      <c r="AB1067">
        <f>AA1067*0.16</f>
        <v>436.80959999999999</v>
      </c>
      <c r="AC1067">
        <f>AA1067+AB1067</f>
        <v>3166.8696</v>
      </c>
      <c r="AD1067">
        <v>200127172</v>
      </c>
      <c r="AE1067" t="s">
        <v>136</v>
      </c>
      <c r="AF1067" s="4">
        <f>AC1067</f>
        <v>3166.8696</v>
      </c>
      <c r="AG1067" t="s">
        <v>1146</v>
      </c>
      <c r="AH1067" t="s">
        <v>1123</v>
      </c>
      <c r="AI1067">
        <v>200130320</v>
      </c>
      <c r="AJ1067" t="s">
        <v>1148</v>
      </c>
      <c r="AK1067" t="s">
        <v>1129</v>
      </c>
      <c r="AL1067">
        <v>340255290</v>
      </c>
      <c r="AM1067" t="s">
        <v>135</v>
      </c>
    </row>
    <row r="1068" spans="1:39" x14ac:dyDescent="0.35">
      <c r="A1068">
        <v>3402</v>
      </c>
      <c r="B1068" t="s">
        <v>61</v>
      </c>
      <c r="C1068">
        <v>2020</v>
      </c>
      <c r="D1068" s="1">
        <v>43831</v>
      </c>
      <c r="E1068">
        <v>1</v>
      </c>
      <c r="F1068">
        <v>200086373</v>
      </c>
      <c r="G1068" t="s">
        <v>120</v>
      </c>
      <c r="H1068">
        <v>81</v>
      </c>
      <c r="I1068">
        <v>71104010</v>
      </c>
      <c r="J1068">
        <v>21021040</v>
      </c>
      <c r="K1068" t="s">
        <v>121</v>
      </c>
      <c r="L1068" s="4">
        <v>0.05</v>
      </c>
      <c r="M1068" t="s">
        <v>31</v>
      </c>
      <c r="N1068" s="4">
        <v>0.05</v>
      </c>
      <c r="O1068" t="s">
        <v>31</v>
      </c>
      <c r="R1068" t="s">
        <v>137</v>
      </c>
      <c r="S1068" t="s">
        <v>1131</v>
      </c>
      <c r="T1068">
        <v>107211</v>
      </c>
      <c r="U1068" t="s">
        <v>123</v>
      </c>
      <c r="X1068" t="s">
        <v>61</v>
      </c>
      <c r="Y1068" s="8">
        <v>4501226813</v>
      </c>
      <c r="Z1068">
        <v>20200127</v>
      </c>
      <c r="AA1068">
        <f t="shared" si="17"/>
        <v>0.05</v>
      </c>
      <c r="AB1068">
        <f>AA1068*0.16</f>
        <v>8.0000000000000002E-3</v>
      </c>
      <c r="AC1068">
        <f>AA1068+AB1068</f>
        <v>5.8000000000000003E-2</v>
      </c>
      <c r="AD1068">
        <v>200211626</v>
      </c>
      <c r="AE1068" t="s">
        <v>138</v>
      </c>
      <c r="AF1068" s="4">
        <f>AC1068</f>
        <v>5.8000000000000003E-2</v>
      </c>
      <c r="AG1068" t="s">
        <v>1150</v>
      </c>
      <c r="AH1068" t="s">
        <v>1123</v>
      </c>
      <c r="AI1068">
        <v>200225788</v>
      </c>
      <c r="AJ1068" t="s">
        <v>1130</v>
      </c>
      <c r="AK1068" t="s">
        <v>1129</v>
      </c>
      <c r="AL1068">
        <v>340255290</v>
      </c>
      <c r="AM1068" t="s">
        <v>135</v>
      </c>
    </row>
    <row r="1069" spans="1:39" x14ac:dyDescent="0.35">
      <c r="A1069">
        <v>3402</v>
      </c>
      <c r="B1069" t="s">
        <v>61</v>
      </c>
      <c r="C1069">
        <v>2020</v>
      </c>
      <c r="D1069" s="1">
        <v>43831</v>
      </c>
      <c r="E1069">
        <v>3</v>
      </c>
      <c r="F1069">
        <v>200086373</v>
      </c>
      <c r="G1069" t="s">
        <v>120</v>
      </c>
      <c r="H1069">
        <v>81</v>
      </c>
      <c r="I1069">
        <v>71104010</v>
      </c>
      <c r="J1069">
        <v>21021040</v>
      </c>
      <c r="K1069" t="s">
        <v>121</v>
      </c>
      <c r="L1069" s="4">
        <v>0.05</v>
      </c>
      <c r="M1069" t="s">
        <v>31</v>
      </c>
      <c r="N1069" s="4">
        <v>0.05</v>
      </c>
      <c r="O1069" t="s">
        <v>31</v>
      </c>
      <c r="R1069" t="s">
        <v>137</v>
      </c>
      <c r="S1069" t="s">
        <v>1131</v>
      </c>
      <c r="T1069">
        <v>107211</v>
      </c>
      <c r="U1069" t="s">
        <v>123</v>
      </c>
      <c r="X1069" t="s">
        <v>61</v>
      </c>
      <c r="Y1069" s="8">
        <v>4501226813</v>
      </c>
      <c r="Z1069">
        <v>20200127</v>
      </c>
      <c r="AA1069">
        <f t="shared" si="17"/>
        <v>0.05</v>
      </c>
      <c r="AB1069">
        <f t="shared" ref="AB1069:AB1075" si="18">AA1069*0.16</f>
        <v>8.0000000000000002E-3</v>
      </c>
      <c r="AC1069">
        <f t="shared" ref="AC1069:AC1075" si="19">AA1069+AB1069</f>
        <v>5.8000000000000003E-2</v>
      </c>
      <c r="AD1069">
        <v>200211626</v>
      </c>
      <c r="AE1069" t="s">
        <v>139</v>
      </c>
      <c r="AF1069" s="4">
        <f t="shared" ref="AF1069:AF1075" si="20">AC1069</f>
        <v>5.8000000000000003E-2</v>
      </c>
      <c r="AG1069" t="s">
        <v>1150</v>
      </c>
      <c r="AH1069" t="s">
        <v>1123</v>
      </c>
      <c r="AI1069">
        <v>200225788</v>
      </c>
      <c r="AJ1069" t="s">
        <v>1130</v>
      </c>
      <c r="AK1069" t="s">
        <v>1129</v>
      </c>
      <c r="AL1069">
        <v>340255290</v>
      </c>
      <c r="AM1069" t="s">
        <v>135</v>
      </c>
    </row>
    <row r="1070" spans="1:39" x14ac:dyDescent="0.35">
      <c r="A1070">
        <v>3402</v>
      </c>
      <c r="B1070" t="s">
        <v>61</v>
      </c>
      <c r="C1070">
        <v>2020</v>
      </c>
      <c r="D1070" s="1">
        <v>43831</v>
      </c>
      <c r="E1070">
        <v>1</v>
      </c>
      <c r="F1070">
        <v>200086374</v>
      </c>
      <c r="G1070" t="s">
        <v>120</v>
      </c>
      <c r="H1070">
        <v>81</v>
      </c>
      <c r="I1070">
        <v>71104010</v>
      </c>
      <c r="J1070">
        <v>21021040</v>
      </c>
      <c r="K1070" t="s">
        <v>121</v>
      </c>
      <c r="L1070" s="4">
        <v>114</v>
      </c>
      <c r="M1070" t="s">
        <v>31</v>
      </c>
      <c r="N1070" s="4">
        <v>114</v>
      </c>
      <c r="O1070" t="s">
        <v>31</v>
      </c>
      <c r="R1070" t="s">
        <v>137</v>
      </c>
      <c r="S1070" t="s">
        <v>1131</v>
      </c>
      <c r="T1070">
        <v>107211</v>
      </c>
      <c r="U1070" t="s">
        <v>123</v>
      </c>
      <c r="X1070" t="s">
        <v>61</v>
      </c>
      <c r="Y1070" s="8">
        <v>4501226813</v>
      </c>
      <c r="Z1070">
        <v>20200127</v>
      </c>
      <c r="AA1070">
        <f t="shared" si="17"/>
        <v>114</v>
      </c>
      <c r="AB1070">
        <f t="shared" si="18"/>
        <v>18.240000000000002</v>
      </c>
      <c r="AC1070">
        <f t="shared" si="19"/>
        <v>132.24</v>
      </c>
      <c r="AD1070">
        <v>200211626</v>
      </c>
      <c r="AE1070" t="s">
        <v>140</v>
      </c>
      <c r="AF1070" s="4">
        <f t="shared" si="20"/>
        <v>132.24</v>
      </c>
      <c r="AG1070" t="s">
        <v>1150</v>
      </c>
      <c r="AH1070" t="s">
        <v>1123</v>
      </c>
      <c r="AI1070">
        <v>200225788</v>
      </c>
      <c r="AJ1070" t="s">
        <v>1130</v>
      </c>
      <c r="AK1070" t="s">
        <v>1129</v>
      </c>
      <c r="AL1070">
        <v>340255290</v>
      </c>
      <c r="AM1070" t="s">
        <v>135</v>
      </c>
    </row>
    <row r="1071" spans="1:39" x14ac:dyDescent="0.35">
      <c r="A1071">
        <v>3402</v>
      </c>
      <c r="B1071" t="s">
        <v>61</v>
      </c>
      <c r="C1071">
        <v>2020</v>
      </c>
      <c r="D1071" s="1">
        <v>43831</v>
      </c>
      <c r="E1071">
        <v>3</v>
      </c>
      <c r="F1071">
        <v>200086374</v>
      </c>
      <c r="G1071" t="s">
        <v>120</v>
      </c>
      <c r="H1071">
        <v>81</v>
      </c>
      <c r="I1071">
        <v>71104010</v>
      </c>
      <c r="J1071">
        <v>21021040</v>
      </c>
      <c r="K1071" t="s">
        <v>121</v>
      </c>
      <c r="L1071" s="4">
        <v>117.8</v>
      </c>
      <c r="M1071" t="s">
        <v>31</v>
      </c>
      <c r="N1071" s="4">
        <v>117.8</v>
      </c>
      <c r="O1071" t="s">
        <v>31</v>
      </c>
      <c r="R1071" t="s">
        <v>137</v>
      </c>
      <c r="S1071" t="s">
        <v>1131</v>
      </c>
      <c r="T1071">
        <v>107211</v>
      </c>
      <c r="U1071" t="s">
        <v>123</v>
      </c>
      <c r="X1071" t="s">
        <v>61</v>
      </c>
      <c r="Y1071" s="8">
        <v>4501226813</v>
      </c>
      <c r="Z1071">
        <v>20200127</v>
      </c>
      <c r="AA1071">
        <f t="shared" si="17"/>
        <v>117.8</v>
      </c>
      <c r="AB1071">
        <f t="shared" si="18"/>
        <v>18.847999999999999</v>
      </c>
      <c r="AC1071">
        <f t="shared" si="19"/>
        <v>136.648</v>
      </c>
      <c r="AD1071">
        <v>200211626</v>
      </c>
      <c r="AE1071" t="s">
        <v>141</v>
      </c>
      <c r="AF1071" s="4">
        <f t="shared" si="20"/>
        <v>136.648</v>
      </c>
      <c r="AG1071" t="s">
        <v>1150</v>
      </c>
      <c r="AH1071" t="s">
        <v>1123</v>
      </c>
      <c r="AI1071">
        <v>200225788</v>
      </c>
      <c r="AJ1071" t="s">
        <v>1130</v>
      </c>
      <c r="AK1071" t="s">
        <v>1129</v>
      </c>
      <c r="AL1071">
        <v>340255290</v>
      </c>
      <c r="AM1071" t="s">
        <v>135</v>
      </c>
    </row>
    <row r="1072" spans="1:39" x14ac:dyDescent="0.35">
      <c r="A1072">
        <v>3402</v>
      </c>
      <c r="B1072" t="s">
        <v>61</v>
      </c>
      <c r="C1072">
        <v>2020</v>
      </c>
      <c r="D1072" s="1">
        <v>43831</v>
      </c>
      <c r="E1072">
        <v>1</v>
      </c>
      <c r="F1072">
        <v>200086379</v>
      </c>
      <c r="G1072" t="s">
        <v>120</v>
      </c>
      <c r="H1072">
        <v>81</v>
      </c>
      <c r="I1072">
        <v>71104010</v>
      </c>
      <c r="J1072">
        <v>21021040</v>
      </c>
      <c r="K1072" t="s">
        <v>121</v>
      </c>
      <c r="L1072" s="4">
        <v>1112.03</v>
      </c>
      <c r="M1072" t="s">
        <v>31</v>
      </c>
      <c r="N1072" s="4">
        <v>1112.03</v>
      </c>
      <c r="O1072" t="s">
        <v>31</v>
      </c>
      <c r="R1072" t="s">
        <v>133</v>
      </c>
      <c r="S1072" t="s">
        <v>1131</v>
      </c>
      <c r="T1072">
        <v>107211</v>
      </c>
      <c r="U1072" t="s">
        <v>123</v>
      </c>
      <c r="X1072" t="s">
        <v>61</v>
      </c>
      <c r="Y1072" s="8">
        <v>4501226797</v>
      </c>
      <c r="Z1072">
        <v>20200127</v>
      </c>
      <c r="AA1072">
        <f t="shared" si="17"/>
        <v>1112.03</v>
      </c>
      <c r="AB1072">
        <f t="shared" si="18"/>
        <v>177.9248</v>
      </c>
      <c r="AC1072">
        <f t="shared" si="19"/>
        <v>1289.9548</v>
      </c>
      <c r="AD1072">
        <v>200127172</v>
      </c>
      <c r="AE1072" t="s">
        <v>142</v>
      </c>
      <c r="AF1072" s="4">
        <f t="shared" si="20"/>
        <v>1289.9548</v>
      </c>
      <c r="AG1072" t="s">
        <v>1146</v>
      </c>
      <c r="AH1072" t="s">
        <v>1123</v>
      </c>
      <c r="AI1072">
        <v>200130320</v>
      </c>
      <c r="AJ1072" t="s">
        <v>1148</v>
      </c>
      <c r="AK1072" t="s">
        <v>1129</v>
      </c>
      <c r="AL1072">
        <v>340255290</v>
      </c>
      <c r="AM1072" t="s">
        <v>135</v>
      </c>
    </row>
    <row r="1073" spans="1:39" x14ac:dyDescent="0.35">
      <c r="A1073">
        <v>3402</v>
      </c>
      <c r="B1073" t="s">
        <v>61</v>
      </c>
      <c r="C1073">
        <v>2020</v>
      </c>
      <c r="D1073" s="1">
        <v>43831</v>
      </c>
      <c r="E1073">
        <v>1</v>
      </c>
      <c r="F1073">
        <v>200086381</v>
      </c>
      <c r="G1073" t="s">
        <v>120</v>
      </c>
      <c r="H1073">
        <v>81</v>
      </c>
      <c r="I1073">
        <v>71104010</v>
      </c>
      <c r="J1073">
        <v>21021040</v>
      </c>
      <c r="K1073" t="s">
        <v>121</v>
      </c>
      <c r="L1073" s="4">
        <v>624.05999999999995</v>
      </c>
      <c r="M1073" t="s">
        <v>31</v>
      </c>
      <c r="N1073" s="4">
        <v>624.05999999999995</v>
      </c>
      <c r="O1073" t="s">
        <v>31</v>
      </c>
      <c r="R1073" t="s">
        <v>133</v>
      </c>
      <c r="S1073" t="s">
        <v>1131</v>
      </c>
      <c r="T1073">
        <v>107211</v>
      </c>
      <c r="U1073" t="s">
        <v>123</v>
      </c>
      <c r="X1073" t="s">
        <v>61</v>
      </c>
      <c r="Y1073" s="8">
        <v>4501226797</v>
      </c>
      <c r="Z1073">
        <v>20200127</v>
      </c>
      <c r="AA1073">
        <f t="shared" si="17"/>
        <v>624.05999999999995</v>
      </c>
      <c r="AB1073">
        <f t="shared" si="18"/>
        <v>99.849599999999995</v>
      </c>
      <c r="AC1073">
        <f t="shared" si="19"/>
        <v>723.90959999999995</v>
      </c>
      <c r="AD1073">
        <v>200127172</v>
      </c>
      <c r="AE1073" t="s">
        <v>143</v>
      </c>
      <c r="AF1073" s="4">
        <f t="shared" si="20"/>
        <v>723.90959999999995</v>
      </c>
      <c r="AG1073" t="s">
        <v>1146</v>
      </c>
      <c r="AH1073" t="s">
        <v>1123</v>
      </c>
      <c r="AI1073">
        <v>200130320</v>
      </c>
      <c r="AJ1073" t="s">
        <v>1148</v>
      </c>
      <c r="AK1073" t="s">
        <v>1129</v>
      </c>
      <c r="AL1073">
        <v>340255290</v>
      </c>
      <c r="AM1073" t="s">
        <v>135</v>
      </c>
    </row>
    <row r="1074" spans="1:39" x14ac:dyDescent="0.35">
      <c r="A1074">
        <v>3402</v>
      </c>
      <c r="B1074" t="s">
        <v>61</v>
      </c>
      <c r="C1074">
        <v>2020</v>
      </c>
      <c r="D1074" s="1">
        <v>43831</v>
      </c>
      <c r="E1074">
        <v>1</v>
      </c>
      <c r="F1074">
        <v>200086384</v>
      </c>
      <c r="G1074" t="s">
        <v>120</v>
      </c>
      <c r="H1074">
        <v>81</v>
      </c>
      <c r="I1074">
        <v>71104010</v>
      </c>
      <c r="J1074">
        <v>21021040</v>
      </c>
      <c r="K1074" t="s">
        <v>121</v>
      </c>
      <c r="L1074" s="4">
        <v>0.04</v>
      </c>
      <c r="M1074" t="s">
        <v>31</v>
      </c>
      <c r="N1074" s="4">
        <v>0.04</v>
      </c>
      <c r="O1074" t="s">
        <v>31</v>
      </c>
      <c r="R1074" t="s">
        <v>133</v>
      </c>
      <c r="S1074" t="s">
        <v>1131</v>
      </c>
      <c r="T1074">
        <v>107211</v>
      </c>
      <c r="U1074" t="s">
        <v>123</v>
      </c>
      <c r="X1074" t="s">
        <v>61</v>
      </c>
      <c r="Y1074" s="8">
        <v>4501226797</v>
      </c>
      <c r="Z1074">
        <v>20200127</v>
      </c>
      <c r="AA1074">
        <f t="shared" si="17"/>
        <v>0.04</v>
      </c>
      <c r="AB1074">
        <f t="shared" si="18"/>
        <v>6.4000000000000003E-3</v>
      </c>
      <c r="AC1074">
        <f t="shared" si="19"/>
        <v>4.6400000000000004E-2</v>
      </c>
      <c r="AD1074">
        <v>200127172</v>
      </c>
      <c r="AE1074" t="s">
        <v>144</v>
      </c>
      <c r="AF1074" s="4">
        <f t="shared" si="20"/>
        <v>4.6400000000000004E-2</v>
      </c>
      <c r="AG1074" t="s">
        <v>1146</v>
      </c>
      <c r="AH1074" t="s">
        <v>1123</v>
      </c>
      <c r="AI1074">
        <v>200130320</v>
      </c>
      <c r="AJ1074" t="s">
        <v>1148</v>
      </c>
      <c r="AK1074" t="s">
        <v>1129</v>
      </c>
      <c r="AL1074">
        <v>340255290</v>
      </c>
      <c r="AM1074" t="s">
        <v>135</v>
      </c>
    </row>
    <row r="1075" spans="1:39" x14ac:dyDescent="0.35">
      <c r="A1075">
        <v>3402</v>
      </c>
      <c r="B1075" t="s">
        <v>61</v>
      </c>
      <c r="C1075">
        <v>2020</v>
      </c>
      <c r="D1075" s="1">
        <v>43831</v>
      </c>
      <c r="E1075">
        <v>3</v>
      </c>
      <c r="F1075">
        <v>200086384</v>
      </c>
      <c r="G1075" t="s">
        <v>120</v>
      </c>
      <c r="H1075">
        <v>81</v>
      </c>
      <c r="I1075">
        <v>71104010</v>
      </c>
      <c r="J1075">
        <v>21021040</v>
      </c>
      <c r="K1075" t="s">
        <v>121</v>
      </c>
      <c r="L1075" s="4">
        <v>304</v>
      </c>
      <c r="M1075" t="s">
        <v>31</v>
      </c>
      <c r="N1075" s="4">
        <v>304</v>
      </c>
      <c r="O1075" t="s">
        <v>31</v>
      </c>
      <c r="R1075" t="s">
        <v>133</v>
      </c>
      <c r="S1075" t="s">
        <v>1131</v>
      </c>
      <c r="T1075">
        <v>107211</v>
      </c>
      <c r="U1075" t="s">
        <v>123</v>
      </c>
      <c r="X1075" t="s">
        <v>61</v>
      </c>
      <c r="Y1075" s="8">
        <v>4501226797</v>
      </c>
      <c r="Z1075">
        <v>20200127</v>
      </c>
      <c r="AA1075">
        <f t="shared" si="17"/>
        <v>304</v>
      </c>
      <c r="AB1075">
        <f t="shared" si="18"/>
        <v>48.64</v>
      </c>
      <c r="AC1075">
        <f t="shared" si="19"/>
        <v>352.64</v>
      </c>
      <c r="AD1075">
        <v>200127172</v>
      </c>
      <c r="AE1075" t="s">
        <v>145</v>
      </c>
      <c r="AF1075" s="4">
        <f t="shared" si="20"/>
        <v>352.64</v>
      </c>
      <c r="AG1075" t="s">
        <v>1146</v>
      </c>
      <c r="AH1075" t="s">
        <v>1123</v>
      </c>
      <c r="AI1075">
        <v>200130320</v>
      </c>
      <c r="AJ1075" t="s">
        <v>1148</v>
      </c>
      <c r="AK1075" t="s">
        <v>1129</v>
      </c>
      <c r="AL1075">
        <v>340255290</v>
      </c>
      <c r="AM1075" t="s">
        <v>135</v>
      </c>
    </row>
    <row r="1076" spans="1:39" x14ac:dyDescent="0.35">
      <c r="A1076">
        <v>3401</v>
      </c>
      <c r="B1076" t="s">
        <v>61</v>
      </c>
      <c r="C1076">
        <v>2020</v>
      </c>
      <c r="D1076" s="1">
        <v>43831</v>
      </c>
      <c r="E1076">
        <v>1</v>
      </c>
      <c r="F1076">
        <v>100026935</v>
      </c>
      <c r="G1076" t="s">
        <v>120</v>
      </c>
      <c r="H1076">
        <v>81</v>
      </c>
      <c r="I1076">
        <v>71106040</v>
      </c>
      <c r="J1076">
        <v>21021040</v>
      </c>
      <c r="K1076" t="s">
        <v>125</v>
      </c>
      <c r="L1076" s="4">
        <v>5730.55</v>
      </c>
      <c r="M1076" t="s">
        <v>54</v>
      </c>
      <c r="N1076" s="4">
        <v>107744.65</v>
      </c>
      <c r="O1076" t="s">
        <v>31</v>
      </c>
      <c r="R1076" t="s">
        <v>1121</v>
      </c>
      <c r="S1076">
        <v>752738581</v>
      </c>
      <c r="T1076">
        <v>602358</v>
      </c>
      <c r="U1076" t="s">
        <v>130</v>
      </c>
      <c r="X1076" t="s">
        <v>61</v>
      </c>
      <c r="Y1076" s="8">
        <v>2273653</v>
      </c>
      <c r="Z1076">
        <v>20200127</v>
      </c>
      <c r="AA1076">
        <f t="shared" si="17"/>
        <v>5730.55</v>
      </c>
      <c r="AB1076">
        <v>0</v>
      </c>
      <c r="AC1076">
        <f>AA1076</f>
        <v>5730.55</v>
      </c>
      <c r="AD1076">
        <v>100027985</v>
      </c>
      <c r="AE1076" t="s">
        <v>146</v>
      </c>
      <c r="AF1076" s="4">
        <f>AC1076</f>
        <v>5730.55</v>
      </c>
      <c r="AG1076" t="s">
        <v>1146</v>
      </c>
      <c r="AH1076" t="s">
        <v>1123</v>
      </c>
      <c r="AI1076">
        <v>100040908</v>
      </c>
      <c r="AJ1076" t="s">
        <v>1125</v>
      </c>
      <c r="AK1076" t="s">
        <v>1124</v>
      </c>
      <c r="AL1076">
        <v>340121790</v>
      </c>
      <c r="AM1076" t="s">
        <v>129</v>
      </c>
    </row>
    <row r="1077" spans="1:39" x14ac:dyDescent="0.35">
      <c r="A1077">
        <v>3406</v>
      </c>
      <c r="B1077" t="s">
        <v>61</v>
      </c>
      <c r="C1077">
        <v>2020</v>
      </c>
      <c r="D1077" s="1">
        <v>43831</v>
      </c>
      <c r="E1077">
        <v>1</v>
      </c>
      <c r="F1077">
        <v>600025898</v>
      </c>
      <c r="G1077" t="s">
        <v>120</v>
      </c>
      <c r="H1077">
        <v>81</v>
      </c>
      <c r="I1077">
        <v>71104010</v>
      </c>
      <c r="J1077">
        <v>21021040</v>
      </c>
      <c r="K1077" t="s">
        <v>121</v>
      </c>
      <c r="L1077" s="4">
        <v>94815</v>
      </c>
      <c r="M1077" t="s">
        <v>31</v>
      </c>
      <c r="N1077" s="4">
        <v>94815</v>
      </c>
      <c r="O1077" t="s">
        <v>31</v>
      </c>
      <c r="R1077" t="s">
        <v>147</v>
      </c>
      <c r="S1077" t="s">
        <v>1131</v>
      </c>
      <c r="T1077">
        <v>107211</v>
      </c>
      <c r="U1077" t="s">
        <v>123</v>
      </c>
      <c r="X1077" t="s">
        <v>61</v>
      </c>
      <c r="Y1077" s="8">
        <v>4501226446</v>
      </c>
      <c r="Z1077">
        <v>20200127</v>
      </c>
      <c r="AA1077">
        <f t="shared" si="17"/>
        <v>94815</v>
      </c>
      <c r="AB1077">
        <f>AA1077</f>
        <v>94815</v>
      </c>
      <c r="AC1077">
        <f>AA1077+AB1077</f>
        <v>189630</v>
      </c>
      <c r="AD1077">
        <v>600035567</v>
      </c>
      <c r="AE1077" t="s">
        <v>148</v>
      </c>
      <c r="AF1077" s="4">
        <f>AC1077</f>
        <v>189630</v>
      </c>
      <c r="AG1077" t="s">
        <v>51</v>
      </c>
      <c r="AH1077" t="s">
        <v>1123</v>
      </c>
      <c r="AI1077">
        <v>600035588</v>
      </c>
      <c r="AJ1077" t="s">
        <v>1148</v>
      </c>
      <c r="AK1077" t="s">
        <v>1129</v>
      </c>
      <c r="AL1077">
        <v>340618590</v>
      </c>
      <c r="AM1077" t="s">
        <v>149</v>
      </c>
    </row>
    <row r="1078" spans="1:39" x14ac:dyDescent="0.35">
      <c r="A1078">
        <v>3406</v>
      </c>
      <c r="B1078" t="s">
        <v>61</v>
      </c>
      <c r="C1078">
        <v>2020</v>
      </c>
      <c r="D1078" s="1">
        <v>43831</v>
      </c>
      <c r="E1078">
        <v>1</v>
      </c>
      <c r="F1078">
        <v>600025899</v>
      </c>
      <c r="G1078" t="s">
        <v>120</v>
      </c>
      <c r="H1078">
        <v>81</v>
      </c>
      <c r="I1078">
        <v>71104010</v>
      </c>
      <c r="J1078">
        <v>21021040</v>
      </c>
      <c r="K1078" t="s">
        <v>121</v>
      </c>
      <c r="L1078" s="4">
        <v>97975.5</v>
      </c>
      <c r="M1078" t="s">
        <v>31</v>
      </c>
      <c r="N1078" s="4">
        <v>97975.5</v>
      </c>
      <c r="O1078" t="s">
        <v>31</v>
      </c>
      <c r="R1078" t="s">
        <v>147</v>
      </c>
      <c r="S1078" t="s">
        <v>1131</v>
      </c>
      <c r="T1078">
        <v>107211</v>
      </c>
      <c r="U1078" t="s">
        <v>123</v>
      </c>
      <c r="X1078" t="s">
        <v>61</v>
      </c>
      <c r="Y1078" s="8">
        <v>4501226446</v>
      </c>
      <c r="Z1078">
        <v>20200127</v>
      </c>
      <c r="AA1078">
        <f t="shared" si="17"/>
        <v>97975.5</v>
      </c>
      <c r="AB1078">
        <f t="shared" ref="AB1078:AB1103" si="21">AA1078</f>
        <v>97975.5</v>
      </c>
      <c r="AC1078">
        <f t="shared" ref="AC1078:AC1103" si="22">AA1078+AB1078</f>
        <v>195951</v>
      </c>
      <c r="AD1078">
        <v>600035567</v>
      </c>
      <c r="AE1078" t="s">
        <v>150</v>
      </c>
      <c r="AF1078" s="4">
        <f t="shared" ref="AF1078:AF1103" si="23">AC1078</f>
        <v>195951</v>
      </c>
      <c r="AG1078" t="s">
        <v>51</v>
      </c>
      <c r="AH1078" t="s">
        <v>1123</v>
      </c>
      <c r="AI1078">
        <v>600035588</v>
      </c>
      <c r="AJ1078" t="s">
        <v>1148</v>
      </c>
      <c r="AK1078" t="s">
        <v>1129</v>
      </c>
      <c r="AL1078">
        <v>340618590</v>
      </c>
      <c r="AM1078" t="s">
        <v>149</v>
      </c>
    </row>
    <row r="1079" spans="1:39" x14ac:dyDescent="0.35">
      <c r="A1079">
        <v>3406</v>
      </c>
      <c r="B1079" t="s">
        <v>61</v>
      </c>
      <c r="C1079">
        <v>2020</v>
      </c>
      <c r="D1079" s="1">
        <v>43831</v>
      </c>
      <c r="E1079">
        <v>1</v>
      </c>
      <c r="F1079">
        <v>600025901</v>
      </c>
      <c r="G1079" t="s">
        <v>120</v>
      </c>
      <c r="H1079">
        <v>81</v>
      </c>
      <c r="I1079">
        <v>71104010</v>
      </c>
      <c r="J1079">
        <v>21021040</v>
      </c>
      <c r="K1079" t="s">
        <v>121</v>
      </c>
      <c r="L1079" s="4">
        <v>101587.5</v>
      </c>
      <c r="M1079" t="s">
        <v>31</v>
      </c>
      <c r="N1079" s="4">
        <v>101587.5</v>
      </c>
      <c r="O1079" t="s">
        <v>31</v>
      </c>
      <c r="R1079" t="s">
        <v>147</v>
      </c>
      <c r="S1079" t="s">
        <v>1131</v>
      </c>
      <c r="T1079">
        <v>107211</v>
      </c>
      <c r="U1079" t="s">
        <v>123</v>
      </c>
      <c r="X1079" t="s">
        <v>61</v>
      </c>
      <c r="Y1079" s="8">
        <v>4501226446</v>
      </c>
      <c r="Z1079">
        <v>20200127</v>
      </c>
      <c r="AA1079">
        <f t="shared" si="17"/>
        <v>101587.5</v>
      </c>
      <c r="AB1079">
        <f t="shared" si="21"/>
        <v>101587.5</v>
      </c>
      <c r="AC1079">
        <f t="shared" si="22"/>
        <v>203175</v>
      </c>
      <c r="AD1079">
        <v>600035567</v>
      </c>
      <c r="AE1079" t="s">
        <v>151</v>
      </c>
      <c r="AF1079" s="4">
        <f t="shared" si="23"/>
        <v>203175</v>
      </c>
      <c r="AG1079" t="s">
        <v>51</v>
      </c>
      <c r="AH1079" t="s">
        <v>1123</v>
      </c>
      <c r="AI1079">
        <v>600035588</v>
      </c>
      <c r="AJ1079" t="s">
        <v>1148</v>
      </c>
      <c r="AK1079" t="s">
        <v>1129</v>
      </c>
      <c r="AL1079">
        <v>340618590</v>
      </c>
      <c r="AM1079" t="s">
        <v>149</v>
      </c>
    </row>
    <row r="1080" spans="1:39" x14ac:dyDescent="0.35">
      <c r="A1080">
        <v>3406</v>
      </c>
      <c r="B1080" t="s">
        <v>61</v>
      </c>
      <c r="C1080">
        <v>2020</v>
      </c>
      <c r="D1080" s="1">
        <v>43831</v>
      </c>
      <c r="E1080">
        <v>1</v>
      </c>
      <c r="F1080">
        <v>600025902</v>
      </c>
      <c r="G1080" t="s">
        <v>120</v>
      </c>
      <c r="H1080">
        <v>81</v>
      </c>
      <c r="I1080">
        <v>71104010</v>
      </c>
      <c r="J1080">
        <v>21021040</v>
      </c>
      <c r="K1080" t="s">
        <v>121</v>
      </c>
      <c r="L1080" s="4">
        <v>96169.5</v>
      </c>
      <c r="M1080" t="s">
        <v>31</v>
      </c>
      <c r="N1080" s="4">
        <v>96169.5</v>
      </c>
      <c r="O1080" t="s">
        <v>31</v>
      </c>
      <c r="R1080" t="s">
        <v>147</v>
      </c>
      <c r="S1080" t="s">
        <v>1131</v>
      </c>
      <c r="T1080">
        <v>107211</v>
      </c>
      <c r="U1080" t="s">
        <v>123</v>
      </c>
      <c r="X1080" t="s">
        <v>61</v>
      </c>
      <c r="Y1080" s="8">
        <v>4501226446</v>
      </c>
      <c r="Z1080">
        <v>20200127</v>
      </c>
      <c r="AA1080">
        <f t="shared" si="17"/>
        <v>96169.5</v>
      </c>
      <c r="AB1080">
        <f t="shared" si="21"/>
        <v>96169.5</v>
      </c>
      <c r="AC1080">
        <f t="shared" si="22"/>
        <v>192339</v>
      </c>
      <c r="AD1080">
        <v>600035567</v>
      </c>
      <c r="AE1080" t="s">
        <v>152</v>
      </c>
      <c r="AF1080" s="4">
        <f t="shared" si="23"/>
        <v>192339</v>
      </c>
      <c r="AG1080" t="s">
        <v>51</v>
      </c>
      <c r="AH1080" t="s">
        <v>1123</v>
      </c>
      <c r="AI1080">
        <v>600035588</v>
      </c>
      <c r="AJ1080" t="s">
        <v>1148</v>
      </c>
      <c r="AK1080" t="s">
        <v>1129</v>
      </c>
      <c r="AL1080">
        <v>340618590</v>
      </c>
      <c r="AM1080" t="s">
        <v>149</v>
      </c>
    </row>
    <row r="1081" spans="1:39" x14ac:dyDescent="0.35">
      <c r="A1081">
        <v>3406</v>
      </c>
      <c r="B1081" t="s">
        <v>61</v>
      </c>
      <c r="C1081">
        <v>2020</v>
      </c>
      <c r="D1081" s="1">
        <v>43831</v>
      </c>
      <c r="E1081">
        <v>1</v>
      </c>
      <c r="F1081">
        <v>600025903</v>
      </c>
      <c r="G1081" t="s">
        <v>120</v>
      </c>
      <c r="H1081">
        <v>81</v>
      </c>
      <c r="I1081">
        <v>71104010</v>
      </c>
      <c r="J1081">
        <v>21021040</v>
      </c>
      <c r="K1081" t="s">
        <v>121</v>
      </c>
      <c r="L1081" s="4">
        <v>86688</v>
      </c>
      <c r="M1081" t="s">
        <v>31</v>
      </c>
      <c r="N1081" s="4">
        <v>86688</v>
      </c>
      <c r="O1081" t="s">
        <v>31</v>
      </c>
      <c r="R1081" t="s">
        <v>147</v>
      </c>
      <c r="S1081" t="s">
        <v>1131</v>
      </c>
      <c r="T1081">
        <v>107211</v>
      </c>
      <c r="U1081" t="s">
        <v>123</v>
      </c>
      <c r="X1081" t="s">
        <v>61</v>
      </c>
      <c r="Y1081" s="8">
        <v>4501226446</v>
      </c>
      <c r="Z1081">
        <v>20200127</v>
      </c>
      <c r="AA1081">
        <f t="shared" si="17"/>
        <v>86688</v>
      </c>
      <c r="AB1081">
        <f t="shared" si="21"/>
        <v>86688</v>
      </c>
      <c r="AC1081">
        <f t="shared" si="22"/>
        <v>173376</v>
      </c>
      <c r="AD1081">
        <v>600035567</v>
      </c>
      <c r="AE1081" t="s">
        <v>153</v>
      </c>
      <c r="AF1081" s="4">
        <f t="shared" si="23"/>
        <v>173376</v>
      </c>
      <c r="AG1081" t="s">
        <v>51</v>
      </c>
      <c r="AH1081" t="s">
        <v>1123</v>
      </c>
      <c r="AI1081">
        <v>600035588</v>
      </c>
      <c r="AJ1081" t="s">
        <v>1148</v>
      </c>
      <c r="AK1081" t="s">
        <v>1129</v>
      </c>
      <c r="AL1081">
        <v>340618590</v>
      </c>
      <c r="AM1081" t="s">
        <v>149</v>
      </c>
    </row>
    <row r="1082" spans="1:39" x14ac:dyDescent="0.35">
      <c r="A1082">
        <v>3406</v>
      </c>
      <c r="B1082" t="s">
        <v>61</v>
      </c>
      <c r="C1082">
        <v>2020</v>
      </c>
      <c r="D1082" s="1">
        <v>43831</v>
      </c>
      <c r="E1082">
        <v>1</v>
      </c>
      <c r="F1082">
        <v>600025904</v>
      </c>
      <c r="G1082" t="s">
        <v>120</v>
      </c>
      <c r="H1082">
        <v>81</v>
      </c>
      <c r="I1082">
        <v>71104010</v>
      </c>
      <c r="J1082">
        <v>21021040</v>
      </c>
      <c r="K1082" t="s">
        <v>121</v>
      </c>
      <c r="L1082" s="4">
        <v>81270</v>
      </c>
      <c r="M1082" t="s">
        <v>31</v>
      </c>
      <c r="N1082" s="4">
        <v>81270</v>
      </c>
      <c r="O1082" t="s">
        <v>31</v>
      </c>
      <c r="R1082" t="s">
        <v>147</v>
      </c>
      <c r="S1082" t="s">
        <v>1131</v>
      </c>
      <c r="T1082">
        <v>107211</v>
      </c>
      <c r="U1082" t="s">
        <v>123</v>
      </c>
      <c r="X1082" t="s">
        <v>61</v>
      </c>
      <c r="Y1082" s="8">
        <v>4501226446</v>
      </c>
      <c r="Z1082">
        <v>20200127</v>
      </c>
      <c r="AA1082">
        <f t="shared" si="17"/>
        <v>81270</v>
      </c>
      <c r="AB1082">
        <f t="shared" si="21"/>
        <v>81270</v>
      </c>
      <c r="AC1082">
        <f t="shared" si="22"/>
        <v>162540</v>
      </c>
      <c r="AD1082">
        <v>600035567</v>
      </c>
      <c r="AE1082" t="s">
        <v>154</v>
      </c>
      <c r="AF1082" s="4">
        <f t="shared" si="23"/>
        <v>162540</v>
      </c>
      <c r="AG1082" t="s">
        <v>51</v>
      </c>
      <c r="AH1082" t="s">
        <v>1123</v>
      </c>
      <c r="AI1082">
        <v>600035588</v>
      </c>
      <c r="AJ1082" t="s">
        <v>1148</v>
      </c>
      <c r="AK1082" t="s">
        <v>1129</v>
      </c>
      <c r="AL1082">
        <v>340618590</v>
      </c>
      <c r="AM1082" t="s">
        <v>149</v>
      </c>
    </row>
    <row r="1083" spans="1:39" x14ac:dyDescent="0.35">
      <c r="A1083">
        <v>3406</v>
      </c>
      <c r="B1083" t="s">
        <v>61</v>
      </c>
      <c r="C1083">
        <v>2020</v>
      </c>
      <c r="D1083" s="1">
        <v>43831</v>
      </c>
      <c r="E1083">
        <v>1</v>
      </c>
      <c r="F1083">
        <v>600025905</v>
      </c>
      <c r="G1083" t="s">
        <v>120</v>
      </c>
      <c r="H1083">
        <v>81</v>
      </c>
      <c r="I1083">
        <v>71104010</v>
      </c>
      <c r="J1083">
        <v>21021040</v>
      </c>
      <c r="K1083" t="s">
        <v>121</v>
      </c>
      <c r="L1083" s="4">
        <v>80367</v>
      </c>
      <c r="M1083" t="s">
        <v>31</v>
      </c>
      <c r="N1083" s="4">
        <v>80367</v>
      </c>
      <c r="O1083" t="s">
        <v>31</v>
      </c>
      <c r="R1083" t="s">
        <v>147</v>
      </c>
      <c r="S1083" t="s">
        <v>1131</v>
      </c>
      <c r="T1083">
        <v>107211</v>
      </c>
      <c r="U1083" t="s">
        <v>123</v>
      </c>
      <c r="X1083" t="s">
        <v>61</v>
      </c>
      <c r="Y1083" s="8">
        <v>4501226446</v>
      </c>
      <c r="Z1083">
        <v>20200127</v>
      </c>
      <c r="AA1083">
        <f t="shared" si="17"/>
        <v>80367</v>
      </c>
      <c r="AB1083">
        <f t="shared" si="21"/>
        <v>80367</v>
      </c>
      <c r="AC1083">
        <f t="shared" si="22"/>
        <v>160734</v>
      </c>
      <c r="AD1083">
        <v>600035567</v>
      </c>
      <c r="AE1083" t="s">
        <v>155</v>
      </c>
      <c r="AF1083" s="4">
        <f t="shared" si="23"/>
        <v>160734</v>
      </c>
      <c r="AG1083" t="s">
        <v>51</v>
      </c>
      <c r="AH1083" t="s">
        <v>1123</v>
      </c>
      <c r="AI1083">
        <v>600035588</v>
      </c>
      <c r="AJ1083" t="s">
        <v>1148</v>
      </c>
      <c r="AK1083" t="s">
        <v>1129</v>
      </c>
      <c r="AL1083">
        <v>340618590</v>
      </c>
      <c r="AM1083" t="s">
        <v>149</v>
      </c>
    </row>
    <row r="1084" spans="1:39" x14ac:dyDescent="0.35">
      <c r="A1084">
        <v>3406</v>
      </c>
      <c r="B1084" t="s">
        <v>61</v>
      </c>
      <c r="C1084">
        <v>2020</v>
      </c>
      <c r="D1084" s="1">
        <v>43831</v>
      </c>
      <c r="E1084">
        <v>1</v>
      </c>
      <c r="F1084">
        <v>600025906</v>
      </c>
      <c r="G1084" t="s">
        <v>120</v>
      </c>
      <c r="H1084">
        <v>81</v>
      </c>
      <c r="I1084">
        <v>71104010</v>
      </c>
      <c r="J1084">
        <v>21021040</v>
      </c>
      <c r="K1084" t="s">
        <v>121</v>
      </c>
      <c r="L1084" s="4">
        <v>80818.5</v>
      </c>
      <c r="M1084" t="s">
        <v>31</v>
      </c>
      <c r="N1084" s="4">
        <v>80818.5</v>
      </c>
      <c r="O1084" t="s">
        <v>31</v>
      </c>
      <c r="R1084" t="s">
        <v>147</v>
      </c>
      <c r="S1084" t="s">
        <v>1131</v>
      </c>
      <c r="T1084">
        <v>107211</v>
      </c>
      <c r="U1084" t="s">
        <v>123</v>
      </c>
      <c r="X1084" t="s">
        <v>61</v>
      </c>
      <c r="Y1084" s="8">
        <v>4501226446</v>
      </c>
      <c r="Z1084">
        <v>20200127</v>
      </c>
      <c r="AA1084">
        <f t="shared" si="17"/>
        <v>80818.5</v>
      </c>
      <c r="AB1084">
        <f t="shared" si="21"/>
        <v>80818.5</v>
      </c>
      <c r="AC1084">
        <f t="shared" si="22"/>
        <v>161637</v>
      </c>
      <c r="AD1084">
        <v>600035567</v>
      </c>
      <c r="AE1084" t="s">
        <v>156</v>
      </c>
      <c r="AF1084" s="4">
        <f t="shared" si="23"/>
        <v>161637</v>
      </c>
      <c r="AG1084" t="s">
        <v>51</v>
      </c>
      <c r="AH1084" t="s">
        <v>1123</v>
      </c>
      <c r="AI1084">
        <v>600035588</v>
      </c>
      <c r="AJ1084" t="s">
        <v>1148</v>
      </c>
      <c r="AK1084" t="s">
        <v>1129</v>
      </c>
      <c r="AL1084">
        <v>340618590</v>
      </c>
      <c r="AM1084" t="s">
        <v>149</v>
      </c>
    </row>
    <row r="1085" spans="1:39" x14ac:dyDescent="0.35">
      <c r="A1085">
        <v>3406</v>
      </c>
      <c r="B1085" t="s">
        <v>61</v>
      </c>
      <c r="C1085">
        <v>2020</v>
      </c>
      <c r="D1085" s="1">
        <v>43831</v>
      </c>
      <c r="E1085">
        <v>1</v>
      </c>
      <c r="F1085">
        <v>600025907</v>
      </c>
      <c r="G1085" t="s">
        <v>120</v>
      </c>
      <c r="H1085">
        <v>81</v>
      </c>
      <c r="I1085">
        <v>71104010</v>
      </c>
      <c r="J1085">
        <v>21021040</v>
      </c>
      <c r="K1085" t="s">
        <v>121</v>
      </c>
      <c r="L1085" s="4">
        <v>86688</v>
      </c>
      <c r="M1085" t="s">
        <v>31</v>
      </c>
      <c r="N1085" s="4">
        <v>86688</v>
      </c>
      <c r="O1085" t="s">
        <v>31</v>
      </c>
      <c r="R1085" t="s">
        <v>147</v>
      </c>
      <c r="S1085" t="s">
        <v>1131</v>
      </c>
      <c r="T1085">
        <v>107211</v>
      </c>
      <c r="U1085" t="s">
        <v>123</v>
      </c>
      <c r="X1085" t="s">
        <v>61</v>
      </c>
      <c r="Y1085" s="8">
        <v>4501226446</v>
      </c>
      <c r="Z1085">
        <v>20200127</v>
      </c>
      <c r="AA1085">
        <f t="shared" si="17"/>
        <v>86688</v>
      </c>
      <c r="AB1085">
        <f t="shared" si="21"/>
        <v>86688</v>
      </c>
      <c r="AC1085">
        <f t="shared" si="22"/>
        <v>173376</v>
      </c>
      <c r="AD1085">
        <v>600035567</v>
      </c>
      <c r="AE1085" t="s">
        <v>157</v>
      </c>
      <c r="AF1085" s="4">
        <f t="shared" si="23"/>
        <v>173376</v>
      </c>
      <c r="AG1085" t="s">
        <v>51</v>
      </c>
      <c r="AH1085" t="s">
        <v>1123</v>
      </c>
      <c r="AI1085">
        <v>600035588</v>
      </c>
      <c r="AJ1085" t="s">
        <v>1148</v>
      </c>
      <c r="AK1085" t="s">
        <v>1129</v>
      </c>
      <c r="AL1085">
        <v>340618590</v>
      </c>
      <c r="AM1085" t="s">
        <v>149</v>
      </c>
    </row>
    <row r="1086" spans="1:39" x14ac:dyDescent="0.35">
      <c r="A1086">
        <v>3406</v>
      </c>
      <c r="B1086" t="s">
        <v>61</v>
      </c>
      <c r="C1086">
        <v>2020</v>
      </c>
      <c r="D1086" s="1">
        <v>43831</v>
      </c>
      <c r="E1086">
        <v>1</v>
      </c>
      <c r="F1086">
        <v>600025908</v>
      </c>
      <c r="G1086" t="s">
        <v>120</v>
      </c>
      <c r="H1086">
        <v>81</v>
      </c>
      <c r="I1086">
        <v>71104010</v>
      </c>
      <c r="J1086">
        <v>21021040</v>
      </c>
      <c r="K1086" t="s">
        <v>121</v>
      </c>
      <c r="L1086" s="4">
        <v>97975.5</v>
      </c>
      <c r="M1086" t="s">
        <v>31</v>
      </c>
      <c r="N1086" s="4">
        <v>97975.5</v>
      </c>
      <c r="O1086" t="s">
        <v>31</v>
      </c>
      <c r="R1086" t="s">
        <v>147</v>
      </c>
      <c r="S1086" t="s">
        <v>1131</v>
      </c>
      <c r="T1086">
        <v>107211</v>
      </c>
      <c r="U1086" t="s">
        <v>123</v>
      </c>
      <c r="X1086" t="s">
        <v>61</v>
      </c>
      <c r="Y1086" s="8">
        <v>4501226446</v>
      </c>
      <c r="Z1086">
        <v>20200127</v>
      </c>
      <c r="AA1086">
        <f t="shared" si="17"/>
        <v>97975.5</v>
      </c>
      <c r="AB1086">
        <f t="shared" si="21"/>
        <v>97975.5</v>
      </c>
      <c r="AC1086">
        <f t="shared" si="22"/>
        <v>195951</v>
      </c>
      <c r="AD1086">
        <v>600035567</v>
      </c>
      <c r="AE1086" t="s">
        <v>158</v>
      </c>
      <c r="AF1086" s="4">
        <f t="shared" si="23"/>
        <v>195951</v>
      </c>
      <c r="AG1086" t="s">
        <v>51</v>
      </c>
      <c r="AH1086" t="s">
        <v>1123</v>
      </c>
      <c r="AI1086">
        <v>600035588</v>
      </c>
      <c r="AJ1086" t="s">
        <v>1148</v>
      </c>
      <c r="AK1086" t="s">
        <v>1129</v>
      </c>
      <c r="AL1086">
        <v>340618590</v>
      </c>
      <c r="AM1086" t="s">
        <v>149</v>
      </c>
    </row>
    <row r="1087" spans="1:39" x14ac:dyDescent="0.35">
      <c r="A1087">
        <v>3406</v>
      </c>
      <c r="B1087" t="s">
        <v>61</v>
      </c>
      <c r="C1087">
        <v>2020</v>
      </c>
      <c r="D1087" s="1">
        <v>43831</v>
      </c>
      <c r="E1087">
        <v>1</v>
      </c>
      <c r="F1087">
        <v>600025909</v>
      </c>
      <c r="G1087" t="s">
        <v>120</v>
      </c>
      <c r="H1087">
        <v>81</v>
      </c>
      <c r="I1087">
        <v>71104010</v>
      </c>
      <c r="J1087">
        <v>21021040</v>
      </c>
      <c r="K1087" t="s">
        <v>121</v>
      </c>
      <c r="L1087" s="4">
        <v>99781.5</v>
      </c>
      <c r="M1087" t="s">
        <v>31</v>
      </c>
      <c r="N1087" s="4">
        <v>99781.5</v>
      </c>
      <c r="O1087" t="s">
        <v>31</v>
      </c>
      <c r="R1087" t="s">
        <v>147</v>
      </c>
      <c r="S1087" t="s">
        <v>1131</v>
      </c>
      <c r="T1087">
        <v>107211</v>
      </c>
      <c r="U1087" t="s">
        <v>123</v>
      </c>
      <c r="X1087" t="s">
        <v>61</v>
      </c>
      <c r="Y1087" s="8">
        <v>4501226446</v>
      </c>
      <c r="Z1087">
        <v>20200127</v>
      </c>
      <c r="AA1087">
        <f t="shared" si="17"/>
        <v>99781.5</v>
      </c>
      <c r="AB1087">
        <f t="shared" si="21"/>
        <v>99781.5</v>
      </c>
      <c r="AC1087">
        <f>AA1087+AB1087</f>
        <v>199563</v>
      </c>
      <c r="AD1087">
        <v>600035567</v>
      </c>
      <c r="AE1087" t="s">
        <v>159</v>
      </c>
      <c r="AF1087" s="4">
        <f t="shared" si="23"/>
        <v>199563</v>
      </c>
      <c r="AG1087" t="s">
        <v>51</v>
      </c>
      <c r="AH1087" t="s">
        <v>1123</v>
      </c>
      <c r="AI1087">
        <v>600035588</v>
      </c>
      <c r="AJ1087" t="s">
        <v>1148</v>
      </c>
      <c r="AK1087" t="s">
        <v>1129</v>
      </c>
      <c r="AL1087">
        <v>340618590</v>
      </c>
      <c r="AM1087" t="s">
        <v>149</v>
      </c>
    </row>
    <row r="1088" spans="1:39" x14ac:dyDescent="0.35">
      <c r="A1088">
        <v>3406</v>
      </c>
      <c r="B1088" t="s">
        <v>61</v>
      </c>
      <c r="C1088">
        <v>2020</v>
      </c>
      <c r="D1088" s="1">
        <v>43831</v>
      </c>
      <c r="E1088">
        <v>1</v>
      </c>
      <c r="F1088">
        <v>600025910</v>
      </c>
      <c r="G1088" t="s">
        <v>120</v>
      </c>
      <c r="H1088">
        <v>81</v>
      </c>
      <c r="I1088">
        <v>71104010</v>
      </c>
      <c r="J1088">
        <v>21021040</v>
      </c>
      <c r="K1088" t="s">
        <v>121</v>
      </c>
      <c r="L1088" s="4">
        <v>96169.5</v>
      </c>
      <c r="M1088" t="s">
        <v>31</v>
      </c>
      <c r="N1088" s="4">
        <v>96169.5</v>
      </c>
      <c r="O1088" t="s">
        <v>31</v>
      </c>
      <c r="R1088" t="s">
        <v>147</v>
      </c>
      <c r="S1088" t="s">
        <v>1131</v>
      </c>
      <c r="T1088">
        <v>107211</v>
      </c>
      <c r="U1088" t="s">
        <v>123</v>
      </c>
      <c r="X1088" t="s">
        <v>61</v>
      </c>
      <c r="Y1088" s="8">
        <v>4501226446</v>
      </c>
      <c r="Z1088">
        <v>20200127</v>
      </c>
      <c r="AA1088">
        <f t="shared" si="17"/>
        <v>96169.5</v>
      </c>
      <c r="AB1088">
        <f t="shared" si="21"/>
        <v>96169.5</v>
      </c>
      <c r="AC1088">
        <f t="shared" si="22"/>
        <v>192339</v>
      </c>
      <c r="AD1088">
        <v>600035567</v>
      </c>
      <c r="AE1088" t="s">
        <v>160</v>
      </c>
      <c r="AF1088" s="4">
        <f t="shared" si="23"/>
        <v>192339</v>
      </c>
      <c r="AG1088" t="s">
        <v>51</v>
      </c>
      <c r="AH1088" t="s">
        <v>1123</v>
      </c>
      <c r="AI1088">
        <v>600035588</v>
      </c>
      <c r="AJ1088" t="s">
        <v>1148</v>
      </c>
      <c r="AK1088" t="s">
        <v>1129</v>
      </c>
      <c r="AL1088">
        <v>340618590</v>
      </c>
      <c r="AM1088" t="s">
        <v>149</v>
      </c>
    </row>
    <row r="1089" spans="1:39" x14ac:dyDescent="0.35">
      <c r="A1089">
        <v>3406</v>
      </c>
      <c r="B1089" t="s">
        <v>61</v>
      </c>
      <c r="C1089">
        <v>2020</v>
      </c>
      <c r="D1089" s="1">
        <v>43831</v>
      </c>
      <c r="E1089">
        <v>1</v>
      </c>
      <c r="F1089">
        <v>600025912</v>
      </c>
      <c r="G1089" t="s">
        <v>120</v>
      </c>
      <c r="H1089">
        <v>81</v>
      </c>
      <c r="I1089">
        <v>71104010</v>
      </c>
      <c r="J1089">
        <v>21021040</v>
      </c>
      <c r="K1089" t="s">
        <v>121</v>
      </c>
      <c r="L1089" s="4">
        <v>93460.5</v>
      </c>
      <c r="M1089" t="s">
        <v>31</v>
      </c>
      <c r="N1089" s="4">
        <v>93460.5</v>
      </c>
      <c r="O1089" t="s">
        <v>31</v>
      </c>
      <c r="R1089" t="s">
        <v>147</v>
      </c>
      <c r="S1089" t="s">
        <v>1131</v>
      </c>
      <c r="T1089">
        <v>107211</v>
      </c>
      <c r="U1089" t="s">
        <v>123</v>
      </c>
      <c r="X1089" t="s">
        <v>61</v>
      </c>
      <c r="Y1089" s="8">
        <v>4501226446</v>
      </c>
      <c r="Z1089">
        <v>20200127</v>
      </c>
      <c r="AA1089">
        <f t="shared" si="17"/>
        <v>93460.5</v>
      </c>
      <c r="AB1089">
        <f t="shared" si="21"/>
        <v>93460.5</v>
      </c>
      <c r="AC1089">
        <f t="shared" si="22"/>
        <v>186921</v>
      </c>
      <c r="AD1089">
        <v>600035567</v>
      </c>
      <c r="AE1089" t="s">
        <v>161</v>
      </c>
      <c r="AF1089" s="4">
        <f t="shared" si="23"/>
        <v>186921</v>
      </c>
      <c r="AG1089" t="s">
        <v>51</v>
      </c>
      <c r="AH1089" t="s">
        <v>1123</v>
      </c>
      <c r="AI1089">
        <v>600035588</v>
      </c>
      <c r="AJ1089" t="s">
        <v>1148</v>
      </c>
      <c r="AK1089" t="s">
        <v>1129</v>
      </c>
      <c r="AL1089">
        <v>340618590</v>
      </c>
      <c r="AM1089" t="s">
        <v>149</v>
      </c>
    </row>
    <row r="1090" spans="1:39" x14ac:dyDescent="0.35">
      <c r="A1090">
        <v>3406</v>
      </c>
      <c r="B1090" t="s">
        <v>61</v>
      </c>
      <c r="C1090">
        <v>2020</v>
      </c>
      <c r="D1090" s="1">
        <v>43831</v>
      </c>
      <c r="E1090">
        <v>1</v>
      </c>
      <c r="F1090">
        <v>600025913</v>
      </c>
      <c r="G1090" t="s">
        <v>120</v>
      </c>
      <c r="H1090">
        <v>81</v>
      </c>
      <c r="I1090">
        <v>71104010</v>
      </c>
      <c r="J1090">
        <v>21021040</v>
      </c>
      <c r="K1090" t="s">
        <v>121</v>
      </c>
      <c r="L1090" s="4">
        <v>96169.5</v>
      </c>
      <c r="M1090" t="s">
        <v>31</v>
      </c>
      <c r="N1090" s="4">
        <v>96169.5</v>
      </c>
      <c r="O1090" t="s">
        <v>31</v>
      </c>
      <c r="R1090" t="s">
        <v>147</v>
      </c>
      <c r="S1090" t="s">
        <v>1131</v>
      </c>
      <c r="T1090">
        <v>107211</v>
      </c>
      <c r="U1090" t="s">
        <v>123</v>
      </c>
      <c r="X1090" t="s">
        <v>61</v>
      </c>
      <c r="Y1090" s="8">
        <v>4501226446</v>
      </c>
      <c r="Z1090">
        <v>20200127</v>
      </c>
      <c r="AA1090">
        <f t="shared" si="17"/>
        <v>96169.5</v>
      </c>
      <c r="AB1090">
        <f t="shared" si="21"/>
        <v>96169.5</v>
      </c>
      <c r="AC1090">
        <f t="shared" si="22"/>
        <v>192339</v>
      </c>
      <c r="AD1090">
        <v>600035567</v>
      </c>
      <c r="AE1090" t="s">
        <v>162</v>
      </c>
      <c r="AF1090" s="4">
        <f t="shared" si="23"/>
        <v>192339</v>
      </c>
      <c r="AG1090" t="s">
        <v>51</v>
      </c>
      <c r="AH1090" t="s">
        <v>1123</v>
      </c>
      <c r="AI1090">
        <v>600035588</v>
      </c>
      <c r="AJ1090" t="s">
        <v>1148</v>
      </c>
      <c r="AK1090" t="s">
        <v>1129</v>
      </c>
      <c r="AL1090">
        <v>340618590</v>
      </c>
      <c r="AM1090" t="s">
        <v>149</v>
      </c>
    </row>
    <row r="1091" spans="1:39" x14ac:dyDescent="0.35">
      <c r="A1091">
        <v>3406</v>
      </c>
      <c r="B1091" t="s">
        <v>61</v>
      </c>
      <c r="C1091">
        <v>2020</v>
      </c>
      <c r="D1091" s="1">
        <v>43831</v>
      </c>
      <c r="E1091">
        <v>1</v>
      </c>
      <c r="F1091">
        <v>600025914</v>
      </c>
      <c r="G1091" t="s">
        <v>120</v>
      </c>
      <c r="H1091">
        <v>81</v>
      </c>
      <c r="I1091">
        <v>71104010</v>
      </c>
      <c r="J1091">
        <v>21021040</v>
      </c>
      <c r="K1091" t="s">
        <v>121</v>
      </c>
      <c r="L1091" s="4">
        <v>96169.5</v>
      </c>
      <c r="M1091" t="s">
        <v>31</v>
      </c>
      <c r="N1091" s="4">
        <v>96169.5</v>
      </c>
      <c r="O1091" t="s">
        <v>31</v>
      </c>
      <c r="R1091" t="s">
        <v>147</v>
      </c>
      <c r="S1091" t="s">
        <v>1131</v>
      </c>
      <c r="T1091">
        <v>107211</v>
      </c>
      <c r="U1091" t="s">
        <v>123</v>
      </c>
      <c r="X1091" t="s">
        <v>61</v>
      </c>
      <c r="Y1091" s="8">
        <v>4501226446</v>
      </c>
      <c r="Z1091">
        <v>20200127</v>
      </c>
      <c r="AA1091">
        <f t="shared" si="17"/>
        <v>96169.5</v>
      </c>
      <c r="AB1091">
        <f t="shared" si="21"/>
        <v>96169.5</v>
      </c>
      <c r="AC1091">
        <f t="shared" si="22"/>
        <v>192339</v>
      </c>
      <c r="AD1091">
        <v>600035567</v>
      </c>
      <c r="AE1091" t="s">
        <v>163</v>
      </c>
      <c r="AF1091" s="4">
        <f t="shared" si="23"/>
        <v>192339</v>
      </c>
      <c r="AG1091" t="s">
        <v>51</v>
      </c>
      <c r="AH1091" t="s">
        <v>1123</v>
      </c>
      <c r="AI1091">
        <v>600035588</v>
      </c>
      <c r="AJ1091" t="s">
        <v>1148</v>
      </c>
      <c r="AK1091" t="s">
        <v>1129</v>
      </c>
      <c r="AL1091">
        <v>340618590</v>
      </c>
      <c r="AM1091" t="s">
        <v>149</v>
      </c>
    </row>
    <row r="1092" spans="1:39" x14ac:dyDescent="0.35">
      <c r="A1092">
        <v>3406</v>
      </c>
      <c r="B1092" t="s">
        <v>61</v>
      </c>
      <c r="C1092">
        <v>2020</v>
      </c>
      <c r="D1092" s="1">
        <v>43831</v>
      </c>
      <c r="E1092">
        <v>1</v>
      </c>
      <c r="F1092">
        <v>600025915</v>
      </c>
      <c r="G1092" t="s">
        <v>120</v>
      </c>
      <c r="H1092">
        <v>81</v>
      </c>
      <c r="I1092">
        <v>71104010</v>
      </c>
      <c r="J1092">
        <v>21021040</v>
      </c>
      <c r="K1092" t="s">
        <v>121</v>
      </c>
      <c r="L1092" s="4">
        <v>92557.5</v>
      </c>
      <c r="M1092" t="s">
        <v>31</v>
      </c>
      <c r="N1092" s="4">
        <v>92557.5</v>
      </c>
      <c r="O1092" t="s">
        <v>31</v>
      </c>
      <c r="R1092" t="s">
        <v>147</v>
      </c>
      <c r="S1092" t="s">
        <v>1131</v>
      </c>
      <c r="T1092">
        <v>107211</v>
      </c>
      <c r="U1092" t="s">
        <v>123</v>
      </c>
      <c r="X1092" t="s">
        <v>61</v>
      </c>
      <c r="Y1092" s="8">
        <v>4501226446</v>
      </c>
      <c r="Z1092">
        <v>20200127</v>
      </c>
      <c r="AA1092">
        <f t="shared" si="17"/>
        <v>92557.5</v>
      </c>
      <c r="AB1092">
        <f t="shared" si="21"/>
        <v>92557.5</v>
      </c>
      <c r="AC1092">
        <f t="shared" si="22"/>
        <v>185115</v>
      </c>
      <c r="AD1092">
        <v>600035567</v>
      </c>
      <c r="AE1092" t="s">
        <v>164</v>
      </c>
      <c r="AF1092" s="4">
        <f t="shared" si="23"/>
        <v>185115</v>
      </c>
      <c r="AG1092" t="s">
        <v>51</v>
      </c>
      <c r="AH1092" t="s">
        <v>1123</v>
      </c>
      <c r="AI1092">
        <v>600035588</v>
      </c>
      <c r="AJ1092" t="s">
        <v>1148</v>
      </c>
      <c r="AK1092" t="s">
        <v>1129</v>
      </c>
      <c r="AL1092">
        <v>340618590</v>
      </c>
      <c r="AM1092" t="s">
        <v>149</v>
      </c>
    </row>
    <row r="1093" spans="1:39" x14ac:dyDescent="0.35">
      <c r="A1093">
        <v>3406</v>
      </c>
      <c r="B1093" t="s">
        <v>61</v>
      </c>
      <c r="C1093">
        <v>2020</v>
      </c>
      <c r="D1093" s="1">
        <v>43831</v>
      </c>
      <c r="E1093">
        <v>1</v>
      </c>
      <c r="F1093">
        <v>600025916</v>
      </c>
      <c r="G1093" t="s">
        <v>120</v>
      </c>
      <c r="H1093">
        <v>81</v>
      </c>
      <c r="I1093">
        <v>71104010</v>
      </c>
      <c r="J1093">
        <v>21021040</v>
      </c>
      <c r="K1093" t="s">
        <v>121</v>
      </c>
      <c r="L1093" s="4">
        <v>97975.5</v>
      </c>
      <c r="M1093" t="s">
        <v>31</v>
      </c>
      <c r="N1093" s="4">
        <v>97975.5</v>
      </c>
      <c r="O1093" t="s">
        <v>31</v>
      </c>
      <c r="R1093" t="s">
        <v>147</v>
      </c>
      <c r="S1093" t="s">
        <v>1131</v>
      </c>
      <c r="T1093">
        <v>107211</v>
      </c>
      <c r="U1093" t="s">
        <v>123</v>
      </c>
      <c r="X1093" t="s">
        <v>61</v>
      </c>
      <c r="Y1093" s="8">
        <v>4501226446</v>
      </c>
      <c r="Z1093">
        <v>20200127</v>
      </c>
      <c r="AA1093">
        <f t="shared" si="17"/>
        <v>97975.5</v>
      </c>
      <c r="AB1093">
        <f t="shared" si="21"/>
        <v>97975.5</v>
      </c>
      <c r="AC1093">
        <f t="shared" si="22"/>
        <v>195951</v>
      </c>
      <c r="AD1093">
        <v>600035567</v>
      </c>
      <c r="AE1093" t="s">
        <v>165</v>
      </c>
      <c r="AF1093" s="4">
        <f t="shared" si="23"/>
        <v>195951</v>
      </c>
      <c r="AG1093" t="s">
        <v>51</v>
      </c>
      <c r="AH1093" t="s">
        <v>1123</v>
      </c>
      <c r="AI1093">
        <v>600035588</v>
      </c>
      <c r="AJ1093" t="s">
        <v>1148</v>
      </c>
      <c r="AK1093" t="s">
        <v>1129</v>
      </c>
      <c r="AL1093">
        <v>340618590</v>
      </c>
      <c r="AM1093" t="s">
        <v>149</v>
      </c>
    </row>
    <row r="1094" spans="1:39" x14ac:dyDescent="0.35">
      <c r="A1094">
        <v>3406</v>
      </c>
      <c r="B1094" t="s">
        <v>61</v>
      </c>
      <c r="C1094">
        <v>2020</v>
      </c>
      <c r="D1094" s="1">
        <v>43831</v>
      </c>
      <c r="E1094">
        <v>1</v>
      </c>
      <c r="F1094">
        <v>600025917</v>
      </c>
      <c r="G1094" t="s">
        <v>120</v>
      </c>
      <c r="H1094">
        <v>81</v>
      </c>
      <c r="I1094">
        <v>71104010</v>
      </c>
      <c r="J1094">
        <v>21021040</v>
      </c>
      <c r="K1094" t="s">
        <v>121</v>
      </c>
      <c r="L1094" s="4">
        <v>94363.5</v>
      </c>
      <c r="M1094" t="s">
        <v>31</v>
      </c>
      <c r="N1094" s="4">
        <v>94363.5</v>
      </c>
      <c r="O1094" t="s">
        <v>31</v>
      </c>
      <c r="R1094" t="s">
        <v>147</v>
      </c>
      <c r="S1094" t="s">
        <v>1131</v>
      </c>
      <c r="T1094">
        <v>107211</v>
      </c>
      <c r="U1094" t="s">
        <v>123</v>
      </c>
      <c r="X1094" t="s">
        <v>61</v>
      </c>
      <c r="Y1094" s="8">
        <v>4501226446</v>
      </c>
      <c r="Z1094">
        <v>20200127</v>
      </c>
      <c r="AA1094">
        <f t="shared" si="17"/>
        <v>94363.5</v>
      </c>
      <c r="AB1094">
        <f t="shared" si="21"/>
        <v>94363.5</v>
      </c>
      <c r="AC1094">
        <f t="shared" si="22"/>
        <v>188727</v>
      </c>
      <c r="AD1094">
        <v>600035567</v>
      </c>
      <c r="AE1094" t="s">
        <v>166</v>
      </c>
      <c r="AF1094" s="4">
        <f t="shared" si="23"/>
        <v>188727</v>
      </c>
      <c r="AG1094" t="s">
        <v>51</v>
      </c>
      <c r="AH1094" t="s">
        <v>1123</v>
      </c>
      <c r="AI1094">
        <v>600035588</v>
      </c>
      <c r="AJ1094" t="s">
        <v>1148</v>
      </c>
      <c r="AK1094" t="s">
        <v>1129</v>
      </c>
      <c r="AL1094">
        <v>340618590</v>
      </c>
      <c r="AM1094" t="s">
        <v>149</v>
      </c>
    </row>
    <row r="1095" spans="1:39" x14ac:dyDescent="0.35">
      <c r="A1095">
        <v>3406</v>
      </c>
      <c r="B1095" t="s">
        <v>61</v>
      </c>
      <c r="C1095">
        <v>2020</v>
      </c>
      <c r="D1095" s="1">
        <v>43831</v>
      </c>
      <c r="E1095">
        <v>1</v>
      </c>
      <c r="F1095">
        <v>600025918</v>
      </c>
      <c r="G1095" t="s">
        <v>120</v>
      </c>
      <c r="H1095">
        <v>81</v>
      </c>
      <c r="I1095">
        <v>71104010</v>
      </c>
      <c r="J1095">
        <v>21021040</v>
      </c>
      <c r="K1095" t="s">
        <v>121</v>
      </c>
      <c r="L1095" s="4">
        <v>94363.5</v>
      </c>
      <c r="M1095" t="s">
        <v>31</v>
      </c>
      <c r="N1095" s="4">
        <v>94363.5</v>
      </c>
      <c r="O1095" t="s">
        <v>31</v>
      </c>
      <c r="R1095" t="s">
        <v>147</v>
      </c>
      <c r="S1095" t="s">
        <v>1131</v>
      </c>
      <c r="T1095">
        <v>107211</v>
      </c>
      <c r="U1095" t="s">
        <v>123</v>
      </c>
      <c r="X1095" t="s">
        <v>61</v>
      </c>
      <c r="Y1095" s="8">
        <v>4501226446</v>
      </c>
      <c r="Z1095">
        <v>20200127</v>
      </c>
      <c r="AA1095">
        <f t="shared" si="17"/>
        <v>94363.5</v>
      </c>
      <c r="AB1095">
        <f t="shared" si="21"/>
        <v>94363.5</v>
      </c>
      <c r="AC1095">
        <f t="shared" si="22"/>
        <v>188727</v>
      </c>
      <c r="AD1095">
        <v>600035567</v>
      </c>
      <c r="AE1095" t="s">
        <v>167</v>
      </c>
      <c r="AF1095" s="4">
        <f t="shared" si="23"/>
        <v>188727</v>
      </c>
      <c r="AG1095" t="s">
        <v>51</v>
      </c>
      <c r="AH1095" t="s">
        <v>1123</v>
      </c>
      <c r="AI1095">
        <v>600035588</v>
      </c>
      <c r="AJ1095" t="s">
        <v>1148</v>
      </c>
      <c r="AK1095" t="s">
        <v>1129</v>
      </c>
      <c r="AL1095">
        <v>340618590</v>
      </c>
      <c r="AM1095" t="s">
        <v>149</v>
      </c>
    </row>
    <row r="1096" spans="1:39" x14ac:dyDescent="0.35">
      <c r="A1096">
        <v>3406</v>
      </c>
      <c r="B1096" t="s">
        <v>61</v>
      </c>
      <c r="C1096">
        <v>2020</v>
      </c>
      <c r="D1096" s="1">
        <v>43831</v>
      </c>
      <c r="E1096">
        <v>1</v>
      </c>
      <c r="F1096">
        <v>600025919</v>
      </c>
      <c r="G1096" t="s">
        <v>120</v>
      </c>
      <c r="H1096">
        <v>81</v>
      </c>
      <c r="I1096">
        <v>71104010</v>
      </c>
      <c r="J1096">
        <v>21021040</v>
      </c>
      <c r="K1096" t="s">
        <v>121</v>
      </c>
      <c r="L1096" s="4">
        <v>79012.5</v>
      </c>
      <c r="M1096" t="s">
        <v>31</v>
      </c>
      <c r="N1096" s="4">
        <v>79012.5</v>
      </c>
      <c r="O1096" t="s">
        <v>31</v>
      </c>
      <c r="R1096" t="s">
        <v>147</v>
      </c>
      <c r="S1096" t="s">
        <v>1131</v>
      </c>
      <c r="T1096">
        <v>107211</v>
      </c>
      <c r="U1096" t="s">
        <v>123</v>
      </c>
      <c r="X1096" t="s">
        <v>61</v>
      </c>
      <c r="Y1096" s="8">
        <v>4501226446</v>
      </c>
      <c r="Z1096">
        <v>20200127</v>
      </c>
      <c r="AA1096">
        <f t="shared" si="17"/>
        <v>79012.5</v>
      </c>
      <c r="AB1096">
        <f t="shared" si="21"/>
        <v>79012.5</v>
      </c>
      <c r="AC1096">
        <f t="shared" si="22"/>
        <v>158025</v>
      </c>
      <c r="AD1096">
        <v>600035567</v>
      </c>
      <c r="AE1096" t="s">
        <v>168</v>
      </c>
      <c r="AF1096" s="4">
        <f t="shared" si="23"/>
        <v>158025</v>
      </c>
      <c r="AG1096" t="s">
        <v>51</v>
      </c>
      <c r="AH1096" t="s">
        <v>1123</v>
      </c>
      <c r="AI1096">
        <v>600035588</v>
      </c>
      <c r="AJ1096" t="s">
        <v>1148</v>
      </c>
      <c r="AK1096" t="s">
        <v>1129</v>
      </c>
      <c r="AL1096">
        <v>340618590</v>
      </c>
      <c r="AM1096" t="s">
        <v>149</v>
      </c>
    </row>
    <row r="1097" spans="1:39" x14ac:dyDescent="0.35">
      <c r="A1097">
        <v>3406</v>
      </c>
      <c r="B1097" t="s">
        <v>61</v>
      </c>
      <c r="C1097">
        <v>2020</v>
      </c>
      <c r="D1097" s="1">
        <v>43831</v>
      </c>
      <c r="E1097">
        <v>1</v>
      </c>
      <c r="F1097">
        <v>600025920</v>
      </c>
      <c r="G1097" t="s">
        <v>120</v>
      </c>
      <c r="H1097">
        <v>81</v>
      </c>
      <c r="I1097">
        <v>71104010</v>
      </c>
      <c r="J1097">
        <v>21021040</v>
      </c>
      <c r="K1097" t="s">
        <v>121</v>
      </c>
      <c r="L1097" s="4">
        <v>79464</v>
      </c>
      <c r="M1097" t="s">
        <v>31</v>
      </c>
      <c r="N1097" s="4">
        <v>79464</v>
      </c>
      <c r="O1097" t="s">
        <v>31</v>
      </c>
      <c r="R1097" t="s">
        <v>147</v>
      </c>
      <c r="S1097" t="s">
        <v>1131</v>
      </c>
      <c r="T1097">
        <v>107211</v>
      </c>
      <c r="U1097" t="s">
        <v>123</v>
      </c>
      <c r="X1097" t="s">
        <v>61</v>
      </c>
      <c r="Y1097" s="8">
        <v>4501226446</v>
      </c>
      <c r="Z1097">
        <v>20200127</v>
      </c>
      <c r="AA1097">
        <f t="shared" si="17"/>
        <v>79464</v>
      </c>
      <c r="AB1097">
        <f t="shared" si="21"/>
        <v>79464</v>
      </c>
      <c r="AC1097">
        <f t="shared" si="22"/>
        <v>158928</v>
      </c>
      <c r="AD1097">
        <v>600035567</v>
      </c>
      <c r="AE1097" t="s">
        <v>169</v>
      </c>
      <c r="AF1097" s="4">
        <f t="shared" si="23"/>
        <v>158928</v>
      </c>
      <c r="AG1097" t="s">
        <v>51</v>
      </c>
      <c r="AH1097" t="s">
        <v>1123</v>
      </c>
      <c r="AI1097">
        <v>600035588</v>
      </c>
      <c r="AJ1097" t="s">
        <v>1148</v>
      </c>
      <c r="AK1097" t="s">
        <v>1129</v>
      </c>
      <c r="AL1097">
        <v>340618590</v>
      </c>
      <c r="AM1097" t="s">
        <v>149</v>
      </c>
    </row>
    <row r="1098" spans="1:39" x14ac:dyDescent="0.35">
      <c r="A1098">
        <v>3406</v>
      </c>
      <c r="B1098" t="s">
        <v>61</v>
      </c>
      <c r="C1098">
        <v>2020</v>
      </c>
      <c r="D1098" s="1">
        <v>43831</v>
      </c>
      <c r="E1098">
        <v>1</v>
      </c>
      <c r="F1098">
        <v>600025921</v>
      </c>
      <c r="G1098" t="s">
        <v>120</v>
      </c>
      <c r="H1098">
        <v>81</v>
      </c>
      <c r="I1098">
        <v>71104010</v>
      </c>
      <c r="J1098">
        <v>21021040</v>
      </c>
      <c r="K1098" t="s">
        <v>121</v>
      </c>
      <c r="L1098" s="4">
        <v>79915.5</v>
      </c>
      <c r="M1098" t="s">
        <v>31</v>
      </c>
      <c r="N1098" s="4">
        <v>79915.5</v>
      </c>
      <c r="O1098" t="s">
        <v>31</v>
      </c>
      <c r="R1098" t="s">
        <v>147</v>
      </c>
      <c r="S1098" t="s">
        <v>1131</v>
      </c>
      <c r="T1098">
        <v>107211</v>
      </c>
      <c r="U1098" t="s">
        <v>123</v>
      </c>
      <c r="X1098" t="s">
        <v>61</v>
      </c>
      <c r="Y1098" s="8">
        <v>4501226446</v>
      </c>
      <c r="Z1098">
        <v>20200127</v>
      </c>
      <c r="AA1098">
        <f t="shared" si="17"/>
        <v>79915.5</v>
      </c>
      <c r="AB1098">
        <f t="shared" si="21"/>
        <v>79915.5</v>
      </c>
      <c r="AC1098">
        <f t="shared" si="22"/>
        <v>159831</v>
      </c>
      <c r="AD1098">
        <v>600035567</v>
      </c>
      <c r="AE1098" t="s">
        <v>170</v>
      </c>
      <c r="AF1098" s="4">
        <f t="shared" si="23"/>
        <v>159831</v>
      </c>
      <c r="AG1098" t="s">
        <v>51</v>
      </c>
      <c r="AH1098" t="s">
        <v>1123</v>
      </c>
      <c r="AI1098">
        <v>600035588</v>
      </c>
      <c r="AJ1098" t="s">
        <v>1148</v>
      </c>
      <c r="AK1098" t="s">
        <v>1129</v>
      </c>
      <c r="AL1098">
        <v>340618590</v>
      </c>
      <c r="AM1098" t="s">
        <v>149</v>
      </c>
    </row>
    <row r="1099" spans="1:39" x14ac:dyDescent="0.35">
      <c r="A1099">
        <v>3406</v>
      </c>
      <c r="B1099" t="s">
        <v>61</v>
      </c>
      <c r="C1099">
        <v>2020</v>
      </c>
      <c r="D1099" s="1">
        <v>43831</v>
      </c>
      <c r="E1099">
        <v>1</v>
      </c>
      <c r="F1099">
        <v>600025922</v>
      </c>
      <c r="G1099" t="s">
        <v>120</v>
      </c>
      <c r="H1099">
        <v>81</v>
      </c>
      <c r="I1099">
        <v>71104010</v>
      </c>
      <c r="J1099">
        <v>21021040</v>
      </c>
      <c r="K1099" t="s">
        <v>121</v>
      </c>
      <c r="L1099" s="4">
        <v>78561</v>
      </c>
      <c r="M1099" t="s">
        <v>31</v>
      </c>
      <c r="N1099" s="4">
        <v>78561</v>
      </c>
      <c r="O1099" t="s">
        <v>31</v>
      </c>
      <c r="R1099" t="s">
        <v>147</v>
      </c>
      <c r="S1099" t="s">
        <v>1131</v>
      </c>
      <c r="T1099">
        <v>107211</v>
      </c>
      <c r="U1099" t="s">
        <v>123</v>
      </c>
      <c r="X1099" t="s">
        <v>61</v>
      </c>
      <c r="Y1099" s="8">
        <v>4501226446</v>
      </c>
      <c r="Z1099">
        <v>20200127</v>
      </c>
      <c r="AA1099">
        <f t="shared" si="17"/>
        <v>78561</v>
      </c>
      <c r="AB1099">
        <f t="shared" si="21"/>
        <v>78561</v>
      </c>
      <c r="AC1099">
        <f t="shared" si="22"/>
        <v>157122</v>
      </c>
      <c r="AD1099">
        <v>600035567</v>
      </c>
      <c r="AE1099" t="s">
        <v>171</v>
      </c>
      <c r="AF1099" s="4">
        <f t="shared" si="23"/>
        <v>157122</v>
      </c>
      <c r="AG1099" t="s">
        <v>51</v>
      </c>
      <c r="AH1099" t="s">
        <v>1123</v>
      </c>
      <c r="AI1099">
        <v>600035588</v>
      </c>
      <c r="AJ1099" t="s">
        <v>1148</v>
      </c>
      <c r="AK1099" t="s">
        <v>1129</v>
      </c>
      <c r="AL1099">
        <v>340618590</v>
      </c>
      <c r="AM1099" t="s">
        <v>149</v>
      </c>
    </row>
    <row r="1100" spans="1:39" x14ac:dyDescent="0.35">
      <c r="A1100">
        <v>3406</v>
      </c>
      <c r="B1100" t="s">
        <v>61</v>
      </c>
      <c r="C1100">
        <v>2020</v>
      </c>
      <c r="D1100" s="1">
        <v>43831</v>
      </c>
      <c r="E1100">
        <v>1</v>
      </c>
      <c r="F1100">
        <v>600025923</v>
      </c>
      <c r="G1100" t="s">
        <v>120</v>
      </c>
      <c r="H1100">
        <v>81</v>
      </c>
      <c r="I1100">
        <v>71104010</v>
      </c>
      <c r="J1100">
        <v>21021040</v>
      </c>
      <c r="K1100" t="s">
        <v>121</v>
      </c>
      <c r="L1100" s="4">
        <v>78561</v>
      </c>
      <c r="M1100" t="s">
        <v>31</v>
      </c>
      <c r="N1100" s="4">
        <v>78561</v>
      </c>
      <c r="O1100" t="s">
        <v>31</v>
      </c>
      <c r="R1100" t="s">
        <v>147</v>
      </c>
      <c r="S1100" t="s">
        <v>1131</v>
      </c>
      <c r="T1100">
        <v>107211</v>
      </c>
      <c r="U1100" t="s">
        <v>123</v>
      </c>
      <c r="X1100" t="s">
        <v>61</v>
      </c>
      <c r="Y1100" s="8">
        <v>4501226446</v>
      </c>
      <c r="Z1100">
        <v>20200127</v>
      </c>
      <c r="AA1100">
        <f t="shared" si="17"/>
        <v>78561</v>
      </c>
      <c r="AB1100">
        <f t="shared" si="21"/>
        <v>78561</v>
      </c>
      <c r="AC1100">
        <f t="shared" si="22"/>
        <v>157122</v>
      </c>
      <c r="AD1100">
        <v>600035567</v>
      </c>
      <c r="AE1100" t="s">
        <v>172</v>
      </c>
      <c r="AF1100" s="4">
        <f t="shared" si="23"/>
        <v>157122</v>
      </c>
      <c r="AG1100" t="s">
        <v>51</v>
      </c>
      <c r="AH1100" t="s">
        <v>1123</v>
      </c>
      <c r="AI1100">
        <v>600035588</v>
      </c>
      <c r="AJ1100" t="s">
        <v>1148</v>
      </c>
      <c r="AK1100" t="s">
        <v>1129</v>
      </c>
      <c r="AL1100">
        <v>340618590</v>
      </c>
      <c r="AM1100" t="s">
        <v>149</v>
      </c>
    </row>
    <row r="1101" spans="1:39" x14ac:dyDescent="0.35">
      <c r="A1101">
        <v>3406</v>
      </c>
      <c r="B1101" t="s">
        <v>61</v>
      </c>
      <c r="C1101">
        <v>2020</v>
      </c>
      <c r="D1101" s="1">
        <v>43831</v>
      </c>
      <c r="E1101">
        <v>1</v>
      </c>
      <c r="F1101">
        <v>600025925</v>
      </c>
      <c r="G1101" t="s">
        <v>120</v>
      </c>
      <c r="H1101">
        <v>81</v>
      </c>
      <c r="I1101">
        <v>71104010</v>
      </c>
      <c r="J1101">
        <v>21021040</v>
      </c>
      <c r="K1101" t="s">
        <v>121</v>
      </c>
      <c r="L1101" s="4">
        <v>92557.5</v>
      </c>
      <c r="M1101" t="s">
        <v>31</v>
      </c>
      <c r="N1101" s="4">
        <v>92557.5</v>
      </c>
      <c r="O1101" t="s">
        <v>31</v>
      </c>
      <c r="R1101" t="s">
        <v>147</v>
      </c>
      <c r="S1101" t="s">
        <v>1131</v>
      </c>
      <c r="T1101">
        <v>107211</v>
      </c>
      <c r="U1101" t="s">
        <v>123</v>
      </c>
      <c r="X1101" t="s">
        <v>61</v>
      </c>
      <c r="Y1101" s="8">
        <v>4501226446</v>
      </c>
      <c r="Z1101">
        <v>20200127</v>
      </c>
      <c r="AA1101">
        <f t="shared" si="17"/>
        <v>92557.5</v>
      </c>
      <c r="AB1101">
        <f t="shared" si="21"/>
        <v>92557.5</v>
      </c>
      <c r="AC1101">
        <f t="shared" si="22"/>
        <v>185115</v>
      </c>
      <c r="AD1101">
        <v>600035567</v>
      </c>
      <c r="AE1101" t="s">
        <v>173</v>
      </c>
      <c r="AF1101" s="4">
        <f t="shared" si="23"/>
        <v>185115</v>
      </c>
      <c r="AG1101" t="s">
        <v>51</v>
      </c>
      <c r="AH1101" t="s">
        <v>1123</v>
      </c>
      <c r="AI1101">
        <v>600035588</v>
      </c>
      <c r="AJ1101" t="s">
        <v>1148</v>
      </c>
      <c r="AK1101" t="s">
        <v>1129</v>
      </c>
      <c r="AL1101">
        <v>340618590</v>
      </c>
      <c r="AM1101" t="s">
        <v>149</v>
      </c>
    </row>
    <row r="1102" spans="1:39" x14ac:dyDescent="0.35">
      <c r="A1102">
        <v>3406</v>
      </c>
      <c r="B1102" t="s">
        <v>61</v>
      </c>
      <c r="C1102">
        <v>2020</v>
      </c>
      <c r="D1102" s="1">
        <v>43831</v>
      </c>
      <c r="E1102">
        <v>1</v>
      </c>
      <c r="F1102">
        <v>600025927</v>
      </c>
      <c r="G1102" t="s">
        <v>120</v>
      </c>
      <c r="H1102">
        <v>81</v>
      </c>
      <c r="I1102">
        <v>71104010</v>
      </c>
      <c r="J1102">
        <v>21021040</v>
      </c>
      <c r="K1102" t="s">
        <v>121</v>
      </c>
      <c r="L1102" s="4">
        <v>97975.5</v>
      </c>
      <c r="M1102" t="s">
        <v>31</v>
      </c>
      <c r="N1102" s="4">
        <v>97975.5</v>
      </c>
      <c r="O1102" t="s">
        <v>31</v>
      </c>
      <c r="R1102" t="s">
        <v>147</v>
      </c>
      <c r="S1102" t="s">
        <v>1131</v>
      </c>
      <c r="T1102">
        <v>107211</v>
      </c>
      <c r="U1102" t="s">
        <v>123</v>
      </c>
      <c r="X1102" t="s">
        <v>61</v>
      </c>
      <c r="Y1102" s="8">
        <v>4501226446</v>
      </c>
      <c r="Z1102">
        <v>20200127</v>
      </c>
      <c r="AA1102">
        <f t="shared" si="17"/>
        <v>97975.5</v>
      </c>
      <c r="AB1102">
        <f t="shared" si="21"/>
        <v>97975.5</v>
      </c>
      <c r="AC1102">
        <f t="shared" si="22"/>
        <v>195951</v>
      </c>
      <c r="AD1102">
        <v>600035567</v>
      </c>
      <c r="AE1102" t="s">
        <v>174</v>
      </c>
      <c r="AF1102" s="4">
        <f t="shared" si="23"/>
        <v>195951</v>
      </c>
      <c r="AG1102" t="s">
        <v>51</v>
      </c>
      <c r="AH1102" t="s">
        <v>1123</v>
      </c>
      <c r="AI1102">
        <v>600035588</v>
      </c>
      <c r="AJ1102" t="s">
        <v>1148</v>
      </c>
      <c r="AK1102" t="s">
        <v>1129</v>
      </c>
      <c r="AL1102">
        <v>340618590</v>
      </c>
      <c r="AM1102" t="s">
        <v>149</v>
      </c>
    </row>
    <row r="1103" spans="1:39" x14ac:dyDescent="0.35">
      <c r="A1103">
        <v>3406</v>
      </c>
      <c r="B1103" t="s">
        <v>61</v>
      </c>
      <c r="C1103">
        <v>2020</v>
      </c>
      <c r="D1103" s="1">
        <v>43831</v>
      </c>
      <c r="E1103">
        <v>1</v>
      </c>
      <c r="F1103">
        <v>600025928</v>
      </c>
      <c r="G1103" t="s">
        <v>120</v>
      </c>
      <c r="H1103">
        <v>81</v>
      </c>
      <c r="I1103">
        <v>71104010</v>
      </c>
      <c r="J1103">
        <v>21021040</v>
      </c>
      <c r="K1103" t="s">
        <v>121</v>
      </c>
      <c r="L1103" s="4">
        <v>83205</v>
      </c>
      <c r="M1103" t="s">
        <v>31</v>
      </c>
      <c r="N1103" s="4">
        <v>83205</v>
      </c>
      <c r="O1103" t="s">
        <v>31</v>
      </c>
      <c r="R1103" t="s">
        <v>147</v>
      </c>
      <c r="S1103" t="s">
        <v>1131</v>
      </c>
      <c r="T1103">
        <v>107211</v>
      </c>
      <c r="U1103" t="s">
        <v>123</v>
      </c>
      <c r="X1103" t="s">
        <v>61</v>
      </c>
      <c r="Y1103" s="8">
        <v>4501226446</v>
      </c>
      <c r="Z1103">
        <v>20200127</v>
      </c>
      <c r="AA1103">
        <f t="shared" si="17"/>
        <v>83205</v>
      </c>
      <c r="AB1103">
        <f t="shared" si="21"/>
        <v>83205</v>
      </c>
      <c r="AC1103">
        <f t="shared" si="22"/>
        <v>166410</v>
      </c>
      <c r="AD1103">
        <v>600035567</v>
      </c>
      <c r="AE1103" t="s">
        <v>175</v>
      </c>
      <c r="AF1103" s="4">
        <f t="shared" si="23"/>
        <v>166410</v>
      </c>
      <c r="AG1103" t="s">
        <v>51</v>
      </c>
      <c r="AH1103" t="s">
        <v>1123</v>
      </c>
      <c r="AI1103">
        <v>600035588</v>
      </c>
      <c r="AJ1103" t="s">
        <v>1148</v>
      </c>
      <c r="AK1103" t="s">
        <v>1129</v>
      </c>
      <c r="AL1103">
        <v>340618590</v>
      </c>
      <c r="AM1103" t="s">
        <v>149</v>
      </c>
    </row>
    <row r="1104" spans="1:39" x14ac:dyDescent="0.35">
      <c r="A1104">
        <v>3403</v>
      </c>
      <c r="B1104" t="s">
        <v>61</v>
      </c>
      <c r="C1104">
        <v>2020</v>
      </c>
      <c r="D1104" s="1">
        <v>43831</v>
      </c>
      <c r="E1104">
        <v>1</v>
      </c>
      <c r="F1104">
        <v>300015083</v>
      </c>
      <c r="G1104" t="s">
        <v>120</v>
      </c>
      <c r="H1104">
        <v>81</v>
      </c>
      <c r="I1104">
        <v>71106040</v>
      </c>
      <c r="J1104">
        <v>21021040</v>
      </c>
      <c r="K1104" t="s">
        <v>125</v>
      </c>
      <c r="L1104" s="4">
        <v>634.57000000000005</v>
      </c>
      <c r="M1104" t="s">
        <v>54</v>
      </c>
      <c r="N1104" s="4">
        <v>11931.06</v>
      </c>
      <c r="O1104" t="s">
        <v>31</v>
      </c>
      <c r="R1104" t="s">
        <v>1121</v>
      </c>
      <c r="S1104">
        <v>752738581</v>
      </c>
      <c r="T1104">
        <v>602358</v>
      </c>
      <c r="U1104" t="s">
        <v>130</v>
      </c>
      <c r="X1104" t="s">
        <v>61</v>
      </c>
      <c r="Y1104" s="8">
        <v>2292349</v>
      </c>
      <c r="Z1104">
        <v>20200127</v>
      </c>
      <c r="AA1104">
        <f t="shared" si="17"/>
        <v>634.57000000000005</v>
      </c>
      <c r="AB1104">
        <v>0</v>
      </c>
      <c r="AC1104">
        <f>AA1104</f>
        <v>634.57000000000005</v>
      </c>
      <c r="AD1104">
        <v>300018475</v>
      </c>
      <c r="AE1104" t="s">
        <v>176</v>
      </c>
      <c r="AF1104" s="4">
        <f>AC1104</f>
        <v>634.57000000000005</v>
      </c>
      <c r="AG1104" t="s">
        <v>1146</v>
      </c>
      <c r="AH1104" t="s">
        <v>1123</v>
      </c>
      <c r="AI1104">
        <v>300026024</v>
      </c>
      <c r="AJ1104" t="s">
        <v>1125</v>
      </c>
      <c r="AK1104" t="s">
        <v>1124</v>
      </c>
      <c r="AL1104">
        <v>340321990</v>
      </c>
      <c r="AM1104" t="s">
        <v>177</v>
      </c>
    </row>
    <row r="1105" spans="1:39" x14ac:dyDescent="0.35">
      <c r="A1105">
        <v>3402</v>
      </c>
      <c r="B1105" t="s">
        <v>61</v>
      </c>
      <c r="C1105">
        <v>2020</v>
      </c>
      <c r="D1105" s="1">
        <v>43831</v>
      </c>
      <c r="E1105">
        <v>1</v>
      </c>
      <c r="F1105">
        <v>200091597</v>
      </c>
      <c r="G1105" t="s">
        <v>120</v>
      </c>
      <c r="H1105">
        <v>81</v>
      </c>
      <c r="I1105">
        <v>71106150</v>
      </c>
      <c r="J1105">
        <v>21021040</v>
      </c>
      <c r="K1105" t="s">
        <v>102</v>
      </c>
      <c r="L1105" s="4">
        <v>7909.01</v>
      </c>
      <c r="M1105" t="s">
        <v>54</v>
      </c>
      <c r="N1105" s="4">
        <v>148703.62</v>
      </c>
      <c r="O1105" t="s">
        <v>31</v>
      </c>
      <c r="R1105" t="s">
        <v>1121</v>
      </c>
      <c r="S1105">
        <v>593383972</v>
      </c>
      <c r="T1105">
        <v>600226</v>
      </c>
      <c r="U1105" t="s">
        <v>126</v>
      </c>
      <c r="X1105" t="s">
        <v>83</v>
      </c>
      <c r="Y1105" s="8" t="s">
        <v>179</v>
      </c>
      <c r="Z1105">
        <v>20200127</v>
      </c>
      <c r="AA1105">
        <f t="shared" si="17"/>
        <v>7909.01</v>
      </c>
      <c r="AB1105">
        <v>0</v>
      </c>
      <c r="AC1105">
        <f>AA1105</f>
        <v>7909.01</v>
      </c>
      <c r="AD1105">
        <v>200091600</v>
      </c>
      <c r="AE1105" t="s">
        <v>180</v>
      </c>
      <c r="AF1105" s="4">
        <f>AC1105/1.25</f>
        <v>6327.2080000000005</v>
      </c>
      <c r="AG1105" t="s">
        <v>1152</v>
      </c>
      <c r="AH1105" t="s">
        <v>1123</v>
      </c>
      <c r="AI1105">
        <v>200783543</v>
      </c>
      <c r="AJ1105" t="s">
        <v>1125</v>
      </c>
      <c r="AK1105" t="s">
        <v>1124</v>
      </c>
      <c r="AL1105">
        <v>340221790</v>
      </c>
      <c r="AM1105" t="s">
        <v>135</v>
      </c>
    </row>
    <row r="1106" spans="1:39" x14ac:dyDescent="0.35">
      <c r="A1106">
        <v>3409</v>
      </c>
      <c r="B1106" t="s">
        <v>181</v>
      </c>
      <c r="C1106">
        <v>2020</v>
      </c>
      <c r="D1106" s="1">
        <v>43831</v>
      </c>
      <c r="E1106">
        <v>1</v>
      </c>
      <c r="F1106">
        <v>900006201</v>
      </c>
      <c r="G1106" t="s">
        <v>120</v>
      </c>
      <c r="H1106">
        <v>81</v>
      </c>
      <c r="I1106">
        <v>71106040</v>
      </c>
      <c r="J1106">
        <v>21021040</v>
      </c>
      <c r="K1106" t="s">
        <v>125</v>
      </c>
      <c r="L1106" s="4">
        <v>115.68</v>
      </c>
      <c r="M1106" t="s">
        <v>54</v>
      </c>
      <c r="N1106" s="4">
        <v>2173.9699999999998</v>
      </c>
      <c r="O1106" t="s">
        <v>31</v>
      </c>
      <c r="R1106" t="s">
        <v>1121</v>
      </c>
      <c r="S1106">
        <v>133189146</v>
      </c>
      <c r="T1106">
        <v>105142</v>
      </c>
      <c r="U1106" t="s">
        <v>182</v>
      </c>
      <c r="X1106" t="s">
        <v>181</v>
      </c>
      <c r="Y1106" s="8" t="s">
        <v>183</v>
      </c>
      <c r="Z1106">
        <v>20200118</v>
      </c>
      <c r="AA1106">
        <f t="shared" ref="AA1106:AA1169" si="24">L1106</f>
        <v>115.68</v>
      </c>
      <c r="AB1106">
        <v>0</v>
      </c>
      <c r="AC1106">
        <f>AA1106</f>
        <v>115.68</v>
      </c>
      <c r="AD1106">
        <v>900006377</v>
      </c>
      <c r="AE1106" t="s">
        <v>184</v>
      </c>
      <c r="AF1106" s="4">
        <f>AC1106</f>
        <v>115.68</v>
      </c>
      <c r="AG1106" t="s">
        <v>93</v>
      </c>
      <c r="AH1106" t="s">
        <v>1123</v>
      </c>
      <c r="AI1106">
        <v>900008379</v>
      </c>
      <c r="AJ1106" t="s">
        <v>1125</v>
      </c>
      <c r="AK1106" t="s">
        <v>1124</v>
      </c>
      <c r="AL1106">
        <v>340921790</v>
      </c>
      <c r="AM1106" t="s">
        <v>185</v>
      </c>
    </row>
    <row r="1107" spans="1:39" x14ac:dyDescent="0.35">
      <c r="A1107">
        <v>3406</v>
      </c>
      <c r="B1107" t="s">
        <v>28</v>
      </c>
      <c r="C1107">
        <v>2020</v>
      </c>
      <c r="D1107" s="1">
        <v>43831</v>
      </c>
      <c r="E1107">
        <v>2</v>
      </c>
      <c r="F1107">
        <v>600031588</v>
      </c>
      <c r="G1107" t="s">
        <v>29</v>
      </c>
      <c r="H1107">
        <v>81</v>
      </c>
      <c r="I1107">
        <v>71101060</v>
      </c>
      <c r="J1107">
        <v>11500010</v>
      </c>
      <c r="K1107" t="s">
        <v>30</v>
      </c>
      <c r="L1107" s="4">
        <v>2733.35</v>
      </c>
      <c r="M1107" t="s">
        <v>31</v>
      </c>
      <c r="N1107" s="4">
        <v>2733.35</v>
      </c>
      <c r="O1107" t="s">
        <v>31</v>
      </c>
      <c r="X1107" t="s">
        <v>35</v>
      </c>
      <c r="Y1107"/>
      <c r="Z1107">
        <v>20200131</v>
      </c>
      <c r="AA1107">
        <f t="shared" si="24"/>
        <v>2733.35</v>
      </c>
      <c r="AC1107"/>
      <c r="AF1107"/>
      <c r="AL1107">
        <v>340610490</v>
      </c>
      <c r="AM1107" t="s">
        <v>36</v>
      </c>
    </row>
    <row r="1108" spans="1:39" x14ac:dyDescent="0.35">
      <c r="A1108">
        <v>3406</v>
      </c>
      <c r="B1108" t="s">
        <v>28</v>
      </c>
      <c r="C1108">
        <v>2020</v>
      </c>
      <c r="D1108" s="1">
        <v>43831</v>
      </c>
      <c r="E1108">
        <v>4</v>
      </c>
      <c r="F1108">
        <v>600031588</v>
      </c>
      <c r="G1108" t="s">
        <v>29</v>
      </c>
      <c r="H1108">
        <v>81</v>
      </c>
      <c r="I1108">
        <v>71101060</v>
      </c>
      <c r="J1108">
        <v>11500010</v>
      </c>
      <c r="K1108" t="s">
        <v>30</v>
      </c>
      <c r="L1108" s="4">
        <v>1356.66</v>
      </c>
      <c r="M1108" t="s">
        <v>31</v>
      </c>
      <c r="N1108" s="4">
        <v>1356.66</v>
      </c>
      <c r="O1108" t="s">
        <v>31</v>
      </c>
      <c r="X1108" t="s">
        <v>35</v>
      </c>
      <c r="Y1108"/>
      <c r="Z1108">
        <v>20200131</v>
      </c>
      <c r="AA1108">
        <f t="shared" si="24"/>
        <v>1356.66</v>
      </c>
      <c r="AC1108"/>
      <c r="AF1108"/>
      <c r="AL1108">
        <v>340610490</v>
      </c>
      <c r="AM1108" t="s">
        <v>36</v>
      </c>
    </row>
    <row r="1109" spans="1:39" x14ac:dyDescent="0.35">
      <c r="A1109">
        <v>3406</v>
      </c>
      <c r="B1109" t="s">
        <v>28</v>
      </c>
      <c r="C1109">
        <v>2020</v>
      </c>
      <c r="D1109" s="1">
        <v>43831</v>
      </c>
      <c r="E1109">
        <v>6</v>
      </c>
      <c r="F1109">
        <v>600031588</v>
      </c>
      <c r="G1109" t="s">
        <v>29</v>
      </c>
      <c r="H1109">
        <v>81</v>
      </c>
      <c r="I1109">
        <v>71101060</v>
      </c>
      <c r="J1109">
        <v>11500010</v>
      </c>
      <c r="K1109" t="s">
        <v>30</v>
      </c>
      <c r="L1109" s="4">
        <v>1680</v>
      </c>
      <c r="M1109" t="s">
        <v>31</v>
      </c>
      <c r="N1109" s="4">
        <v>1680</v>
      </c>
      <c r="O1109" t="s">
        <v>31</v>
      </c>
      <c r="X1109" t="s">
        <v>35</v>
      </c>
      <c r="Y1109"/>
      <c r="Z1109">
        <v>20200131</v>
      </c>
      <c r="AA1109">
        <f t="shared" si="24"/>
        <v>1680</v>
      </c>
      <c r="AC1109"/>
      <c r="AF1109"/>
      <c r="AL1109">
        <v>340610490</v>
      </c>
      <c r="AM1109" t="s">
        <v>36</v>
      </c>
    </row>
    <row r="1110" spans="1:39" x14ac:dyDescent="0.35">
      <c r="A1110">
        <v>3406</v>
      </c>
      <c r="B1110" t="s">
        <v>28</v>
      </c>
      <c r="C1110">
        <v>2020</v>
      </c>
      <c r="D1110" s="1">
        <v>43831</v>
      </c>
      <c r="E1110">
        <v>12</v>
      </c>
      <c r="F1110">
        <v>600031588</v>
      </c>
      <c r="G1110" t="s">
        <v>29</v>
      </c>
      <c r="H1110">
        <v>81</v>
      </c>
      <c r="I1110">
        <v>71101060</v>
      </c>
      <c r="J1110">
        <v>11500010</v>
      </c>
      <c r="K1110" t="s">
        <v>30</v>
      </c>
      <c r="L1110" s="4">
        <v>146.9</v>
      </c>
      <c r="M1110" t="s">
        <v>31</v>
      </c>
      <c r="N1110" s="4">
        <v>146.9</v>
      </c>
      <c r="O1110" t="s">
        <v>31</v>
      </c>
      <c r="X1110" t="s">
        <v>35</v>
      </c>
      <c r="Y1110"/>
      <c r="Z1110">
        <v>20200131</v>
      </c>
      <c r="AA1110">
        <f t="shared" si="24"/>
        <v>146.9</v>
      </c>
      <c r="AC1110"/>
      <c r="AF1110"/>
      <c r="AL1110">
        <v>340610490</v>
      </c>
      <c r="AM1110" t="s">
        <v>36</v>
      </c>
    </row>
    <row r="1111" spans="1:39" x14ac:dyDescent="0.35">
      <c r="A1111">
        <v>3406</v>
      </c>
      <c r="B1111" t="s">
        <v>28</v>
      </c>
      <c r="C1111">
        <v>2020</v>
      </c>
      <c r="D1111" s="1">
        <v>43831</v>
      </c>
      <c r="E1111">
        <v>14</v>
      </c>
      <c r="F1111">
        <v>600031588</v>
      </c>
      <c r="G1111" t="s">
        <v>29</v>
      </c>
      <c r="H1111">
        <v>81</v>
      </c>
      <c r="I1111">
        <v>71101060</v>
      </c>
      <c r="J1111">
        <v>11500010</v>
      </c>
      <c r="K1111" t="s">
        <v>30</v>
      </c>
      <c r="L1111" s="4">
        <v>73.45</v>
      </c>
      <c r="M1111" t="s">
        <v>31</v>
      </c>
      <c r="N1111" s="4">
        <v>73.45</v>
      </c>
      <c r="O1111" t="s">
        <v>31</v>
      </c>
      <c r="X1111" t="s">
        <v>35</v>
      </c>
      <c r="Y1111"/>
      <c r="Z1111">
        <v>20200131</v>
      </c>
      <c r="AA1111">
        <f t="shared" si="24"/>
        <v>73.45</v>
      </c>
      <c r="AC1111"/>
      <c r="AF1111"/>
      <c r="AL1111">
        <v>340610490</v>
      </c>
      <c r="AM1111" t="s">
        <v>36</v>
      </c>
    </row>
    <row r="1112" spans="1:39" x14ac:dyDescent="0.35">
      <c r="A1112">
        <v>3406</v>
      </c>
      <c r="B1112" t="s">
        <v>28</v>
      </c>
      <c r="C1112">
        <v>2020</v>
      </c>
      <c r="D1112" s="1">
        <v>43831</v>
      </c>
      <c r="E1112">
        <v>22</v>
      </c>
      <c r="F1112">
        <v>600031588</v>
      </c>
      <c r="G1112" t="s">
        <v>29</v>
      </c>
      <c r="H1112">
        <v>81</v>
      </c>
      <c r="I1112">
        <v>71101060</v>
      </c>
      <c r="J1112">
        <v>11500010</v>
      </c>
      <c r="K1112" t="s">
        <v>30</v>
      </c>
      <c r="L1112" s="4">
        <v>563.5</v>
      </c>
      <c r="M1112" t="s">
        <v>31</v>
      </c>
      <c r="N1112" s="4">
        <v>563.5</v>
      </c>
      <c r="O1112" t="s">
        <v>31</v>
      </c>
      <c r="X1112" t="s">
        <v>35</v>
      </c>
      <c r="Y1112"/>
      <c r="Z1112">
        <v>20200131</v>
      </c>
      <c r="AA1112">
        <f t="shared" si="24"/>
        <v>563.5</v>
      </c>
      <c r="AC1112"/>
      <c r="AF1112"/>
      <c r="AL1112">
        <v>340610490</v>
      </c>
      <c r="AM1112" t="s">
        <v>36</v>
      </c>
    </row>
    <row r="1113" spans="1:39" x14ac:dyDescent="0.35">
      <c r="A1113">
        <v>3406</v>
      </c>
      <c r="B1113" t="s">
        <v>28</v>
      </c>
      <c r="C1113">
        <v>2020</v>
      </c>
      <c r="D1113" s="1">
        <v>43831</v>
      </c>
      <c r="E1113">
        <v>24</v>
      </c>
      <c r="F1113">
        <v>600031588</v>
      </c>
      <c r="G1113" t="s">
        <v>29</v>
      </c>
      <c r="H1113">
        <v>81</v>
      </c>
      <c r="I1113">
        <v>71101060</v>
      </c>
      <c r="J1113">
        <v>11500010</v>
      </c>
      <c r="K1113" t="s">
        <v>30</v>
      </c>
      <c r="L1113" s="4">
        <v>55</v>
      </c>
      <c r="M1113" t="s">
        <v>31</v>
      </c>
      <c r="N1113" s="4">
        <v>55</v>
      </c>
      <c r="O1113" t="s">
        <v>31</v>
      </c>
      <c r="X1113" t="s">
        <v>35</v>
      </c>
      <c r="Y1113"/>
      <c r="Z1113">
        <v>20200131</v>
      </c>
      <c r="AA1113">
        <f t="shared" si="24"/>
        <v>55</v>
      </c>
      <c r="AC1113"/>
      <c r="AF1113"/>
      <c r="AL1113">
        <v>340610490</v>
      </c>
      <c r="AM1113" t="s">
        <v>36</v>
      </c>
    </row>
    <row r="1114" spans="1:39" x14ac:dyDescent="0.35">
      <c r="A1114">
        <v>3406</v>
      </c>
      <c r="B1114" t="s">
        <v>28</v>
      </c>
      <c r="C1114">
        <v>2020</v>
      </c>
      <c r="D1114" s="1">
        <v>43831</v>
      </c>
      <c r="E1114">
        <v>26</v>
      </c>
      <c r="F1114">
        <v>600031588</v>
      </c>
      <c r="G1114" t="s">
        <v>29</v>
      </c>
      <c r="H1114">
        <v>81</v>
      </c>
      <c r="I1114">
        <v>71101060</v>
      </c>
      <c r="J1114">
        <v>11500010</v>
      </c>
      <c r="K1114" t="s">
        <v>30</v>
      </c>
      <c r="L1114" s="4">
        <v>80.5</v>
      </c>
      <c r="M1114" t="s">
        <v>31</v>
      </c>
      <c r="N1114" s="4">
        <v>80.5</v>
      </c>
      <c r="O1114" t="s">
        <v>31</v>
      </c>
      <c r="X1114" t="s">
        <v>35</v>
      </c>
      <c r="Y1114"/>
      <c r="Z1114">
        <v>20200131</v>
      </c>
      <c r="AA1114">
        <f t="shared" si="24"/>
        <v>80.5</v>
      </c>
      <c r="AC1114"/>
      <c r="AF1114"/>
      <c r="AL1114">
        <v>340610490</v>
      </c>
      <c r="AM1114" t="s">
        <v>36</v>
      </c>
    </row>
    <row r="1115" spans="1:39" x14ac:dyDescent="0.35">
      <c r="A1115">
        <v>3406</v>
      </c>
      <c r="B1115" t="s">
        <v>28</v>
      </c>
      <c r="C1115">
        <v>2020</v>
      </c>
      <c r="D1115" s="1">
        <v>43831</v>
      </c>
      <c r="E1115">
        <v>28</v>
      </c>
      <c r="F1115">
        <v>600031588</v>
      </c>
      <c r="G1115" t="s">
        <v>29</v>
      </c>
      <c r="H1115">
        <v>81</v>
      </c>
      <c r="I1115">
        <v>71101060</v>
      </c>
      <c r="J1115">
        <v>11500010</v>
      </c>
      <c r="K1115" t="s">
        <v>30</v>
      </c>
      <c r="L1115" s="4">
        <v>184.73</v>
      </c>
      <c r="M1115" t="s">
        <v>31</v>
      </c>
      <c r="N1115" s="4">
        <v>184.73</v>
      </c>
      <c r="O1115" t="s">
        <v>31</v>
      </c>
      <c r="X1115" t="s">
        <v>35</v>
      </c>
      <c r="Y1115"/>
      <c r="Z1115">
        <v>20200131</v>
      </c>
      <c r="AA1115">
        <f t="shared" si="24"/>
        <v>184.73</v>
      </c>
      <c r="AC1115"/>
      <c r="AF1115"/>
      <c r="AL1115">
        <v>340610490</v>
      </c>
      <c r="AM1115" t="s">
        <v>36</v>
      </c>
    </row>
    <row r="1116" spans="1:39" x14ac:dyDescent="0.35">
      <c r="A1116">
        <v>3406</v>
      </c>
      <c r="B1116" t="s">
        <v>28</v>
      </c>
      <c r="C1116">
        <v>2020</v>
      </c>
      <c r="D1116" s="1">
        <v>43831</v>
      </c>
      <c r="E1116">
        <v>30</v>
      </c>
      <c r="F1116">
        <v>600031588</v>
      </c>
      <c r="G1116" t="s">
        <v>29</v>
      </c>
      <c r="H1116">
        <v>81</v>
      </c>
      <c r="I1116">
        <v>71101060</v>
      </c>
      <c r="J1116">
        <v>11500010</v>
      </c>
      <c r="K1116" t="s">
        <v>30</v>
      </c>
      <c r="L1116" s="4">
        <v>840</v>
      </c>
      <c r="M1116" t="s">
        <v>31</v>
      </c>
      <c r="N1116" s="4">
        <v>840</v>
      </c>
      <c r="O1116" t="s">
        <v>31</v>
      </c>
      <c r="X1116" t="s">
        <v>35</v>
      </c>
      <c r="Y1116"/>
      <c r="Z1116">
        <v>20200131</v>
      </c>
      <c r="AA1116">
        <f t="shared" si="24"/>
        <v>840</v>
      </c>
      <c r="AC1116"/>
      <c r="AF1116"/>
      <c r="AL1116">
        <v>340610490</v>
      </c>
      <c r="AM1116" t="s">
        <v>36</v>
      </c>
    </row>
    <row r="1117" spans="1:39" x14ac:dyDescent="0.35">
      <c r="A1117">
        <v>3406</v>
      </c>
      <c r="B1117" t="s">
        <v>28</v>
      </c>
      <c r="C1117">
        <v>2020</v>
      </c>
      <c r="D1117" s="1">
        <v>43831</v>
      </c>
      <c r="E1117">
        <v>32</v>
      </c>
      <c r="F1117">
        <v>600031588</v>
      </c>
      <c r="G1117" t="s">
        <v>29</v>
      </c>
      <c r="H1117">
        <v>81</v>
      </c>
      <c r="I1117">
        <v>71101060</v>
      </c>
      <c r="J1117">
        <v>11500010</v>
      </c>
      <c r="K1117" t="s">
        <v>30</v>
      </c>
      <c r="L1117" s="4">
        <v>734.75</v>
      </c>
      <c r="M1117" t="s">
        <v>31</v>
      </c>
      <c r="N1117" s="4">
        <v>734.75</v>
      </c>
      <c r="O1117" t="s">
        <v>31</v>
      </c>
      <c r="X1117" t="s">
        <v>35</v>
      </c>
      <c r="Y1117"/>
      <c r="Z1117">
        <v>20200131</v>
      </c>
      <c r="AA1117">
        <f t="shared" si="24"/>
        <v>734.75</v>
      </c>
      <c r="AC1117"/>
      <c r="AF1117"/>
      <c r="AL1117">
        <v>340610490</v>
      </c>
      <c r="AM1117" t="s">
        <v>36</v>
      </c>
    </row>
    <row r="1118" spans="1:39" x14ac:dyDescent="0.35">
      <c r="A1118">
        <v>3406</v>
      </c>
      <c r="B1118" t="s">
        <v>28</v>
      </c>
      <c r="C1118">
        <v>2020</v>
      </c>
      <c r="D1118" s="1">
        <v>43831</v>
      </c>
      <c r="E1118">
        <v>82</v>
      </c>
      <c r="F1118">
        <v>600031588</v>
      </c>
      <c r="G1118" t="s">
        <v>29</v>
      </c>
      <c r="H1118">
        <v>81</v>
      </c>
      <c r="I1118">
        <v>71101060</v>
      </c>
      <c r="J1118">
        <v>11500010</v>
      </c>
      <c r="K1118" t="s">
        <v>30</v>
      </c>
      <c r="L1118" s="4">
        <v>73.45</v>
      </c>
      <c r="M1118" t="s">
        <v>31</v>
      </c>
      <c r="N1118" s="4">
        <v>73.45</v>
      </c>
      <c r="O1118" t="s">
        <v>31</v>
      </c>
      <c r="X1118" t="s">
        <v>35</v>
      </c>
      <c r="Y1118"/>
      <c r="Z1118">
        <v>20200131</v>
      </c>
      <c r="AA1118">
        <f t="shared" si="24"/>
        <v>73.45</v>
      </c>
      <c r="AC1118"/>
      <c r="AF1118"/>
      <c r="AL1118">
        <v>340610490</v>
      </c>
      <c r="AM1118" t="s">
        <v>36</v>
      </c>
    </row>
    <row r="1119" spans="1:39" x14ac:dyDescent="0.35">
      <c r="A1119">
        <v>3406</v>
      </c>
      <c r="B1119" t="s">
        <v>28</v>
      </c>
      <c r="C1119">
        <v>2020</v>
      </c>
      <c r="D1119" s="1">
        <v>43831</v>
      </c>
      <c r="E1119">
        <v>84</v>
      </c>
      <c r="F1119">
        <v>600031588</v>
      </c>
      <c r="G1119" t="s">
        <v>29</v>
      </c>
      <c r="H1119">
        <v>81</v>
      </c>
      <c r="I1119">
        <v>71101060</v>
      </c>
      <c r="J1119">
        <v>11500010</v>
      </c>
      <c r="K1119" t="s">
        <v>30</v>
      </c>
      <c r="L1119" s="4">
        <v>10262</v>
      </c>
      <c r="M1119" t="s">
        <v>31</v>
      </c>
      <c r="N1119" s="4">
        <v>10262</v>
      </c>
      <c r="O1119" t="s">
        <v>31</v>
      </c>
      <c r="X1119" t="s">
        <v>35</v>
      </c>
      <c r="Y1119"/>
      <c r="Z1119">
        <v>20200131</v>
      </c>
      <c r="AA1119">
        <f t="shared" si="24"/>
        <v>10262</v>
      </c>
      <c r="AC1119"/>
      <c r="AF1119"/>
      <c r="AL1119">
        <v>340610490</v>
      </c>
      <c r="AM1119" t="s">
        <v>36</v>
      </c>
    </row>
    <row r="1120" spans="1:39" x14ac:dyDescent="0.35">
      <c r="A1120">
        <v>3406</v>
      </c>
      <c r="B1120" t="s">
        <v>28</v>
      </c>
      <c r="C1120">
        <v>2020</v>
      </c>
      <c r="D1120" s="1">
        <v>43831</v>
      </c>
      <c r="E1120">
        <v>86</v>
      </c>
      <c r="F1120">
        <v>600031588</v>
      </c>
      <c r="G1120" t="s">
        <v>29</v>
      </c>
      <c r="H1120">
        <v>81</v>
      </c>
      <c r="I1120">
        <v>71101060</v>
      </c>
      <c r="J1120">
        <v>11500010</v>
      </c>
      <c r="K1120" t="s">
        <v>30</v>
      </c>
      <c r="L1120" s="4">
        <v>5131</v>
      </c>
      <c r="M1120" t="s">
        <v>31</v>
      </c>
      <c r="N1120" s="4">
        <v>5131</v>
      </c>
      <c r="O1120" t="s">
        <v>31</v>
      </c>
      <c r="X1120" t="s">
        <v>35</v>
      </c>
      <c r="Y1120"/>
      <c r="Z1120">
        <v>20200131</v>
      </c>
      <c r="AA1120">
        <f t="shared" si="24"/>
        <v>5131</v>
      </c>
      <c r="AC1120"/>
      <c r="AF1120"/>
      <c r="AL1120">
        <v>340610490</v>
      </c>
      <c r="AM1120" t="s">
        <v>36</v>
      </c>
    </row>
    <row r="1121" spans="1:39" x14ac:dyDescent="0.35">
      <c r="A1121">
        <v>3406</v>
      </c>
      <c r="B1121" t="s">
        <v>28</v>
      </c>
      <c r="C1121">
        <v>2020</v>
      </c>
      <c r="D1121" s="1">
        <v>43831</v>
      </c>
      <c r="E1121">
        <v>88</v>
      </c>
      <c r="F1121">
        <v>600031588</v>
      </c>
      <c r="G1121" t="s">
        <v>29</v>
      </c>
      <c r="H1121">
        <v>81</v>
      </c>
      <c r="I1121">
        <v>71101060</v>
      </c>
      <c r="J1121">
        <v>11500010</v>
      </c>
      <c r="K1121" t="s">
        <v>30</v>
      </c>
      <c r="L1121" s="4">
        <v>10262</v>
      </c>
      <c r="M1121" t="s">
        <v>31</v>
      </c>
      <c r="N1121" s="4">
        <v>10262</v>
      </c>
      <c r="O1121" t="s">
        <v>31</v>
      </c>
      <c r="X1121" t="s">
        <v>35</v>
      </c>
      <c r="Y1121"/>
      <c r="Z1121">
        <v>20200131</v>
      </c>
      <c r="AA1121">
        <f t="shared" si="24"/>
        <v>10262</v>
      </c>
      <c r="AC1121"/>
      <c r="AF1121"/>
      <c r="AL1121">
        <v>340610490</v>
      </c>
      <c r="AM1121" t="s">
        <v>36</v>
      </c>
    </row>
    <row r="1122" spans="1:39" x14ac:dyDescent="0.35">
      <c r="A1122">
        <v>3406</v>
      </c>
      <c r="B1122" t="s">
        <v>28</v>
      </c>
      <c r="C1122">
        <v>2020</v>
      </c>
      <c r="D1122" s="1">
        <v>43831</v>
      </c>
      <c r="E1122">
        <v>90</v>
      </c>
      <c r="F1122">
        <v>600031588</v>
      </c>
      <c r="G1122" t="s">
        <v>29</v>
      </c>
      <c r="H1122">
        <v>81</v>
      </c>
      <c r="I1122">
        <v>71101060</v>
      </c>
      <c r="J1122">
        <v>11500010</v>
      </c>
      <c r="K1122" t="s">
        <v>30</v>
      </c>
      <c r="L1122" s="4">
        <v>5131</v>
      </c>
      <c r="M1122" t="s">
        <v>31</v>
      </c>
      <c r="N1122" s="4">
        <v>5131</v>
      </c>
      <c r="O1122" t="s">
        <v>31</v>
      </c>
      <c r="X1122" t="s">
        <v>35</v>
      </c>
      <c r="Y1122"/>
      <c r="Z1122">
        <v>20200131</v>
      </c>
      <c r="AA1122">
        <f t="shared" si="24"/>
        <v>5131</v>
      </c>
      <c r="AC1122"/>
      <c r="AF1122"/>
      <c r="AL1122">
        <v>340610490</v>
      </c>
      <c r="AM1122" t="s">
        <v>36</v>
      </c>
    </row>
    <row r="1123" spans="1:39" x14ac:dyDescent="0.35">
      <c r="A1123">
        <v>3406</v>
      </c>
      <c r="B1123" t="s">
        <v>28</v>
      </c>
      <c r="C1123">
        <v>2020</v>
      </c>
      <c r="D1123" s="1">
        <v>43831</v>
      </c>
      <c r="E1123">
        <v>106</v>
      </c>
      <c r="F1123">
        <v>600031588</v>
      </c>
      <c r="G1123" t="s">
        <v>29</v>
      </c>
      <c r="H1123">
        <v>81</v>
      </c>
      <c r="I1123">
        <v>71101060</v>
      </c>
      <c r="J1123">
        <v>11500010</v>
      </c>
      <c r="K1123" t="s">
        <v>30</v>
      </c>
      <c r="L1123" s="4">
        <v>1261.25</v>
      </c>
      <c r="M1123" t="s">
        <v>31</v>
      </c>
      <c r="N1123" s="4">
        <v>1261.25</v>
      </c>
      <c r="O1123" t="s">
        <v>31</v>
      </c>
      <c r="X1123" t="s">
        <v>35</v>
      </c>
      <c r="Y1123"/>
      <c r="Z1123">
        <v>20200131</v>
      </c>
      <c r="AA1123">
        <f t="shared" si="24"/>
        <v>1261.25</v>
      </c>
      <c r="AC1123"/>
      <c r="AF1123"/>
      <c r="AL1123">
        <v>340610490</v>
      </c>
      <c r="AM1123" t="s">
        <v>36</v>
      </c>
    </row>
    <row r="1124" spans="1:39" x14ac:dyDescent="0.35">
      <c r="A1124">
        <v>3406</v>
      </c>
      <c r="B1124" t="s">
        <v>28</v>
      </c>
      <c r="C1124">
        <v>2020</v>
      </c>
      <c r="D1124" s="1">
        <v>43831</v>
      </c>
      <c r="E1124">
        <v>108</v>
      </c>
      <c r="F1124">
        <v>600031588</v>
      </c>
      <c r="G1124" t="s">
        <v>29</v>
      </c>
      <c r="H1124">
        <v>81</v>
      </c>
      <c r="I1124">
        <v>71101060</v>
      </c>
      <c r="J1124">
        <v>11500010</v>
      </c>
      <c r="K1124" t="s">
        <v>30</v>
      </c>
      <c r="L1124" s="4">
        <v>504.5</v>
      </c>
      <c r="M1124" t="s">
        <v>31</v>
      </c>
      <c r="N1124" s="4">
        <v>504.5</v>
      </c>
      <c r="O1124" t="s">
        <v>31</v>
      </c>
      <c r="X1124" t="s">
        <v>35</v>
      </c>
      <c r="Y1124"/>
      <c r="Z1124">
        <v>20200131</v>
      </c>
      <c r="AA1124">
        <f t="shared" si="24"/>
        <v>504.5</v>
      </c>
      <c r="AC1124"/>
      <c r="AF1124"/>
      <c r="AL1124">
        <v>340610490</v>
      </c>
      <c r="AM1124" t="s">
        <v>36</v>
      </c>
    </row>
    <row r="1125" spans="1:39" x14ac:dyDescent="0.35">
      <c r="A1125">
        <v>3406</v>
      </c>
      <c r="B1125" t="s">
        <v>28</v>
      </c>
      <c r="C1125">
        <v>2020</v>
      </c>
      <c r="D1125" s="1">
        <v>43831</v>
      </c>
      <c r="E1125">
        <v>110</v>
      </c>
      <c r="F1125">
        <v>600031588</v>
      </c>
      <c r="G1125" t="s">
        <v>29</v>
      </c>
      <c r="H1125">
        <v>81</v>
      </c>
      <c r="I1125">
        <v>71101060</v>
      </c>
      <c r="J1125">
        <v>11500010</v>
      </c>
      <c r="K1125" t="s">
        <v>30</v>
      </c>
      <c r="L1125" s="4">
        <v>408.1</v>
      </c>
      <c r="M1125" t="s">
        <v>31</v>
      </c>
      <c r="N1125" s="4">
        <v>408.1</v>
      </c>
      <c r="O1125" t="s">
        <v>31</v>
      </c>
      <c r="X1125" t="s">
        <v>35</v>
      </c>
      <c r="Y1125"/>
      <c r="Z1125">
        <v>20200131</v>
      </c>
      <c r="AA1125">
        <f t="shared" si="24"/>
        <v>408.1</v>
      </c>
      <c r="AC1125"/>
      <c r="AF1125"/>
      <c r="AL1125">
        <v>340610490</v>
      </c>
      <c r="AM1125" t="s">
        <v>36</v>
      </c>
    </row>
    <row r="1126" spans="1:39" x14ac:dyDescent="0.35">
      <c r="A1126">
        <v>3406</v>
      </c>
      <c r="B1126" t="s">
        <v>28</v>
      </c>
      <c r="C1126">
        <v>2020</v>
      </c>
      <c r="D1126" s="1">
        <v>43831</v>
      </c>
      <c r="E1126">
        <v>134</v>
      </c>
      <c r="F1126">
        <v>600031588</v>
      </c>
      <c r="G1126" t="s">
        <v>29</v>
      </c>
      <c r="H1126">
        <v>81</v>
      </c>
      <c r="I1126">
        <v>71101060</v>
      </c>
      <c r="J1126">
        <v>11500010</v>
      </c>
      <c r="K1126" t="s">
        <v>30</v>
      </c>
      <c r="L1126" s="4">
        <v>10857</v>
      </c>
      <c r="M1126" t="s">
        <v>31</v>
      </c>
      <c r="N1126" s="4">
        <v>10857</v>
      </c>
      <c r="O1126" t="s">
        <v>31</v>
      </c>
      <c r="X1126" t="s">
        <v>35</v>
      </c>
      <c r="Y1126"/>
      <c r="Z1126">
        <v>20200131</v>
      </c>
      <c r="AA1126">
        <f t="shared" si="24"/>
        <v>10857</v>
      </c>
      <c r="AC1126"/>
      <c r="AF1126"/>
      <c r="AL1126">
        <v>340610490</v>
      </c>
      <c r="AM1126" t="s">
        <v>36</v>
      </c>
    </row>
    <row r="1127" spans="1:39" x14ac:dyDescent="0.35">
      <c r="A1127">
        <v>3406</v>
      </c>
      <c r="B1127" t="s">
        <v>28</v>
      </c>
      <c r="C1127">
        <v>2020</v>
      </c>
      <c r="D1127" s="1">
        <v>43831</v>
      </c>
      <c r="E1127">
        <v>136</v>
      </c>
      <c r="F1127">
        <v>600031588</v>
      </c>
      <c r="G1127" t="s">
        <v>29</v>
      </c>
      <c r="H1127">
        <v>81</v>
      </c>
      <c r="I1127">
        <v>71101060</v>
      </c>
      <c r="J1127">
        <v>11500010</v>
      </c>
      <c r="K1127" t="s">
        <v>30</v>
      </c>
      <c r="L1127" s="4">
        <v>8976</v>
      </c>
      <c r="M1127" t="s">
        <v>31</v>
      </c>
      <c r="N1127" s="4">
        <v>8976</v>
      </c>
      <c r="O1127" t="s">
        <v>31</v>
      </c>
      <c r="X1127" t="s">
        <v>35</v>
      </c>
      <c r="Y1127"/>
      <c r="Z1127">
        <v>20200131</v>
      </c>
      <c r="AA1127">
        <f t="shared" si="24"/>
        <v>8976</v>
      </c>
      <c r="AC1127"/>
      <c r="AF1127"/>
      <c r="AL1127">
        <v>340610490</v>
      </c>
      <c r="AM1127" t="s">
        <v>36</v>
      </c>
    </row>
    <row r="1128" spans="1:39" x14ac:dyDescent="0.35">
      <c r="A1128">
        <v>3406</v>
      </c>
      <c r="B1128" t="s">
        <v>28</v>
      </c>
      <c r="C1128">
        <v>2020</v>
      </c>
      <c r="D1128" s="1">
        <v>43831</v>
      </c>
      <c r="E1128">
        <v>138</v>
      </c>
      <c r="F1128">
        <v>600031588</v>
      </c>
      <c r="G1128" t="s">
        <v>29</v>
      </c>
      <c r="H1128">
        <v>81</v>
      </c>
      <c r="I1128">
        <v>71101060</v>
      </c>
      <c r="J1128">
        <v>11500010</v>
      </c>
      <c r="K1128" t="s">
        <v>30</v>
      </c>
      <c r="L1128" s="4">
        <v>9262.2999999999993</v>
      </c>
      <c r="M1128" t="s">
        <v>31</v>
      </c>
      <c r="N1128" s="4">
        <v>9262.2999999999993</v>
      </c>
      <c r="O1128" t="s">
        <v>31</v>
      </c>
      <c r="X1128" t="s">
        <v>35</v>
      </c>
      <c r="Y1128"/>
      <c r="Z1128">
        <v>20200131</v>
      </c>
      <c r="AA1128">
        <f t="shared" si="24"/>
        <v>9262.2999999999993</v>
      </c>
      <c r="AC1128"/>
      <c r="AF1128"/>
      <c r="AL1128">
        <v>340610490</v>
      </c>
      <c r="AM1128" t="s">
        <v>36</v>
      </c>
    </row>
    <row r="1129" spans="1:39" x14ac:dyDescent="0.35">
      <c r="A1129">
        <v>3406</v>
      </c>
      <c r="B1129" t="s">
        <v>28</v>
      </c>
      <c r="C1129">
        <v>2020</v>
      </c>
      <c r="D1129" s="1">
        <v>43831</v>
      </c>
      <c r="E1129">
        <v>140</v>
      </c>
      <c r="F1129">
        <v>600031588</v>
      </c>
      <c r="G1129" t="s">
        <v>29</v>
      </c>
      <c r="H1129">
        <v>81</v>
      </c>
      <c r="I1129">
        <v>71101060</v>
      </c>
      <c r="J1129">
        <v>11500010</v>
      </c>
      <c r="K1129" t="s">
        <v>30</v>
      </c>
      <c r="L1129" s="4">
        <v>1531.28</v>
      </c>
      <c r="M1129" t="s">
        <v>31</v>
      </c>
      <c r="N1129" s="4">
        <v>1531.28</v>
      </c>
      <c r="O1129" t="s">
        <v>31</v>
      </c>
      <c r="X1129" t="s">
        <v>35</v>
      </c>
      <c r="Y1129"/>
      <c r="Z1129">
        <v>20200131</v>
      </c>
      <c r="AA1129">
        <f t="shared" si="24"/>
        <v>1531.28</v>
      </c>
      <c r="AC1129"/>
      <c r="AF1129"/>
      <c r="AL1129">
        <v>340610490</v>
      </c>
      <c r="AM1129" t="s">
        <v>36</v>
      </c>
    </row>
    <row r="1130" spans="1:39" x14ac:dyDescent="0.35">
      <c r="A1130">
        <v>3406</v>
      </c>
      <c r="B1130" t="s">
        <v>28</v>
      </c>
      <c r="C1130">
        <v>2020</v>
      </c>
      <c r="D1130" s="1">
        <v>43831</v>
      </c>
      <c r="E1130">
        <v>142</v>
      </c>
      <c r="F1130">
        <v>600031588</v>
      </c>
      <c r="G1130" t="s">
        <v>29</v>
      </c>
      <c r="H1130">
        <v>81</v>
      </c>
      <c r="I1130">
        <v>71101060</v>
      </c>
      <c r="J1130">
        <v>11500010</v>
      </c>
      <c r="K1130" t="s">
        <v>30</v>
      </c>
      <c r="L1130" s="4">
        <v>2365.5</v>
      </c>
      <c r="M1130" t="s">
        <v>31</v>
      </c>
      <c r="N1130" s="4">
        <v>2365.5</v>
      </c>
      <c r="O1130" t="s">
        <v>31</v>
      </c>
      <c r="X1130" t="s">
        <v>35</v>
      </c>
      <c r="Y1130"/>
      <c r="Z1130">
        <v>20200131</v>
      </c>
      <c r="AA1130">
        <f t="shared" si="24"/>
        <v>2365.5</v>
      </c>
      <c r="AC1130"/>
      <c r="AF1130"/>
      <c r="AL1130">
        <v>340610490</v>
      </c>
      <c r="AM1130" t="s">
        <v>36</v>
      </c>
    </row>
    <row r="1131" spans="1:39" x14ac:dyDescent="0.35">
      <c r="A1131">
        <v>3406</v>
      </c>
      <c r="B1131" t="s">
        <v>28</v>
      </c>
      <c r="C1131">
        <v>2020</v>
      </c>
      <c r="D1131" s="1">
        <v>43831</v>
      </c>
      <c r="E1131">
        <v>144</v>
      </c>
      <c r="F1131">
        <v>600031588</v>
      </c>
      <c r="G1131" t="s">
        <v>29</v>
      </c>
      <c r="H1131">
        <v>81</v>
      </c>
      <c r="I1131">
        <v>71101060</v>
      </c>
      <c r="J1131">
        <v>11500010</v>
      </c>
      <c r="K1131" t="s">
        <v>30</v>
      </c>
      <c r="L1131" s="4">
        <v>2660</v>
      </c>
      <c r="M1131" t="s">
        <v>31</v>
      </c>
      <c r="N1131" s="4">
        <v>2660</v>
      </c>
      <c r="O1131" t="s">
        <v>31</v>
      </c>
      <c r="X1131" t="s">
        <v>35</v>
      </c>
      <c r="Y1131"/>
      <c r="Z1131">
        <v>20200131</v>
      </c>
      <c r="AA1131">
        <f t="shared" si="24"/>
        <v>2660</v>
      </c>
      <c r="AC1131"/>
      <c r="AF1131"/>
      <c r="AL1131">
        <v>340610490</v>
      </c>
      <c r="AM1131" t="s">
        <v>36</v>
      </c>
    </row>
    <row r="1132" spans="1:39" x14ac:dyDescent="0.35">
      <c r="A1132">
        <v>3406</v>
      </c>
      <c r="B1132" t="s">
        <v>28</v>
      </c>
      <c r="C1132">
        <v>2020</v>
      </c>
      <c r="D1132" s="1">
        <v>43831</v>
      </c>
      <c r="E1132">
        <v>146</v>
      </c>
      <c r="F1132">
        <v>600031588</v>
      </c>
      <c r="G1132" t="s">
        <v>29</v>
      </c>
      <c r="H1132">
        <v>81</v>
      </c>
      <c r="I1132">
        <v>71101060</v>
      </c>
      <c r="J1132">
        <v>11500010</v>
      </c>
      <c r="K1132" t="s">
        <v>30</v>
      </c>
      <c r="L1132" s="4">
        <v>1900</v>
      </c>
      <c r="M1132" t="s">
        <v>31</v>
      </c>
      <c r="N1132" s="4">
        <v>1900</v>
      </c>
      <c r="O1132" t="s">
        <v>31</v>
      </c>
      <c r="X1132" t="s">
        <v>35</v>
      </c>
      <c r="Y1132"/>
      <c r="Z1132">
        <v>20200131</v>
      </c>
      <c r="AA1132">
        <f t="shared" si="24"/>
        <v>1900</v>
      </c>
      <c r="AC1132"/>
      <c r="AF1132"/>
      <c r="AL1132">
        <v>340610490</v>
      </c>
      <c r="AM1132" t="s">
        <v>36</v>
      </c>
    </row>
    <row r="1133" spans="1:39" x14ac:dyDescent="0.35">
      <c r="A1133">
        <v>3401</v>
      </c>
      <c r="B1133" t="s">
        <v>28</v>
      </c>
      <c r="C1133">
        <v>2020</v>
      </c>
      <c r="D1133" s="1">
        <v>43831</v>
      </c>
      <c r="E1133">
        <v>22</v>
      </c>
      <c r="F1133">
        <v>100031797</v>
      </c>
      <c r="G1133" t="s">
        <v>29</v>
      </c>
      <c r="H1133">
        <v>81</v>
      </c>
      <c r="I1133">
        <v>71101060</v>
      </c>
      <c r="J1133">
        <v>11500040</v>
      </c>
      <c r="K1133" t="s">
        <v>30</v>
      </c>
      <c r="L1133" s="4">
        <v>214</v>
      </c>
      <c r="M1133" t="s">
        <v>31</v>
      </c>
      <c r="N1133" s="4">
        <v>214</v>
      </c>
      <c r="O1133" t="s">
        <v>31</v>
      </c>
      <c r="X1133" t="s">
        <v>28</v>
      </c>
      <c r="Y1133"/>
      <c r="Z1133">
        <v>20200131</v>
      </c>
      <c r="AA1133">
        <f t="shared" si="24"/>
        <v>214</v>
      </c>
      <c r="AC1133"/>
      <c r="AF1133"/>
      <c r="AL1133">
        <v>340112390</v>
      </c>
      <c r="AM1133" t="s">
        <v>37</v>
      </c>
    </row>
    <row r="1134" spans="1:39" x14ac:dyDescent="0.35">
      <c r="A1134">
        <v>3401</v>
      </c>
      <c r="B1134" t="s">
        <v>28</v>
      </c>
      <c r="C1134">
        <v>2020</v>
      </c>
      <c r="D1134" s="1">
        <v>43831</v>
      </c>
      <c r="E1134">
        <v>28</v>
      </c>
      <c r="F1134">
        <v>100031797</v>
      </c>
      <c r="G1134" t="s">
        <v>29</v>
      </c>
      <c r="H1134">
        <v>81</v>
      </c>
      <c r="I1134">
        <v>71101060</v>
      </c>
      <c r="J1134">
        <v>11500040</v>
      </c>
      <c r="K1134" t="s">
        <v>30</v>
      </c>
      <c r="L1134" s="4">
        <v>784</v>
      </c>
      <c r="M1134" t="s">
        <v>31</v>
      </c>
      <c r="N1134" s="4">
        <v>784</v>
      </c>
      <c r="O1134" t="s">
        <v>31</v>
      </c>
      <c r="X1134" t="s">
        <v>28</v>
      </c>
      <c r="Y1134"/>
      <c r="Z1134">
        <v>20200131</v>
      </c>
      <c r="AA1134">
        <f t="shared" si="24"/>
        <v>784</v>
      </c>
      <c r="AC1134"/>
      <c r="AF1134"/>
      <c r="AL1134">
        <v>340112390</v>
      </c>
      <c r="AM1134" t="s">
        <v>37</v>
      </c>
    </row>
    <row r="1135" spans="1:39" x14ac:dyDescent="0.35">
      <c r="A1135">
        <v>3401</v>
      </c>
      <c r="B1135" t="s">
        <v>28</v>
      </c>
      <c r="C1135">
        <v>2020</v>
      </c>
      <c r="D1135" s="1">
        <v>43831</v>
      </c>
      <c r="E1135">
        <v>30</v>
      </c>
      <c r="F1135">
        <v>100031797</v>
      </c>
      <c r="G1135" t="s">
        <v>29</v>
      </c>
      <c r="H1135">
        <v>81</v>
      </c>
      <c r="I1135">
        <v>71101060</v>
      </c>
      <c r="J1135">
        <v>11500040</v>
      </c>
      <c r="K1135" t="s">
        <v>30</v>
      </c>
      <c r="L1135" s="4">
        <v>1239.7</v>
      </c>
      <c r="M1135" t="s">
        <v>31</v>
      </c>
      <c r="N1135" s="4">
        <v>1239.7</v>
      </c>
      <c r="O1135" t="s">
        <v>31</v>
      </c>
      <c r="X1135" t="s">
        <v>28</v>
      </c>
      <c r="Y1135"/>
      <c r="Z1135">
        <v>20200131</v>
      </c>
      <c r="AA1135">
        <f t="shared" si="24"/>
        <v>1239.7</v>
      </c>
      <c r="AC1135"/>
      <c r="AF1135"/>
      <c r="AL1135">
        <v>340112390</v>
      </c>
      <c r="AM1135" t="s">
        <v>37</v>
      </c>
    </row>
    <row r="1136" spans="1:39" x14ac:dyDescent="0.35">
      <c r="A1136">
        <v>3401</v>
      </c>
      <c r="B1136" t="s">
        <v>28</v>
      </c>
      <c r="C1136">
        <v>2020</v>
      </c>
      <c r="D1136" s="1">
        <v>43831</v>
      </c>
      <c r="E1136">
        <v>56</v>
      </c>
      <c r="F1136">
        <v>100031797</v>
      </c>
      <c r="G1136" t="s">
        <v>29</v>
      </c>
      <c r="H1136">
        <v>81</v>
      </c>
      <c r="I1136">
        <v>71101060</v>
      </c>
      <c r="J1136">
        <v>11500040</v>
      </c>
      <c r="K1136" t="s">
        <v>30</v>
      </c>
      <c r="L1136" s="4">
        <v>1933.33</v>
      </c>
      <c r="M1136" t="s">
        <v>31</v>
      </c>
      <c r="N1136" s="4">
        <v>1933.33</v>
      </c>
      <c r="O1136" t="s">
        <v>31</v>
      </c>
      <c r="X1136" t="s">
        <v>28</v>
      </c>
      <c r="Y1136"/>
      <c r="Z1136">
        <v>20200131</v>
      </c>
      <c r="AA1136">
        <f t="shared" si="24"/>
        <v>1933.33</v>
      </c>
      <c r="AC1136"/>
      <c r="AF1136"/>
      <c r="AL1136">
        <v>340112390</v>
      </c>
      <c r="AM1136" t="s">
        <v>37</v>
      </c>
    </row>
    <row r="1137" spans="1:39" x14ac:dyDescent="0.35">
      <c r="A1137">
        <v>3401</v>
      </c>
      <c r="B1137" t="s">
        <v>28</v>
      </c>
      <c r="C1137">
        <v>2020</v>
      </c>
      <c r="D1137" s="1">
        <v>43831</v>
      </c>
      <c r="E1137">
        <v>58</v>
      </c>
      <c r="F1137">
        <v>100031797</v>
      </c>
      <c r="G1137" t="s">
        <v>29</v>
      </c>
      <c r="H1137">
        <v>81</v>
      </c>
      <c r="I1137">
        <v>71101060</v>
      </c>
      <c r="J1137">
        <v>11500040</v>
      </c>
      <c r="K1137" t="s">
        <v>30</v>
      </c>
      <c r="L1137" s="4">
        <v>5578.95</v>
      </c>
      <c r="M1137" t="s">
        <v>31</v>
      </c>
      <c r="N1137" s="4">
        <v>5578.95</v>
      </c>
      <c r="O1137" t="s">
        <v>31</v>
      </c>
      <c r="X1137" t="s">
        <v>28</v>
      </c>
      <c r="Y1137"/>
      <c r="Z1137">
        <v>20200131</v>
      </c>
      <c r="AA1137">
        <f t="shared" si="24"/>
        <v>5578.95</v>
      </c>
      <c r="AC1137"/>
      <c r="AF1137"/>
      <c r="AL1137">
        <v>340112390</v>
      </c>
      <c r="AM1137" t="s">
        <v>37</v>
      </c>
    </row>
    <row r="1138" spans="1:39" x14ac:dyDescent="0.35">
      <c r="A1138">
        <v>3401</v>
      </c>
      <c r="B1138" t="s">
        <v>28</v>
      </c>
      <c r="C1138">
        <v>2020</v>
      </c>
      <c r="D1138" s="1">
        <v>43831</v>
      </c>
      <c r="E1138">
        <v>58</v>
      </c>
      <c r="F1138">
        <v>100031475</v>
      </c>
      <c r="G1138" t="s">
        <v>29</v>
      </c>
      <c r="H1138">
        <v>81</v>
      </c>
      <c r="I1138">
        <v>71101060</v>
      </c>
      <c r="J1138">
        <v>11500010</v>
      </c>
      <c r="K1138" t="s">
        <v>30</v>
      </c>
      <c r="L1138" s="4">
        <v>33.6</v>
      </c>
      <c r="M1138" t="s">
        <v>31</v>
      </c>
      <c r="N1138" s="4">
        <v>33.6</v>
      </c>
      <c r="O1138" t="s">
        <v>31</v>
      </c>
      <c r="X1138" t="s">
        <v>28</v>
      </c>
      <c r="Y1138"/>
      <c r="Z1138">
        <v>20200131</v>
      </c>
      <c r="AA1138">
        <f t="shared" si="24"/>
        <v>33.6</v>
      </c>
      <c r="AC1138"/>
      <c r="AF1138"/>
      <c r="AL1138">
        <v>340112690</v>
      </c>
      <c r="AM1138" t="s">
        <v>37</v>
      </c>
    </row>
    <row r="1139" spans="1:39" x14ac:dyDescent="0.35">
      <c r="A1139">
        <v>3400</v>
      </c>
      <c r="B1139" t="s">
        <v>28</v>
      </c>
      <c r="C1139">
        <v>2020</v>
      </c>
      <c r="D1139" s="1">
        <v>43831</v>
      </c>
      <c r="E1139">
        <v>1</v>
      </c>
      <c r="F1139">
        <v>880003729</v>
      </c>
      <c r="G1139" t="s">
        <v>48</v>
      </c>
      <c r="H1139">
        <v>40</v>
      </c>
      <c r="I1139">
        <v>74010070</v>
      </c>
      <c r="J1139">
        <v>11128112</v>
      </c>
      <c r="K1139" t="s">
        <v>49</v>
      </c>
      <c r="L1139" s="4">
        <v>3310.28</v>
      </c>
      <c r="M1139" t="s">
        <v>54</v>
      </c>
      <c r="N1139" s="4">
        <v>61924.41</v>
      </c>
      <c r="O1139" t="s">
        <v>31</v>
      </c>
      <c r="P1139" t="s">
        <v>50</v>
      </c>
      <c r="X1139" t="s">
        <v>72</v>
      </c>
      <c r="Y1139"/>
      <c r="Z1139" t="s">
        <v>118</v>
      </c>
      <c r="AA1139">
        <f t="shared" si="24"/>
        <v>3310.28</v>
      </c>
      <c r="AC1139"/>
      <c r="AE1139" t="s">
        <v>186</v>
      </c>
      <c r="AF1139"/>
      <c r="AL1139">
        <v>340099150</v>
      </c>
      <c r="AM1139" t="s">
        <v>52</v>
      </c>
    </row>
    <row r="1140" spans="1:39" x14ac:dyDescent="0.35">
      <c r="A1140">
        <v>3401</v>
      </c>
      <c r="B1140" t="s">
        <v>28</v>
      </c>
      <c r="C1140">
        <v>2020</v>
      </c>
      <c r="D1140" s="1">
        <v>43831</v>
      </c>
      <c r="E1140">
        <v>5</v>
      </c>
      <c r="F1140">
        <v>100035321</v>
      </c>
      <c r="G1140" t="s">
        <v>101</v>
      </c>
      <c r="H1140">
        <v>40</v>
      </c>
      <c r="I1140">
        <v>71102010</v>
      </c>
      <c r="J1140">
        <v>11210050</v>
      </c>
      <c r="K1140" t="s">
        <v>187</v>
      </c>
      <c r="L1140" s="4">
        <v>472.59</v>
      </c>
      <c r="M1140" t="s">
        <v>54</v>
      </c>
      <c r="N1140" s="4">
        <v>8862.06</v>
      </c>
      <c r="O1140" t="s">
        <v>31</v>
      </c>
      <c r="X1140" t="s">
        <v>72</v>
      </c>
      <c r="Y1140"/>
      <c r="Z1140">
        <v>20200131</v>
      </c>
      <c r="AA1140">
        <f t="shared" si="24"/>
        <v>472.59</v>
      </c>
      <c r="AC1140"/>
      <c r="AE1140" t="s">
        <v>188</v>
      </c>
      <c r="AF1140"/>
      <c r="AL1140">
        <v>340112790</v>
      </c>
      <c r="AM1140" t="s">
        <v>105</v>
      </c>
    </row>
    <row r="1141" spans="1:39" x14ac:dyDescent="0.35">
      <c r="A1141">
        <v>3406</v>
      </c>
      <c r="B1141" t="s">
        <v>28</v>
      </c>
      <c r="C1141">
        <v>2020</v>
      </c>
      <c r="D1141" s="1">
        <v>43831</v>
      </c>
      <c r="E1141">
        <v>1</v>
      </c>
      <c r="F1141">
        <v>600033612</v>
      </c>
      <c r="G1141" t="s">
        <v>101</v>
      </c>
      <c r="H1141">
        <v>40</v>
      </c>
      <c r="I1141">
        <v>71102010</v>
      </c>
      <c r="J1141">
        <v>11210050</v>
      </c>
      <c r="K1141" t="s">
        <v>187</v>
      </c>
      <c r="L1141" s="4">
        <v>21295.86</v>
      </c>
      <c r="M1141" t="s">
        <v>54</v>
      </c>
      <c r="N1141" s="4">
        <v>399341.11</v>
      </c>
      <c r="O1141" t="s">
        <v>31</v>
      </c>
      <c r="X1141" t="s">
        <v>72</v>
      </c>
      <c r="Y1141"/>
      <c r="Z1141">
        <v>20200131</v>
      </c>
      <c r="AA1141">
        <f t="shared" si="24"/>
        <v>21295.86</v>
      </c>
      <c r="AC1141"/>
      <c r="AE1141" t="s">
        <v>189</v>
      </c>
      <c r="AF1141"/>
      <c r="AL1141">
        <v>340610490</v>
      </c>
      <c r="AM1141" t="s">
        <v>105</v>
      </c>
    </row>
    <row r="1142" spans="1:39" x14ac:dyDescent="0.35">
      <c r="A1142">
        <v>3406</v>
      </c>
      <c r="B1142" t="s">
        <v>28</v>
      </c>
      <c r="C1142">
        <v>2020</v>
      </c>
      <c r="D1142" s="1">
        <v>43831</v>
      </c>
      <c r="E1142">
        <v>2</v>
      </c>
      <c r="F1142">
        <v>600033612</v>
      </c>
      <c r="G1142" t="s">
        <v>101</v>
      </c>
      <c r="H1142">
        <v>40</v>
      </c>
      <c r="I1142">
        <v>71102010</v>
      </c>
      <c r="J1142">
        <v>11210050</v>
      </c>
      <c r="K1142" t="s">
        <v>187</v>
      </c>
      <c r="L1142" s="4">
        <v>2286.04</v>
      </c>
      <c r="M1142" t="s">
        <v>54</v>
      </c>
      <c r="N1142" s="4">
        <v>42867.96</v>
      </c>
      <c r="O1142" t="s">
        <v>31</v>
      </c>
      <c r="X1142" t="s">
        <v>72</v>
      </c>
      <c r="Y1142"/>
      <c r="Z1142">
        <v>20200131</v>
      </c>
      <c r="AA1142">
        <f t="shared" si="24"/>
        <v>2286.04</v>
      </c>
      <c r="AC1142"/>
      <c r="AE1142" t="s">
        <v>190</v>
      </c>
      <c r="AF1142"/>
      <c r="AL1142">
        <v>340612590</v>
      </c>
      <c r="AM1142" t="s">
        <v>105</v>
      </c>
    </row>
    <row r="1143" spans="1:39" x14ac:dyDescent="0.35">
      <c r="A1143">
        <v>3406</v>
      </c>
      <c r="B1143" t="s">
        <v>28</v>
      </c>
      <c r="C1143">
        <v>2020</v>
      </c>
      <c r="D1143" s="1">
        <v>43831</v>
      </c>
      <c r="E1143">
        <v>3</v>
      </c>
      <c r="F1143">
        <v>600033612</v>
      </c>
      <c r="G1143" t="s">
        <v>101</v>
      </c>
      <c r="H1143">
        <v>40</v>
      </c>
      <c r="I1143">
        <v>71102010</v>
      </c>
      <c r="J1143">
        <v>11210050</v>
      </c>
      <c r="K1143" t="s">
        <v>187</v>
      </c>
      <c r="L1143" s="4">
        <v>91.9</v>
      </c>
      <c r="M1143" t="s">
        <v>54</v>
      </c>
      <c r="N1143" s="4">
        <v>1723.35</v>
      </c>
      <c r="O1143" t="s">
        <v>31</v>
      </c>
      <c r="X1143" t="s">
        <v>72</v>
      </c>
      <c r="Y1143"/>
      <c r="Z1143">
        <v>20200131</v>
      </c>
      <c r="AA1143">
        <f t="shared" si="24"/>
        <v>91.9</v>
      </c>
      <c r="AC1143"/>
      <c r="AE1143" t="s">
        <v>191</v>
      </c>
      <c r="AF1143"/>
      <c r="AL1143">
        <v>340610490</v>
      </c>
      <c r="AM1143" t="s">
        <v>105</v>
      </c>
    </row>
    <row r="1144" spans="1:39" x14ac:dyDescent="0.35">
      <c r="A1144">
        <v>3406</v>
      </c>
      <c r="B1144" t="s">
        <v>28</v>
      </c>
      <c r="C1144">
        <v>2020</v>
      </c>
      <c r="D1144" s="1">
        <v>43831</v>
      </c>
      <c r="E1144">
        <v>4</v>
      </c>
      <c r="F1144">
        <v>600033612</v>
      </c>
      <c r="G1144" t="s">
        <v>101</v>
      </c>
      <c r="H1144">
        <v>40</v>
      </c>
      <c r="I1144">
        <v>71102010</v>
      </c>
      <c r="J1144">
        <v>11210050</v>
      </c>
      <c r="K1144" t="s">
        <v>187</v>
      </c>
      <c r="L1144" s="4">
        <v>2948.65</v>
      </c>
      <c r="M1144" t="s">
        <v>54</v>
      </c>
      <c r="N1144" s="4">
        <v>55293.27</v>
      </c>
      <c r="O1144" t="s">
        <v>31</v>
      </c>
      <c r="X1144" t="s">
        <v>72</v>
      </c>
      <c r="Y1144"/>
      <c r="Z1144">
        <v>20200131</v>
      </c>
      <c r="AA1144">
        <f t="shared" si="24"/>
        <v>2948.65</v>
      </c>
      <c r="AC1144"/>
      <c r="AE1144" t="s">
        <v>192</v>
      </c>
      <c r="AF1144"/>
      <c r="AL1144">
        <v>340653290</v>
      </c>
      <c r="AM1144" t="s">
        <v>105</v>
      </c>
    </row>
    <row r="1145" spans="1:39" x14ac:dyDescent="0.35">
      <c r="A1145">
        <v>3402</v>
      </c>
      <c r="B1145" t="s">
        <v>28</v>
      </c>
      <c r="C1145">
        <v>2020</v>
      </c>
      <c r="D1145" s="1">
        <v>43831</v>
      </c>
      <c r="E1145">
        <v>1</v>
      </c>
      <c r="F1145">
        <v>200124444</v>
      </c>
      <c r="G1145" t="s">
        <v>101</v>
      </c>
      <c r="H1145">
        <v>40</v>
      </c>
      <c r="I1145">
        <v>71102010</v>
      </c>
      <c r="J1145">
        <v>71111040</v>
      </c>
      <c r="K1145" t="s">
        <v>187</v>
      </c>
      <c r="L1145" s="4">
        <v>6.89</v>
      </c>
      <c r="M1145" t="s">
        <v>54</v>
      </c>
      <c r="N1145" s="4">
        <v>129.30000000000001</v>
      </c>
      <c r="O1145" t="s">
        <v>31</v>
      </c>
      <c r="X1145" t="s">
        <v>72</v>
      </c>
      <c r="Y1145"/>
      <c r="Z1145">
        <v>20200131</v>
      </c>
      <c r="AA1145">
        <f t="shared" si="24"/>
        <v>6.89</v>
      </c>
      <c r="AC1145"/>
      <c r="AE1145" t="s">
        <v>193</v>
      </c>
      <c r="AF1145"/>
      <c r="AL1145">
        <v>340219290</v>
      </c>
      <c r="AM1145" t="s">
        <v>105</v>
      </c>
    </row>
    <row r="1146" spans="1:39" x14ac:dyDescent="0.35">
      <c r="A1146">
        <v>3402</v>
      </c>
      <c r="B1146" t="s">
        <v>28</v>
      </c>
      <c r="C1146">
        <v>2020</v>
      </c>
      <c r="D1146" s="1">
        <v>43831</v>
      </c>
      <c r="E1146">
        <v>2</v>
      </c>
      <c r="F1146">
        <v>200124444</v>
      </c>
      <c r="G1146" t="s">
        <v>101</v>
      </c>
      <c r="H1146">
        <v>40</v>
      </c>
      <c r="I1146">
        <v>71102010</v>
      </c>
      <c r="J1146">
        <v>71111040</v>
      </c>
      <c r="K1146" t="s">
        <v>187</v>
      </c>
      <c r="L1146" s="4">
        <v>2.31</v>
      </c>
      <c r="M1146" t="s">
        <v>54</v>
      </c>
      <c r="N1146" s="4">
        <v>43.39</v>
      </c>
      <c r="O1146" t="s">
        <v>31</v>
      </c>
      <c r="X1146" t="s">
        <v>72</v>
      </c>
      <c r="Y1146"/>
      <c r="Z1146">
        <v>20200131</v>
      </c>
      <c r="AA1146">
        <f t="shared" si="24"/>
        <v>2.31</v>
      </c>
      <c r="AC1146"/>
      <c r="AE1146" t="s">
        <v>194</v>
      </c>
      <c r="AF1146"/>
      <c r="AL1146">
        <v>340233190</v>
      </c>
      <c r="AM1146" t="s">
        <v>105</v>
      </c>
    </row>
    <row r="1147" spans="1:39" x14ac:dyDescent="0.35">
      <c r="A1147">
        <v>3402</v>
      </c>
      <c r="B1147" t="s">
        <v>28</v>
      </c>
      <c r="C1147">
        <v>2020</v>
      </c>
      <c r="D1147" s="1">
        <v>43831</v>
      </c>
      <c r="E1147">
        <v>3</v>
      </c>
      <c r="F1147">
        <v>200124444</v>
      </c>
      <c r="G1147" t="s">
        <v>101</v>
      </c>
      <c r="H1147">
        <v>40</v>
      </c>
      <c r="I1147">
        <v>71102010</v>
      </c>
      <c r="J1147">
        <v>71111040</v>
      </c>
      <c r="K1147" t="s">
        <v>187</v>
      </c>
      <c r="L1147" s="4">
        <v>56075.87</v>
      </c>
      <c r="M1147" t="s">
        <v>54</v>
      </c>
      <c r="N1147" s="4">
        <v>1051638.83</v>
      </c>
      <c r="O1147" t="s">
        <v>31</v>
      </c>
      <c r="X1147" t="s">
        <v>72</v>
      </c>
      <c r="Y1147"/>
      <c r="Z1147">
        <v>20200131</v>
      </c>
      <c r="AA1147">
        <f t="shared" si="24"/>
        <v>56075.87</v>
      </c>
      <c r="AC1147"/>
      <c r="AE1147" t="s">
        <v>195</v>
      </c>
      <c r="AF1147"/>
      <c r="AL1147">
        <v>340210490</v>
      </c>
      <c r="AM1147" t="s">
        <v>105</v>
      </c>
    </row>
    <row r="1148" spans="1:39" x14ac:dyDescent="0.35">
      <c r="A1148">
        <v>3402</v>
      </c>
      <c r="B1148" t="s">
        <v>28</v>
      </c>
      <c r="C1148">
        <v>2020</v>
      </c>
      <c r="D1148" s="1">
        <v>43831</v>
      </c>
      <c r="E1148">
        <v>4</v>
      </c>
      <c r="F1148">
        <v>200124444</v>
      </c>
      <c r="G1148" t="s">
        <v>101</v>
      </c>
      <c r="H1148">
        <v>40</v>
      </c>
      <c r="I1148">
        <v>71102010</v>
      </c>
      <c r="J1148">
        <v>71111040</v>
      </c>
      <c r="K1148" t="s">
        <v>187</v>
      </c>
      <c r="L1148" s="4">
        <v>17642.189999999999</v>
      </c>
      <c r="M1148" t="s">
        <v>54</v>
      </c>
      <c r="N1148" s="4">
        <v>330859.09000000003</v>
      </c>
      <c r="O1148" t="s">
        <v>31</v>
      </c>
      <c r="X1148" t="s">
        <v>72</v>
      </c>
      <c r="Y1148"/>
      <c r="Z1148">
        <v>20200131</v>
      </c>
      <c r="AA1148">
        <f t="shared" si="24"/>
        <v>17642.189999999999</v>
      </c>
      <c r="AC1148"/>
      <c r="AE1148" t="s">
        <v>196</v>
      </c>
      <c r="AF1148"/>
      <c r="AL1148">
        <v>340210590</v>
      </c>
      <c r="AM1148" t="s">
        <v>105</v>
      </c>
    </row>
    <row r="1149" spans="1:39" x14ac:dyDescent="0.35">
      <c r="A1149">
        <v>3402</v>
      </c>
      <c r="B1149" t="s">
        <v>28</v>
      </c>
      <c r="C1149">
        <v>2020</v>
      </c>
      <c r="D1149" s="1">
        <v>43831</v>
      </c>
      <c r="E1149">
        <v>5</v>
      </c>
      <c r="F1149">
        <v>200124444</v>
      </c>
      <c r="G1149" t="s">
        <v>101</v>
      </c>
      <c r="H1149">
        <v>40</v>
      </c>
      <c r="I1149">
        <v>71102010</v>
      </c>
      <c r="J1149">
        <v>71111040</v>
      </c>
      <c r="K1149" t="s">
        <v>187</v>
      </c>
      <c r="L1149" s="4">
        <v>86.93</v>
      </c>
      <c r="M1149" t="s">
        <v>54</v>
      </c>
      <c r="N1149" s="4">
        <v>1630.27</v>
      </c>
      <c r="O1149" t="s">
        <v>31</v>
      </c>
      <c r="X1149" t="s">
        <v>72</v>
      </c>
      <c r="Y1149"/>
      <c r="Z1149">
        <v>20200131</v>
      </c>
      <c r="AA1149">
        <f t="shared" si="24"/>
        <v>86.93</v>
      </c>
      <c r="AC1149"/>
      <c r="AE1149" t="s">
        <v>197</v>
      </c>
      <c r="AF1149"/>
      <c r="AL1149">
        <v>340232290</v>
      </c>
      <c r="AM1149" t="s">
        <v>105</v>
      </c>
    </row>
    <row r="1150" spans="1:39" x14ac:dyDescent="0.35">
      <c r="A1150">
        <v>3402</v>
      </c>
      <c r="B1150" t="s">
        <v>28</v>
      </c>
      <c r="C1150">
        <v>2020</v>
      </c>
      <c r="D1150" s="1">
        <v>43831</v>
      </c>
      <c r="E1150">
        <v>6</v>
      </c>
      <c r="F1150">
        <v>200124444</v>
      </c>
      <c r="G1150" t="s">
        <v>101</v>
      </c>
      <c r="H1150">
        <v>40</v>
      </c>
      <c r="I1150">
        <v>71102010</v>
      </c>
      <c r="J1150">
        <v>71111040</v>
      </c>
      <c r="K1150" t="s">
        <v>187</v>
      </c>
      <c r="L1150" s="4">
        <v>5407.76</v>
      </c>
      <c r="M1150" t="s">
        <v>54</v>
      </c>
      <c r="N1150" s="4">
        <v>101416.38</v>
      </c>
      <c r="O1150" t="s">
        <v>31</v>
      </c>
      <c r="X1150" t="s">
        <v>72</v>
      </c>
      <c r="Y1150"/>
      <c r="Z1150">
        <v>20200131</v>
      </c>
      <c r="AA1150">
        <f t="shared" si="24"/>
        <v>5407.76</v>
      </c>
      <c r="AC1150"/>
      <c r="AE1150" t="s">
        <v>198</v>
      </c>
      <c r="AF1150"/>
      <c r="AL1150">
        <v>340212590</v>
      </c>
      <c r="AM1150" t="s">
        <v>105</v>
      </c>
    </row>
    <row r="1151" spans="1:39" x14ac:dyDescent="0.35">
      <c r="A1151">
        <v>3402</v>
      </c>
      <c r="B1151" t="s">
        <v>28</v>
      </c>
      <c r="C1151">
        <v>2020</v>
      </c>
      <c r="D1151" s="1">
        <v>43831</v>
      </c>
      <c r="E1151">
        <v>7</v>
      </c>
      <c r="F1151">
        <v>200124444</v>
      </c>
      <c r="G1151" t="s">
        <v>101</v>
      </c>
      <c r="H1151">
        <v>40</v>
      </c>
      <c r="I1151">
        <v>71102010</v>
      </c>
      <c r="J1151">
        <v>71111040</v>
      </c>
      <c r="K1151" t="s">
        <v>187</v>
      </c>
      <c r="L1151" s="4">
        <v>18.77</v>
      </c>
      <c r="M1151" t="s">
        <v>54</v>
      </c>
      <c r="N1151" s="4">
        <v>352.02</v>
      </c>
      <c r="O1151" t="s">
        <v>31</v>
      </c>
      <c r="X1151" t="s">
        <v>72</v>
      </c>
      <c r="Y1151"/>
      <c r="Z1151">
        <v>20200131</v>
      </c>
      <c r="AA1151">
        <f t="shared" si="24"/>
        <v>18.77</v>
      </c>
      <c r="AC1151"/>
      <c r="AE1151" t="s">
        <v>199</v>
      </c>
      <c r="AF1151"/>
      <c r="AL1151">
        <v>340210490</v>
      </c>
      <c r="AM1151" t="s">
        <v>105</v>
      </c>
    </row>
    <row r="1152" spans="1:39" x14ac:dyDescent="0.35">
      <c r="A1152">
        <v>3402</v>
      </c>
      <c r="B1152" t="s">
        <v>28</v>
      </c>
      <c r="C1152">
        <v>2020</v>
      </c>
      <c r="D1152" s="1">
        <v>43831</v>
      </c>
      <c r="E1152">
        <v>8</v>
      </c>
      <c r="F1152">
        <v>200124444</v>
      </c>
      <c r="G1152" t="s">
        <v>101</v>
      </c>
      <c r="H1152">
        <v>40</v>
      </c>
      <c r="I1152">
        <v>71102010</v>
      </c>
      <c r="J1152">
        <v>71111040</v>
      </c>
      <c r="K1152" t="s">
        <v>187</v>
      </c>
      <c r="L1152" s="4">
        <v>243.48</v>
      </c>
      <c r="M1152" t="s">
        <v>54</v>
      </c>
      <c r="N1152" s="4">
        <v>4566.26</v>
      </c>
      <c r="O1152" t="s">
        <v>31</v>
      </c>
      <c r="X1152" t="s">
        <v>72</v>
      </c>
      <c r="Y1152"/>
      <c r="Z1152">
        <v>20200131</v>
      </c>
      <c r="AA1152">
        <f t="shared" si="24"/>
        <v>243.48</v>
      </c>
      <c r="AC1152"/>
      <c r="AE1152" t="s">
        <v>200</v>
      </c>
      <c r="AF1152"/>
      <c r="AL1152">
        <v>340215190</v>
      </c>
      <c r="AM1152" t="s">
        <v>105</v>
      </c>
    </row>
    <row r="1153" spans="1:39" x14ac:dyDescent="0.35">
      <c r="A1153">
        <v>3402</v>
      </c>
      <c r="B1153" t="s">
        <v>28</v>
      </c>
      <c r="C1153">
        <v>2020</v>
      </c>
      <c r="D1153" s="1">
        <v>43831</v>
      </c>
      <c r="E1153">
        <v>9</v>
      </c>
      <c r="F1153">
        <v>200124444</v>
      </c>
      <c r="G1153" t="s">
        <v>101</v>
      </c>
      <c r="H1153">
        <v>40</v>
      </c>
      <c r="I1153">
        <v>71102010</v>
      </c>
      <c r="J1153">
        <v>71111040</v>
      </c>
      <c r="K1153" t="s">
        <v>187</v>
      </c>
      <c r="L1153" s="4">
        <v>7049.86</v>
      </c>
      <c r="M1153" t="s">
        <v>54</v>
      </c>
      <c r="N1153" s="4">
        <v>132212</v>
      </c>
      <c r="O1153" t="s">
        <v>31</v>
      </c>
      <c r="X1153" t="s">
        <v>72</v>
      </c>
      <c r="Y1153"/>
      <c r="Z1153">
        <v>20200131</v>
      </c>
      <c r="AA1153">
        <f t="shared" si="24"/>
        <v>7049.86</v>
      </c>
      <c r="AC1153"/>
      <c r="AE1153" t="s">
        <v>201</v>
      </c>
      <c r="AF1153"/>
      <c r="AL1153">
        <v>340253290</v>
      </c>
      <c r="AM1153" t="s">
        <v>105</v>
      </c>
    </row>
    <row r="1154" spans="1:39" x14ac:dyDescent="0.35">
      <c r="A1154">
        <v>3402</v>
      </c>
      <c r="B1154" t="s">
        <v>28</v>
      </c>
      <c r="C1154">
        <v>2020</v>
      </c>
      <c r="D1154" s="1">
        <v>43831</v>
      </c>
      <c r="E1154">
        <v>10</v>
      </c>
      <c r="F1154">
        <v>200124444</v>
      </c>
      <c r="G1154" t="s">
        <v>101</v>
      </c>
      <c r="H1154">
        <v>40</v>
      </c>
      <c r="I1154">
        <v>71102010</v>
      </c>
      <c r="J1154">
        <v>71111040</v>
      </c>
      <c r="K1154" t="s">
        <v>187</v>
      </c>
      <c r="L1154" s="4">
        <v>360.3</v>
      </c>
      <c r="M1154" t="s">
        <v>54</v>
      </c>
      <c r="N1154" s="4">
        <v>6757.02</v>
      </c>
      <c r="O1154" t="s">
        <v>31</v>
      </c>
      <c r="X1154" t="s">
        <v>72</v>
      </c>
      <c r="Y1154"/>
      <c r="Z1154">
        <v>20200131</v>
      </c>
      <c r="AA1154">
        <f t="shared" si="24"/>
        <v>360.3</v>
      </c>
      <c r="AC1154"/>
      <c r="AE1154" t="s">
        <v>202</v>
      </c>
      <c r="AF1154"/>
      <c r="AL1154">
        <v>340253890</v>
      </c>
      <c r="AM1154" t="s">
        <v>105</v>
      </c>
    </row>
    <row r="1155" spans="1:39" x14ac:dyDescent="0.35">
      <c r="A1155">
        <v>3402</v>
      </c>
      <c r="B1155" t="s">
        <v>28</v>
      </c>
      <c r="C1155">
        <v>2020</v>
      </c>
      <c r="D1155" s="1">
        <v>43831</v>
      </c>
      <c r="E1155">
        <v>11</v>
      </c>
      <c r="F1155">
        <v>200124444</v>
      </c>
      <c r="G1155" t="s">
        <v>101</v>
      </c>
      <c r="H1155">
        <v>40</v>
      </c>
      <c r="I1155">
        <v>71102010</v>
      </c>
      <c r="J1155">
        <v>71111040</v>
      </c>
      <c r="K1155" t="s">
        <v>187</v>
      </c>
      <c r="L1155" s="4">
        <v>1585.42</v>
      </c>
      <c r="M1155" t="s">
        <v>54</v>
      </c>
      <c r="N1155" s="4">
        <v>29732.65</v>
      </c>
      <c r="O1155" t="s">
        <v>31</v>
      </c>
      <c r="X1155" t="s">
        <v>72</v>
      </c>
      <c r="Y1155"/>
      <c r="Z1155">
        <v>20200131</v>
      </c>
      <c r="AA1155">
        <f t="shared" si="24"/>
        <v>1585.42</v>
      </c>
      <c r="AC1155"/>
      <c r="AE1155" t="s">
        <v>203</v>
      </c>
      <c r="AF1155"/>
      <c r="AL1155">
        <v>340212790</v>
      </c>
      <c r="AM1155" t="s">
        <v>105</v>
      </c>
    </row>
    <row r="1156" spans="1:39" x14ac:dyDescent="0.35">
      <c r="A1156">
        <v>3402</v>
      </c>
      <c r="B1156" t="s">
        <v>28</v>
      </c>
      <c r="C1156">
        <v>2020</v>
      </c>
      <c r="D1156" s="1">
        <v>43831</v>
      </c>
      <c r="E1156">
        <v>12</v>
      </c>
      <c r="F1156">
        <v>200124444</v>
      </c>
      <c r="G1156" t="s">
        <v>101</v>
      </c>
      <c r="H1156">
        <v>40</v>
      </c>
      <c r="I1156">
        <v>71102010</v>
      </c>
      <c r="J1156">
        <v>71111040</v>
      </c>
      <c r="K1156" t="s">
        <v>187</v>
      </c>
      <c r="L1156" s="4">
        <v>643.74</v>
      </c>
      <c r="M1156" t="s">
        <v>54</v>
      </c>
      <c r="N1156" s="4">
        <v>12072.52</v>
      </c>
      <c r="O1156" t="s">
        <v>31</v>
      </c>
      <c r="X1156" t="s">
        <v>72</v>
      </c>
      <c r="Y1156"/>
      <c r="Z1156">
        <v>20200131</v>
      </c>
      <c r="AA1156">
        <f t="shared" si="24"/>
        <v>643.74</v>
      </c>
      <c r="AC1156"/>
      <c r="AE1156" t="s">
        <v>204</v>
      </c>
      <c r="AF1156"/>
      <c r="AL1156">
        <v>340255290</v>
      </c>
      <c r="AM1156" t="s">
        <v>105</v>
      </c>
    </row>
    <row r="1157" spans="1:39" x14ac:dyDescent="0.35">
      <c r="A1157">
        <v>3402</v>
      </c>
      <c r="B1157" t="s">
        <v>28</v>
      </c>
      <c r="C1157">
        <v>2020</v>
      </c>
      <c r="D1157" s="1">
        <v>43831</v>
      </c>
      <c r="E1157">
        <v>13</v>
      </c>
      <c r="F1157">
        <v>200124444</v>
      </c>
      <c r="G1157" t="s">
        <v>101</v>
      </c>
      <c r="H1157">
        <v>40</v>
      </c>
      <c r="I1157">
        <v>71102010</v>
      </c>
      <c r="J1157">
        <v>71111040</v>
      </c>
      <c r="K1157" t="s">
        <v>187</v>
      </c>
      <c r="L1157" s="4">
        <v>35.700000000000003</v>
      </c>
      <c r="M1157" t="s">
        <v>54</v>
      </c>
      <c r="N1157" s="4">
        <v>669.5</v>
      </c>
      <c r="O1157" t="s">
        <v>31</v>
      </c>
      <c r="X1157" t="s">
        <v>72</v>
      </c>
      <c r="Y1157"/>
      <c r="Z1157">
        <v>20200131</v>
      </c>
      <c r="AA1157">
        <f t="shared" si="24"/>
        <v>35.700000000000003</v>
      </c>
      <c r="AC1157"/>
      <c r="AE1157" t="s">
        <v>205</v>
      </c>
      <c r="AF1157"/>
      <c r="AL1157">
        <v>340210890</v>
      </c>
      <c r="AM1157" t="s">
        <v>105</v>
      </c>
    </row>
    <row r="1158" spans="1:39" x14ac:dyDescent="0.35">
      <c r="A1158">
        <v>3409</v>
      </c>
      <c r="B1158" t="s">
        <v>28</v>
      </c>
      <c r="C1158">
        <v>2020</v>
      </c>
      <c r="D1158" s="1">
        <v>43831</v>
      </c>
      <c r="E1158">
        <v>1</v>
      </c>
      <c r="F1158">
        <v>900012533</v>
      </c>
      <c r="G1158" t="s">
        <v>101</v>
      </c>
      <c r="H1158">
        <v>40</v>
      </c>
      <c r="I1158">
        <v>71106150</v>
      </c>
      <c r="J1158">
        <v>21230140</v>
      </c>
      <c r="K1158" t="s">
        <v>102</v>
      </c>
      <c r="L1158">
        <v>39570.43</v>
      </c>
      <c r="M1158" t="s">
        <v>54</v>
      </c>
      <c r="N1158">
        <v>740232.16</v>
      </c>
      <c r="O1158" t="s">
        <v>31</v>
      </c>
      <c r="W1158">
        <v>900030183</v>
      </c>
      <c r="X1158" t="s">
        <v>72</v>
      </c>
      <c r="Y1158" t="s">
        <v>206</v>
      </c>
      <c r="Z1158">
        <v>20200131</v>
      </c>
      <c r="AA1158">
        <f t="shared" si="24"/>
        <v>39570.43</v>
      </c>
      <c r="AC1158"/>
      <c r="AE1158" t="s">
        <v>207</v>
      </c>
      <c r="AF1158"/>
      <c r="AL1158">
        <v>340921790</v>
      </c>
      <c r="AM1158" t="s">
        <v>208</v>
      </c>
    </row>
    <row r="1159" spans="1:39" x14ac:dyDescent="0.35">
      <c r="A1159">
        <v>3409</v>
      </c>
      <c r="B1159" t="s">
        <v>28</v>
      </c>
      <c r="C1159">
        <v>2020</v>
      </c>
      <c r="D1159" s="1">
        <v>43831</v>
      </c>
      <c r="E1159">
        <v>2</v>
      </c>
      <c r="F1159">
        <v>900012533</v>
      </c>
      <c r="G1159" t="s">
        <v>101</v>
      </c>
      <c r="H1159">
        <v>40</v>
      </c>
      <c r="I1159">
        <v>71106150</v>
      </c>
      <c r="J1159">
        <v>21230140</v>
      </c>
      <c r="K1159" t="s">
        <v>102</v>
      </c>
      <c r="L1159">
        <v>13190.14</v>
      </c>
      <c r="M1159" t="s">
        <v>54</v>
      </c>
      <c r="N1159">
        <v>246743.99</v>
      </c>
      <c r="O1159" t="s">
        <v>31</v>
      </c>
      <c r="W1159">
        <v>900030183</v>
      </c>
      <c r="X1159" t="s">
        <v>72</v>
      </c>
      <c r="Y1159" t="s">
        <v>206</v>
      </c>
      <c r="Z1159">
        <v>20200131</v>
      </c>
      <c r="AA1159">
        <f t="shared" si="24"/>
        <v>13190.14</v>
      </c>
      <c r="AC1159"/>
      <c r="AE1159" t="s">
        <v>209</v>
      </c>
      <c r="AF1159"/>
      <c r="AL1159">
        <v>340921790</v>
      </c>
      <c r="AM1159" t="s">
        <v>208</v>
      </c>
    </row>
    <row r="1160" spans="1:39" x14ac:dyDescent="0.35">
      <c r="A1160">
        <v>3409</v>
      </c>
      <c r="B1160" t="s">
        <v>28</v>
      </c>
      <c r="C1160">
        <v>2020</v>
      </c>
      <c r="D1160" s="1">
        <v>43831</v>
      </c>
      <c r="E1160">
        <v>3</v>
      </c>
      <c r="F1160">
        <v>900012533</v>
      </c>
      <c r="G1160" t="s">
        <v>101</v>
      </c>
      <c r="H1160">
        <v>40</v>
      </c>
      <c r="I1160">
        <v>71106150</v>
      </c>
      <c r="J1160">
        <v>21230140</v>
      </c>
      <c r="K1160" t="s">
        <v>102</v>
      </c>
      <c r="L1160">
        <v>34118.660000000003</v>
      </c>
      <c r="M1160" t="s">
        <v>54</v>
      </c>
      <c r="N1160">
        <v>638247.54</v>
      </c>
      <c r="O1160" t="s">
        <v>31</v>
      </c>
      <c r="W1160">
        <v>900030183</v>
      </c>
      <c r="X1160" t="s">
        <v>72</v>
      </c>
      <c r="Y1160" t="s">
        <v>206</v>
      </c>
      <c r="Z1160">
        <v>20200131</v>
      </c>
      <c r="AA1160">
        <f t="shared" si="24"/>
        <v>34118.660000000003</v>
      </c>
      <c r="AC1160"/>
      <c r="AE1160" t="s">
        <v>210</v>
      </c>
      <c r="AF1160"/>
      <c r="AL1160">
        <v>340981990</v>
      </c>
      <c r="AM1160" t="s">
        <v>208</v>
      </c>
    </row>
    <row r="1161" spans="1:39" x14ac:dyDescent="0.35">
      <c r="A1161">
        <v>3400</v>
      </c>
      <c r="B1161" t="s">
        <v>28</v>
      </c>
      <c r="C1161">
        <v>2020</v>
      </c>
      <c r="D1161" s="1">
        <v>43831</v>
      </c>
      <c r="E1161">
        <v>1</v>
      </c>
      <c r="F1161">
        <v>100011912</v>
      </c>
      <c r="G1161" t="s">
        <v>101</v>
      </c>
      <c r="H1161">
        <v>40</v>
      </c>
      <c r="I1161">
        <v>71106040</v>
      </c>
      <c r="J1161">
        <v>21230130</v>
      </c>
      <c r="K1161" t="s">
        <v>125</v>
      </c>
      <c r="L1161">
        <v>228798.92</v>
      </c>
      <c r="M1161" t="s">
        <v>54</v>
      </c>
      <c r="N1161">
        <v>4303181.45</v>
      </c>
      <c r="O1161" t="s">
        <v>31</v>
      </c>
      <c r="P1161" t="s">
        <v>211</v>
      </c>
      <c r="W1161">
        <v>100021855</v>
      </c>
      <c r="X1161" t="s">
        <v>212</v>
      </c>
      <c r="Y1161" t="s">
        <v>213</v>
      </c>
      <c r="Z1161">
        <v>20200131</v>
      </c>
      <c r="AA1161">
        <f t="shared" si="24"/>
        <v>228798.92</v>
      </c>
      <c r="AC1161"/>
      <c r="AE1161" t="s">
        <v>213</v>
      </c>
      <c r="AF1161"/>
      <c r="AL1161">
        <v>340021950</v>
      </c>
      <c r="AM1161" t="s">
        <v>214</v>
      </c>
    </row>
    <row r="1162" spans="1:39" x14ac:dyDescent="0.35">
      <c r="A1162">
        <v>3407</v>
      </c>
      <c r="B1162" t="s">
        <v>28</v>
      </c>
      <c r="C1162">
        <v>2020</v>
      </c>
      <c r="D1162" s="1">
        <v>43831</v>
      </c>
      <c r="E1162">
        <v>1</v>
      </c>
      <c r="F1162">
        <v>700039121</v>
      </c>
      <c r="G1162" t="s">
        <v>120</v>
      </c>
      <c r="H1162">
        <v>91</v>
      </c>
      <c r="I1162">
        <v>71106150</v>
      </c>
      <c r="J1162">
        <v>21021040</v>
      </c>
      <c r="K1162" t="s">
        <v>102</v>
      </c>
      <c r="L1162" s="4">
        <v>3294.02</v>
      </c>
      <c r="M1162" t="s">
        <v>54</v>
      </c>
      <c r="N1162" s="4">
        <v>62467.8</v>
      </c>
      <c r="O1162" t="s">
        <v>31</v>
      </c>
      <c r="R1162" t="s">
        <v>1121</v>
      </c>
      <c r="S1162">
        <v>593383972</v>
      </c>
      <c r="T1162">
        <v>600226</v>
      </c>
      <c r="U1162" t="s">
        <v>126</v>
      </c>
      <c r="X1162" t="s">
        <v>28</v>
      </c>
      <c r="Y1162" t="s">
        <v>215</v>
      </c>
      <c r="Z1162">
        <v>20200131</v>
      </c>
      <c r="AB1162">
        <v>0</v>
      </c>
      <c r="AC1162"/>
      <c r="AE1162" t="s">
        <v>216</v>
      </c>
      <c r="AF1162"/>
      <c r="AJ1162" t="s">
        <v>1125</v>
      </c>
      <c r="AK1162" t="s">
        <v>1124</v>
      </c>
      <c r="AL1162">
        <v>340721790</v>
      </c>
      <c r="AM1162" t="s">
        <v>217</v>
      </c>
    </row>
    <row r="1163" spans="1:39" x14ac:dyDescent="0.35">
      <c r="A1163">
        <v>3403</v>
      </c>
      <c r="B1163" t="s">
        <v>28</v>
      </c>
      <c r="C1163">
        <v>2020</v>
      </c>
      <c r="D1163" s="1">
        <v>43831</v>
      </c>
      <c r="E1163">
        <v>1</v>
      </c>
      <c r="F1163">
        <v>300017857</v>
      </c>
      <c r="G1163" t="s">
        <v>120</v>
      </c>
      <c r="H1163">
        <v>81</v>
      </c>
      <c r="I1163">
        <v>71106040</v>
      </c>
      <c r="J1163">
        <v>21021040</v>
      </c>
      <c r="K1163" t="s">
        <v>125</v>
      </c>
      <c r="L1163" s="4">
        <v>19637.509999999998</v>
      </c>
      <c r="M1163" t="s">
        <v>31</v>
      </c>
      <c r="N1163" s="4">
        <v>19637.509999999998</v>
      </c>
      <c r="O1163" t="s">
        <v>31</v>
      </c>
      <c r="R1163" t="s">
        <v>218</v>
      </c>
      <c r="S1163" t="s">
        <v>1141</v>
      </c>
      <c r="T1163">
        <v>600623</v>
      </c>
      <c r="U1163" t="s">
        <v>219</v>
      </c>
      <c r="X1163" t="s">
        <v>28</v>
      </c>
      <c r="Y1163" s="8" t="s">
        <v>220</v>
      </c>
      <c r="Z1163">
        <v>4501231390</v>
      </c>
      <c r="AA1163">
        <f t="shared" si="24"/>
        <v>19637.509999999998</v>
      </c>
      <c r="AB1163">
        <f t="shared" ref="AB1163:AB1164" si="25">AA1163*0.16</f>
        <v>3142.0015999999996</v>
      </c>
      <c r="AC1163" s="4">
        <f t="shared" ref="AC1163:AC1164" si="26">AA1163+AB1163</f>
        <v>22779.511599999998</v>
      </c>
      <c r="AD1163">
        <v>300020318</v>
      </c>
      <c r="AE1163" t="s">
        <v>221</v>
      </c>
      <c r="AF1163" s="4">
        <f>AC1163</f>
        <v>22779.511599999998</v>
      </c>
      <c r="AG1163" t="s">
        <v>1143</v>
      </c>
      <c r="AH1163" t="s">
        <v>1123</v>
      </c>
      <c r="AI1163">
        <v>300049758</v>
      </c>
      <c r="AJ1163" t="s">
        <v>1136</v>
      </c>
      <c r="AK1163" t="s">
        <v>1135</v>
      </c>
      <c r="AL1163">
        <v>340310190</v>
      </c>
      <c r="AM1163" t="s">
        <v>222</v>
      </c>
    </row>
    <row r="1164" spans="1:39" x14ac:dyDescent="0.35">
      <c r="A1164">
        <v>3403</v>
      </c>
      <c r="B1164" t="s">
        <v>28</v>
      </c>
      <c r="C1164">
        <v>2020</v>
      </c>
      <c r="D1164" s="1">
        <v>43831</v>
      </c>
      <c r="E1164">
        <v>1</v>
      </c>
      <c r="F1164">
        <v>300017858</v>
      </c>
      <c r="G1164" t="s">
        <v>120</v>
      </c>
      <c r="H1164">
        <v>81</v>
      </c>
      <c r="I1164">
        <v>71106040</v>
      </c>
      <c r="J1164">
        <v>21021040</v>
      </c>
      <c r="K1164" t="s">
        <v>125</v>
      </c>
      <c r="L1164" s="4">
        <v>874</v>
      </c>
      <c r="M1164" t="s">
        <v>54</v>
      </c>
      <c r="N1164" s="4">
        <v>16349.66</v>
      </c>
      <c r="O1164" t="s">
        <v>31</v>
      </c>
      <c r="R1164" t="s">
        <v>223</v>
      </c>
      <c r="S1164" t="s">
        <v>1141</v>
      </c>
      <c r="T1164">
        <v>600623</v>
      </c>
      <c r="U1164" t="s">
        <v>219</v>
      </c>
      <c r="X1164" t="s">
        <v>28</v>
      </c>
      <c r="Y1164" s="8" t="s">
        <v>224</v>
      </c>
      <c r="Z1164">
        <v>4501231419</v>
      </c>
      <c r="AA1164">
        <f t="shared" si="24"/>
        <v>874</v>
      </c>
      <c r="AB1164">
        <f t="shared" si="25"/>
        <v>139.84</v>
      </c>
      <c r="AC1164" s="4">
        <f t="shared" si="26"/>
        <v>1013.84</v>
      </c>
      <c r="AD1164">
        <v>300020317</v>
      </c>
      <c r="AE1164" t="s">
        <v>225</v>
      </c>
      <c r="AF1164" s="4">
        <f>AC1164</f>
        <v>1013.84</v>
      </c>
      <c r="AG1164" t="s">
        <v>1142</v>
      </c>
      <c r="AH1164" t="s">
        <v>1123</v>
      </c>
      <c r="AI1164">
        <v>300236206</v>
      </c>
      <c r="AJ1164" t="s">
        <v>1125</v>
      </c>
      <c r="AK1164" t="s">
        <v>1124</v>
      </c>
      <c r="AL1164">
        <v>340310190</v>
      </c>
      <c r="AM1164" t="s">
        <v>222</v>
      </c>
    </row>
    <row r="1165" spans="1:39" x14ac:dyDescent="0.35">
      <c r="A1165">
        <v>3409</v>
      </c>
      <c r="B1165" t="s">
        <v>28</v>
      </c>
      <c r="C1165">
        <v>2020</v>
      </c>
      <c r="D1165" s="1">
        <v>43831</v>
      </c>
      <c r="E1165">
        <v>1</v>
      </c>
      <c r="F1165">
        <v>900012530</v>
      </c>
      <c r="G1165" t="s">
        <v>226</v>
      </c>
      <c r="H1165">
        <v>50</v>
      </c>
      <c r="I1165">
        <v>71106150</v>
      </c>
      <c r="J1165">
        <v>21230140</v>
      </c>
      <c r="K1165" t="s">
        <v>102</v>
      </c>
      <c r="L1165">
        <v>41153.25</v>
      </c>
      <c r="M1165" t="s">
        <v>54</v>
      </c>
      <c r="N1165">
        <v>769841.5</v>
      </c>
      <c r="O1165" t="s">
        <v>31</v>
      </c>
      <c r="W1165">
        <v>900012439</v>
      </c>
      <c r="X1165" t="s">
        <v>72</v>
      </c>
      <c r="Y1165" t="s">
        <v>206</v>
      </c>
      <c r="Z1165">
        <v>20200131</v>
      </c>
      <c r="AA1165">
        <f t="shared" si="24"/>
        <v>41153.25</v>
      </c>
      <c r="AC1165"/>
      <c r="AE1165" t="s">
        <v>207</v>
      </c>
      <c r="AF1165"/>
      <c r="AL1165">
        <v>340921790</v>
      </c>
      <c r="AM1165" t="s">
        <v>208</v>
      </c>
    </row>
    <row r="1166" spans="1:39" x14ac:dyDescent="0.35">
      <c r="A1166">
        <v>3409</v>
      </c>
      <c r="B1166" t="s">
        <v>28</v>
      </c>
      <c r="C1166">
        <v>2020</v>
      </c>
      <c r="D1166" s="1">
        <v>43831</v>
      </c>
      <c r="E1166">
        <v>2</v>
      </c>
      <c r="F1166">
        <v>900012530</v>
      </c>
      <c r="G1166" t="s">
        <v>226</v>
      </c>
      <c r="H1166">
        <v>50</v>
      </c>
      <c r="I1166">
        <v>71106150</v>
      </c>
      <c r="J1166">
        <v>21230140</v>
      </c>
      <c r="K1166" t="s">
        <v>102</v>
      </c>
      <c r="L1166">
        <v>13717.75</v>
      </c>
      <c r="M1166" t="s">
        <v>54</v>
      </c>
      <c r="N1166">
        <v>256613.83</v>
      </c>
      <c r="O1166" t="s">
        <v>31</v>
      </c>
      <c r="W1166">
        <v>900012439</v>
      </c>
      <c r="X1166" t="s">
        <v>72</v>
      </c>
      <c r="Y1166" t="s">
        <v>206</v>
      </c>
      <c r="Z1166">
        <v>20200131</v>
      </c>
      <c r="AA1166">
        <f t="shared" si="24"/>
        <v>13717.75</v>
      </c>
      <c r="AC1166"/>
      <c r="AE1166" t="s">
        <v>209</v>
      </c>
      <c r="AF1166"/>
      <c r="AL1166">
        <v>340921790</v>
      </c>
      <c r="AM1166" t="s">
        <v>208</v>
      </c>
    </row>
    <row r="1167" spans="1:39" x14ac:dyDescent="0.35">
      <c r="A1167">
        <v>3409</v>
      </c>
      <c r="B1167" t="s">
        <v>28</v>
      </c>
      <c r="C1167">
        <v>2020</v>
      </c>
      <c r="D1167" s="1">
        <v>43831</v>
      </c>
      <c r="E1167">
        <v>3</v>
      </c>
      <c r="F1167">
        <v>900012530</v>
      </c>
      <c r="G1167" t="s">
        <v>226</v>
      </c>
      <c r="H1167">
        <v>50</v>
      </c>
      <c r="I1167">
        <v>71106150</v>
      </c>
      <c r="J1167">
        <v>21230140</v>
      </c>
      <c r="K1167" t="s">
        <v>102</v>
      </c>
      <c r="L1167">
        <v>34118.660000000003</v>
      </c>
      <c r="M1167" t="s">
        <v>54</v>
      </c>
      <c r="N1167">
        <v>638247.54</v>
      </c>
      <c r="O1167" t="s">
        <v>31</v>
      </c>
      <c r="W1167">
        <v>900012439</v>
      </c>
      <c r="X1167" t="s">
        <v>72</v>
      </c>
      <c r="Y1167" t="s">
        <v>206</v>
      </c>
      <c r="Z1167">
        <v>20200131</v>
      </c>
      <c r="AA1167">
        <f t="shared" si="24"/>
        <v>34118.660000000003</v>
      </c>
      <c r="AC1167"/>
      <c r="AE1167" t="s">
        <v>210</v>
      </c>
      <c r="AF1167"/>
      <c r="AL1167">
        <v>340981990</v>
      </c>
      <c r="AM1167" t="s">
        <v>208</v>
      </c>
    </row>
    <row r="1168" spans="1:39" x14ac:dyDescent="0.35">
      <c r="A1168">
        <v>3406</v>
      </c>
      <c r="B1168" t="s">
        <v>28</v>
      </c>
      <c r="C1168">
        <v>2020</v>
      </c>
      <c r="D1168" s="1">
        <v>43831</v>
      </c>
      <c r="E1168">
        <v>1</v>
      </c>
      <c r="F1168">
        <v>600036774</v>
      </c>
      <c r="G1168" t="s">
        <v>226</v>
      </c>
      <c r="H1168">
        <v>50</v>
      </c>
      <c r="I1168">
        <v>71102010</v>
      </c>
      <c r="J1168">
        <v>71111040</v>
      </c>
      <c r="K1168" t="s">
        <v>187</v>
      </c>
      <c r="L1168">
        <v>193.9</v>
      </c>
      <c r="M1168" t="s">
        <v>31</v>
      </c>
      <c r="N1168">
        <v>193.9</v>
      </c>
      <c r="O1168" t="s">
        <v>31</v>
      </c>
      <c r="W1168">
        <v>600033366</v>
      </c>
      <c r="X1168" t="s">
        <v>227</v>
      </c>
      <c r="Y1168" t="s">
        <v>228</v>
      </c>
      <c r="Z1168">
        <v>20200131</v>
      </c>
      <c r="AA1168">
        <f t="shared" si="24"/>
        <v>193.9</v>
      </c>
      <c r="AC1168"/>
      <c r="AE1168" t="s">
        <v>229</v>
      </c>
      <c r="AF1168"/>
      <c r="AL1168">
        <v>340619290</v>
      </c>
      <c r="AM1168" t="s">
        <v>58</v>
      </c>
    </row>
    <row r="1169" spans="1:39" x14ac:dyDescent="0.35">
      <c r="A1169">
        <v>3406</v>
      </c>
      <c r="B1169" t="s">
        <v>28</v>
      </c>
      <c r="C1169">
        <v>2020</v>
      </c>
      <c r="D1169" s="1">
        <v>43831</v>
      </c>
      <c r="E1169">
        <v>2</v>
      </c>
      <c r="F1169">
        <v>600036774</v>
      </c>
      <c r="G1169" t="s">
        <v>226</v>
      </c>
      <c r="H1169">
        <v>50</v>
      </c>
      <c r="I1169">
        <v>71102010</v>
      </c>
      <c r="J1169">
        <v>71111040</v>
      </c>
      <c r="K1169" t="s">
        <v>187</v>
      </c>
      <c r="L1169">
        <v>113.76</v>
      </c>
      <c r="M1169" t="s">
        <v>31</v>
      </c>
      <c r="N1169">
        <v>113.76</v>
      </c>
      <c r="O1169" t="s">
        <v>31</v>
      </c>
      <c r="W1169">
        <v>600033366</v>
      </c>
      <c r="X1169" t="s">
        <v>227</v>
      </c>
      <c r="Y1169" t="s">
        <v>228</v>
      </c>
      <c r="Z1169">
        <v>20200131</v>
      </c>
      <c r="AA1169">
        <f t="shared" si="24"/>
        <v>113.76</v>
      </c>
      <c r="AC1169"/>
      <c r="AE1169" t="s">
        <v>230</v>
      </c>
      <c r="AF1169"/>
      <c r="AL1169">
        <v>340633190</v>
      </c>
      <c r="AM1169" t="s">
        <v>58</v>
      </c>
    </row>
    <row r="1170" spans="1:39" x14ac:dyDescent="0.35">
      <c r="A1170">
        <v>3406</v>
      </c>
      <c r="B1170" t="s">
        <v>28</v>
      </c>
      <c r="C1170">
        <v>2020</v>
      </c>
      <c r="D1170" s="1">
        <v>43831</v>
      </c>
      <c r="E1170">
        <v>3</v>
      </c>
      <c r="F1170">
        <v>600036774</v>
      </c>
      <c r="G1170" t="s">
        <v>226</v>
      </c>
      <c r="H1170">
        <v>50</v>
      </c>
      <c r="I1170">
        <v>71102010</v>
      </c>
      <c r="J1170">
        <v>71111040</v>
      </c>
      <c r="K1170" t="s">
        <v>187</v>
      </c>
      <c r="L1170">
        <v>16642.62</v>
      </c>
      <c r="M1170" t="s">
        <v>31</v>
      </c>
      <c r="N1170">
        <v>16642.62</v>
      </c>
      <c r="O1170" t="s">
        <v>31</v>
      </c>
      <c r="W1170">
        <v>600033366</v>
      </c>
      <c r="X1170" t="s">
        <v>227</v>
      </c>
      <c r="Y1170" t="s">
        <v>228</v>
      </c>
      <c r="Z1170">
        <v>20200131</v>
      </c>
      <c r="AA1170">
        <f t="shared" ref="AA1170:AA1233" si="27">L1170</f>
        <v>16642.62</v>
      </c>
      <c r="AC1170"/>
      <c r="AE1170" t="s">
        <v>231</v>
      </c>
      <c r="AF1170"/>
      <c r="AL1170">
        <v>340610490</v>
      </c>
      <c r="AM1170" t="s">
        <v>58</v>
      </c>
    </row>
    <row r="1171" spans="1:39" x14ac:dyDescent="0.35">
      <c r="A1171">
        <v>3406</v>
      </c>
      <c r="B1171" t="s">
        <v>28</v>
      </c>
      <c r="C1171">
        <v>2020</v>
      </c>
      <c r="D1171" s="1">
        <v>43831</v>
      </c>
      <c r="E1171">
        <v>4</v>
      </c>
      <c r="F1171">
        <v>600036774</v>
      </c>
      <c r="G1171" t="s">
        <v>226</v>
      </c>
      <c r="H1171">
        <v>50</v>
      </c>
      <c r="I1171">
        <v>71102010</v>
      </c>
      <c r="J1171">
        <v>71111040</v>
      </c>
      <c r="K1171" t="s">
        <v>187</v>
      </c>
      <c r="L1171">
        <v>1371.87</v>
      </c>
      <c r="M1171" t="s">
        <v>31</v>
      </c>
      <c r="N1171">
        <v>1371.87</v>
      </c>
      <c r="O1171" t="s">
        <v>31</v>
      </c>
      <c r="W1171">
        <v>600033366</v>
      </c>
      <c r="X1171" t="s">
        <v>227</v>
      </c>
      <c r="Y1171" t="s">
        <v>228</v>
      </c>
      <c r="Z1171">
        <v>20200131</v>
      </c>
      <c r="AA1171">
        <f t="shared" si="27"/>
        <v>1371.87</v>
      </c>
      <c r="AC1171"/>
      <c r="AE1171" t="s">
        <v>232</v>
      </c>
      <c r="AF1171"/>
      <c r="AL1171">
        <v>340612890</v>
      </c>
      <c r="AM1171" t="s">
        <v>58</v>
      </c>
    </row>
    <row r="1172" spans="1:39" x14ac:dyDescent="0.35">
      <c r="A1172">
        <v>3406</v>
      </c>
      <c r="B1172" t="s">
        <v>28</v>
      </c>
      <c r="C1172">
        <v>2020</v>
      </c>
      <c r="D1172" s="1">
        <v>43831</v>
      </c>
      <c r="E1172">
        <v>5</v>
      </c>
      <c r="F1172">
        <v>600036774</v>
      </c>
      <c r="G1172" t="s">
        <v>226</v>
      </c>
      <c r="H1172">
        <v>50</v>
      </c>
      <c r="I1172">
        <v>71102010</v>
      </c>
      <c r="J1172">
        <v>71111040</v>
      </c>
      <c r="K1172" t="s">
        <v>187</v>
      </c>
      <c r="L1172">
        <v>970.9</v>
      </c>
      <c r="M1172" t="s">
        <v>31</v>
      </c>
      <c r="N1172">
        <v>970.9</v>
      </c>
      <c r="O1172" t="s">
        <v>31</v>
      </c>
      <c r="W1172">
        <v>600033366</v>
      </c>
      <c r="X1172" t="s">
        <v>227</v>
      </c>
      <c r="Y1172" t="s">
        <v>228</v>
      </c>
      <c r="Z1172">
        <v>20200131</v>
      </c>
      <c r="AA1172">
        <f t="shared" si="27"/>
        <v>970.9</v>
      </c>
      <c r="AC1172"/>
      <c r="AE1172" t="s">
        <v>233</v>
      </c>
      <c r="AF1172"/>
      <c r="AL1172">
        <v>340632290</v>
      </c>
      <c r="AM1172" t="s">
        <v>58</v>
      </c>
    </row>
    <row r="1173" spans="1:39" x14ac:dyDescent="0.35">
      <c r="A1173">
        <v>3406</v>
      </c>
      <c r="B1173" t="s">
        <v>28</v>
      </c>
      <c r="C1173">
        <v>2020</v>
      </c>
      <c r="D1173" s="1">
        <v>43831</v>
      </c>
      <c r="E1173">
        <v>6</v>
      </c>
      <c r="F1173">
        <v>600036774</v>
      </c>
      <c r="G1173" t="s">
        <v>226</v>
      </c>
      <c r="H1173">
        <v>50</v>
      </c>
      <c r="I1173">
        <v>71102010</v>
      </c>
      <c r="J1173">
        <v>71111040</v>
      </c>
      <c r="K1173" t="s">
        <v>187</v>
      </c>
      <c r="L1173">
        <v>105.92</v>
      </c>
      <c r="M1173" t="s">
        <v>31</v>
      </c>
      <c r="N1173">
        <v>105.92</v>
      </c>
      <c r="O1173" t="s">
        <v>31</v>
      </c>
      <c r="W1173">
        <v>600033366</v>
      </c>
      <c r="X1173" t="s">
        <v>227</v>
      </c>
      <c r="Y1173" t="s">
        <v>228</v>
      </c>
      <c r="Z1173">
        <v>20200131</v>
      </c>
      <c r="AA1173">
        <f t="shared" si="27"/>
        <v>105.92</v>
      </c>
      <c r="AC1173"/>
      <c r="AE1173" t="s">
        <v>234</v>
      </c>
      <c r="AF1173"/>
      <c r="AL1173">
        <v>340619190</v>
      </c>
      <c r="AM1173" t="s">
        <v>58</v>
      </c>
    </row>
    <row r="1174" spans="1:39" x14ac:dyDescent="0.35">
      <c r="A1174">
        <v>3406</v>
      </c>
      <c r="B1174" t="s">
        <v>28</v>
      </c>
      <c r="C1174">
        <v>2020</v>
      </c>
      <c r="D1174" s="1">
        <v>43831</v>
      </c>
      <c r="E1174">
        <v>8</v>
      </c>
      <c r="F1174">
        <v>600036774</v>
      </c>
      <c r="G1174" t="s">
        <v>226</v>
      </c>
      <c r="H1174">
        <v>50</v>
      </c>
      <c r="I1174">
        <v>71102010</v>
      </c>
      <c r="J1174">
        <v>71111040</v>
      </c>
      <c r="K1174" t="s">
        <v>187</v>
      </c>
      <c r="L1174">
        <v>2119.67</v>
      </c>
      <c r="M1174" t="s">
        <v>31</v>
      </c>
      <c r="N1174">
        <v>2119.67</v>
      </c>
      <c r="O1174" t="s">
        <v>31</v>
      </c>
      <c r="W1174">
        <v>600033366</v>
      </c>
      <c r="X1174" t="s">
        <v>227</v>
      </c>
      <c r="Y1174" t="s">
        <v>228</v>
      </c>
      <c r="Z1174">
        <v>20200131</v>
      </c>
      <c r="AA1174">
        <f t="shared" si="27"/>
        <v>2119.67</v>
      </c>
      <c r="AC1174"/>
      <c r="AE1174" t="s">
        <v>235</v>
      </c>
      <c r="AF1174"/>
      <c r="AL1174">
        <v>340615190</v>
      </c>
      <c r="AM1174" t="s">
        <v>58</v>
      </c>
    </row>
    <row r="1175" spans="1:39" x14ac:dyDescent="0.35">
      <c r="A1175">
        <v>3401</v>
      </c>
      <c r="B1175" t="s">
        <v>28</v>
      </c>
      <c r="C1175">
        <v>2020</v>
      </c>
      <c r="D1175" s="1">
        <v>43831</v>
      </c>
      <c r="E1175">
        <v>76</v>
      </c>
      <c r="F1175">
        <v>100031721</v>
      </c>
      <c r="G1175" t="s">
        <v>29</v>
      </c>
      <c r="H1175">
        <v>81</v>
      </c>
      <c r="I1175">
        <v>71101060</v>
      </c>
      <c r="J1175">
        <v>11500060</v>
      </c>
      <c r="K1175" t="s">
        <v>30</v>
      </c>
      <c r="L1175" s="4">
        <v>14113.1</v>
      </c>
      <c r="M1175" t="s">
        <v>31</v>
      </c>
      <c r="N1175" s="4">
        <v>14113.1</v>
      </c>
      <c r="O1175" t="s">
        <v>31</v>
      </c>
      <c r="X1175" t="s">
        <v>28</v>
      </c>
      <c r="Y1175"/>
      <c r="Z1175">
        <v>20200131</v>
      </c>
      <c r="AA1175">
        <f t="shared" si="27"/>
        <v>14113.1</v>
      </c>
      <c r="AC1175"/>
      <c r="AF1175"/>
      <c r="AL1175">
        <v>340112890</v>
      </c>
      <c r="AM1175" t="s">
        <v>37</v>
      </c>
    </row>
    <row r="1176" spans="1:39" x14ac:dyDescent="0.35">
      <c r="A1176">
        <v>3401</v>
      </c>
      <c r="B1176" t="s">
        <v>28</v>
      </c>
      <c r="C1176">
        <v>2020</v>
      </c>
      <c r="D1176" s="1">
        <v>43831</v>
      </c>
      <c r="E1176">
        <v>78</v>
      </c>
      <c r="F1176">
        <v>100031721</v>
      </c>
      <c r="G1176" t="s">
        <v>29</v>
      </c>
      <c r="H1176">
        <v>81</v>
      </c>
      <c r="I1176">
        <v>71101060</v>
      </c>
      <c r="J1176">
        <v>11500060</v>
      </c>
      <c r="K1176" t="s">
        <v>30</v>
      </c>
      <c r="L1176" s="4">
        <v>4414.6899999999996</v>
      </c>
      <c r="M1176" t="s">
        <v>31</v>
      </c>
      <c r="N1176" s="4">
        <v>4414.6899999999996</v>
      </c>
      <c r="O1176" t="s">
        <v>31</v>
      </c>
      <c r="X1176" t="s">
        <v>28</v>
      </c>
      <c r="Y1176"/>
      <c r="Z1176">
        <v>20200131</v>
      </c>
      <c r="AA1176">
        <f t="shared" si="27"/>
        <v>4414.6899999999996</v>
      </c>
      <c r="AC1176"/>
      <c r="AF1176"/>
      <c r="AL1176">
        <v>340112890</v>
      </c>
      <c r="AM1176" t="s">
        <v>37</v>
      </c>
    </row>
    <row r="1177" spans="1:39" x14ac:dyDescent="0.35">
      <c r="A1177">
        <v>3401</v>
      </c>
      <c r="B1177" t="s">
        <v>28</v>
      </c>
      <c r="C1177">
        <v>2020</v>
      </c>
      <c r="D1177" s="1">
        <v>43831</v>
      </c>
      <c r="E1177">
        <v>80</v>
      </c>
      <c r="F1177">
        <v>100031721</v>
      </c>
      <c r="G1177" t="s">
        <v>29</v>
      </c>
      <c r="H1177">
        <v>81</v>
      </c>
      <c r="I1177">
        <v>71101060</v>
      </c>
      <c r="J1177">
        <v>11500060</v>
      </c>
      <c r="K1177" t="s">
        <v>30</v>
      </c>
      <c r="L1177" s="4">
        <v>10794</v>
      </c>
      <c r="M1177" t="s">
        <v>31</v>
      </c>
      <c r="N1177" s="4">
        <v>10794</v>
      </c>
      <c r="O1177" t="s">
        <v>31</v>
      </c>
      <c r="X1177" t="s">
        <v>28</v>
      </c>
      <c r="Y1177"/>
      <c r="Z1177">
        <v>20200131</v>
      </c>
      <c r="AA1177">
        <f t="shared" si="27"/>
        <v>10794</v>
      </c>
      <c r="AC1177"/>
      <c r="AF1177"/>
      <c r="AL1177">
        <v>340112890</v>
      </c>
      <c r="AM1177" t="s">
        <v>37</v>
      </c>
    </row>
    <row r="1178" spans="1:39" x14ac:dyDescent="0.35">
      <c r="A1178">
        <v>3401</v>
      </c>
      <c r="B1178" t="s">
        <v>28</v>
      </c>
      <c r="C1178">
        <v>2020</v>
      </c>
      <c r="D1178" s="1">
        <v>43831</v>
      </c>
      <c r="E1178">
        <v>82</v>
      </c>
      <c r="F1178">
        <v>100031721</v>
      </c>
      <c r="G1178" t="s">
        <v>29</v>
      </c>
      <c r="H1178">
        <v>81</v>
      </c>
      <c r="I1178">
        <v>71101060</v>
      </c>
      <c r="J1178">
        <v>11500060</v>
      </c>
      <c r="K1178" t="s">
        <v>30</v>
      </c>
      <c r="L1178" s="4">
        <v>404.25</v>
      </c>
      <c r="M1178" t="s">
        <v>31</v>
      </c>
      <c r="N1178" s="4">
        <v>404.25</v>
      </c>
      <c r="O1178" t="s">
        <v>31</v>
      </c>
      <c r="X1178" t="s">
        <v>28</v>
      </c>
      <c r="Y1178"/>
      <c r="Z1178">
        <v>20200131</v>
      </c>
      <c r="AA1178">
        <f t="shared" si="27"/>
        <v>404.25</v>
      </c>
      <c r="AC1178"/>
      <c r="AF1178"/>
      <c r="AL1178">
        <v>340112890</v>
      </c>
      <c r="AM1178" t="s">
        <v>37</v>
      </c>
    </row>
    <row r="1179" spans="1:39" x14ac:dyDescent="0.35">
      <c r="A1179">
        <v>3401</v>
      </c>
      <c r="B1179" t="s">
        <v>28</v>
      </c>
      <c r="C1179">
        <v>2020</v>
      </c>
      <c r="D1179" s="1">
        <v>43831</v>
      </c>
      <c r="E1179">
        <v>84</v>
      </c>
      <c r="F1179">
        <v>100031721</v>
      </c>
      <c r="G1179" t="s">
        <v>29</v>
      </c>
      <c r="H1179">
        <v>81</v>
      </c>
      <c r="I1179">
        <v>71101060</v>
      </c>
      <c r="J1179">
        <v>11500060</v>
      </c>
      <c r="K1179" t="s">
        <v>30</v>
      </c>
      <c r="L1179" s="4">
        <v>7963.14</v>
      </c>
      <c r="M1179" t="s">
        <v>31</v>
      </c>
      <c r="N1179" s="4">
        <v>7963.14</v>
      </c>
      <c r="O1179" t="s">
        <v>31</v>
      </c>
      <c r="X1179" t="s">
        <v>28</v>
      </c>
      <c r="Y1179"/>
      <c r="Z1179">
        <v>20200131</v>
      </c>
      <c r="AA1179">
        <f t="shared" si="27"/>
        <v>7963.14</v>
      </c>
      <c r="AC1179"/>
      <c r="AF1179"/>
      <c r="AL1179">
        <v>340112890</v>
      </c>
      <c r="AM1179" t="s">
        <v>37</v>
      </c>
    </row>
    <row r="1180" spans="1:39" x14ac:dyDescent="0.35">
      <c r="A1180">
        <v>3401</v>
      </c>
      <c r="B1180" t="s">
        <v>28</v>
      </c>
      <c r="C1180">
        <v>2020</v>
      </c>
      <c r="D1180" s="1">
        <v>43831</v>
      </c>
      <c r="E1180">
        <v>86</v>
      </c>
      <c r="F1180">
        <v>100031721</v>
      </c>
      <c r="G1180" t="s">
        <v>29</v>
      </c>
      <c r="H1180">
        <v>81</v>
      </c>
      <c r="I1180">
        <v>71101060</v>
      </c>
      <c r="J1180">
        <v>11500060</v>
      </c>
      <c r="K1180" t="s">
        <v>30</v>
      </c>
      <c r="L1180" s="4">
        <v>5492.58</v>
      </c>
      <c r="M1180" t="s">
        <v>31</v>
      </c>
      <c r="N1180" s="4">
        <v>5492.58</v>
      </c>
      <c r="O1180" t="s">
        <v>31</v>
      </c>
      <c r="X1180" t="s">
        <v>28</v>
      </c>
      <c r="Y1180"/>
      <c r="Z1180">
        <v>20200131</v>
      </c>
      <c r="AA1180">
        <f t="shared" si="27"/>
        <v>5492.58</v>
      </c>
      <c r="AC1180"/>
      <c r="AF1180"/>
      <c r="AL1180">
        <v>340112890</v>
      </c>
      <c r="AM1180" t="s">
        <v>37</v>
      </c>
    </row>
    <row r="1181" spans="1:39" x14ac:dyDescent="0.35">
      <c r="A1181">
        <v>3401</v>
      </c>
      <c r="B1181" t="s">
        <v>28</v>
      </c>
      <c r="C1181">
        <v>2020</v>
      </c>
      <c r="D1181" s="1">
        <v>43831</v>
      </c>
      <c r="E1181">
        <v>88</v>
      </c>
      <c r="F1181">
        <v>100031721</v>
      </c>
      <c r="G1181" t="s">
        <v>29</v>
      </c>
      <c r="H1181">
        <v>81</v>
      </c>
      <c r="I1181">
        <v>71101060</v>
      </c>
      <c r="J1181">
        <v>11500060</v>
      </c>
      <c r="K1181" t="s">
        <v>30</v>
      </c>
      <c r="L1181" s="4">
        <v>16871.36</v>
      </c>
      <c r="M1181" t="s">
        <v>31</v>
      </c>
      <c r="N1181" s="4">
        <v>16871.36</v>
      </c>
      <c r="O1181" t="s">
        <v>31</v>
      </c>
      <c r="X1181" t="s">
        <v>28</v>
      </c>
      <c r="Y1181"/>
      <c r="Z1181">
        <v>20200131</v>
      </c>
      <c r="AA1181">
        <f t="shared" si="27"/>
        <v>16871.36</v>
      </c>
      <c r="AC1181"/>
      <c r="AF1181"/>
      <c r="AL1181">
        <v>340112890</v>
      </c>
      <c r="AM1181" t="s">
        <v>37</v>
      </c>
    </row>
    <row r="1182" spans="1:39" x14ac:dyDescent="0.35">
      <c r="A1182">
        <v>3401</v>
      </c>
      <c r="B1182" t="s">
        <v>28</v>
      </c>
      <c r="C1182">
        <v>2020</v>
      </c>
      <c r="D1182" s="1">
        <v>43831</v>
      </c>
      <c r="E1182">
        <v>90</v>
      </c>
      <c r="F1182">
        <v>100031721</v>
      </c>
      <c r="G1182" t="s">
        <v>29</v>
      </c>
      <c r="H1182">
        <v>81</v>
      </c>
      <c r="I1182">
        <v>71101060</v>
      </c>
      <c r="J1182">
        <v>11500060</v>
      </c>
      <c r="K1182" t="s">
        <v>30</v>
      </c>
      <c r="L1182" s="4">
        <v>29119.98</v>
      </c>
      <c r="M1182" t="s">
        <v>31</v>
      </c>
      <c r="N1182" s="4">
        <v>29119.98</v>
      </c>
      <c r="O1182" t="s">
        <v>31</v>
      </c>
      <c r="X1182" t="s">
        <v>28</v>
      </c>
      <c r="Y1182"/>
      <c r="Z1182">
        <v>20200131</v>
      </c>
      <c r="AA1182">
        <f t="shared" si="27"/>
        <v>29119.98</v>
      </c>
      <c r="AC1182"/>
      <c r="AF1182"/>
      <c r="AL1182">
        <v>340112890</v>
      </c>
      <c r="AM1182" t="s">
        <v>37</v>
      </c>
    </row>
    <row r="1183" spans="1:39" x14ac:dyDescent="0.35">
      <c r="A1183">
        <v>3401</v>
      </c>
      <c r="B1183" t="s">
        <v>28</v>
      </c>
      <c r="C1183">
        <v>2020</v>
      </c>
      <c r="D1183" s="1">
        <v>43831</v>
      </c>
      <c r="E1183">
        <v>92</v>
      </c>
      <c r="F1183">
        <v>100031721</v>
      </c>
      <c r="G1183" t="s">
        <v>29</v>
      </c>
      <c r="H1183">
        <v>81</v>
      </c>
      <c r="I1183">
        <v>71101060</v>
      </c>
      <c r="J1183">
        <v>11500060</v>
      </c>
      <c r="K1183" t="s">
        <v>30</v>
      </c>
      <c r="L1183" s="4">
        <v>13271.54</v>
      </c>
      <c r="M1183" t="s">
        <v>31</v>
      </c>
      <c r="N1183" s="4">
        <v>13271.54</v>
      </c>
      <c r="O1183" t="s">
        <v>31</v>
      </c>
      <c r="X1183" t="s">
        <v>28</v>
      </c>
      <c r="Y1183"/>
      <c r="Z1183">
        <v>20200131</v>
      </c>
      <c r="AA1183">
        <f t="shared" si="27"/>
        <v>13271.54</v>
      </c>
      <c r="AC1183"/>
      <c r="AF1183"/>
      <c r="AL1183">
        <v>340112890</v>
      </c>
      <c r="AM1183" t="s">
        <v>37</v>
      </c>
    </row>
    <row r="1184" spans="1:39" x14ac:dyDescent="0.35">
      <c r="A1184">
        <v>3401</v>
      </c>
      <c r="B1184" t="s">
        <v>28</v>
      </c>
      <c r="C1184">
        <v>2020</v>
      </c>
      <c r="D1184" s="1">
        <v>43831</v>
      </c>
      <c r="E1184">
        <v>94</v>
      </c>
      <c r="F1184">
        <v>100031721</v>
      </c>
      <c r="G1184" t="s">
        <v>29</v>
      </c>
      <c r="H1184">
        <v>81</v>
      </c>
      <c r="I1184">
        <v>71101060</v>
      </c>
      <c r="J1184">
        <v>11500060</v>
      </c>
      <c r="K1184" t="s">
        <v>30</v>
      </c>
      <c r="L1184" s="4">
        <v>1824</v>
      </c>
      <c r="M1184" t="s">
        <v>31</v>
      </c>
      <c r="N1184" s="4">
        <v>1824</v>
      </c>
      <c r="O1184" t="s">
        <v>31</v>
      </c>
      <c r="X1184" t="s">
        <v>28</v>
      </c>
      <c r="Y1184"/>
      <c r="Z1184">
        <v>20200131</v>
      </c>
      <c r="AA1184">
        <f t="shared" si="27"/>
        <v>1824</v>
      </c>
      <c r="AC1184"/>
      <c r="AF1184"/>
      <c r="AL1184">
        <v>340112890</v>
      </c>
      <c r="AM1184" t="s">
        <v>37</v>
      </c>
    </row>
    <row r="1185" spans="1:39" x14ac:dyDescent="0.35">
      <c r="A1185">
        <v>3401</v>
      </c>
      <c r="B1185" t="s">
        <v>28</v>
      </c>
      <c r="C1185">
        <v>2020</v>
      </c>
      <c r="D1185" s="1">
        <v>43831</v>
      </c>
      <c r="E1185">
        <v>96</v>
      </c>
      <c r="F1185">
        <v>100031721</v>
      </c>
      <c r="G1185" t="s">
        <v>29</v>
      </c>
      <c r="H1185">
        <v>81</v>
      </c>
      <c r="I1185">
        <v>71101060</v>
      </c>
      <c r="J1185">
        <v>11500060</v>
      </c>
      <c r="K1185" t="s">
        <v>30</v>
      </c>
      <c r="L1185" s="4">
        <v>22960.14</v>
      </c>
      <c r="M1185" t="s">
        <v>31</v>
      </c>
      <c r="N1185" s="4">
        <v>22960.14</v>
      </c>
      <c r="O1185" t="s">
        <v>31</v>
      </c>
      <c r="X1185" t="s">
        <v>28</v>
      </c>
      <c r="Y1185"/>
      <c r="Z1185">
        <v>20200131</v>
      </c>
      <c r="AA1185">
        <f t="shared" si="27"/>
        <v>22960.14</v>
      </c>
      <c r="AC1185"/>
      <c r="AF1185"/>
      <c r="AL1185">
        <v>340112890</v>
      </c>
      <c r="AM1185" t="s">
        <v>37</v>
      </c>
    </row>
    <row r="1186" spans="1:39" x14ac:dyDescent="0.35">
      <c r="A1186">
        <v>3401</v>
      </c>
      <c r="B1186" t="s">
        <v>28</v>
      </c>
      <c r="C1186">
        <v>2020</v>
      </c>
      <c r="D1186" s="1">
        <v>43831</v>
      </c>
      <c r="E1186">
        <v>98</v>
      </c>
      <c r="F1186">
        <v>100031721</v>
      </c>
      <c r="G1186" t="s">
        <v>29</v>
      </c>
      <c r="H1186">
        <v>81</v>
      </c>
      <c r="I1186">
        <v>71101060</v>
      </c>
      <c r="J1186">
        <v>11500060</v>
      </c>
      <c r="K1186" t="s">
        <v>30</v>
      </c>
      <c r="L1186" s="4">
        <v>7733.32</v>
      </c>
      <c r="M1186" t="s">
        <v>31</v>
      </c>
      <c r="N1186" s="4">
        <v>7733.32</v>
      </c>
      <c r="O1186" t="s">
        <v>31</v>
      </c>
      <c r="X1186" t="s">
        <v>28</v>
      </c>
      <c r="Y1186"/>
      <c r="Z1186">
        <v>20200131</v>
      </c>
      <c r="AA1186">
        <f t="shared" si="27"/>
        <v>7733.32</v>
      </c>
      <c r="AC1186"/>
      <c r="AF1186"/>
      <c r="AL1186">
        <v>340112890</v>
      </c>
      <c r="AM1186" t="s">
        <v>37</v>
      </c>
    </row>
    <row r="1187" spans="1:39" x14ac:dyDescent="0.35">
      <c r="A1187">
        <v>3401</v>
      </c>
      <c r="B1187" t="s">
        <v>28</v>
      </c>
      <c r="C1187">
        <v>2020</v>
      </c>
      <c r="D1187" s="1">
        <v>43831</v>
      </c>
      <c r="E1187">
        <v>100</v>
      </c>
      <c r="F1187">
        <v>100031721</v>
      </c>
      <c r="G1187" t="s">
        <v>29</v>
      </c>
      <c r="H1187">
        <v>81</v>
      </c>
      <c r="I1187">
        <v>71101060</v>
      </c>
      <c r="J1187">
        <v>11500060</v>
      </c>
      <c r="K1187" t="s">
        <v>30</v>
      </c>
      <c r="L1187" s="4">
        <v>1125</v>
      </c>
      <c r="M1187" t="s">
        <v>31</v>
      </c>
      <c r="N1187" s="4">
        <v>1125</v>
      </c>
      <c r="O1187" t="s">
        <v>31</v>
      </c>
      <c r="X1187" t="s">
        <v>28</v>
      </c>
      <c r="Y1187"/>
      <c r="Z1187">
        <v>20200131</v>
      </c>
      <c r="AA1187">
        <f t="shared" si="27"/>
        <v>1125</v>
      </c>
      <c r="AC1187"/>
      <c r="AF1187"/>
      <c r="AL1187">
        <v>340112890</v>
      </c>
      <c r="AM1187" t="s">
        <v>37</v>
      </c>
    </row>
    <row r="1188" spans="1:39" x14ac:dyDescent="0.35">
      <c r="A1188">
        <v>3401</v>
      </c>
      <c r="B1188" t="s">
        <v>28</v>
      </c>
      <c r="C1188">
        <v>2020</v>
      </c>
      <c r="D1188" s="1">
        <v>43831</v>
      </c>
      <c r="E1188">
        <v>102</v>
      </c>
      <c r="F1188">
        <v>100031721</v>
      </c>
      <c r="G1188" t="s">
        <v>29</v>
      </c>
      <c r="H1188">
        <v>81</v>
      </c>
      <c r="I1188">
        <v>71101060</v>
      </c>
      <c r="J1188">
        <v>11500060</v>
      </c>
      <c r="K1188" t="s">
        <v>30</v>
      </c>
      <c r="L1188" s="4">
        <v>225</v>
      </c>
      <c r="M1188" t="s">
        <v>31</v>
      </c>
      <c r="N1188" s="4">
        <v>225</v>
      </c>
      <c r="O1188" t="s">
        <v>31</v>
      </c>
      <c r="X1188" t="s">
        <v>28</v>
      </c>
      <c r="Y1188"/>
      <c r="Z1188">
        <v>20200131</v>
      </c>
      <c r="AA1188">
        <f t="shared" si="27"/>
        <v>225</v>
      </c>
      <c r="AC1188"/>
      <c r="AF1188"/>
      <c r="AL1188">
        <v>340112890</v>
      </c>
      <c r="AM1188" t="s">
        <v>37</v>
      </c>
    </row>
    <row r="1189" spans="1:39" x14ac:dyDescent="0.35">
      <c r="A1189">
        <v>3401</v>
      </c>
      <c r="B1189" t="s">
        <v>28</v>
      </c>
      <c r="C1189">
        <v>2020</v>
      </c>
      <c r="D1189" s="1">
        <v>43831</v>
      </c>
      <c r="E1189">
        <v>104</v>
      </c>
      <c r="F1189">
        <v>100031721</v>
      </c>
      <c r="G1189" t="s">
        <v>29</v>
      </c>
      <c r="H1189">
        <v>81</v>
      </c>
      <c r="I1189">
        <v>71101060</v>
      </c>
      <c r="J1189">
        <v>11500060</v>
      </c>
      <c r="K1189" t="s">
        <v>30</v>
      </c>
      <c r="L1189" s="4">
        <v>900</v>
      </c>
      <c r="M1189" t="s">
        <v>31</v>
      </c>
      <c r="N1189" s="4">
        <v>900</v>
      </c>
      <c r="O1189" t="s">
        <v>31</v>
      </c>
      <c r="X1189" t="s">
        <v>28</v>
      </c>
      <c r="Y1189"/>
      <c r="Z1189">
        <v>20200131</v>
      </c>
      <c r="AA1189">
        <f t="shared" si="27"/>
        <v>900</v>
      </c>
      <c r="AC1189"/>
      <c r="AF1189"/>
      <c r="AL1189">
        <v>340112890</v>
      </c>
      <c r="AM1189" t="s">
        <v>37</v>
      </c>
    </row>
    <row r="1190" spans="1:39" x14ac:dyDescent="0.35">
      <c r="A1190">
        <v>3401</v>
      </c>
      <c r="B1190" t="s">
        <v>28</v>
      </c>
      <c r="C1190">
        <v>2020</v>
      </c>
      <c r="D1190" s="1">
        <v>43831</v>
      </c>
      <c r="E1190">
        <v>106</v>
      </c>
      <c r="F1190">
        <v>100031721</v>
      </c>
      <c r="G1190" t="s">
        <v>29</v>
      </c>
      <c r="H1190">
        <v>81</v>
      </c>
      <c r="I1190">
        <v>71101060</v>
      </c>
      <c r="J1190">
        <v>11500060</v>
      </c>
      <c r="K1190" t="s">
        <v>30</v>
      </c>
      <c r="L1190" s="4">
        <v>1350</v>
      </c>
      <c r="M1190" t="s">
        <v>31</v>
      </c>
      <c r="N1190" s="4">
        <v>1350</v>
      </c>
      <c r="O1190" t="s">
        <v>31</v>
      </c>
      <c r="X1190" t="s">
        <v>28</v>
      </c>
      <c r="Y1190"/>
      <c r="Z1190">
        <v>20200131</v>
      </c>
      <c r="AA1190">
        <f t="shared" si="27"/>
        <v>1350</v>
      </c>
      <c r="AC1190"/>
      <c r="AF1190"/>
      <c r="AL1190">
        <v>340112890</v>
      </c>
      <c r="AM1190" t="s">
        <v>37</v>
      </c>
    </row>
    <row r="1191" spans="1:39" x14ac:dyDescent="0.35">
      <c r="A1191">
        <v>3401</v>
      </c>
      <c r="B1191" t="s">
        <v>28</v>
      </c>
      <c r="C1191">
        <v>2020</v>
      </c>
      <c r="D1191" s="1">
        <v>43831</v>
      </c>
      <c r="E1191">
        <v>108</v>
      </c>
      <c r="F1191">
        <v>100031721</v>
      </c>
      <c r="G1191" t="s">
        <v>29</v>
      </c>
      <c r="H1191">
        <v>81</v>
      </c>
      <c r="I1191">
        <v>71101060</v>
      </c>
      <c r="J1191">
        <v>11500060</v>
      </c>
      <c r="K1191" t="s">
        <v>30</v>
      </c>
      <c r="L1191" s="4">
        <v>2250</v>
      </c>
      <c r="M1191" t="s">
        <v>31</v>
      </c>
      <c r="N1191" s="4">
        <v>2250</v>
      </c>
      <c r="O1191" t="s">
        <v>31</v>
      </c>
      <c r="X1191" t="s">
        <v>28</v>
      </c>
      <c r="Y1191"/>
      <c r="Z1191">
        <v>20200131</v>
      </c>
      <c r="AA1191">
        <f t="shared" si="27"/>
        <v>2250</v>
      </c>
      <c r="AC1191"/>
      <c r="AF1191"/>
      <c r="AL1191">
        <v>340112890</v>
      </c>
      <c r="AM1191" t="s">
        <v>37</v>
      </c>
    </row>
    <row r="1192" spans="1:39" x14ac:dyDescent="0.35">
      <c r="A1192">
        <v>3401</v>
      </c>
      <c r="B1192" t="s">
        <v>28</v>
      </c>
      <c r="C1192">
        <v>2020</v>
      </c>
      <c r="D1192" s="1">
        <v>43831</v>
      </c>
      <c r="E1192">
        <v>110</v>
      </c>
      <c r="F1192">
        <v>100031721</v>
      </c>
      <c r="G1192" t="s">
        <v>29</v>
      </c>
      <c r="H1192">
        <v>81</v>
      </c>
      <c r="I1192">
        <v>71101060</v>
      </c>
      <c r="J1192">
        <v>11500060</v>
      </c>
      <c r="K1192" t="s">
        <v>30</v>
      </c>
      <c r="L1192" s="4">
        <v>2250</v>
      </c>
      <c r="M1192" t="s">
        <v>31</v>
      </c>
      <c r="N1192" s="4">
        <v>2250</v>
      </c>
      <c r="O1192" t="s">
        <v>31</v>
      </c>
      <c r="X1192" t="s">
        <v>28</v>
      </c>
      <c r="Y1192"/>
      <c r="Z1192">
        <v>20200131</v>
      </c>
      <c r="AA1192">
        <f t="shared" si="27"/>
        <v>2250</v>
      </c>
      <c r="AC1192"/>
      <c r="AF1192"/>
      <c r="AL1192">
        <v>340112890</v>
      </c>
      <c r="AM1192" t="s">
        <v>37</v>
      </c>
    </row>
    <row r="1193" spans="1:39" x14ac:dyDescent="0.35">
      <c r="A1193">
        <v>3401</v>
      </c>
      <c r="B1193" t="s">
        <v>28</v>
      </c>
      <c r="C1193">
        <v>2020</v>
      </c>
      <c r="D1193" s="1">
        <v>43831</v>
      </c>
      <c r="E1193">
        <v>112</v>
      </c>
      <c r="F1193">
        <v>100031721</v>
      </c>
      <c r="G1193" t="s">
        <v>29</v>
      </c>
      <c r="H1193">
        <v>81</v>
      </c>
      <c r="I1193">
        <v>71101060</v>
      </c>
      <c r="J1193">
        <v>11500060</v>
      </c>
      <c r="K1193" t="s">
        <v>30</v>
      </c>
      <c r="L1193" s="4">
        <v>225</v>
      </c>
      <c r="M1193" t="s">
        <v>31</v>
      </c>
      <c r="N1193" s="4">
        <v>225</v>
      </c>
      <c r="O1193" t="s">
        <v>31</v>
      </c>
      <c r="X1193" t="s">
        <v>28</v>
      </c>
      <c r="Y1193"/>
      <c r="Z1193">
        <v>20200131</v>
      </c>
      <c r="AA1193">
        <f t="shared" si="27"/>
        <v>225</v>
      </c>
      <c r="AC1193"/>
      <c r="AF1193"/>
      <c r="AL1193">
        <v>340112890</v>
      </c>
      <c r="AM1193" t="s">
        <v>37</v>
      </c>
    </row>
    <row r="1194" spans="1:39" x14ac:dyDescent="0.35">
      <c r="A1194">
        <v>3401</v>
      </c>
      <c r="B1194" t="s">
        <v>28</v>
      </c>
      <c r="C1194">
        <v>2020</v>
      </c>
      <c r="D1194" s="1">
        <v>43831</v>
      </c>
      <c r="E1194">
        <v>114</v>
      </c>
      <c r="F1194">
        <v>100031721</v>
      </c>
      <c r="G1194" t="s">
        <v>29</v>
      </c>
      <c r="H1194">
        <v>81</v>
      </c>
      <c r="I1194">
        <v>71101060</v>
      </c>
      <c r="J1194">
        <v>11500060</v>
      </c>
      <c r="K1194" t="s">
        <v>30</v>
      </c>
      <c r="L1194" s="4">
        <v>450</v>
      </c>
      <c r="M1194" t="s">
        <v>31</v>
      </c>
      <c r="N1194" s="4">
        <v>450</v>
      </c>
      <c r="O1194" t="s">
        <v>31</v>
      </c>
      <c r="X1194" t="s">
        <v>28</v>
      </c>
      <c r="Y1194"/>
      <c r="Z1194">
        <v>20200131</v>
      </c>
      <c r="AA1194">
        <f t="shared" si="27"/>
        <v>450</v>
      </c>
      <c r="AC1194"/>
      <c r="AF1194"/>
      <c r="AL1194">
        <v>340112890</v>
      </c>
      <c r="AM1194" t="s">
        <v>37</v>
      </c>
    </row>
    <row r="1195" spans="1:39" x14ac:dyDescent="0.35">
      <c r="A1195">
        <v>3402</v>
      </c>
      <c r="B1195" t="s">
        <v>28</v>
      </c>
      <c r="C1195">
        <v>2020</v>
      </c>
      <c r="D1195" s="1">
        <v>43831</v>
      </c>
      <c r="E1195">
        <v>1</v>
      </c>
      <c r="F1195">
        <v>200120048</v>
      </c>
      <c r="G1195" t="s">
        <v>101</v>
      </c>
      <c r="H1195">
        <v>40</v>
      </c>
      <c r="I1195">
        <v>71106150</v>
      </c>
      <c r="J1195">
        <v>21230140</v>
      </c>
      <c r="K1195" t="s">
        <v>102</v>
      </c>
      <c r="L1195">
        <v>2333</v>
      </c>
      <c r="M1195" t="s">
        <v>54</v>
      </c>
      <c r="N1195">
        <v>43642.73</v>
      </c>
      <c r="O1195" t="s">
        <v>31</v>
      </c>
      <c r="W1195">
        <v>200883964</v>
      </c>
      <c r="X1195" t="s">
        <v>32</v>
      </c>
      <c r="Y1195"/>
      <c r="Z1195">
        <v>20200131</v>
      </c>
      <c r="AA1195">
        <f t="shared" si="27"/>
        <v>2333</v>
      </c>
      <c r="AC1195"/>
      <c r="AE1195" t="s">
        <v>236</v>
      </c>
      <c r="AF1195"/>
      <c r="AL1195">
        <v>340221790</v>
      </c>
      <c r="AM1195" t="s">
        <v>105</v>
      </c>
    </row>
    <row r="1196" spans="1:39" x14ac:dyDescent="0.35">
      <c r="A1196">
        <v>3400</v>
      </c>
      <c r="B1196" t="s">
        <v>28</v>
      </c>
      <c r="C1196">
        <v>2020</v>
      </c>
      <c r="D1196" s="1">
        <v>43831</v>
      </c>
      <c r="E1196">
        <v>1</v>
      </c>
      <c r="F1196">
        <v>880003405</v>
      </c>
      <c r="G1196" t="s">
        <v>48</v>
      </c>
      <c r="H1196">
        <v>40</v>
      </c>
      <c r="I1196">
        <v>74010070</v>
      </c>
      <c r="J1196">
        <v>11128102</v>
      </c>
      <c r="K1196" t="s">
        <v>49</v>
      </c>
      <c r="L1196" s="4">
        <v>5001.66</v>
      </c>
      <c r="M1196" t="s">
        <v>31</v>
      </c>
      <c r="N1196" s="4">
        <v>5001.66</v>
      </c>
      <c r="O1196" t="s">
        <v>31</v>
      </c>
      <c r="P1196" t="s">
        <v>50</v>
      </c>
      <c r="X1196" t="s">
        <v>35</v>
      </c>
      <c r="Y1196"/>
      <c r="Z1196">
        <v>20200131</v>
      </c>
      <c r="AA1196">
        <f t="shared" si="27"/>
        <v>5001.66</v>
      </c>
      <c r="AC1196"/>
      <c r="AE1196" t="s">
        <v>79</v>
      </c>
      <c r="AF1196"/>
      <c r="AL1196">
        <v>340099150</v>
      </c>
      <c r="AM1196" t="s">
        <v>56</v>
      </c>
    </row>
    <row r="1197" spans="1:39" x14ac:dyDescent="0.35">
      <c r="A1197">
        <v>3400</v>
      </c>
      <c r="B1197" t="s">
        <v>47</v>
      </c>
      <c r="C1197">
        <v>2020</v>
      </c>
      <c r="D1197" s="1">
        <v>43831</v>
      </c>
      <c r="E1197">
        <v>1</v>
      </c>
      <c r="F1197">
        <v>880003556</v>
      </c>
      <c r="G1197" t="s">
        <v>48</v>
      </c>
      <c r="H1197">
        <v>40</v>
      </c>
      <c r="I1197">
        <v>74010070</v>
      </c>
      <c r="J1197">
        <v>11128212</v>
      </c>
      <c r="K1197" t="s">
        <v>49</v>
      </c>
      <c r="L1197" s="4">
        <v>53.09</v>
      </c>
      <c r="M1197" t="s">
        <v>54</v>
      </c>
      <c r="N1197" s="4">
        <v>998.21</v>
      </c>
      <c r="O1197" t="s">
        <v>31</v>
      </c>
      <c r="P1197" t="s">
        <v>50</v>
      </c>
      <c r="X1197" t="s">
        <v>65</v>
      </c>
      <c r="Y1197"/>
      <c r="Z1197">
        <v>20200130</v>
      </c>
      <c r="AA1197">
        <f t="shared" si="27"/>
        <v>53.09</v>
      </c>
      <c r="AC1197"/>
      <c r="AE1197" t="s">
        <v>237</v>
      </c>
      <c r="AF1197"/>
      <c r="AL1197">
        <v>340099150</v>
      </c>
      <c r="AM1197" t="s">
        <v>52</v>
      </c>
    </row>
    <row r="1198" spans="1:39" x14ac:dyDescent="0.35">
      <c r="A1198">
        <v>3402</v>
      </c>
      <c r="B1198" t="s">
        <v>62</v>
      </c>
      <c r="C1198">
        <v>2020</v>
      </c>
      <c r="D1198" s="1">
        <v>43831</v>
      </c>
      <c r="E1198">
        <v>1</v>
      </c>
      <c r="F1198">
        <v>200096302</v>
      </c>
      <c r="G1198" t="s">
        <v>120</v>
      </c>
      <c r="H1198">
        <v>81</v>
      </c>
      <c r="I1198">
        <v>71105060</v>
      </c>
      <c r="J1198">
        <v>21021040</v>
      </c>
      <c r="K1198" t="s">
        <v>238</v>
      </c>
      <c r="L1198" s="4">
        <v>30524.48</v>
      </c>
      <c r="M1198" t="s">
        <v>31</v>
      </c>
      <c r="N1198" s="4">
        <v>30524.48</v>
      </c>
      <c r="O1198" t="s">
        <v>31</v>
      </c>
      <c r="R1198" t="s">
        <v>239</v>
      </c>
      <c r="S1198" t="s">
        <v>1153</v>
      </c>
      <c r="T1198">
        <v>606476</v>
      </c>
      <c r="U1198" t="s">
        <v>240</v>
      </c>
      <c r="X1198" t="s">
        <v>62</v>
      </c>
      <c r="Y1198" s="8" t="s">
        <v>241</v>
      </c>
      <c r="Z1198">
        <v>20200129</v>
      </c>
      <c r="AA1198">
        <f t="shared" si="27"/>
        <v>30524.48</v>
      </c>
      <c r="AB1198">
        <f>AA1198*0.16</f>
        <v>4883.9168</v>
      </c>
      <c r="AC1198">
        <f>AA1198+AB1198</f>
        <v>35408.396800000002</v>
      </c>
      <c r="AD1198">
        <v>200124279</v>
      </c>
      <c r="AE1198" t="s">
        <v>242</v>
      </c>
      <c r="AF1198" s="4">
        <f>AC1198</f>
        <v>35408.396800000002</v>
      </c>
      <c r="AG1198" t="s">
        <v>1147</v>
      </c>
      <c r="AH1198" t="s">
        <v>1123</v>
      </c>
      <c r="AI1198">
        <v>200154027</v>
      </c>
      <c r="AJ1198" t="s">
        <v>1136</v>
      </c>
      <c r="AK1198" t="s">
        <v>1135</v>
      </c>
      <c r="AL1198">
        <v>340225490</v>
      </c>
      <c r="AM1198" t="s">
        <v>135</v>
      </c>
    </row>
    <row r="1199" spans="1:39" x14ac:dyDescent="0.35">
      <c r="A1199">
        <v>3407</v>
      </c>
      <c r="B1199" t="s">
        <v>62</v>
      </c>
      <c r="C1199">
        <v>2020</v>
      </c>
      <c r="D1199" s="1">
        <v>43831</v>
      </c>
      <c r="E1199">
        <v>1</v>
      </c>
      <c r="F1199">
        <v>700034671</v>
      </c>
      <c r="G1199" t="s">
        <v>120</v>
      </c>
      <c r="H1199">
        <v>81</v>
      </c>
      <c r="I1199">
        <v>71106040</v>
      </c>
      <c r="J1199">
        <v>21021040</v>
      </c>
      <c r="K1199" t="s">
        <v>125</v>
      </c>
      <c r="L1199" s="4">
        <v>1889.25</v>
      </c>
      <c r="M1199" t="s">
        <v>54</v>
      </c>
      <c r="N1199" s="4">
        <v>35783.72</v>
      </c>
      <c r="O1199" t="s">
        <v>31</v>
      </c>
      <c r="R1199" t="s">
        <v>1121</v>
      </c>
      <c r="S1199">
        <v>752738581</v>
      </c>
      <c r="T1199">
        <v>602358</v>
      </c>
      <c r="U1199" t="s">
        <v>130</v>
      </c>
      <c r="X1199" t="s">
        <v>62</v>
      </c>
      <c r="Y1199" s="8">
        <v>2292345</v>
      </c>
      <c r="Z1199">
        <v>20200129</v>
      </c>
      <c r="AA1199">
        <f t="shared" si="27"/>
        <v>1889.25</v>
      </c>
      <c r="AB1199">
        <v>0</v>
      </c>
      <c r="AC1199">
        <f>AA1199</f>
        <v>1889.25</v>
      </c>
      <c r="AD1199">
        <v>700043292</v>
      </c>
      <c r="AE1199" t="s">
        <v>243</v>
      </c>
      <c r="AF1199" s="4">
        <f>AC1199</f>
        <v>1889.25</v>
      </c>
      <c r="AG1199" t="s">
        <v>1146</v>
      </c>
      <c r="AH1199" t="s">
        <v>1123</v>
      </c>
      <c r="AI1199">
        <v>700050731</v>
      </c>
      <c r="AJ1199" t="s">
        <v>1125</v>
      </c>
      <c r="AK1199" t="s">
        <v>1124</v>
      </c>
      <c r="AL1199">
        <v>340721790</v>
      </c>
      <c r="AM1199" t="s">
        <v>244</v>
      </c>
    </row>
    <row r="1200" spans="1:39" x14ac:dyDescent="0.35">
      <c r="A1200">
        <v>3401</v>
      </c>
      <c r="B1200" t="s">
        <v>62</v>
      </c>
      <c r="C1200">
        <v>2020</v>
      </c>
      <c r="D1200" s="1">
        <v>43831</v>
      </c>
      <c r="E1200">
        <v>1</v>
      </c>
      <c r="F1200">
        <v>100029231</v>
      </c>
      <c r="G1200" t="s">
        <v>120</v>
      </c>
      <c r="H1200">
        <v>81</v>
      </c>
      <c r="I1200">
        <v>71104010</v>
      </c>
      <c r="J1200">
        <v>21021040</v>
      </c>
      <c r="K1200" t="s">
        <v>121</v>
      </c>
      <c r="L1200" s="4">
        <v>50484</v>
      </c>
      <c r="M1200" t="s">
        <v>31</v>
      </c>
      <c r="N1200" s="4">
        <v>50484</v>
      </c>
      <c r="O1200" t="s">
        <v>31</v>
      </c>
      <c r="R1200" t="s">
        <v>122</v>
      </c>
      <c r="S1200" t="s">
        <v>1131</v>
      </c>
      <c r="T1200">
        <v>107211</v>
      </c>
      <c r="U1200" t="s">
        <v>123</v>
      </c>
      <c r="X1200" t="s">
        <v>62</v>
      </c>
      <c r="Y1200" s="8">
        <v>4501216248</v>
      </c>
      <c r="Z1200" t="s">
        <v>1127</v>
      </c>
      <c r="AA1200">
        <f t="shared" si="27"/>
        <v>50484</v>
      </c>
      <c r="AC1200"/>
      <c r="AD1200">
        <v>100036889</v>
      </c>
      <c r="AE1200" t="s">
        <v>1128</v>
      </c>
      <c r="AG1200" t="s">
        <v>51</v>
      </c>
      <c r="AH1200" t="s">
        <v>1123</v>
      </c>
      <c r="AI1200">
        <v>100036917</v>
      </c>
      <c r="AJ1200" t="s">
        <v>1148</v>
      </c>
      <c r="AK1200" t="s">
        <v>1129</v>
      </c>
      <c r="AL1200">
        <v>340118590</v>
      </c>
      <c r="AM1200" t="s">
        <v>124</v>
      </c>
    </row>
    <row r="1201" spans="1:39" x14ac:dyDescent="0.35">
      <c r="A1201">
        <v>3402</v>
      </c>
      <c r="B1201" t="s">
        <v>62</v>
      </c>
      <c r="C1201">
        <v>2020</v>
      </c>
      <c r="D1201" s="1">
        <v>43831</v>
      </c>
      <c r="E1201">
        <v>1</v>
      </c>
      <c r="F1201">
        <v>200096515</v>
      </c>
      <c r="G1201" t="s">
        <v>120</v>
      </c>
      <c r="H1201">
        <v>81</v>
      </c>
      <c r="I1201">
        <v>71106150</v>
      </c>
      <c r="J1201">
        <v>21021040</v>
      </c>
      <c r="K1201" t="s">
        <v>102</v>
      </c>
      <c r="L1201" s="4">
        <v>24002.6</v>
      </c>
      <c r="M1201" t="s">
        <v>54</v>
      </c>
      <c r="N1201" s="4">
        <v>454626.05</v>
      </c>
      <c r="O1201" t="s">
        <v>31</v>
      </c>
      <c r="T1201">
        <v>604928</v>
      </c>
      <c r="U1201" t="s">
        <v>245</v>
      </c>
      <c r="X1201" t="s">
        <v>62</v>
      </c>
      <c r="Y1201" t="s">
        <v>246</v>
      </c>
      <c r="Z1201">
        <v>20200129</v>
      </c>
      <c r="AA1201">
        <f t="shared" si="27"/>
        <v>24002.6</v>
      </c>
      <c r="AC1201"/>
      <c r="AE1201" t="s">
        <v>247</v>
      </c>
      <c r="AF1201"/>
      <c r="AL1201">
        <v>340275190</v>
      </c>
      <c r="AM1201" t="s">
        <v>135</v>
      </c>
    </row>
    <row r="1202" spans="1:39" x14ac:dyDescent="0.35">
      <c r="A1202">
        <v>3402</v>
      </c>
      <c r="B1202" t="s">
        <v>62</v>
      </c>
      <c r="C1202">
        <v>2020</v>
      </c>
      <c r="D1202" s="1">
        <v>43831</v>
      </c>
      <c r="E1202">
        <v>1</v>
      </c>
      <c r="F1202">
        <v>200096532</v>
      </c>
      <c r="G1202" t="s">
        <v>120</v>
      </c>
      <c r="H1202">
        <v>81</v>
      </c>
      <c r="I1202">
        <v>71105060</v>
      </c>
      <c r="J1202">
        <v>21021040</v>
      </c>
      <c r="K1202" t="s">
        <v>238</v>
      </c>
      <c r="L1202" s="4">
        <v>9475</v>
      </c>
      <c r="M1202" t="s">
        <v>31</v>
      </c>
      <c r="N1202" s="4">
        <v>9475</v>
      </c>
      <c r="O1202" t="s">
        <v>31</v>
      </c>
      <c r="R1202" t="s">
        <v>248</v>
      </c>
      <c r="T1202">
        <v>101476</v>
      </c>
      <c r="U1202" t="s">
        <v>249</v>
      </c>
      <c r="X1202" t="s">
        <v>62</v>
      </c>
      <c r="Y1202" s="8" t="s">
        <v>250</v>
      </c>
      <c r="Z1202">
        <v>20200129</v>
      </c>
      <c r="AA1202">
        <f t="shared" si="27"/>
        <v>9475</v>
      </c>
      <c r="AB1202">
        <f>AA1202*0.16</f>
        <v>1516</v>
      </c>
      <c r="AC1202">
        <f>AA1202+AB1202</f>
        <v>10991</v>
      </c>
      <c r="AD1202">
        <v>200124339</v>
      </c>
      <c r="AE1202" t="s">
        <v>251</v>
      </c>
      <c r="AF1202" s="4">
        <f>AC1202</f>
        <v>10991</v>
      </c>
      <c r="AG1202" t="s">
        <v>1147</v>
      </c>
      <c r="AH1202" t="s">
        <v>1123</v>
      </c>
      <c r="AI1202">
        <v>200154004</v>
      </c>
      <c r="AJ1202" t="s">
        <v>1136</v>
      </c>
      <c r="AK1202" t="s">
        <v>1135</v>
      </c>
      <c r="AL1202">
        <v>340253290</v>
      </c>
      <c r="AM1202" t="s">
        <v>135</v>
      </c>
    </row>
    <row r="1203" spans="1:39" x14ac:dyDescent="0.35">
      <c r="A1203">
        <v>3401</v>
      </c>
      <c r="B1203" t="s">
        <v>252</v>
      </c>
      <c r="C1203">
        <v>2020</v>
      </c>
      <c r="D1203" s="1">
        <v>43831</v>
      </c>
      <c r="E1203">
        <v>2</v>
      </c>
      <c r="F1203">
        <v>100004606</v>
      </c>
      <c r="G1203" t="s">
        <v>87</v>
      </c>
      <c r="H1203">
        <v>40</v>
      </c>
      <c r="I1203">
        <v>74010070</v>
      </c>
      <c r="J1203">
        <v>11210050</v>
      </c>
      <c r="K1203" t="s">
        <v>49</v>
      </c>
      <c r="L1203" s="4">
        <v>2430.52</v>
      </c>
      <c r="M1203" t="s">
        <v>54</v>
      </c>
      <c r="N1203" s="4">
        <v>45849.82</v>
      </c>
      <c r="O1203" t="s">
        <v>31</v>
      </c>
      <c r="X1203" t="s">
        <v>253</v>
      </c>
      <c r="Y1203" s="8">
        <v>200103151541</v>
      </c>
      <c r="Z1203" t="s">
        <v>106</v>
      </c>
      <c r="AA1203">
        <f t="shared" si="27"/>
        <v>2430.52</v>
      </c>
      <c r="AC1203"/>
      <c r="AD1203">
        <v>200047512</v>
      </c>
      <c r="AE1203" t="s">
        <v>254</v>
      </c>
      <c r="AL1203">
        <v>340140390</v>
      </c>
      <c r="AM1203" t="s">
        <v>255</v>
      </c>
    </row>
    <row r="1204" spans="1:39" x14ac:dyDescent="0.35">
      <c r="A1204">
        <v>3401</v>
      </c>
      <c r="B1204" t="s">
        <v>47</v>
      </c>
      <c r="C1204">
        <v>2020</v>
      </c>
      <c r="D1204" s="1">
        <v>43831</v>
      </c>
      <c r="E1204">
        <v>354</v>
      </c>
      <c r="F1204">
        <v>100030622</v>
      </c>
      <c r="G1204" t="s">
        <v>76</v>
      </c>
      <c r="H1204">
        <v>40</v>
      </c>
      <c r="I1204">
        <v>74010070</v>
      </c>
      <c r="J1204">
        <v>5000001</v>
      </c>
      <c r="K1204" t="s">
        <v>49</v>
      </c>
      <c r="L1204" s="4">
        <v>20</v>
      </c>
      <c r="M1204" t="s">
        <v>54</v>
      </c>
      <c r="N1204" s="4">
        <v>376.04</v>
      </c>
      <c r="O1204" t="s">
        <v>31</v>
      </c>
      <c r="X1204" t="s">
        <v>28</v>
      </c>
      <c r="Y1204"/>
      <c r="Z1204">
        <v>20200130</v>
      </c>
      <c r="AA1204">
        <f t="shared" si="27"/>
        <v>20</v>
      </c>
      <c r="AC1204"/>
      <c r="AE1204" t="s">
        <v>256</v>
      </c>
      <c r="AF1204"/>
      <c r="AL1204">
        <v>340140390</v>
      </c>
      <c r="AM1204" t="s">
        <v>78</v>
      </c>
    </row>
    <row r="1205" spans="1:39" x14ac:dyDescent="0.35">
      <c r="A1205">
        <v>3400</v>
      </c>
      <c r="B1205" t="s">
        <v>86</v>
      </c>
      <c r="C1205">
        <v>2020</v>
      </c>
      <c r="D1205" s="1">
        <v>43831</v>
      </c>
      <c r="E1205">
        <v>1</v>
      </c>
      <c r="F1205">
        <v>880000089</v>
      </c>
      <c r="G1205" t="s">
        <v>48</v>
      </c>
      <c r="H1205">
        <v>40</v>
      </c>
      <c r="I1205">
        <v>74010070</v>
      </c>
      <c r="J1205">
        <v>11123162</v>
      </c>
      <c r="K1205" t="s">
        <v>49</v>
      </c>
      <c r="L1205" s="4">
        <v>25</v>
      </c>
      <c r="M1205" t="s">
        <v>54</v>
      </c>
      <c r="N1205" s="4">
        <v>471.68</v>
      </c>
      <c r="O1205" t="s">
        <v>31</v>
      </c>
      <c r="X1205" t="s">
        <v>88</v>
      </c>
      <c r="Y1205"/>
      <c r="Z1205">
        <v>20200107</v>
      </c>
      <c r="AA1205">
        <f t="shared" si="27"/>
        <v>25</v>
      </c>
      <c r="AC1205"/>
      <c r="AE1205" t="s">
        <v>257</v>
      </c>
      <c r="AF1205"/>
      <c r="AL1205">
        <v>340099150</v>
      </c>
      <c r="AM1205" t="s">
        <v>52</v>
      </c>
    </row>
    <row r="1206" spans="1:39" x14ac:dyDescent="0.35">
      <c r="A1206">
        <v>3400</v>
      </c>
      <c r="B1206" t="s">
        <v>57</v>
      </c>
      <c r="C1206">
        <v>2020</v>
      </c>
      <c r="D1206" s="1">
        <v>43831</v>
      </c>
      <c r="E1206">
        <v>1</v>
      </c>
      <c r="F1206">
        <v>880000290</v>
      </c>
      <c r="G1206" t="s">
        <v>48</v>
      </c>
      <c r="H1206">
        <v>40</v>
      </c>
      <c r="I1206">
        <v>74010070</v>
      </c>
      <c r="J1206">
        <v>11127102</v>
      </c>
      <c r="K1206" t="s">
        <v>49</v>
      </c>
      <c r="L1206" s="4">
        <v>360.5</v>
      </c>
      <c r="M1206" t="s">
        <v>31</v>
      </c>
      <c r="N1206" s="4">
        <v>360.5</v>
      </c>
      <c r="O1206" t="s">
        <v>31</v>
      </c>
      <c r="P1206" t="s">
        <v>50</v>
      </c>
      <c r="X1206" t="s">
        <v>57</v>
      </c>
      <c r="Y1206"/>
      <c r="Z1206">
        <v>20200114</v>
      </c>
      <c r="AA1206">
        <f t="shared" si="27"/>
        <v>360.5</v>
      </c>
      <c r="AC1206"/>
      <c r="AE1206" t="s">
        <v>80</v>
      </c>
      <c r="AF1206"/>
      <c r="AL1206">
        <v>340099150</v>
      </c>
      <c r="AM1206" t="s">
        <v>56</v>
      </c>
    </row>
    <row r="1207" spans="1:39" x14ac:dyDescent="0.35">
      <c r="A1207">
        <v>3402</v>
      </c>
      <c r="B1207" t="s">
        <v>258</v>
      </c>
      <c r="C1207">
        <v>2020</v>
      </c>
      <c r="D1207" s="1">
        <v>43831</v>
      </c>
      <c r="E1207">
        <v>2</v>
      </c>
      <c r="F1207">
        <v>200076796</v>
      </c>
      <c r="G1207" t="s">
        <v>87</v>
      </c>
      <c r="H1207">
        <v>40</v>
      </c>
      <c r="I1207">
        <v>74010070</v>
      </c>
      <c r="J1207">
        <v>102070</v>
      </c>
      <c r="K1207" t="s">
        <v>49</v>
      </c>
      <c r="L1207" s="4">
        <v>25</v>
      </c>
      <c r="M1207" t="s">
        <v>54</v>
      </c>
      <c r="N1207" s="4">
        <v>467.52</v>
      </c>
      <c r="O1207" t="s">
        <v>31</v>
      </c>
      <c r="X1207" t="s">
        <v>259</v>
      </c>
      <c r="Y1207">
        <v>4310806</v>
      </c>
      <c r="Z1207">
        <v>102070</v>
      </c>
      <c r="AA1207">
        <f t="shared" si="27"/>
        <v>25</v>
      </c>
      <c r="AC1207"/>
      <c r="AE1207" t="s">
        <v>260</v>
      </c>
      <c r="AF1207"/>
      <c r="AL1207">
        <v>340240390</v>
      </c>
      <c r="AM1207" t="s">
        <v>261</v>
      </c>
    </row>
    <row r="1208" spans="1:39" x14ac:dyDescent="0.35">
      <c r="A1208">
        <v>3402</v>
      </c>
      <c r="B1208" t="s">
        <v>62</v>
      </c>
      <c r="C1208">
        <v>2020</v>
      </c>
      <c r="D1208" s="1">
        <v>43831</v>
      </c>
      <c r="E1208">
        <v>2</v>
      </c>
      <c r="F1208">
        <v>200108868</v>
      </c>
      <c r="G1208" t="s">
        <v>87</v>
      </c>
      <c r="H1208">
        <v>40</v>
      </c>
      <c r="I1208">
        <v>74010070</v>
      </c>
      <c r="J1208">
        <v>102070</v>
      </c>
      <c r="K1208" t="s">
        <v>49</v>
      </c>
      <c r="L1208" s="4">
        <v>20</v>
      </c>
      <c r="M1208" t="s">
        <v>54</v>
      </c>
      <c r="N1208" s="4">
        <v>378.81</v>
      </c>
      <c r="O1208" t="s">
        <v>31</v>
      </c>
      <c r="X1208" t="s">
        <v>28</v>
      </c>
      <c r="Y1208">
        <v>4321597</v>
      </c>
      <c r="Z1208">
        <v>102070</v>
      </c>
      <c r="AA1208">
        <f t="shared" si="27"/>
        <v>20</v>
      </c>
      <c r="AC1208"/>
      <c r="AE1208" t="s">
        <v>262</v>
      </c>
      <c r="AF1208"/>
      <c r="AL1208">
        <v>340240390</v>
      </c>
      <c r="AM1208" t="s">
        <v>261</v>
      </c>
    </row>
    <row r="1209" spans="1:39" x14ac:dyDescent="0.35">
      <c r="A1209">
        <v>3401</v>
      </c>
      <c r="B1209" t="s">
        <v>47</v>
      </c>
      <c r="C1209">
        <v>2020</v>
      </c>
      <c r="D1209" s="1">
        <v>43831</v>
      </c>
      <c r="E1209">
        <v>1</v>
      </c>
      <c r="F1209">
        <v>100030312</v>
      </c>
      <c r="G1209" t="s">
        <v>120</v>
      </c>
      <c r="H1209">
        <v>81</v>
      </c>
      <c r="I1209">
        <v>71106040</v>
      </c>
      <c r="J1209">
        <v>21021040</v>
      </c>
      <c r="K1209" t="s">
        <v>125</v>
      </c>
      <c r="L1209" s="4">
        <v>294.10000000000002</v>
      </c>
      <c r="M1209" t="s">
        <v>54</v>
      </c>
      <c r="N1209" s="4">
        <v>5529.73</v>
      </c>
      <c r="O1209" t="s">
        <v>31</v>
      </c>
      <c r="R1209" t="s">
        <v>1121</v>
      </c>
      <c r="S1209">
        <v>435003532</v>
      </c>
      <c r="T1209">
        <v>600803</v>
      </c>
      <c r="U1209" t="s">
        <v>263</v>
      </c>
      <c r="X1209" t="s">
        <v>47</v>
      </c>
      <c r="Y1209">
        <v>881747592654</v>
      </c>
      <c r="Z1209">
        <v>20200130</v>
      </c>
      <c r="AA1209">
        <f t="shared" si="27"/>
        <v>294.10000000000002</v>
      </c>
      <c r="AB1209">
        <v>0</v>
      </c>
      <c r="AC1209">
        <f>AA1209</f>
        <v>294.10000000000002</v>
      </c>
      <c r="AE1209" t="s">
        <v>264</v>
      </c>
      <c r="AF1209">
        <f>AC1209</f>
        <v>294.10000000000002</v>
      </c>
      <c r="AG1209" t="s">
        <v>1144</v>
      </c>
      <c r="AH1209" t="s">
        <v>1123</v>
      </c>
      <c r="AI1209">
        <v>100063856</v>
      </c>
      <c r="AJ1209" t="s">
        <v>1125</v>
      </c>
      <c r="AK1209" t="s">
        <v>1124</v>
      </c>
      <c r="AL1209">
        <v>340121790</v>
      </c>
      <c r="AM1209" t="s">
        <v>129</v>
      </c>
    </row>
    <row r="1210" spans="1:39" x14ac:dyDescent="0.35">
      <c r="A1210">
        <v>3407</v>
      </c>
      <c r="B1210" t="s">
        <v>47</v>
      </c>
      <c r="C1210">
        <v>2020</v>
      </c>
      <c r="D1210" s="1">
        <v>43831</v>
      </c>
      <c r="E1210">
        <v>1</v>
      </c>
      <c r="F1210">
        <v>700036796</v>
      </c>
      <c r="G1210" t="s">
        <v>120</v>
      </c>
      <c r="H1210">
        <v>81</v>
      </c>
      <c r="I1210">
        <v>71105060</v>
      </c>
      <c r="J1210">
        <v>21021040</v>
      </c>
      <c r="K1210" t="s">
        <v>238</v>
      </c>
      <c r="L1210" s="4">
        <v>104895.14</v>
      </c>
      <c r="M1210" t="s">
        <v>31</v>
      </c>
      <c r="N1210" s="4">
        <v>104895.14</v>
      </c>
      <c r="O1210" t="s">
        <v>31</v>
      </c>
      <c r="R1210" t="s">
        <v>265</v>
      </c>
      <c r="S1210" t="s">
        <v>1179</v>
      </c>
      <c r="T1210">
        <v>606740</v>
      </c>
      <c r="U1210" t="s">
        <v>266</v>
      </c>
      <c r="X1210" t="s">
        <v>47</v>
      </c>
      <c r="Y1210" s="9">
        <v>1766</v>
      </c>
      <c r="Z1210">
        <v>20200130</v>
      </c>
      <c r="AA1210">
        <f t="shared" si="27"/>
        <v>104895.14</v>
      </c>
      <c r="AB1210">
        <f>AA1210*0.16</f>
        <v>16783.222399999999</v>
      </c>
      <c r="AC1210">
        <f>AA1210+AB1210</f>
        <v>121678.3624</v>
      </c>
      <c r="AD1210">
        <v>700036809</v>
      </c>
      <c r="AE1210" t="s">
        <v>267</v>
      </c>
      <c r="AF1210" s="4">
        <f>AC1210</f>
        <v>121678.3624</v>
      </c>
      <c r="AG1210" t="s">
        <v>28</v>
      </c>
      <c r="AH1210" t="s">
        <v>1123</v>
      </c>
      <c r="AI1210">
        <v>700037016</v>
      </c>
      <c r="AJ1210" t="s">
        <v>1136</v>
      </c>
      <c r="AK1210" t="s">
        <v>1135</v>
      </c>
      <c r="AL1210">
        <v>340727190</v>
      </c>
      <c r="AM1210" t="s">
        <v>217</v>
      </c>
    </row>
    <row r="1211" spans="1:39" x14ac:dyDescent="0.35">
      <c r="A1211">
        <v>3400</v>
      </c>
      <c r="B1211" t="s">
        <v>47</v>
      </c>
      <c r="C1211">
        <v>2020</v>
      </c>
      <c r="D1211" s="1">
        <v>43831</v>
      </c>
      <c r="E1211">
        <v>1</v>
      </c>
      <c r="F1211">
        <v>100010311</v>
      </c>
      <c r="G1211" t="s">
        <v>101</v>
      </c>
      <c r="H1211">
        <v>40</v>
      </c>
      <c r="I1211">
        <v>71105120</v>
      </c>
      <c r="J1211">
        <v>11610030</v>
      </c>
      <c r="K1211" t="s">
        <v>268</v>
      </c>
      <c r="L1211" s="4">
        <v>85.45</v>
      </c>
      <c r="M1211" t="s">
        <v>54</v>
      </c>
      <c r="N1211" s="4">
        <v>1606.65</v>
      </c>
      <c r="O1211" t="s">
        <v>31</v>
      </c>
      <c r="P1211" t="s">
        <v>98</v>
      </c>
      <c r="X1211" t="s">
        <v>47</v>
      </c>
      <c r="Y1211" t="s">
        <v>269</v>
      </c>
      <c r="Z1211">
        <v>20200130</v>
      </c>
      <c r="AA1211">
        <f t="shared" si="27"/>
        <v>85.45</v>
      </c>
      <c r="AC1211"/>
      <c r="AE1211" t="s">
        <v>270</v>
      </c>
      <c r="AF1211"/>
      <c r="AL1211">
        <v>340019450</v>
      </c>
      <c r="AM1211" t="s">
        <v>271</v>
      </c>
    </row>
    <row r="1212" spans="1:39" x14ac:dyDescent="0.35">
      <c r="A1212">
        <v>3400</v>
      </c>
      <c r="B1212" t="s">
        <v>47</v>
      </c>
      <c r="C1212">
        <v>2020</v>
      </c>
      <c r="D1212" s="1">
        <v>43831</v>
      </c>
      <c r="E1212">
        <v>2</v>
      </c>
      <c r="F1212">
        <v>100010311</v>
      </c>
      <c r="G1212" t="s">
        <v>101</v>
      </c>
      <c r="H1212">
        <v>40</v>
      </c>
      <c r="I1212">
        <v>71105120</v>
      </c>
      <c r="J1212">
        <v>11610030</v>
      </c>
      <c r="K1212" t="s">
        <v>268</v>
      </c>
      <c r="L1212" s="4">
        <v>56.96</v>
      </c>
      <c r="M1212" t="s">
        <v>54</v>
      </c>
      <c r="N1212" s="4">
        <v>1070.97</v>
      </c>
      <c r="O1212" t="s">
        <v>31</v>
      </c>
      <c r="P1212" t="s">
        <v>98</v>
      </c>
      <c r="X1212" t="s">
        <v>47</v>
      </c>
      <c r="Y1212" t="s">
        <v>269</v>
      </c>
      <c r="Z1212">
        <v>20200130</v>
      </c>
      <c r="AA1212">
        <f t="shared" si="27"/>
        <v>56.96</v>
      </c>
      <c r="AC1212"/>
      <c r="AE1212" t="s">
        <v>270</v>
      </c>
      <c r="AF1212"/>
      <c r="AL1212">
        <v>340019550</v>
      </c>
      <c r="AM1212" t="s">
        <v>271</v>
      </c>
    </row>
    <row r="1213" spans="1:39" x14ac:dyDescent="0.35">
      <c r="A1213">
        <v>3400</v>
      </c>
      <c r="B1213" t="s">
        <v>47</v>
      </c>
      <c r="C1213">
        <v>2020</v>
      </c>
      <c r="D1213" s="1">
        <v>43831</v>
      </c>
      <c r="E1213">
        <v>3</v>
      </c>
      <c r="F1213">
        <v>100010311</v>
      </c>
      <c r="G1213" t="s">
        <v>101</v>
      </c>
      <c r="H1213">
        <v>40</v>
      </c>
      <c r="I1213">
        <v>71105120</v>
      </c>
      <c r="J1213">
        <v>11610030</v>
      </c>
      <c r="K1213" t="s">
        <v>268</v>
      </c>
      <c r="L1213" s="4">
        <v>113.93</v>
      </c>
      <c r="M1213" t="s">
        <v>54</v>
      </c>
      <c r="N1213" s="4">
        <v>2142.13</v>
      </c>
      <c r="O1213" t="s">
        <v>31</v>
      </c>
      <c r="P1213" t="s">
        <v>98</v>
      </c>
      <c r="X1213" t="s">
        <v>47</v>
      </c>
      <c r="Y1213" t="s">
        <v>269</v>
      </c>
      <c r="Z1213">
        <v>20200130</v>
      </c>
      <c r="AA1213">
        <f t="shared" si="27"/>
        <v>113.93</v>
      </c>
      <c r="AC1213"/>
      <c r="AE1213" t="s">
        <v>270</v>
      </c>
      <c r="AF1213"/>
      <c r="AL1213">
        <v>340019850</v>
      </c>
      <c r="AM1213" t="s">
        <v>271</v>
      </c>
    </row>
    <row r="1214" spans="1:39" x14ac:dyDescent="0.35">
      <c r="A1214">
        <v>3400</v>
      </c>
      <c r="B1214" t="s">
        <v>47</v>
      </c>
      <c r="C1214">
        <v>2020</v>
      </c>
      <c r="D1214" s="1">
        <v>43831</v>
      </c>
      <c r="E1214">
        <v>4</v>
      </c>
      <c r="F1214">
        <v>100010311</v>
      </c>
      <c r="G1214" t="s">
        <v>101</v>
      </c>
      <c r="H1214">
        <v>40</v>
      </c>
      <c r="I1214">
        <v>71105120</v>
      </c>
      <c r="J1214">
        <v>11610030</v>
      </c>
      <c r="K1214" t="s">
        <v>268</v>
      </c>
      <c r="L1214" s="4">
        <v>28.48</v>
      </c>
      <c r="M1214" t="s">
        <v>54</v>
      </c>
      <c r="N1214" s="4">
        <v>535.49</v>
      </c>
      <c r="O1214" t="s">
        <v>31</v>
      </c>
      <c r="P1214" t="s">
        <v>98</v>
      </c>
      <c r="X1214" t="s">
        <v>47</v>
      </c>
      <c r="Y1214" t="s">
        <v>269</v>
      </c>
      <c r="Z1214">
        <v>20200130</v>
      </c>
      <c r="AA1214">
        <f t="shared" si="27"/>
        <v>28.48</v>
      </c>
      <c r="AC1214"/>
      <c r="AE1214" t="s">
        <v>270</v>
      </c>
      <c r="AF1214"/>
      <c r="AL1214">
        <v>340020050</v>
      </c>
      <c r="AM1214" t="s">
        <v>271</v>
      </c>
    </row>
    <row r="1215" spans="1:39" x14ac:dyDescent="0.35">
      <c r="A1215">
        <v>3400</v>
      </c>
      <c r="B1215" t="s">
        <v>47</v>
      </c>
      <c r="C1215">
        <v>2020</v>
      </c>
      <c r="D1215" s="1">
        <v>43831</v>
      </c>
      <c r="E1215">
        <v>5</v>
      </c>
      <c r="F1215">
        <v>100010311</v>
      </c>
      <c r="G1215" t="s">
        <v>101</v>
      </c>
      <c r="H1215">
        <v>40</v>
      </c>
      <c r="I1215">
        <v>71105120</v>
      </c>
      <c r="J1215">
        <v>11610030</v>
      </c>
      <c r="K1215" t="s">
        <v>268</v>
      </c>
      <c r="L1215" s="4">
        <v>56.96</v>
      </c>
      <c r="M1215" t="s">
        <v>54</v>
      </c>
      <c r="N1215" s="4">
        <v>1070.97</v>
      </c>
      <c r="O1215" t="s">
        <v>31</v>
      </c>
      <c r="P1215" t="s">
        <v>98</v>
      </c>
      <c r="X1215" t="s">
        <v>47</v>
      </c>
      <c r="Y1215" t="s">
        <v>269</v>
      </c>
      <c r="Z1215">
        <v>20200130</v>
      </c>
      <c r="AA1215">
        <f t="shared" si="27"/>
        <v>56.96</v>
      </c>
      <c r="AC1215"/>
      <c r="AE1215" t="s">
        <v>270</v>
      </c>
      <c r="AF1215"/>
      <c r="AL1215">
        <v>340021950</v>
      </c>
      <c r="AM1215" t="s">
        <v>271</v>
      </c>
    </row>
    <row r="1216" spans="1:39" x14ac:dyDescent="0.35">
      <c r="A1216">
        <v>3400</v>
      </c>
      <c r="B1216" t="s">
        <v>47</v>
      </c>
      <c r="C1216">
        <v>2020</v>
      </c>
      <c r="D1216" s="1">
        <v>43831</v>
      </c>
      <c r="E1216">
        <v>6</v>
      </c>
      <c r="F1216">
        <v>100010311</v>
      </c>
      <c r="G1216" t="s">
        <v>101</v>
      </c>
      <c r="H1216">
        <v>40</v>
      </c>
      <c r="I1216">
        <v>71105120</v>
      </c>
      <c r="J1216">
        <v>11610030</v>
      </c>
      <c r="K1216" t="s">
        <v>268</v>
      </c>
      <c r="L1216" s="4">
        <v>28.48</v>
      </c>
      <c r="M1216" t="s">
        <v>54</v>
      </c>
      <c r="N1216" s="4">
        <v>535.49</v>
      </c>
      <c r="O1216" t="s">
        <v>31</v>
      </c>
      <c r="P1216" t="s">
        <v>98</v>
      </c>
      <c r="X1216" t="s">
        <v>47</v>
      </c>
      <c r="Y1216" t="s">
        <v>269</v>
      </c>
      <c r="Z1216">
        <v>20200130</v>
      </c>
      <c r="AA1216">
        <f t="shared" si="27"/>
        <v>28.48</v>
      </c>
      <c r="AC1216"/>
      <c r="AE1216" t="s">
        <v>270</v>
      </c>
      <c r="AF1216"/>
      <c r="AL1216">
        <v>340022150</v>
      </c>
      <c r="AM1216" t="s">
        <v>271</v>
      </c>
    </row>
    <row r="1217" spans="1:39" x14ac:dyDescent="0.35">
      <c r="A1217">
        <v>3400</v>
      </c>
      <c r="B1217" t="s">
        <v>47</v>
      </c>
      <c r="C1217">
        <v>2020</v>
      </c>
      <c r="D1217" s="1">
        <v>43831</v>
      </c>
      <c r="E1217">
        <v>7</v>
      </c>
      <c r="F1217">
        <v>100010311</v>
      </c>
      <c r="G1217" t="s">
        <v>101</v>
      </c>
      <c r="H1217">
        <v>40</v>
      </c>
      <c r="I1217">
        <v>71105120</v>
      </c>
      <c r="J1217">
        <v>11610030</v>
      </c>
      <c r="K1217" t="s">
        <v>268</v>
      </c>
      <c r="L1217" s="4">
        <v>56.96</v>
      </c>
      <c r="M1217" t="s">
        <v>54</v>
      </c>
      <c r="N1217" s="4">
        <v>1070.97</v>
      </c>
      <c r="O1217" t="s">
        <v>31</v>
      </c>
      <c r="P1217" t="s">
        <v>98</v>
      </c>
      <c r="X1217" t="s">
        <v>47</v>
      </c>
      <c r="Y1217" t="s">
        <v>269</v>
      </c>
      <c r="Z1217">
        <v>20200130</v>
      </c>
      <c r="AA1217">
        <f t="shared" si="27"/>
        <v>56.96</v>
      </c>
      <c r="AC1217"/>
      <c r="AE1217" t="s">
        <v>270</v>
      </c>
      <c r="AF1217"/>
      <c r="AL1217">
        <v>340022250</v>
      </c>
      <c r="AM1217" t="s">
        <v>271</v>
      </c>
    </row>
    <row r="1218" spans="1:39" x14ac:dyDescent="0.35">
      <c r="A1218">
        <v>3400</v>
      </c>
      <c r="B1218" t="s">
        <v>47</v>
      </c>
      <c r="C1218">
        <v>2020</v>
      </c>
      <c r="D1218" s="1">
        <v>43831</v>
      </c>
      <c r="E1218">
        <v>8</v>
      </c>
      <c r="F1218">
        <v>100010311</v>
      </c>
      <c r="G1218" t="s">
        <v>101</v>
      </c>
      <c r="H1218">
        <v>40</v>
      </c>
      <c r="I1218">
        <v>71105120</v>
      </c>
      <c r="J1218">
        <v>11610030</v>
      </c>
      <c r="K1218" t="s">
        <v>268</v>
      </c>
      <c r="L1218" s="4">
        <v>28.48</v>
      </c>
      <c r="M1218" t="s">
        <v>54</v>
      </c>
      <c r="N1218" s="4">
        <v>535.49</v>
      </c>
      <c r="O1218" t="s">
        <v>31</v>
      </c>
      <c r="P1218" t="s">
        <v>98</v>
      </c>
      <c r="X1218" t="s">
        <v>47</v>
      </c>
      <c r="Y1218" t="s">
        <v>269</v>
      </c>
      <c r="Z1218">
        <v>20200130</v>
      </c>
      <c r="AA1218">
        <f t="shared" si="27"/>
        <v>28.48</v>
      </c>
      <c r="AC1218"/>
      <c r="AE1218" t="s">
        <v>270</v>
      </c>
      <c r="AF1218"/>
      <c r="AL1218">
        <v>340022950</v>
      </c>
      <c r="AM1218" t="s">
        <v>271</v>
      </c>
    </row>
    <row r="1219" spans="1:39" x14ac:dyDescent="0.35">
      <c r="A1219">
        <v>3400</v>
      </c>
      <c r="B1219" t="s">
        <v>47</v>
      </c>
      <c r="C1219">
        <v>2020</v>
      </c>
      <c r="D1219" s="1">
        <v>43831</v>
      </c>
      <c r="E1219">
        <v>9</v>
      </c>
      <c r="F1219">
        <v>100010311</v>
      </c>
      <c r="G1219" t="s">
        <v>101</v>
      </c>
      <c r="H1219">
        <v>40</v>
      </c>
      <c r="I1219">
        <v>71105120</v>
      </c>
      <c r="J1219">
        <v>11610030</v>
      </c>
      <c r="K1219" t="s">
        <v>268</v>
      </c>
      <c r="L1219" s="4">
        <v>56.96</v>
      </c>
      <c r="M1219" t="s">
        <v>54</v>
      </c>
      <c r="N1219" s="4">
        <v>1070.97</v>
      </c>
      <c r="O1219" t="s">
        <v>31</v>
      </c>
      <c r="P1219" t="s">
        <v>98</v>
      </c>
      <c r="X1219" t="s">
        <v>47</v>
      </c>
      <c r="Y1219" t="s">
        <v>269</v>
      </c>
      <c r="Z1219">
        <v>20200130</v>
      </c>
      <c r="AA1219">
        <f t="shared" si="27"/>
        <v>56.96</v>
      </c>
      <c r="AC1219"/>
      <c r="AE1219" t="s">
        <v>270</v>
      </c>
      <c r="AF1219"/>
      <c r="AL1219">
        <v>340023250</v>
      </c>
      <c r="AM1219" t="s">
        <v>271</v>
      </c>
    </row>
    <row r="1220" spans="1:39" x14ac:dyDescent="0.35">
      <c r="A1220">
        <v>3400</v>
      </c>
      <c r="B1220" t="s">
        <v>47</v>
      </c>
      <c r="C1220">
        <v>2020</v>
      </c>
      <c r="D1220" s="1">
        <v>43831</v>
      </c>
      <c r="E1220">
        <v>10</v>
      </c>
      <c r="F1220">
        <v>100010311</v>
      </c>
      <c r="G1220" t="s">
        <v>101</v>
      </c>
      <c r="H1220">
        <v>40</v>
      </c>
      <c r="I1220">
        <v>71105120</v>
      </c>
      <c r="J1220">
        <v>11610030</v>
      </c>
      <c r="K1220" t="s">
        <v>268</v>
      </c>
      <c r="L1220" s="4">
        <v>28.48</v>
      </c>
      <c r="M1220" t="s">
        <v>54</v>
      </c>
      <c r="N1220" s="4">
        <v>535.49</v>
      </c>
      <c r="O1220" t="s">
        <v>31</v>
      </c>
      <c r="P1220" t="s">
        <v>98</v>
      </c>
      <c r="X1220" t="s">
        <v>47</v>
      </c>
      <c r="Y1220" t="s">
        <v>269</v>
      </c>
      <c r="Z1220">
        <v>20200130</v>
      </c>
      <c r="AA1220">
        <f t="shared" si="27"/>
        <v>28.48</v>
      </c>
      <c r="AC1220"/>
      <c r="AE1220" t="s">
        <v>270</v>
      </c>
      <c r="AF1220"/>
      <c r="AL1220">
        <v>340023450</v>
      </c>
      <c r="AM1220" t="s">
        <v>271</v>
      </c>
    </row>
    <row r="1221" spans="1:39" x14ac:dyDescent="0.35">
      <c r="A1221">
        <v>3400</v>
      </c>
      <c r="B1221" t="s">
        <v>47</v>
      </c>
      <c r="C1221">
        <v>2020</v>
      </c>
      <c r="D1221" s="1">
        <v>43831</v>
      </c>
      <c r="E1221">
        <v>11</v>
      </c>
      <c r="F1221">
        <v>100010311</v>
      </c>
      <c r="G1221" t="s">
        <v>101</v>
      </c>
      <c r="H1221">
        <v>40</v>
      </c>
      <c r="I1221">
        <v>71105120</v>
      </c>
      <c r="J1221">
        <v>11610030</v>
      </c>
      <c r="K1221" t="s">
        <v>268</v>
      </c>
      <c r="L1221" s="4">
        <v>56.96</v>
      </c>
      <c r="M1221" t="s">
        <v>54</v>
      </c>
      <c r="N1221" s="4">
        <v>1070.97</v>
      </c>
      <c r="O1221" t="s">
        <v>31</v>
      </c>
      <c r="P1221" t="s">
        <v>98</v>
      </c>
      <c r="X1221" t="s">
        <v>47</v>
      </c>
      <c r="Y1221" t="s">
        <v>269</v>
      </c>
      <c r="Z1221">
        <v>20200130</v>
      </c>
      <c r="AA1221">
        <f t="shared" si="27"/>
        <v>56.96</v>
      </c>
      <c r="AC1221"/>
      <c r="AE1221" t="s">
        <v>270</v>
      </c>
      <c r="AF1221"/>
      <c r="AL1221">
        <v>340023550</v>
      </c>
      <c r="AM1221" t="s">
        <v>271</v>
      </c>
    </row>
    <row r="1222" spans="1:39" x14ac:dyDescent="0.35">
      <c r="A1222">
        <v>3400</v>
      </c>
      <c r="B1222" t="s">
        <v>47</v>
      </c>
      <c r="C1222">
        <v>2020</v>
      </c>
      <c r="D1222" s="1">
        <v>43831</v>
      </c>
      <c r="E1222">
        <v>12</v>
      </c>
      <c r="F1222">
        <v>100010311</v>
      </c>
      <c r="G1222" t="s">
        <v>101</v>
      </c>
      <c r="H1222">
        <v>40</v>
      </c>
      <c r="I1222">
        <v>71105120</v>
      </c>
      <c r="J1222">
        <v>11610030</v>
      </c>
      <c r="K1222" t="s">
        <v>268</v>
      </c>
      <c r="L1222" s="4">
        <v>28.48</v>
      </c>
      <c r="M1222" t="s">
        <v>54</v>
      </c>
      <c r="N1222" s="4">
        <v>535.49</v>
      </c>
      <c r="O1222" t="s">
        <v>31</v>
      </c>
      <c r="P1222" t="s">
        <v>98</v>
      </c>
      <c r="X1222" t="s">
        <v>47</v>
      </c>
      <c r="Y1222" t="s">
        <v>269</v>
      </c>
      <c r="Z1222">
        <v>20200130</v>
      </c>
      <c r="AA1222">
        <f t="shared" si="27"/>
        <v>28.48</v>
      </c>
      <c r="AC1222"/>
      <c r="AE1222" t="s">
        <v>270</v>
      </c>
      <c r="AF1222"/>
      <c r="AL1222">
        <v>340025050</v>
      </c>
      <c r="AM1222" t="s">
        <v>271</v>
      </c>
    </row>
    <row r="1223" spans="1:39" x14ac:dyDescent="0.35">
      <c r="A1223">
        <v>3400</v>
      </c>
      <c r="B1223" t="s">
        <v>47</v>
      </c>
      <c r="C1223">
        <v>2020</v>
      </c>
      <c r="D1223" s="1">
        <v>43831</v>
      </c>
      <c r="E1223">
        <v>13</v>
      </c>
      <c r="F1223">
        <v>100010311</v>
      </c>
      <c r="G1223" t="s">
        <v>101</v>
      </c>
      <c r="H1223">
        <v>40</v>
      </c>
      <c r="I1223">
        <v>71105120</v>
      </c>
      <c r="J1223">
        <v>11610030</v>
      </c>
      <c r="K1223" t="s">
        <v>268</v>
      </c>
      <c r="L1223" s="4">
        <v>569.65</v>
      </c>
      <c r="M1223" t="s">
        <v>54</v>
      </c>
      <c r="N1223" s="4">
        <v>10710.67</v>
      </c>
      <c r="O1223" t="s">
        <v>31</v>
      </c>
      <c r="P1223" t="s">
        <v>98</v>
      </c>
      <c r="X1223" t="s">
        <v>47</v>
      </c>
      <c r="Y1223" t="s">
        <v>269</v>
      </c>
      <c r="Z1223">
        <v>20200130</v>
      </c>
      <c r="AA1223">
        <f t="shared" si="27"/>
        <v>569.65</v>
      </c>
      <c r="AC1223"/>
      <c r="AE1223" t="s">
        <v>270</v>
      </c>
      <c r="AF1223"/>
      <c r="AL1223">
        <v>340036150</v>
      </c>
      <c r="AM1223" t="s">
        <v>271</v>
      </c>
    </row>
    <row r="1224" spans="1:39" x14ac:dyDescent="0.35">
      <c r="A1224">
        <v>3400</v>
      </c>
      <c r="B1224" t="s">
        <v>47</v>
      </c>
      <c r="C1224">
        <v>2020</v>
      </c>
      <c r="D1224" s="1">
        <v>43831</v>
      </c>
      <c r="E1224">
        <v>14</v>
      </c>
      <c r="F1224">
        <v>100010311</v>
      </c>
      <c r="G1224" t="s">
        <v>101</v>
      </c>
      <c r="H1224">
        <v>40</v>
      </c>
      <c r="I1224">
        <v>71105120</v>
      </c>
      <c r="J1224">
        <v>11610030</v>
      </c>
      <c r="K1224" t="s">
        <v>268</v>
      </c>
      <c r="L1224" s="4">
        <v>227.86</v>
      </c>
      <c r="M1224" t="s">
        <v>54</v>
      </c>
      <c r="N1224" s="4">
        <v>4284.2700000000004</v>
      </c>
      <c r="O1224" t="s">
        <v>31</v>
      </c>
      <c r="P1224" t="s">
        <v>98</v>
      </c>
      <c r="X1224" t="s">
        <v>47</v>
      </c>
      <c r="Y1224" t="s">
        <v>269</v>
      </c>
      <c r="Z1224">
        <v>20200130</v>
      </c>
      <c r="AA1224">
        <f t="shared" si="27"/>
        <v>227.86</v>
      </c>
      <c r="AC1224"/>
      <c r="AE1224" t="s">
        <v>270</v>
      </c>
      <c r="AF1224"/>
      <c r="AL1224">
        <v>340036350</v>
      </c>
      <c r="AM1224" t="s">
        <v>271</v>
      </c>
    </row>
    <row r="1225" spans="1:39" x14ac:dyDescent="0.35">
      <c r="A1225">
        <v>3400</v>
      </c>
      <c r="B1225" t="s">
        <v>47</v>
      </c>
      <c r="C1225">
        <v>2020</v>
      </c>
      <c r="D1225" s="1">
        <v>43831</v>
      </c>
      <c r="E1225">
        <v>15</v>
      </c>
      <c r="F1225">
        <v>100010311</v>
      </c>
      <c r="G1225" t="s">
        <v>101</v>
      </c>
      <c r="H1225">
        <v>40</v>
      </c>
      <c r="I1225">
        <v>71105120</v>
      </c>
      <c r="J1225">
        <v>11610030</v>
      </c>
      <c r="K1225" t="s">
        <v>268</v>
      </c>
      <c r="L1225" s="4">
        <v>170.89</v>
      </c>
      <c r="M1225" t="s">
        <v>54</v>
      </c>
      <c r="N1225" s="4">
        <v>3213.11</v>
      </c>
      <c r="O1225" t="s">
        <v>31</v>
      </c>
      <c r="P1225" t="s">
        <v>98</v>
      </c>
      <c r="X1225" t="s">
        <v>47</v>
      </c>
      <c r="Y1225" t="s">
        <v>269</v>
      </c>
      <c r="Z1225">
        <v>20200130</v>
      </c>
      <c r="AA1225">
        <f t="shared" si="27"/>
        <v>170.89</v>
      </c>
      <c r="AC1225"/>
      <c r="AE1225" t="s">
        <v>270</v>
      </c>
      <c r="AF1225"/>
      <c r="AL1225">
        <v>340040050</v>
      </c>
      <c r="AM1225" t="s">
        <v>271</v>
      </c>
    </row>
    <row r="1226" spans="1:39" x14ac:dyDescent="0.35">
      <c r="A1226">
        <v>3400</v>
      </c>
      <c r="B1226" t="s">
        <v>47</v>
      </c>
      <c r="C1226">
        <v>2020</v>
      </c>
      <c r="D1226" s="1">
        <v>43831</v>
      </c>
      <c r="E1226">
        <v>16</v>
      </c>
      <c r="F1226">
        <v>100010311</v>
      </c>
      <c r="G1226" t="s">
        <v>101</v>
      </c>
      <c r="H1226">
        <v>40</v>
      </c>
      <c r="I1226">
        <v>71105120</v>
      </c>
      <c r="J1226">
        <v>11610030</v>
      </c>
      <c r="K1226" t="s">
        <v>268</v>
      </c>
      <c r="L1226" s="4">
        <v>56.96</v>
      </c>
      <c r="M1226" t="s">
        <v>54</v>
      </c>
      <c r="N1226" s="4">
        <v>1070.97</v>
      </c>
      <c r="O1226" t="s">
        <v>31</v>
      </c>
      <c r="P1226" t="s">
        <v>98</v>
      </c>
      <c r="X1226" t="s">
        <v>47</v>
      </c>
      <c r="Y1226" t="s">
        <v>269</v>
      </c>
      <c r="Z1226">
        <v>20200130</v>
      </c>
      <c r="AA1226">
        <f t="shared" si="27"/>
        <v>56.96</v>
      </c>
      <c r="AC1226"/>
      <c r="AE1226" t="s">
        <v>270</v>
      </c>
      <c r="AF1226"/>
      <c r="AL1226">
        <v>340040150</v>
      </c>
      <c r="AM1226" t="s">
        <v>271</v>
      </c>
    </row>
    <row r="1227" spans="1:39" x14ac:dyDescent="0.35">
      <c r="A1227">
        <v>3400</v>
      </c>
      <c r="B1227" t="s">
        <v>47</v>
      </c>
      <c r="C1227">
        <v>2020</v>
      </c>
      <c r="D1227" s="1">
        <v>43831</v>
      </c>
      <c r="E1227">
        <v>17</v>
      </c>
      <c r="F1227">
        <v>100010311</v>
      </c>
      <c r="G1227" t="s">
        <v>101</v>
      </c>
      <c r="H1227">
        <v>40</v>
      </c>
      <c r="I1227">
        <v>71105120</v>
      </c>
      <c r="J1227">
        <v>11610030</v>
      </c>
      <c r="K1227" t="s">
        <v>268</v>
      </c>
      <c r="L1227" s="4">
        <v>28.48</v>
      </c>
      <c r="M1227" t="s">
        <v>54</v>
      </c>
      <c r="N1227" s="4">
        <v>535.49</v>
      </c>
      <c r="O1227" t="s">
        <v>31</v>
      </c>
      <c r="P1227" t="s">
        <v>98</v>
      </c>
      <c r="X1227" t="s">
        <v>47</v>
      </c>
      <c r="Y1227" t="s">
        <v>269</v>
      </c>
      <c r="Z1227">
        <v>20200130</v>
      </c>
      <c r="AA1227">
        <f t="shared" si="27"/>
        <v>28.48</v>
      </c>
      <c r="AC1227"/>
      <c r="AE1227" t="s">
        <v>270</v>
      </c>
      <c r="AF1227"/>
      <c r="AL1227">
        <v>340040250</v>
      </c>
      <c r="AM1227" t="s">
        <v>271</v>
      </c>
    </row>
    <row r="1228" spans="1:39" x14ac:dyDescent="0.35">
      <c r="A1228">
        <v>3400</v>
      </c>
      <c r="B1228" t="s">
        <v>47</v>
      </c>
      <c r="C1228">
        <v>2020</v>
      </c>
      <c r="D1228" s="1">
        <v>43831</v>
      </c>
      <c r="E1228">
        <v>18</v>
      </c>
      <c r="F1228">
        <v>100010311</v>
      </c>
      <c r="G1228" t="s">
        <v>101</v>
      </c>
      <c r="H1228">
        <v>40</v>
      </c>
      <c r="I1228">
        <v>71105120</v>
      </c>
      <c r="J1228">
        <v>11610030</v>
      </c>
      <c r="K1228" t="s">
        <v>268</v>
      </c>
      <c r="L1228" s="4">
        <v>569.65</v>
      </c>
      <c r="M1228" t="s">
        <v>54</v>
      </c>
      <c r="N1228" s="4">
        <v>10710.67</v>
      </c>
      <c r="O1228" t="s">
        <v>31</v>
      </c>
      <c r="P1228" t="s">
        <v>98</v>
      </c>
      <c r="X1228" t="s">
        <v>47</v>
      </c>
      <c r="Y1228" t="s">
        <v>269</v>
      </c>
      <c r="Z1228">
        <v>20200130</v>
      </c>
      <c r="AA1228">
        <f t="shared" si="27"/>
        <v>569.65</v>
      </c>
      <c r="AC1228"/>
      <c r="AE1228" t="s">
        <v>270</v>
      </c>
      <c r="AF1228"/>
      <c r="AL1228">
        <v>340040450</v>
      </c>
      <c r="AM1228" t="s">
        <v>271</v>
      </c>
    </row>
    <row r="1229" spans="1:39" x14ac:dyDescent="0.35">
      <c r="A1229">
        <v>3400</v>
      </c>
      <c r="B1229" t="s">
        <v>47</v>
      </c>
      <c r="C1229">
        <v>2020</v>
      </c>
      <c r="D1229" s="1">
        <v>43831</v>
      </c>
      <c r="E1229">
        <v>19</v>
      </c>
      <c r="F1229">
        <v>100010311</v>
      </c>
      <c r="G1229" t="s">
        <v>101</v>
      </c>
      <c r="H1229">
        <v>40</v>
      </c>
      <c r="I1229">
        <v>71105120</v>
      </c>
      <c r="J1229">
        <v>11610030</v>
      </c>
      <c r="K1229" t="s">
        <v>268</v>
      </c>
      <c r="L1229" s="4">
        <v>28.48</v>
      </c>
      <c r="M1229" t="s">
        <v>54</v>
      </c>
      <c r="N1229" s="4">
        <v>535.49</v>
      </c>
      <c r="O1229" t="s">
        <v>31</v>
      </c>
      <c r="P1229" t="s">
        <v>98</v>
      </c>
      <c r="X1229" t="s">
        <v>47</v>
      </c>
      <c r="Y1229" t="s">
        <v>269</v>
      </c>
      <c r="Z1229">
        <v>20200130</v>
      </c>
      <c r="AA1229">
        <f t="shared" si="27"/>
        <v>28.48</v>
      </c>
      <c r="AC1229"/>
      <c r="AE1229" t="s">
        <v>270</v>
      </c>
      <c r="AF1229"/>
      <c r="AL1229">
        <v>340040550</v>
      </c>
      <c r="AM1229" t="s">
        <v>271</v>
      </c>
    </row>
    <row r="1230" spans="1:39" x14ac:dyDescent="0.35">
      <c r="A1230">
        <v>3400</v>
      </c>
      <c r="B1230" t="s">
        <v>47</v>
      </c>
      <c r="C1230">
        <v>2020</v>
      </c>
      <c r="D1230" s="1">
        <v>43831</v>
      </c>
      <c r="E1230">
        <v>20</v>
      </c>
      <c r="F1230">
        <v>100010311</v>
      </c>
      <c r="G1230" t="s">
        <v>101</v>
      </c>
      <c r="H1230">
        <v>40</v>
      </c>
      <c r="I1230">
        <v>71105120</v>
      </c>
      <c r="J1230">
        <v>11610030</v>
      </c>
      <c r="K1230" t="s">
        <v>268</v>
      </c>
      <c r="L1230" s="4">
        <v>56.96</v>
      </c>
      <c r="M1230" t="s">
        <v>54</v>
      </c>
      <c r="N1230" s="4">
        <v>1070.97</v>
      </c>
      <c r="O1230" t="s">
        <v>31</v>
      </c>
      <c r="P1230" t="s">
        <v>98</v>
      </c>
      <c r="X1230" t="s">
        <v>47</v>
      </c>
      <c r="Y1230" t="s">
        <v>269</v>
      </c>
      <c r="Z1230">
        <v>20200130</v>
      </c>
      <c r="AA1230">
        <f t="shared" si="27"/>
        <v>56.96</v>
      </c>
      <c r="AC1230"/>
      <c r="AE1230" t="s">
        <v>270</v>
      </c>
      <c r="AF1230"/>
      <c r="AL1230">
        <v>340040650</v>
      </c>
      <c r="AM1230" t="s">
        <v>271</v>
      </c>
    </row>
    <row r="1231" spans="1:39" x14ac:dyDescent="0.35">
      <c r="A1231">
        <v>3400</v>
      </c>
      <c r="B1231" t="s">
        <v>47</v>
      </c>
      <c r="C1231">
        <v>2020</v>
      </c>
      <c r="D1231" s="1">
        <v>43831</v>
      </c>
      <c r="E1231">
        <v>21</v>
      </c>
      <c r="F1231">
        <v>100010311</v>
      </c>
      <c r="G1231" t="s">
        <v>101</v>
      </c>
      <c r="H1231">
        <v>40</v>
      </c>
      <c r="I1231">
        <v>71105120</v>
      </c>
      <c r="J1231">
        <v>11610030</v>
      </c>
      <c r="K1231" t="s">
        <v>268</v>
      </c>
      <c r="L1231" s="4">
        <v>199.38</v>
      </c>
      <c r="M1231" t="s">
        <v>54</v>
      </c>
      <c r="N1231" s="4">
        <v>3748.78</v>
      </c>
      <c r="O1231" t="s">
        <v>31</v>
      </c>
      <c r="P1231" t="s">
        <v>98</v>
      </c>
      <c r="X1231" t="s">
        <v>47</v>
      </c>
      <c r="Y1231" t="s">
        <v>269</v>
      </c>
      <c r="Z1231">
        <v>20200130</v>
      </c>
      <c r="AA1231">
        <f t="shared" si="27"/>
        <v>199.38</v>
      </c>
      <c r="AC1231"/>
      <c r="AE1231" t="s">
        <v>270</v>
      </c>
      <c r="AF1231"/>
      <c r="AL1231">
        <v>340040750</v>
      </c>
      <c r="AM1231" t="s">
        <v>271</v>
      </c>
    </row>
    <row r="1232" spans="1:39" x14ac:dyDescent="0.35">
      <c r="A1232">
        <v>3400</v>
      </c>
      <c r="B1232" t="s">
        <v>47</v>
      </c>
      <c r="C1232">
        <v>2020</v>
      </c>
      <c r="D1232" s="1">
        <v>43831</v>
      </c>
      <c r="E1232">
        <v>22</v>
      </c>
      <c r="F1232">
        <v>100010311</v>
      </c>
      <c r="G1232" t="s">
        <v>101</v>
      </c>
      <c r="H1232">
        <v>40</v>
      </c>
      <c r="I1232">
        <v>71105120</v>
      </c>
      <c r="J1232">
        <v>11610030</v>
      </c>
      <c r="K1232" t="s">
        <v>268</v>
      </c>
      <c r="L1232" s="4">
        <v>256.33999999999997</v>
      </c>
      <c r="M1232" t="s">
        <v>54</v>
      </c>
      <c r="N1232" s="4">
        <v>4819.76</v>
      </c>
      <c r="O1232" t="s">
        <v>31</v>
      </c>
      <c r="P1232" t="s">
        <v>98</v>
      </c>
      <c r="X1232" t="s">
        <v>47</v>
      </c>
      <c r="Y1232" t="s">
        <v>269</v>
      </c>
      <c r="Z1232">
        <v>20200130</v>
      </c>
      <c r="AA1232">
        <f t="shared" si="27"/>
        <v>256.33999999999997</v>
      </c>
      <c r="AC1232"/>
      <c r="AE1232" t="s">
        <v>270</v>
      </c>
      <c r="AF1232"/>
      <c r="AL1232">
        <v>340040850</v>
      </c>
      <c r="AM1232" t="s">
        <v>271</v>
      </c>
    </row>
    <row r="1233" spans="1:39" x14ac:dyDescent="0.35">
      <c r="A1233">
        <v>3400</v>
      </c>
      <c r="B1233" t="s">
        <v>47</v>
      </c>
      <c r="C1233">
        <v>2020</v>
      </c>
      <c r="D1233" s="1">
        <v>43831</v>
      </c>
      <c r="E1233">
        <v>23</v>
      </c>
      <c r="F1233">
        <v>100010311</v>
      </c>
      <c r="G1233" t="s">
        <v>101</v>
      </c>
      <c r="H1233">
        <v>40</v>
      </c>
      <c r="I1233">
        <v>71105120</v>
      </c>
      <c r="J1233">
        <v>11610030</v>
      </c>
      <c r="K1233" t="s">
        <v>268</v>
      </c>
      <c r="L1233" s="4">
        <v>455.72</v>
      </c>
      <c r="M1233" t="s">
        <v>54</v>
      </c>
      <c r="N1233" s="4">
        <v>8568.5400000000009</v>
      </c>
      <c r="O1233" t="s">
        <v>31</v>
      </c>
      <c r="P1233" t="s">
        <v>98</v>
      </c>
      <c r="X1233" t="s">
        <v>47</v>
      </c>
      <c r="Y1233" t="s">
        <v>269</v>
      </c>
      <c r="Z1233">
        <v>20200130</v>
      </c>
      <c r="AA1233">
        <f t="shared" si="27"/>
        <v>455.72</v>
      </c>
      <c r="AC1233"/>
      <c r="AE1233" t="s">
        <v>270</v>
      </c>
      <c r="AF1233"/>
      <c r="AL1233">
        <v>340040950</v>
      </c>
      <c r="AM1233" t="s">
        <v>271</v>
      </c>
    </row>
    <row r="1234" spans="1:39" x14ac:dyDescent="0.35">
      <c r="A1234">
        <v>3400</v>
      </c>
      <c r="B1234" t="s">
        <v>47</v>
      </c>
      <c r="C1234">
        <v>2020</v>
      </c>
      <c r="D1234" s="1">
        <v>43831</v>
      </c>
      <c r="E1234">
        <v>24</v>
      </c>
      <c r="F1234">
        <v>100010311</v>
      </c>
      <c r="G1234" t="s">
        <v>101</v>
      </c>
      <c r="H1234">
        <v>40</v>
      </c>
      <c r="I1234">
        <v>71105120</v>
      </c>
      <c r="J1234">
        <v>11610030</v>
      </c>
      <c r="K1234" t="s">
        <v>268</v>
      </c>
      <c r="L1234" s="4">
        <v>256.33999999999997</v>
      </c>
      <c r="M1234" t="s">
        <v>54</v>
      </c>
      <c r="N1234" s="4">
        <v>4819.76</v>
      </c>
      <c r="O1234" t="s">
        <v>31</v>
      </c>
      <c r="P1234" t="s">
        <v>98</v>
      </c>
      <c r="X1234" t="s">
        <v>47</v>
      </c>
      <c r="Y1234" t="s">
        <v>269</v>
      </c>
      <c r="Z1234">
        <v>20200130</v>
      </c>
      <c r="AA1234">
        <f t="shared" ref="AA1234:AA1297" si="28">L1234</f>
        <v>256.33999999999997</v>
      </c>
      <c r="AC1234"/>
      <c r="AE1234" t="s">
        <v>270</v>
      </c>
      <c r="AF1234"/>
      <c r="AL1234">
        <v>340041550</v>
      </c>
      <c r="AM1234" t="s">
        <v>271</v>
      </c>
    </row>
    <row r="1235" spans="1:39" x14ac:dyDescent="0.35">
      <c r="A1235">
        <v>3400</v>
      </c>
      <c r="B1235" t="s">
        <v>47</v>
      </c>
      <c r="C1235">
        <v>2020</v>
      </c>
      <c r="D1235" s="1">
        <v>43831</v>
      </c>
      <c r="E1235">
        <v>25</v>
      </c>
      <c r="F1235">
        <v>100010311</v>
      </c>
      <c r="G1235" t="s">
        <v>101</v>
      </c>
      <c r="H1235">
        <v>40</v>
      </c>
      <c r="I1235">
        <v>71105120</v>
      </c>
      <c r="J1235">
        <v>11610030</v>
      </c>
      <c r="K1235" t="s">
        <v>268</v>
      </c>
      <c r="L1235" s="4">
        <v>28.48</v>
      </c>
      <c r="M1235" t="s">
        <v>54</v>
      </c>
      <c r="N1235" s="4">
        <v>535.49</v>
      </c>
      <c r="O1235" t="s">
        <v>31</v>
      </c>
      <c r="P1235" t="s">
        <v>98</v>
      </c>
      <c r="X1235" t="s">
        <v>47</v>
      </c>
      <c r="Y1235" t="s">
        <v>269</v>
      </c>
      <c r="Z1235">
        <v>20200130</v>
      </c>
      <c r="AA1235">
        <f t="shared" si="28"/>
        <v>28.48</v>
      </c>
      <c r="AC1235"/>
      <c r="AE1235" t="s">
        <v>270</v>
      </c>
      <c r="AF1235"/>
      <c r="AL1235">
        <v>340041650</v>
      </c>
      <c r="AM1235" t="s">
        <v>271</v>
      </c>
    </row>
    <row r="1236" spans="1:39" x14ac:dyDescent="0.35">
      <c r="A1236">
        <v>3400</v>
      </c>
      <c r="B1236" t="s">
        <v>47</v>
      </c>
      <c r="C1236">
        <v>2020</v>
      </c>
      <c r="D1236" s="1">
        <v>43831</v>
      </c>
      <c r="E1236">
        <v>26</v>
      </c>
      <c r="F1236">
        <v>100010311</v>
      </c>
      <c r="G1236" t="s">
        <v>101</v>
      </c>
      <c r="H1236">
        <v>40</v>
      </c>
      <c r="I1236">
        <v>71105120</v>
      </c>
      <c r="J1236">
        <v>11610030</v>
      </c>
      <c r="K1236" t="s">
        <v>268</v>
      </c>
      <c r="L1236" s="4">
        <v>85.45</v>
      </c>
      <c r="M1236" t="s">
        <v>54</v>
      </c>
      <c r="N1236" s="4">
        <v>1606.65</v>
      </c>
      <c r="O1236" t="s">
        <v>31</v>
      </c>
      <c r="P1236" t="s">
        <v>98</v>
      </c>
      <c r="X1236" t="s">
        <v>47</v>
      </c>
      <c r="Y1236" t="s">
        <v>269</v>
      </c>
      <c r="Z1236">
        <v>20200130</v>
      </c>
      <c r="AA1236">
        <f t="shared" si="28"/>
        <v>85.45</v>
      </c>
      <c r="AC1236"/>
      <c r="AE1236" t="s">
        <v>270</v>
      </c>
      <c r="AF1236"/>
      <c r="AL1236">
        <v>340041850</v>
      </c>
      <c r="AM1236" t="s">
        <v>271</v>
      </c>
    </row>
    <row r="1237" spans="1:39" x14ac:dyDescent="0.35">
      <c r="A1237">
        <v>3400</v>
      </c>
      <c r="B1237" t="s">
        <v>47</v>
      </c>
      <c r="C1237">
        <v>2020</v>
      </c>
      <c r="D1237" s="1">
        <v>43831</v>
      </c>
      <c r="E1237">
        <v>27</v>
      </c>
      <c r="F1237">
        <v>100010311</v>
      </c>
      <c r="G1237" t="s">
        <v>101</v>
      </c>
      <c r="H1237">
        <v>40</v>
      </c>
      <c r="I1237">
        <v>71105120</v>
      </c>
      <c r="J1237">
        <v>11610030</v>
      </c>
      <c r="K1237" t="s">
        <v>268</v>
      </c>
      <c r="L1237" s="4">
        <v>28.48</v>
      </c>
      <c r="M1237" t="s">
        <v>54</v>
      </c>
      <c r="N1237" s="4">
        <v>535.49</v>
      </c>
      <c r="O1237" t="s">
        <v>31</v>
      </c>
      <c r="P1237" t="s">
        <v>98</v>
      </c>
      <c r="X1237" t="s">
        <v>47</v>
      </c>
      <c r="Y1237" t="s">
        <v>269</v>
      </c>
      <c r="Z1237">
        <v>20200130</v>
      </c>
      <c r="AA1237">
        <f t="shared" si="28"/>
        <v>28.48</v>
      </c>
      <c r="AC1237"/>
      <c r="AE1237" t="s">
        <v>270</v>
      </c>
      <c r="AF1237"/>
      <c r="AL1237">
        <v>340044150</v>
      </c>
      <c r="AM1237" t="s">
        <v>271</v>
      </c>
    </row>
    <row r="1238" spans="1:39" x14ac:dyDescent="0.35">
      <c r="A1238">
        <v>3400</v>
      </c>
      <c r="B1238" t="s">
        <v>47</v>
      </c>
      <c r="C1238">
        <v>2020</v>
      </c>
      <c r="D1238" s="1">
        <v>43831</v>
      </c>
      <c r="E1238">
        <v>28</v>
      </c>
      <c r="F1238">
        <v>100010311</v>
      </c>
      <c r="G1238" t="s">
        <v>101</v>
      </c>
      <c r="H1238">
        <v>40</v>
      </c>
      <c r="I1238">
        <v>71105120</v>
      </c>
      <c r="J1238">
        <v>11610030</v>
      </c>
      <c r="K1238" t="s">
        <v>268</v>
      </c>
      <c r="L1238" s="4">
        <v>8430.7800000000007</v>
      </c>
      <c r="M1238" t="s">
        <v>54</v>
      </c>
      <c r="N1238" s="4">
        <v>158517.21</v>
      </c>
      <c r="O1238" t="s">
        <v>31</v>
      </c>
      <c r="P1238" t="s">
        <v>98</v>
      </c>
      <c r="X1238" t="s">
        <v>47</v>
      </c>
      <c r="Y1238" t="s">
        <v>269</v>
      </c>
      <c r="Z1238">
        <v>20200130</v>
      </c>
      <c r="AA1238">
        <f t="shared" si="28"/>
        <v>8430.7800000000007</v>
      </c>
      <c r="AC1238"/>
      <c r="AE1238" t="s">
        <v>270</v>
      </c>
      <c r="AF1238"/>
      <c r="AL1238">
        <v>340046150</v>
      </c>
      <c r="AM1238" t="s">
        <v>271</v>
      </c>
    </row>
    <row r="1239" spans="1:39" x14ac:dyDescent="0.35">
      <c r="A1239">
        <v>3400</v>
      </c>
      <c r="B1239" t="s">
        <v>47</v>
      </c>
      <c r="C1239">
        <v>2020</v>
      </c>
      <c r="D1239" s="1">
        <v>43831</v>
      </c>
      <c r="E1239">
        <v>29</v>
      </c>
      <c r="F1239">
        <v>100010311</v>
      </c>
      <c r="G1239" t="s">
        <v>101</v>
      </c>
      <c r="H1239">
        <v>40</v>
      </c>
      <c r="I1239">
        <v>71105120</v>
      </c>
      <c r="J1239">
        <v>11610030</v>
      </c>
      <c r="K1239" t="s">
        <v>268</v>
      </c>
      <c r="L1239" s="4">
        <v>28.48</v>
      </c>
      <c r="M1239" t="s">
        <v>54</v>
      </c>
      <c r="N1239" s="4">
        <v>535.49</v>
      </c>
      <c r="O1239" t="s">
        <v>31</v>
      </c>
      <c r="P1239" t="s">
        <v>98</v>
      </c>
      <c r="X1239" t="s">
        <v>47</v>
      </c>
      <c r="Y1239" t="s">
        <v>269</v>
      </c>
      <c r="Z1239">
        <v>20200130</v>
      </c>
      <c r="AA1239">
        <f t="shared" si="28"/>
        <v>28.48</v>
      </c>
      <c r="AC1239"/>
      <c r="AE1239" t="s">
        <v>270</v>
      </c>
      <c r="AF1239"/>
      <c r="AL1239">
        <v>340048150</v>
      </c>
      <c r="AM1239" t="s">
        <v>271</v>
      </c>
    </row>
    <row r="1240" spans="1:39" x14ac:dyDescent="0.35">
      <c r="A1240">
        <v>3400</v>
      </c>
      <c r="B1240" t="s">
        <v>47</v>
      </c>
      <c r="C1240">
        <v>2020</v>
      </c>
      <c r="D1240" s="1">
        <v>43831</v>
      </c>
      <c r="E1240">
        <v>30</v>
      </c>
      <c r="F1240">
        <v>100010311</v>
      </c>
      <c r="G1240" t="s">
        <v>101</v>
      </c>
      <c r="H1240">
        <v>40</v>
      </c>
      <c r="I1240">
        <v>71105120</v>
      </c>
      <c r="J1240">
        <v>11610030</v>
      </c>
      <c r="K1240" t="s">
        <v>268</v>
      </c>
      <c r="L1240" s="4">
        <v>85.45</v>
      </c>
      <c r="M1240" t="s">
        <v>54</v>
      </c>
      <c r="N1240" s="4">
        <v>1606.65</v>
      </c>
      <c r="O1240" t="s">
        <v>31</v>
      </c>
      <c r="P1240" t="s">
        <v>98</v>
      </c>
      <c r="X1240" t="s">
        <v>47</v>
      </c>
      <c r="Y1240" t="s">
        <v>269</v>
      </c>
      <c r="Z1240">
        <v>20200130</v>
      </c>
      <c r="AA1240">
        <f t="shared" si="28"/>
        <v>85.45</v>
      </c>
      <c r="AC1240"/>
      <c r="AE1240" t="s">
        <v>270</v>
      </c>
      <c r="AF1240"/>
      <c r="AL1240">
        <v>340049150</v>
      </c>
      <c r="AM1240" t="s">
        <v>271</v>
      </c>
    </row>
    <row r="1241" spans="1:39" x14ac:dyDescent="0.35">
      <c r="A1241">
        <v>3400</v>
      </c>
      <c r="B1241" t="s">
        <v>47</v>
      </c>
      <c r="C1241">
        <v>2020</v>
      </c>
      <c r="D1241" s="1">
        <v>43831</v>
      </c>
      <c r="E1241">
        <v>31</v>
      </c>
      <c r="F1241">
        <v>100010311</v>
      </c>
      <c r="G1241" t="s">
        <v>101</v>
      </c>
      <c r="H1241">
        <v>40</v>
      </c>
      <c r="I1241">
        <v>71105120</v>
      </c>
      <c r="J1241">
        <v>11610030</v>
      </c>
      <c r="K1241" t="s">
        <v>268</v>
      </c>
      <c r="L1241" s="4">
        <v>56.96</v>
      </c>
      <c r="M1241" t="s">
        <v>54</v>
      </c>
      <c r="N1241" s="4">
        <v>1070.97</v>
      </c>
      <c r="O1241" t="s">
        <v>31</v>
      </c>
      <c r="P1241" t="s">
        <v>98</v>
      </c>
      <c r="X1241" t="s">
        <v>47</v>
      </c>
      <c r="Y1241" t="s">
        <v>269</v>
      </c>
      <c r="Z1241">
        <v>20200130</v>
      </c>
      <c r="AA1241">
        <f t="shared" si="28"/>
        <v>56.96</v>
      </c>
      <c r="AC1241"/>
      <c r="AE1241" t="s">
        <v>270</v>
      </c>
      <c r="AF1241"/>
      <c r="AL1241">
        <v>340049250</v>
      </c>
      <c r="AM1241" t="s">
        <v>271</v>
      </c>
    </row>
    <row r="1242" spans="1:39" x14ac:dyDescent="0.35">
      <c r="A1242">
        <v>3400</v>
      </c>
      <c r="B1242" t="s">
        <v>47</v>
      </c>
      <c r="C1242">
        <v>2020</v>
      </c>
      <c r="D1242" s="1">
        <v>43831</v>
      </c>
      <c r="E1242">
        <v>32</v>
      </c>
      <c r="F1242">
        <v>100010311</v>
      </c>
      <c r="G1242" t="s">
        <v>101</v>
      </c>
      <c r="H1242">
        <v>40</v>
      </c>
      <c r="I1242">
        <v>71105120</v>
      </c>
      <c r="J1242">
        <v>11610030</v>
      </c>
      <c r="K1242" t="s">
        <v>268</v>
      </c>
      <c r="L1242" s="4">
        <v>85.45</v>
      </c>
      <c r="M1242" t="s">
        <v>54</v>
      </c>
      <c r="N1242" s="4">
        <v>1606.65</v>
      </c>
      <c r="O1242" t="s">
        <v>31</v>
      </c>
      <c r="P1242" t="s">
        <v>98</v>
      </c>
      <c r="X1242" t="s">
        <v>47</v>
      </c>
      <c r="Y1242" t="s">
        <v>269</v>
      </c>
      <c r="Z1242">
        <v>20200130</v>
      </c>
      <c r="AA1242">
        <f t="shared" si="28"/>
        <v>85.45</v>
      </c>
      <c r="AC1242"/>
      <c r="AE1242" t="s">
        <v>270</v>
      </c>
      <c r="AF1242"/>
      <c r="AL1242">
        <v>340098550</v>
      </c>
      <c r="AM1242" t="s">
        <v>271</v>
      </c>
    </row>
    <row r="1243" spans="1:39" x14ac:dyDescent="0.35">
      <c r="A1243">
        <v>3400</v>
      </c>
      <c r="B1243" t="s">
        <v>47</v>
      </c>
      <c r="C1243">
        <v>2020</v>
      </c>
      <c r="D1243" s="1">
        <v>43831</v>
      </c>
      <c r="E1243">
        <v>33</v>
      </c>
      <c r="F1243">
        <v>100010311</v>
      </c>
      <c r="G1243" t="s">
        <v>101</v>
      </c>
      <c r="H1243">
        <v>40</v>
      </c>
      <c r="I1243">
        <v>71105120</v>
      </c>
      <c r="J1243">
        <v>11610030</v>
      </c>
      <c r="K1243" t="s">
        <v>268</v>
      </c>
      <c r="L1243" s="4">
        <v>28.48</v>
      </c>
      <c r="M1243" t="s">
        <v>54</v>
      </c>
      <c r="N1243" s="4">
        <v>535.49</v>
      </c>
      <c r="O1243" t="s">
        <v>31</v>
      </c>
      <c r="P1243" t="s">
        <v>98</v>
      </c>
      <c r="X1243" t="s">
        <v>47</v>
      </c>
      <c r="Y1243" t="s">
        <v>269</v>
      </c>
      <c r="Z1243">
        <v>20200130</v>
      </c>
      <c r="AA1243">
        <f t="shared" si="28"/>
        <v>28.48</v>
      </c>
      <c r="AC1243"/>
      <c r="AE1243" t="s">
        <v>270</v>
      </c>
      <c r="AF1243"/>
      <c r="AL1243">
        <v>340098950</v>
      </c>
      <c r="AM1243" t="s">
        <v>271</v>
      </c>
    </row>
    <row r="1244" spans="1:39" x14ac:dyDescent="0.35">
      <c r="A1244">
        <v>3400</v>
      </c>
      <c r="B1244" t="s">
        <v>47</v>
      </c>
      <c r="C1244">
        <v>2020</v>
      </c>
      <c r="D1244" s="1">
        <v>43831</v>
      </c>
      <c r="E1244">
        <v>34</v>
      </c>
      <c r="F1244">
        <v>100010311</v>
      </c>
      <c r="G1244" t="s">
        <v>101</v>
      </c>
      <c r="H1244">
        <v>40</v>
      </c>
      <c r="I1244">
        <v>71105120</v>
      </c>
      <c r="J1244">
        <v>11610030</v>
      </c>
      <c r="K1244" t="s">
        <v>268</v>
      </c>
      <c r="L1244" s="4">
        <v>28.48</v>
      </c>
      <c r="M1244" t="s">
        <v>54</v>
      </c>
      <c r="N1244" s="4">
        <v>535.49</v>
      </c>
      <c r="O1244" t="s">
        <v>31</v>
      </c>
      <c r="P1244" t="s">
        <v>98</v>
      </c>
      <c r="X1244" t="s">
        <v>47</v>
      </c>
      <c r="Y1244" t="s">
        <v>269</v>
      </c>
      <c r="Z1244">
        <v>20200130</v>
      </c>
      <c r="AA1244">
        <f t="shared" si="28"/>
        <v>28.48</v>
      </c>
      <c r="AC1244"/>
      <c r="AE1244" t="s">
        <v>270</v>
      </c>
      <c r="AF1244"/>
      <c r="AL1244">
        <v>340098950</v>
      </c>
      <c r="AM1244" t="s">
        <v>271</v>
      </c>
    </row>
    <row r="1245" spans="1:39" x14ac:dyDescent="0.35">
      <c r="A1245">
        <v>3400</v>
      </c>
      <c r="B1245" t="s">
        <v>47</v>
      </c>
      <c r="C1245">
        <v>2020</v>
      </c>
      <c r="D1245" s="1">
        <v>43831</v>
      </c>
      <c r="E1245">
        <v>35</v>
      </c>
      <c r="F1245">
        <v>100010311</v>
      </c>
      <c r="G1245" t="s">
        <v>101</v>
      </c>
      <c r="H1245">
        <v>40</v>
      </c>
      <c r="I1245">
        <v>71105120</v>
      </c>
      <c r="J1245">
        <v>11610030</v>
      </c>
      <c r="K1245" t="s">
        <v>268</v>
      </c>
      <c r="L1245" s="4">
        <v>85.45</v>
      </c>
      <c r="M1245" t="s">
        <v>54</v>
      </c>
      <c r="N1245" s="4">
        <v>1606.65</v>
      </c>
      <c r="O1245" t="s">
        <v>31</v>
      </c>
      <c r="P1245" t="s">
        <v>98</v>
      </c>
      <c r="X1245" t="s">
        <v>47</v>
      </c>
      <c r="Y1245" t="s">
        <v>269</v>
      </c>
      <c r="Z1245">
        <v>20200130</v>
      </c>
      <c r="AA1245">
        <f t="shared" si="28"/>
        <v>85.45</v>
      </c>
      <c r="AC1245"/>
      <c r="AE1245" t="s">
        <v>270</v>
      </c>
      <c r="AF1245"/>
      <c r="AL1245">
        <v>340099350</v>
      </c>
      <c r="AM1245" t="s">
        <v>271</v>
      </c>
    </row>
    <row r="1246" spans="1:39" x14ac:dyDescent="0.35">
      <c r="A1246">
        <v>3400</v>
      </c>
      <c r="B1246" t="s">
        <v>47</v>
      </c>
      <c r="C1246">
        <v>2020</v>
      </c>
      <c r="D1246" s="1">
        <v>43831</v>
      </c>
      <c r="E1246">
        <v>36</v>
      </c>
      <c r="F1246">
        <v>100010311</v>
      </c>
      <c r="G1246" t="s">
        <v>101</v>
      </c>
      <c r="H1246">
        <v>40</v>
      </c>
      <c r="I1246">
        <v>71105120</v>
      </c>
      <c r="J1246">
        <v>11610030</v>
      </c>
      <c r="K1246" t="s">
        <v>268</v>
      </c>
      <c r="L1246" s="4">
        <v>28.48</v>
      </c>
      <c r="M1246" t="s">
        <v>54</v>
      </c>
      <c r="N1246" s="4">
        <v>535.49</v>
      </c>
      <c r="O1246" t="s">
        <v>31</v>
      </c>
      <c r="P1246" t="s">
        <v>98</v>
      </c>
      <c r="X1246" t="s">
        <v>47</v>
      </c>
      <c r="Y1246" t="s">
        <v>269</v>
      </c>
      <c r="Z1246">
        <v>20200130</v>
      </c>
      <c r="AA1246">
        <f t="shared" si="28"/>
        <v>28.48</v>
      </c>
      <c r="AC1246"/>
      <c r="AE1246" t="s">
        <v>270</v>
      </c>
      <c r="AF1246"/>
      <c r="AL1246">
        <v>340099350</v>
      </c>
      <c r="AM1246" t="s">
        <v>271</v>
      </c>
    </row>
    <row r="1247" spans="1:39" x14ac:dyDescent="0.35">
      <c r="A1247">
        <v>3400</v>
      </c>
      <c r="B1247" t="s">
        <v>47</v>
      </c>
      <c r="C1247">
        <v>2020</v>
      </c>
      <c r="D1247" s="1">
        <v>43831</v>
      </c>
      <c r="E1247">
        <v>37</v>
      </c>
      <c r="F1247">
        <v>100010311</v>
      </c>
      <c r="G1247" t="s">
        <v>101</v>
      </c>
      <c r="H1247">
        <v>40</v>
      </c>
      <c r="I1247">
        <v>71105120</v>
      </c>
      <c r="J1247">
        <v>11610030</v>
      </c>
      <c r="K1247" t="s">
        <v>268</v>
      </c>
      <c r="L1247" s="4">
        <v>28.48</v>
      </c>
      <c r="M1247" t="s">
        <v>54</v>
      </c>
      <c r="N1247" s="4">
        <v>535.49</v>
      </c>
      <c r="O1247" t="s">
        <v>31</v>
      </c>
      <c r="P1247" t="s">
        <v>98</v>
      </c>
      <c r="X1247" t="s">
        <v>47</v>
      </c>
      <c r="Y1247" t="s">
        <v>269</v>
      </c>
      <c r="Z1247">
        <v>20200130</v>
      </c>
      <c r="AA1247">
        <f t="shared" si="28"/>
        <v>28.48</v>
      </c>
      <c r="AC1247"/>
      <c r="AE1247" t="s">
        <v>270</v>
      </c>
      <c r="AF1247"/>
      <c r="AL1247">
        <v>340099350</v>
      </c>
      <c r="AM1247" t="s">
        <v>271</v>
      </c>
    </row>
    <row r="1248" spans="1:39" x14ac:dyDescent="0.35">
      <c r="A1248">
        <v>3400</v>
      </c>
      <c r="B1248" t="s">
        <v>47</v>
      </c>
      <c r="C1248">
        <v>2020</v>
      </c>
      <c r="D1248" s="1">
        <v>43831</v>
      </c>
      <c r="E1248">
        <v>38</v>
      </c>
      <c r="F1248">
        <v>100010311</v>
      </c>
      <c r="G1248" t="s">
        <v>101</v>
      </c>
      <c r="H1248">
        <v>40</v>
      </c>
      <c r="I1248">
        <v>71105120</v>
      </c>
      <c r="J1248">
        <v>11610030</v>
      </c>
      <c r="K1248" t="s">
        <v>268</v>
      </c>
      <c r="L1248" s="4">
        <v>142.41</v>
      </c>
      <c r="M1248" t="s">
        <v>54</v>
      </c>
      <c r="N1248" s="4">
        <v>2677.62</v>
      </c>
      <c r="O1248" t="s">
        <v>31</v>
      </c>
      <c r="P1248" t="s">
        <v>98</v>
      </c>
      <c r="X1248" t="s">
        <v>47</v>
      </c>
      <c r="Y1248" t="s">
        <v>269</v>
      </c>
      <c r="Z1248">
        <v>20200130</v>
      </c>
      <c r="AA1248">
        <f t="shared" si="28"/>
        <v>142.41</v>
      </c>
      <c r="AC1248"/>
      <c r="AE1248" t="s">
        <v>270</v>
      </c>
      <c r="AF1248"/>
      <c r="AL1248">
        <v>340099350</v>
      </c>
      <c r="AM1248" t="s">
        <v>271</v>
      </c>
    </row>
    <row r="1249" spans="1:39" x14ac:dyDescent="0.35">
      <c r="A1249">
        <v>3400</v>
      </c>
      <c r="B1249" t="s">
        <v>47</v>
      </c>
      <c r="C1249">
        <v>2020</v>
      </c>
      <c r="D1249" s="1">
        <v>43831</v>
      </c>
      <c r="E1249">
        <v>39</v>
      </c>
      <c r="F1249">
        <v>100010311</v>
      </c>
      <c r="G1249" t="s">
        <v>101</v>
      </c>
      <c r="H1249">
        <v>40</v>
      </c>
      <c r="I1249">
        <v>71105120</v>
      </c>
      <c r="J1249">
        <v>11610030</v>
      </c>
      <c r="K1249" t="s">
        <v>268</v>
      </c>
      <c r="L1249" s="4">
        <v>28.48</v>
      </c>
      <c r="M1249" t="s">
        <v>54</v>
      </c>
      <c r="N1249" s="4">
        <v>535.49</v>
      </c>
      <c r="O1249" t="s">
        <v>31</v>
      </c>
      <c r="P1249" t="s">
        <v>98</v>
      </c>
      <c r="X1249" t="s">
        <v>47</v>
      </c>
      <c r="Y1249" t="s">
        <v>269</v>
      </c>
      <c r="Z1249">
        <v>20200130</v>
      </c>
      <c r="AA1249">
        <f t="shared" si="28"/>
        <v>28.48</v>
      </c>
      <c r="AC1249"/>
      <c r="AE1249" t="s">
        <v>270</v>
      </c>
      <c r="AF1249"/>
      <c r="AL1249">
        <v>340099350</v>
      </c>
      <c r="AM1249" t="s">
        <v>271</v>
      </c>
    </row>
    <row r="1250" spans="1:39" x14ac:dyDescent="0.35">
      <c r="A1250">
        <v>3400</v>
      </c>
      <c r="B1250" t="s">
        <v>47</v>
      </c>
      <c r="C1250">
        <v>2020</v>
      </c>
      <c r="D1250" s="1">
        <v>43831</v>
      </c>
      <c r="E1250">
        <v>40</v>
      </c>
      <c r="F1250">
        <v>100010311</v>
      </c>
      <c r="G1250" t="s">
        <v>101</v>
      </c>
      <c r="H1250">
        <v>40</v>
      </c>
      <c r="I1250">
        <v>71105120</v>
      </c>
      <c r="J1250">
        <v>11610030</v>
      </c>
      <c r="K1250" t="s">
        <v>268</v>
      </c>
      <c r="L1250" s="4">
        <v>85.45</v>
      </c>
      <c r="M1250" t="s">
        <v>54</v>
      </c>
      <c r="N1250" s="4">
        <v>1606.65</v>
      </c>
      <c r="O1250" t="s">
        <v>31</v>
      </c>
      <c r="P1250" t="s">
        <v>98</v>
      </c>
      <c r="X1250" t="s">
        <v>47</v>
      </c>
      <c r="Y1250" t="s">
        <v>269</v>
      </c>
      <c r="Z1250">
        <v>20200130</v>
      </c>
      <c r="AA1250">
        <f t="shared" si="28"/>
        <v>85.45</v>
      </c>
      <c r="AC1250"/>
      <c r="AE1250" t="s">
        <v>270</v>
      </c>
      <c r="AF1250"/>
      <c r="AL1250">
        <v>340099350</v>
      </c>
      <c r="AM1250" t="s">
        <v>271</v>
      </c>
    </row>
    <row r="1251" spans="1:39" x14ac:dyDescent="0.35">
      <c r="A1251">
        <v>3400</v>
      </c>
      <c r="B1251" t="s">
        <v>47</v>
      </c>
      <c r="C1251">
        <v>2020</v>
      </c>
      <c r="D1251" s="1">
        <v>43831</v>
      </c>
      <c r="E1251">
        <v>41</v>
      </c>
      <c r="F1251">
        <v>100010311</v>
      </c>
      <c r="G1251" t="s">
        <v>101</v>
      </c>
      <c r="H1251">
        <v>40</v>
      </c>
      <c r="I1251">
        <v>71105120</v>
      </c>
      <c r="J1251">
        <v>11610030</v>
      </c>
      <c r="K1251" t="s">
        <v>268</v>
      </c>
      <c r="L1251" s="4">
        <v>28.48</v>
      </c>
      <c r="M1251" t="s">
        <v>54</v>
      </c>
      <c r="N1251" s="4">
        <v>535.49</v>
      </c>
      <c r="O1251" t="s">
        <v>31</v>
      </c>
      <c r="P1251" t="s">
        <v>98</v>
      </c>
      <c r="X1251" t="s">
        <v>47</v>
      </c>
      <c r="Y1251" t="s">
        <v>269</v>
      </c>
      <c r="Z1251">
        <v>20200130</v>
      </c>
      <c r="AA1251">
        <f t="shared" si="28"/>
        <v>28.48</v>
      </c>
      <c r="AC1251"/>
      <c r="AE1251" t="s">
        <v>270</v>
      </c>
      <c r="AF1251"/>
      <c r="AL1251">
        <v>340098950</v>
      </c>
      <c r="AM1251" t="s">
        <v>271</v>
      </c>
    </row>
    <row r="1252" spans="1:39" x14ac:dyDescent="0.35">
      <c r="A1252">
        <v>3400</v>
      </c>
      <c r="B1252" t="s">
        <v>47</v>
      </c>
      <c r="C1252">
        <v>2020</v>
      </c>
      <c r="D1252" s="1">
        <v>43831</v>
      </c>
      <c r="E1252">
        <v>42</v>
      </c>
      <c r="F1252">
        <v>100010311</v>
      </c>
      <c r="G1252" t="s">
        <v>101</v>
      </c>
      <c r="H1252">
        <v>40</v>
      </c>
      <c r="I1252">
        <v>71105120</v>
      </c>
      <c r="J1252">
        <v>11610030</v>
      </c>
      <c r="K1252" t="s">
        <v>268</v>
      </c>
      <c r="L1252" s="4">
        <v>56.96</v>
      </c>
      <c r="M1252" t="s">
        <v>54</v>
      </c>
      <c r="N1252" s="4">
        <v>1070.97</v>
      </c>
      <c r="O1252" t="s">
        <v>31</v>
      </c>
      <c r="P1252" t="s">
        <v>98</v>
      </c>
      <c r="X1252" t="s">
        <v>47</v>
      </c>
      <c r="Y1252" t="s">
        <v>269</v>
      </c>
      <c r="Z1252">
        <v>20200130</v>
      </c>
      <c r="AA1252">
        <f t="shared" si="28"/>
        <v>56.96</v>
      </c>
      <c r="AC1252"/>
      <c r="AE1252" t="s">
        <v>270</v>
      </c>
      <c r="AF1252"/>
      <c r="AL1252">
        <v>340099350</v>
      </c>
      <c r="AM1252" t="s">
        <v>271</v>
      </c>
    </row>
    <row r="1253" spans="1:39" x14ac:dyDescent="0.35">
      <c r="A1253">
        <v>3400</v>
      </c>
      <c r="B1253" t="s">
        <v>47</v>
      </c>
      <c r="C1253">
        <v>2020</v>
      </c>
      <c r="D1253" s="1">
        <v>43831</v>
      </c>
      <c r="E1253">
        <v>43</v>
      </c>
      <c r="F1253">
        <v>100010311</v>
      </c>
      <c r="G1253" t="s">
        <v>101</v>
      </c>
      <c r="H1253">
        <v>40</v>
      </c>
      <c r="I1253">
        <v>71105120</v>
      </c>
      <c r="J1253">
        <v>11610030</v>
      </c>
      <c r="K1253" t="s">
        <v>268</v>
      </c>
      <c r="L1253" s="4">
        <v>398.75</v>
      </c>
      <c r="M1253" t="s">
        <v>54</v>
      </c>
      <c r="N1253" s="4">
        <v>7497.38</v>
      </c>
      <c r="O1253" t="s">
        <v>31</v>
      </c>
      <c r="P1253" t="s">
        <v>98</v>
      </c>
      <c r="X1253" t="s">
        <v>47</v>
      </c>
      <c r="Y1253" t="s">
        <v>269</v>
      </c>
      <c r="Z1253">
        <v>20200130</v>
      </c>
      <c r="AA1253">
        <f t="shared" si="28"/>
        <v>398.75</v>
      </c>
      <c r="AC1253"/>
      <c r="AE1253" t="s">
        <v>270</v>
      </c>
      <c r="AF1253"/>
      <c r="AL1253">
        <v>340099350</v>
      </c>
      <c r="AM1253" t="s">
        <v>271</v>
      </c>
    </row>
    <row r="1254" spans="1:39" x14ac:dyDescent="0.35">
      <c r="A1254">
        <v>3400</v>
      </c>
      <c r="B1254" t="s">
        <v>47</v>
      </c>
      <c r="C1254">
        <v>2020</v>
      </c>
      <c r="D1254" s="1">
        <v>43831</v>
      </c>
      <c r="E1254">
        <v>44</v>
      </c>
      <c r="F1254">
        <v>100010311</v>
      </c>
      <c r="G1254" t="s">
        <v>101</v>
      </c>
      <c r="H1254">
        <v>40</v>
      </c>
      <c r="I1254">
        <v>71105120</v>
      </c>
      <c r="J1254">
        <v>11610030</v>
      </c>
      <c r="K1254" t="s">
        <v>268</v>
      </c>
      <c r="L1254" s="4">
        <v>740.54</v>
      </c>
      <c r="M1254" t="s">
        <v>54</v>
      </c>
      <c r="N1254" s="4">
        <v>13923.78</v>
      </c>
      <c r="O1254" t="s">
        <v>31</v>
      </c>
      <c r="P1254" t="s">
        <v>98</v>
      </c>
      <c r="X1254" t="s">
        <v>47</v>
      </c>
      <c r="Y1254" t="s">
        <v>269</v>
      </c>
      <c r="Z1254">
        <v>20200130</v>
      </c>
      <c r="AA1254">
        <f t="shared" si="28"/>
        <v>740.54</v>
      </c>
      <c r="AC1254"/>
      <c r="AE1254" t="s">
        <v>270</v>
      </c>
      <c r="AF1254"/>
      <c r="AL1254">
        <v>340099350</v>
      </c>
      <c r="AM1254" t="s">
        <v>271</v>
      </c>
    </row>
    <row r="1255" spans="1:39" x14ac:dyDescent="0.35">
      <c r="A1255">
        <v>3400</v>
      </c>
      <c r="B1255" t="s">
        <v>47</v>
      </c>
      <c r="C1255">
        <v>2020</v>
      </c>
      <c r="D1255" s="1">
        <v>43831</v>
      </c>
      <c r="E1255">
        <v>45</v>
      </c>
      <c r="F1255">
        <v>100010311</v>
      </c>
      <c r="G1255" t="s">
        <v>101</v>
      </c>
      <c r="H1255">
        <v>40</v>
      </c>
      <c r="I1255">
        <v>71105120</v>
      </c>
      <c r="J1255">
        <v>11610030</v>
      </c>
      <c r="K1255" t="s">
        <v>268</v>
      </c>
      <c r="L1255" s="4">
        <v>113.93</v>
      </c>
      <c r="M1255" t="s">
        <v>54</v>
      </c>
      <c r="N1255" s="4">
        <v>2142.13</v>
      </c>
      <c r="O1255" t="s">
        <v>31</v>
      </c>
      <c r="P1255" t="s">
        <v>98</v>
      </c>
      <c r="X1255" t="s">
        <v>47</v>
      </c>
      <c r="Y1255" t="s">
        <v>269</v>
      </c>
      <c r="Z1255">
        <v>20200130</v>
      </c>
      <c r="AA1255">
        <f t="shared" si="28"/>
        <v>113.93</v>
      </c>
      <c r="AC1255"/>
      <c r="AE1255" t="s">
        <v>270</v>
      </c>
      <c r="AF1255"/>
      <c r="AL1255">
        <v>340099350</v>
      </c>
      <c r="AM1255" t="s">
        <v>271</v>
      </c>
    </row>
    <row r="1256" spans="1:39" x14ac:dyDescent="0.35">
      <c r="A1256">
        <v>3400</v>
      </c>
      <c r="B1256" t="s">
        <v>47</v>
      </c>
      <c r="C1256">
        <v>2020</v>
      </c>
      <c r="D1256" s="1">
        <v>43831</v>
      </c>
      <c r="E1256">
        <v>46</v>
      </c>
      <c r="F1256">
        <v>100010311</v>
      </c>
      <c r="G1256" t="s">
        <v>101</v>
      </c>
      <c r="H1256">
        <v>40</v>
      </c>
      <c r="I1256">
        <v>71105120</v>
      </c>
      <c r="J1256">
        <v>11610030</v>
      </c>
      <c r="K1256" t="s">
        <v>268</v>
      </c>
      <c r="L1256" s="4">
        <v>28.48</v>
      </c>
      <c r="M1256" t="s">
        <v>54</v>
      </c>
      <c r="N1256" s="4">
        <v>535.49</v>
      </c>
      <c r="O1256" t="s">
        <v>31</v>
      </c>
      <c r="P1256" t="s">
        <v>98</v>
      </c>
      <c r="X1256" t="s">
        <v>47</v>
      </c>
      <c r="Y1256" t="s">
        <v>269</v>
      </c>
      <c r="Z1256">
        <v>20200130</v>
      </c>
      <c r="AA1256">
        <f t="shared" si="28"/>
        <v>28.48</v>
      </c>
      <c r="AC1256"/>
      <c r="AE1256" t="s">
        <v>270</v>
      </c>
      <c r="AF1256"/>
      <c r="AL1256">
        <v>340099350</v>
      </c>
      <c r="AM1256" t="s">
        <v>271</v>
      </c>
    </row>
    <row r="1257" spans="1:39" x14ac:dyDescent="0.35">
      <c r="A1257">
        <v>3400</v>
      </c>
      <c r="B1257" t="s">
        <v>47</v>
      </c>
      <c r="C1257">
        <v>2020</v>
      </c>
      <c r="D1257" s="1">
        <v>43831</v>
      </c>
      <c r="E1257">
        <v>47</v>
      </c>
      <c r="F1257">
        <v>100010311</v>
      </c>
      <c r="G1257" t="s">
        <v>101</v>
      </c>
      <c r="H1257">
        <v>40</v>
      </c>
      <c r="I1257">
        <v>71105120</v>
      </c>
      <c r="J1257">
        <v>11610030</v>
      </c>
      <c r="K1257" t="s">
        <v>268</v>
      </c>
      <c r="L1257" s="4">
        <v>28.48</v>
      </c>
      <c r="M1257" t="s">
        <v>54</v>
      </c>
      <c r="N1257" s="4">
        <v>535.49</v>
      </c>
      <c r="O1257" t="s">
        <v>31</v>
      </c>
      <c r="P1257" t="s">
        <v>98</v>
      </c>
      <c r="X1257" t="s">
        <v>47</v>
      </c>
      <c r="Y1257" t="s">
        <v>269</v>
      </c>
      <c r="Z1257">
        <v>20200130</v>
      </c>
      <c r="AA1257">
        <f t="shared" si="28"/>
        <v>28.48</v>
      </c>
      <c r="AC1257"/>
      <c r="AE1257" t="s">
        <v>270</v>
      </c>
      <c r="AF1257"/>
      <c r="AL1257">
        <v>340099350</v>
      </c>
      <c r="AM1257" t="s">
        <v>271</v>
      </c>
    </row>
    <row r="1258" spans="1:39" x14ac:dyDescent="0.35">
      <c r="A1258">
        <v>3400</v>
      </c>
      <c r="B1258" t="s">
        <v>47</v>
      </c>
      <c r="C1258">
        <v>2020</v>
      </c>
      <c r="D1258" s="1">
        <v>43831</v>
      </c>
      <c r="E1258">
        <v>48</v>
      </c>
      <c r="F1258">
        <v>100010311</v>
      </c>
      <c r="G1258" t="s">
        <v>101</v>
      </c>
      <c r="H1258">
        <v>40</v>
      </c>
      <c r="I1258">
        <v>71105120</v>
      </c>
      <c r="J1258">
        <v>11610030</v>
      </c>
      <c r="K1258" t="s">
        <v>268</v>
      </c>
      <c r="L1258" s="4">
        <v>28.48</v>
      </c>
      <c r="M1258" t="s">
        <v>54</v>
      </c>
      <c r="N1258" s="4">
        <v>535.49</v>
      </c>
      <c r="O1258" t="s">
        <v>31</v>
      </c>
      <c r="P1258" t="s">
        <v>98</v>
      </c>
      <c r="X1258" t="s">
        <v>47</v>
      </c>
      <c r="Y1258" t="s">
        <v>269</v>
      </c>
      <c r="Z1258">
        <v>20200130</v>
      </c>
      <c r="AA1258">
        <f t="shared" si="28"/>
        <v>28.48</v>
      </c>
      <c r="AC1258"/>
      <c r="AE1258" t="s">
        <v>270</v>
      </c>
      <c r="AF1258"/>
      <c r="AL1258">
        <v>340099350</v>
      </c>
      <c r="AM1258" t="s">
        <v>271</v>
      </c>
    </row>
    <row r="1259" spans="1:39" x14ac:dyDescent="0.35">
      <c r="A1259">
        <v>3400</v>
      </c>
      <c r="B1259" t="s">
        <v>47</v>
      </c>
      <c r="C1259">
        <v>2020</v>
      </c>
      <c r="D1259" s="1">
        <v>43831</v>
      </c>
      <c r="E1259">
        <v>49</v>
      </c>
      <c r="F1259">
        <v>100010311</v>
      </c>
      <c r="G1259" t="s">
        <v>101</v>
      </c>
      <c r="H1259">
        <v>40</v>
      </c>
      <c r="I1259">
        <v>71105120</v>
      </c>
      <c r="J1259">
        <v>11610030</v>
      </c>
      <c r="K1259" t="s">
        <v>268</v>
      </c>
      <c r="L1259" s="4">
        <v>28.48</v>
      </c>
      <c r="M1259" t="s">
        <v>54</v>
      </c>
      <c r="N1259" s="4">
        <v>535.49</v>
      </c>
      <c r="O1259" t="s">
        <v>31</v>
      </c>
      <c r="P1259" t="s">
        <v>98</v>
      </c>
      <c r="X1259" t="s">
        <v>47</v>
      </c>
      <c r="Y1259" t="s">
        <v>269</v>
      </c>
      <c r="Z1259">
        <v>20200130</v>
      </c>
      <c r="AA1259">
        <f t="shared" si="28"/>
        <v>28.48</v>
      </c>
      <c r="AC1259"/>
      <c r="AE1259" t="s">
        <v>270</v>
      </c>
      <c r="AF1259"/>
      <c r="AL1259">
        <v>340099350</v>
      </c>
      <c r="AM1259" t="s">
        <v>271</v>
      </c>
    </row>
    <row r="1260" spans="1:39" x14ac:dyDescent="0.35">
      <c r="A1260">
        <v>3400</v>
      </c>
      <c r="B1260" t="s">
        <v>47</v>
      </c>
      <c r="C1260">
        <v>2020</v>
      </c>
      <c r="D1260" s="1">
        <v>43831</v>
      </c>
      <c r="E1260">
        <v>50</v>
      </c>
      <c r="F1260">
        <v>100010311</v>
      </c>
      <c r="G1260" t="s">
        <v>101</v>
      </c>
      <c r="H1260">
        <v>40</v>
      </c>
      <c r="I1260">
        <v>71105120</v>
      </c>
      <c r="J1260">
        <v>11610030</v>
      </c>
      <c r="K1260" t="s">
        <v>268</v>
      </c>
      <c r="L1260" s="4">
        <v>28.48</v>
      </c>
      <c r="M1260" t="s">
        <v>54</v>
      </c>
      <c r="N1260" s="4">
        <v>535.49</v>
      </c>
      <c r="O1260" t="s">
        <v>31</v>
      </c>
      <c r="P1260" t="s">
        <v>98</v>
      </c>
      <c r="X1260" t="s">
        <v>47</v>
      </c>
      <c r="Y1260" t="s">
        <v>269</v>
      </c>
      <c r="Z1260">
        <v>20200130</v>
      </c>
      <c r="AA1260">
        <f t="shared" si="28"/>
        <v>28.48</v>
      </c>
      <c r="AC1260"/>
      <c r="AE1260" t="s">
        <v>270</v>
      </c>
      <c r="AF1260"/>
      <c r="AL1260">
        <v>340099350</v>
      </c>
      <c r="AM1260" t="s">
        <v>271</v>
      </c>
    </row>
    <row r="1261" spans="1:39" x14ac:dyDescent="0.35">
      <c r="A1261">
        <v>3401</v>
      </c>
      <c r="B1261" t="s">
        <v>47</v>
      </c>
      <c r="C1261">
        <v>2020</v>
      </c>
      <c r="D1261" s="1">
        <v>43831</v>
      </c>
      <c r="E1261">
        <v>1</v>
      </c>
      <c r="F1261">
        <v>100030579</v>
      </c>
      <c r="G1261" t="s">
        <v>101</v>
      </c>
      <c r="H1261">
        <v>40</v>
      </c>
      <c r="I1261">
        <v>71105120</v>
      </c>
      <c r="J1261">
        <v>11210050</v>
      </c>
      <c r="K1261" t="s">
        <v>268</v>
      </c>
      <c r="L1261" s="4">
        <v>28.48</v>
      </c>
      <c r="M1261" t="s">
        <v>54</v>
      </c>
      <c r="N1261" s="4">
        <v>535.49</v>
      </c>
      <c r="O1261" t="s">
        <v>31</v>
      </c>
      <c r="P1261" t="s">
        <v>98</v>
      </c>
      <c r="X1261" t="s">
        <v>47</v>
      </c>
      <c r="Y1261" t="s">
        <v>269</v>
      </c>
      <c r="Z1261">
        <v>20200130</v>
      </c>
      <c r="AA1261">
        <f t="shared" si="28"/>
        <v>28.48</v>
      </c>
      <c r="AC1261"/>
      <c r="AE1261" t="s">
        <v>270</v>
      </c>
      <c r="AF1261"/>
      <c r="AL1261">
        <v>340110890</v>
      </c>
      <c r="AM1261" t="s">
        <v>271</v>
      </c>
    </row>
    <row r="1262" spans="1:39" x14ac:dyDescent="0.35">
      <c r="A1262">
        <v>3401</v>
      </c>
      <c r="B1262" t="s">
        <v>47</v>
      </c>
      <c r="C1262">
        <v>2020</v>
      </c>
      <c r="D1262" s="1">
        <v>43831</v>
      </c>
      <c r="E1262">
        <v>2</v>
      </c>
      <c r="F1262">
        <v>100030579</v>
      </c>
      <c r="G1262" t="s">
        <v>101</v>
      </c>
      <c r="H1262">
        <v>40</v>
      </c>
      <c r="I1262">
        <v>71105120</v>
      </c>
      <c r="J1262">
        <v>11210050</v>
      </c>
      <c r="K1262" t="s">
        <v>268</v>
      </c>
      <c r="L1262" s="4">
        <v>512.67999999999995</v>
      </c>
      <c r="M1262" t="s">
        <v>54</v>
      </c>
      <c r="N1262" s="4">
        <v>9639.51</v>
      </c>
      <c r="O1262" t="s">
        <v>31</v>
      </c>
      <c r="P1262" t="s">
        <v>98</v>
      </c>
      <c r="X1262" t="s">
        <v>47</v>
      </c>
      <c r="Y1262" t="s">
        <v>269</v>
      </c>
      <c r="Z1262">
        <v>20200130</v>
      </c>
      <c r="AA1262">
        <f t="shared" si="28"/>
        <v>512.67999999999995</v>
      </c>
      <c r="AC1262"/>
      <c r="AE1262" t="s">
        <v>270</v>
      </c>
      <c r="AF1262"/>
      <c r="AL1262">
        <v>340116690</v>
      </c>
      <c r="AM1262" t="s">
        <v>271</v>
      </c>
    </row>
    <row r="1263" spans="1:39" x14ac:dyDescent="0.35">
      <c r="A1263">
        <v>3401</v>
      </c>
      <c r="B1263" t="s">
        <v>47</v>
      </c>
      <c r="C1263">
        <v>2020</v>
      </c>
      <c r="D1263" s="1">
        <v>43831</v>
      </c>
      <c r="E1263">
        <v>3</v>
      </c>
      <c r="F1263">
        <v>100030579</v>
      </c>
      <c r="G1263" t="s">
        <v>101</v>
      </c>
      <c r="H1263">
        <v>40</v>
      </c>
      <c r="I1263">
        <v>71105120</v>
      </c>
      <c r="J1263">
        <v>11210050</v>
      </c>
      <c r="K1263" t="s">
        <v>268</v>
      </c>
      <c r="L1263" s="4">
        <v>170.89</v>
      </c>
      <c r="M1263" t="s">
        <v>54</v>
      </c>
      <c r="N1263" s="4">
        <v>3213.11</v>
      </c>
      <c r="O1263" t="s">
        <v>31</v>
      </c>
      <c r="P1263" t="s">
        <v>98</v>
      </c>
      <c r="X1263" t="s">
        <v>47</v>
      </c>
      <c r="Y1263" t="s">
        <v>269</v>
      </c>
      <c r="Z1263">
        <v>20200130</v>
      </c>
      <c r="AA1263">
        <f t="shared" si="28"/>
        <v>170.89</v>
      </c>
      <c r="AC1263"/>
      <c r="AE1263" t="s">
        <v>270</v>
      </c>
      <c r="AF1263"/>
      <c r="AL1263">
        <v>340117690</v>
      </c>
      <c r="AM1263" t="s">
        <v>271</v>
      </c>
    </row>
    <row r="1264" spans="1:39" x14ac:dyDescent="0.35">
      <c r="A1264">
        <v>3401</v>
      </c>
      <c r="B1264" t="s">
        <v>47</v>
      </c>
      <c r="C1264">
        <v>2020</v>
      </c>
      <c r="D1264" s="1">
        <v>43831</v>
      </c>
      <c r="E1264">
        <v>4</v>
      </c>
      <c r="F1264">
        <v>100030579</v>
      </c>
      <c r="G1264" t="s">
        <v>101</v>
      </c>
      <c r="H1264">
        <v>40</v>
      </c>
      <c r="I1264">
        <v>71105120</v>
      </c>
      <c r="J1264">
        <v>11210050</v>
      </c>
      <c r="K1264" t="s">
        <v>268</v>
      </c>
      <c r="L1264" s="4">
        <v>28.48</v>
      </c>
      <c r="M1264" t="s">
        <v>54</v>
      </c>
      <c r="N1264" s="4">
        <v>535.49</v>
      </c>
      <c r="O1264" t="s">
        <v>31</v>
      </c>
      <c r="P1264" t="s">
        <v>98</v>
      </c>
      <c r="X1264" t="s">
        <v>47</v>
      </c>
      <c r="Y1264" t="s">
        <v>269</v>
      </c>
      <c r="Z1264">
        <v>20200130</v>
      </c>
      <c r="AA1264">
        <f t="shared" si="28"/>
        <v>28.48</v>
      </c>
      <c r="AC1264"/>
      <c r="AE1264" t="s">
        <v>270</v>
      </c>
      <c r="AF1264"/>
      <c r="AL1264">
        <v>340121690</v>
      </c>
      <c r="AM1264" t="s">
        <v>271</v>
      </c>
    </row>
    <row r="1265" spans="1:39" x14ac:dyDescent="0.35">
      <c r="A1265">
        <v>3401</v>
      </c>
      <c r="B1265" t="s">
        <v>47</v>
      </c>
      <c r="C1265">
        <v>2020</v>
      </c>
      <c r="D1265" s="1">
        <v>43831</v>
      </c>
      <c r="E1265">
        <v>5</v>
      </c>
      <c r="F1265">
        <v>100030579</v>
      </c>
      <c r="G1265" t="s">
        <v>101</v>
      </c>
      <c r="H1265">
        <v>40</v>
      </c>
      <c r="I1265">
        <v>71105120</v>
      </c>
      <c r="J1265">
        <v>11210050</v>
      </c>
      <c r="K1265" t="s">
        <v>268</v>
      </c>
      <c r="L1265" s="4">
        <v>28.48</v>
      </c>
      <c r="M1265" t="s">
        <v>54</v>
      </c>
      <c r="N1265" s="4">
        <v>535.49</v>
      </c>
      <c r="O1265" t="s">
        <v>31</v>
      </c>
      <c r="P1265" t="s">
        <v>98</v>
      </c>
      <c r="X1265" t="s">
        <v>47</v>
      </c>
      <c r="Y1265" t="s">
        <v>269</v>
      </c>
      <c r="Z1265">
        <v>20200130</v>
      </c>
      <c r="AA1265">
        <f t="shared" si="28"/>
        <v>28.48</v>
      </c>
      <c r="AC1265"/>
      <c r="AE1265" t="s">
        <v>270</v>
      </c>
      <c r="AF1265"/>
      <c r="AL1265">
        <v>340125190</v>
      </c>
      <c r="AM1265" t="s">
        <v>271</v>
      </c>
    </row>
    <row r="1266" spans="1:39" x14ac:dyDescent="0.35">
      <c r="A1266">
        <v>3401</v>
      </c>
      <c r="B1266" t="s">
        <v>47</v>
      </c>
      <c r="C1266">
        <v>2020</v>
      </c>
      <c r="D1266" s="1">
        <v>43831</v>
      </c>
      <c r="E1266">
        <v>6</v>
      </c>
      <c r="F1266">
        <v>100030579</v>
      </c>
      <c r="G1266" t="s">
        <v>101</v>
      </c>
      <c r="H1266">
        <v>40</v>
      </c>
      <c r="I1266">
        <v>71105120</v>
      </c>
      <c r="J1266">
        <v>11210050</v>
      </c>
      <c r="K1266" t="s">
        <v>268</v>
      </c>
      <c r="L1266" s="4">
        <v>28.48</v>
      </c>
      <c r="M1266" t="s">
        <v>54</v>
      </c>
      <c r="N1266" s="4">
        <v>535.49</v>
      </c>
      <c r="O1266" t="s">
        <v>31</v>
      </c>
      <c r="P1266" t="s">
        <v>98</v>
      </c>
      <c r="X1266" t="s">
        <v>47</v>
      </c>
      <c r="Y1266" t="s">
        <v>269</v>
      </c>
      <c r="Z1266">
        <v>20200130</v>
      </c>
      <c r="AA1266">
        <f t="shared" si="28"/>
        <v>28.48</v>
      </c>
      <c r="AC1266"/>
      <c r="AE1266" t="s">
        <v>270</v>
      </c>
      <c r="AF1266"/>
      <c r="AL1266">
        <v>340133190</v>
      </c>
      <c r="AM1266" t="s">
        <v>271</v>
      </c>
    </row>
    <row r="1267" spans="1:39" x14ac:dyDescent="0.35">
      <c r="A1267">
        <v>3401</v>
      </c>
      <c r="B1267" t="s">
        <v>47</v>
      </c>
      <c r="C1267">
        <v>2020</v>
      </c>
      <c r="D1267" s="1">
        <v>43831</v>
      </c>
      <c r="E1267">
        <v>7</v>
      </c>
      <c r="F1267">
        <v>100030579</v>
      </c>
      <c r="G1267" t="s">
        <v>101</v>
      </c>
      <c r="H1267">
        <v>40</v>
      </c>
      <c r="I1267">
        <v>71105120</v>
      </c>
      <c r="J1267">
        <v>11210050</v>
      </c>
      <c r="K1267" t="s">
        <v>268</v>
      </c>
      <c r="L1267" s="4">
        <v>113.93</v>
      </c>
      <c r="M1267" t="s">
        <v>54</v>
      </c>
      <c r="N1267" s="4">
        <v>2142.13</v>
      </c>
      <c r="O1267" t="s">
        <v>31</v>
      </c>
      <c r="P1267" t="s">
        <v>98</v>
      </c>
      <c r="X1267" t="s">
        <v>47</v>
      </c>
      <c r="Y1267" t="s">
        <v>269</v>
      </c>
      <c r="Z1267">
        <v>20200130</v>
      </c>
      <c r="AA1267">
        <f t="shared" si="28"/>
        <v>113.93</v>
      </c>
      <c r="AC1267"/>
      <c r="AE1267" t="s">
        <v>270</v>
      </c>
      <c r="AF1267"/>
      <c r="AL1267">
        <v>340136290</v>
      </c>
      <c r="AM1267" t="s">
        <v>271</v>
      </c>
    </row>
    <row r="1268" spans="1:39" x14ac:dyDescent="0.35">
      <c r="A1268">
        <v>3401</v>
      </c>
      <c r="B1268" t="s">
        <v>47</v>
      </c>
      <c r="C1268">
        <v>2020</v>
      </c>
      <c r="D1268" s="1">
        <v>43831</v>
      </c>
      <c r="E1268">
        <v>8</v>
      </c>
      <c r="F1268">
        <v>100030579</v>
      </c>
      <c r="G1268" t="s">
        <v>101</v>
      </c>
      <c r="H1268">
        <v>40</v>
      </c>
      <c r="I1268">
        <v>71105120</v>
      </c>
      <c r="J1268">
        <v>11210050</v>
      </c>
      <c r="K1268" t="s">
        <v>268</v>
      </c>
      <c r="L1268" s="4">
        <v>313.31</v>
      </c>
      <c r="M1268" t="s">
        <v>54</v>
      </c>
      <c r="N1268" s="4">
        <v>5890.92</v>
      </c>
      <c r="O1268" t="s">
        <v>31</v>
      </c>
      <c r="P1268" t="s">
        <v>98</v>
      </c>
      <c r="X1268" t="s">
        <v>47</v>
      </c>
      <c r="Y1268" t="s">
        <v>269</v>
      </c>
      <c r="Z1268">
        <v>20200130</v>
      </c>
      <c r="AA1268">
        <f t="shared" si="28"/>
        <v>313.31</v>
      </c>
      <c r="AC1268"/>
      <c r="AE1268" t="s">
        <v>270</v>
      </c>
      <c r="AF1268"/>
      <c r="AL1268">
        <v>340140390</v>
      </c>
      <c r="AM1268" t="s">
        <v>271</v>
      </c>
    </row>
    <row r="1269" spans="1:39" x14ac:dyDescent="0.35">
      <c r="A1269">
        <v>3401</v>
      </c>
      <c r="B1269" t="s">
        <v>47</v>
      </c>
      <c r="C1269">
        <v>2020</v>
      </c>
      <c r="D1269" s="1">
        <v>43831</v>
      </c>
      <c r="E1269">
        <v>9</v>
      </c>
      <c r="F1269">
        <v>100030579</v>
      </c>
      <c r="G1269" t="s">
        <v>101</v>
      </c>
      <c r="H1269">
        <v>40</v>
      </c>
      <c r="I1269">
        <v>71105120</v>
      </c>
      <c r="J1269">
        <v>11210050</v>
      </c>
      <c r="K1269" t="s">
        <v>268</v>
      </c>
      <c r="L1269" s="4">
        <v>28.48</v>
      </c>
      <c r="M1269" t="s">
        <v>54</v>
      </c>
      <c r="N1269" s="4">
        <v>535.49</v>
      </c>
      <c r="O1269" t="s">
        <v>31</v>
      </c>
      <c r="P1269" t="s">
        <v>98</v>
      </c>
      <c r="X1269" t="s">
        <v>47</v>
      </c>
      <c r="Y1269" t="s">
        <v>269</v>
      </c>
      <c r="Z1269">
        <v>20200130</v>
      </c>
      <c r="AA1269">
        <f t="shared" si="28"/>
        <v>28.48</v>
      </c>
      <c r="AC1269"/>
      <c r="AE1269" t="s">
        <v>270</v>
      </c>
      <c r="AF1269"/>
      <c r="AL1269">
        <v>340162190</v>
      </c>
      <c r="AM1269" t="s">
        <v>271</v>
      </c>
    </row>
    <row r="1270" spans="1:39" x14ac:dyDescent="0.35">
      <c r="A1270">
        <v>3402</v>
      </c>
      <c r="B1270" t="s">
        <v>47</v>
      </c>
      <c r="C1270">
        <v>2020</v>
      </c>
      <c r="D1270" s="1">
        <v>43831</v>
      </c>
      <c r="E1270">
        <v>1</v>
      </c>
      <c r="F1270">
        <v>200102604</v>
      </c>
      <c r="G1270" t="s">
        <v>101</v>
      </c>
      <c r="H1270">
        <v>40</v>
      </c>
      <c r="I1270">
        <v>71105120</v>
      </c>
      <c r="J1270">
        <v>11210050</v>
      </c>
      <c r="K1270" t="s">
        <v>268</v>
      </c>
      <c r="L1270" s="4">
        <v>28.48</v>
      </c>
      <c r="M1270" t="s">
        <v>54</v>
      </c>
      <c r="N1270" s="4">
        <v>535.49</v>
      </c>
      <c r="O1270" t="s">
        <v>31</v>
      </c>
      <c r="P1270" t="s">
        <v>98</v>
      </c>
      <c r="X1270" t="s">
        <v>47</v>
      </c>
      <c r="Y1270" t="s">
        <v>269</v>
      </c>
      <c r="Z1270">
        <v>20200130</v>
      </c>
      <c r="AA1270">
        <f t="shared" si="28"/>
        <v>28.48</v>
      </c>
      <c r="AC1270"/>
      <c r="AE1270" t="s">
        <v>270</v>
      </c>
      <c r="AF1270"/>
      <c r="AL1270">
        <v>340210890</v>
      </c>
      <c r="AM1270" t="s">
        <v>271</v>
      </c>
    </row>
    <row r="1271" spans="1:39" x14ac:dyDescent="0.35">
      <c r="A1271">
        <v>3402</v>
      </c>
      <c r="B1271" t="s">
        <v>47</v>
      </c>
      <c r="C1271">
        <v>2020</v>
      </c>
      <c r="D1271" s="1">
        <v>43831</v>
      </c>
      <c r="E1271">
        <v>2</v>
      </c>
      <c r="F1271">
        <v>200102604</v>
      </c>
      <c r="G1271" t="s">
        <v>101</v>
      </c>
      <c r="H1271">
        <v>40</v>
      </c>
      <c r="I1271">
        <v>71105120</v>
      </c>
      <c r="J1271">
        <v>11210050</v>
      </c>
      <c r="K1271" t="s">
        <v>268</v>
      </c>
      <c r="L1271" s="4">
        <v>56.96</v>
      </c>
      <c r="M1271" t="s">
        <v>54</v>
      </c>
      <c r="N1271" s="4">
        <v>1070.97</v>
      </c>
      <c r="O1271" t="s">
        <v>31</v>
      </c>
      <c r="P1271" t="s">
        <v>98</v>
      </c>
      <c r="X1271" t="s">
        <v>47</v>
      </c>
      <c r="Y1271" t="s">
        <v>269</v>
      </c>
      <c r="Z1271">
        <v>20200130</v>
      </c>
      <c r="AA1271">
        <f t="shared" si="28"/>
        <v>56.96</v>
      </c>
      <c r="AC1271"/>
      <c r="AE1271" t="s">
        <v>270</v>
      </c>
      <c r="AF1271"/>
      <c r="AL1271">
        <v>340216690</v>
      </c>
      <c r="AM1271" t="s">
        <v>271</v>
      </c>
    </row>
    <row r="1272" spans="1:39" x14ac:dyDescent="0.35">
      <c r="A1272">
        <v>3402</v>
      </c>
      <c r="B1272" t="s">
        <v>47</v>
      </c>
      <c r="C1272">
        <v>2020</v>
      </c>
      <c r="D1272" s="1">
        <v>43831</v>
      </c>
      <c r="E1272">
        <v>3</v>
      </c>
      <c r="F1272">
        <v>200102604</v>
      </c>
      <c r="G1272" t="s">
        <v>101</v>
      </c>
      <c r="H1272">
        <v>40</v>
      </c>
      <c r="I1272">
        <v>71105120</v>
      </c>
      <c r="J1272">
        <v>11210050</v>
      </c>
      <c r="K1272" t="s">
        <v>268</v>
      </c>
      <c r="L1272" s="4">
        <v>28.48</v>
      </c>
      <c r="M1272" t="s">
        <v>54</v>
      </c>
      <c r="N1272" s="4">
        <v>535.49</v>
      </c>
      <c r="O1272" t="s">
        <v>31</v>
      </c>
      <c r="P1272" t="s">
        <v>98</v>
      </c>
      <c r="X1272" t="s">
        <v>47</v>
      </c>
      <c r="Y1272" t="s">
        <v>269</v>
      </c>
      <c r="Z1272">
        <v>20200130</v>
      </c>
      <c r="AA1272">
        <f t="shared" si="28"/>
        <v>28.48</v>
      </c>
      <c r="AC1272"/>
      <c r="AE1272" t="s">
        <v>270</v>
      </c>
      <c r="AF1272"/>
      <c r="AL1272">
        <v>340217690</v>
      </c>
      <c r="AM1272" t="s">
        <v>271</v>
      </c>
    </row>
    <row r="1273" spans="1:39" x14ac:dyDescent="0.35">
      <c r="A1273">
        <v>3402</v>
      </c>
      <c r="B1273" t="s">
        <v>47</v>
      </c>
      <c r="C1273">
        <v>2020</v>
      </c>
      <c r="D1273" s="1">
        <v>43831</v>
      </c>
      <c r="E1273">
        <v>4</v>
      </c>
      <c r="F1273">
        <v>200102604</v>
      </c>
      <c r="G1273" t="s">
        <v>101</v>
      </c>
      <c r="H1273">
        <v>40</v>
      </c>
      <c r="I1273">
        <v>71105120</v>
      </c>
      <c r="J1273">
        <v>11210050</v>
      </c>
      <c r="K1273" t="s">
        <v>268</v>
      </c>
      <c r="L1273" s="4">
        <v>28.48</v>
      </c>
      <c r="M1273" t="s">
        <v>54</v>
      </c>
      <c r="N1273" s="4">
        <v>535.49</v>
      </c>
      <c r="O1273" t="s">
        <v>31</v>
      </c>
      <c r="P1273" t="s">
        <v>98</v>
      </c>
      <c r="X1273" t="s">
        <v>47</v>
      </c>
      <c r="Y1273" t="s">
        <v>269</v>
      </c>
      <c r="Z1273">
        <v>20200130</v>
      </c>
      <c r="AA1273">
        <f t="shared" si="28"/>
        <v>28.48</v>
      </c>
      <c r="AC1273"/>
      <c r="AE1273" t="s">
        <v>270</v>
      </c>
      <c r="AF1273"/>
      <c r="AL1273">
        <v>340217990</v>
      </c>
      <c r="AM1273" t="s">
        <v>271</v>
      </c>
    </row>
    <row r="1274" spans="1:39" x14ac:dyDescent="0.35">
      <c r="A1274">
        <v>3402</v>
      </c>
      <c r="B1274" t="s">
        <v>47</v>
      </c>
      <c r="C1274">
        <v>2020</v>
      </c>
      <c r="D1274" s="1">
        <v>43831</v>
      </c>
      <c r="E1274">
        <v>5</v>
      </c>
      <c r="F1274">
        <v>200102604</v>
      </c>
      <c r="G1274" t="s">
        <v>101</v>
      </c>
      <c r="H1274">
        <v>40</v>
      </c>
      <c r="I1274">
        <v>71105120</v>
      </c>
      <c r="J1274">
        <v>11210050</v>
      </c>
      <c r="K1274" t="s">
        <v>268</v>
      </c>
      <c r="L1274" s="4">
        <v>56.96</v>
      </c>
      <c r="M1274" t="s">
        <v>54</v>
      </c>
      <c r="N1274" s="4">
        <v>1070.97</v>
      </c>
      <c r="O1274" t="s">
        <v>31</v>
      </c>
      <c r="P1274" t="s">
        <v>98</v>
      </c>
      <c r="X1274" t="s">
        <v>47</v>
      </c>
      <c r="Y1274" t="s">
        <v>269</v>
      </c>
      <c r="Z1274">
        <v>20200130</v>
      </c>
      <c r="AA1274">
        <f t="shared" si="28"/>
        <v>56.96</v>
      </c>
      <c r="AC1274"/>
      <c r="AE1274" t="s">
        <v>270</v>
      </c>
      <c r="AF1274"/>
      <c r="AL1274">
        <v>340220490</v>
      </c>
      <c r="AM1274" t="s">
        <v>271</v>
      </c>
    </row>
    <row r="1275" spans="1:39" x14ac:dyDescent="0.35">
      <c r="A1275">
        <v>3402</v>
      </c>
      <c r="B1275" t="s">
        <v>47</v>
      </c>
      <c r="C1275">
        <v>2020</v>
      </c>
      <c r="D1275" s="1">
        <v>43831</v>
      </c>
      <c r="E1275">
        <v>6</v>
      </c>
      <c r="F1275">
        <v>200102604</v>
      </c>
      <c r="G1275" t="s">
        <v>101</v>
      </c>
      <c r="H1275">
        <v>40</v>
      </c>
      <c r="I1275">
        <v>71105120</v>
      </c>
      <c r="J1275">
        <v>11210050</v>
      </c>
      <c r="K1275" t="s">
        <v>268</v>
      </c>
      <c r="L1275" s="4">
        <v>85.45</v>
      </c>
      <c r="M1275" t="s">
        <v>54</v>
      </c>
      <c r="N1275" s="4">
        <v>1606.65</v>
      </c>
      <c r="O1275" t="s">
        <v>31</v>
      </c>
      <c r="P1275" t="s">
        <v>98</v>
      </c>
      <c r="X1275" t="s">
        <v>47</v>
      </c>
      <c r="Y1275" t="s">
        <v>269</v>
      </c>
      <c r="Z1275">
        <v>20200130</v>
      </c>
      <c r="AA1275">
        <f t="shared" si="28"/>
        <v>85.45</v>
      </c>
      <c r="AC1275"/>
      <c r="AE1275" t="s">
        <v>270</v>
      </c>
      <c r="AF1275"/>
      <c r="AL1275">
        <v>340221690</v>
      </c>
      <c r="AM1275" t="s">
        <v>271</v>
      </c>
    </row>
    <row r="1276" spans="1:39" x14ac:dyDescent="0.35">
      <c r="A1276">
        <v>3402</v>
      </c>
      <c r="B1276" t="s">
        <v>47</v>
      </c>
      <c r="C1276">
        <v>2020</v>
      </c>
      <c r="D1276" s="1">
        <v>43831</v>
      </c>
      <c r="E1276">
        <v>7</v>
      </c>
      <c r="F1276">
        <v>200102604</v>
      </c>
      <c r="G1276" t="s">
        <v>101</v>
      </c>
      <c r="H1276">
        <v>40</v>
      </c>
      <c r="I1276">
        <v>71105120</v>
      </c>
      <c r="J1276">
        <v>11210050</v>
      </c>
      <c r="K1276" t="s">
        <v>268</v>
      </c>
      <c r="L1276" s="4">
        <v>28.48</v>
      </c>
      <c r="M1276" t="s">
        <v>54</v>
      </c>
      <c r="N1276" s="4">
        <v>535.49</v>
      </c>
      <c r="O1276" t="s">
        <v>31</v>
      </c>
      <c r="P1276" t="s">
        <v>98</v>
      </c>
      <c r="X1276" t="s">
        <v>47</v>
      </c>
      <c r="Y1276" t="s">
        <v>269</v>
      </c>
      <c r="Z1276">
        <v>20200130</v>
      </c>
      <c r="AA1276">
        <f t="shared" si="28"/>
        <v>28.48</v>
      </c>
      <c r="AC1276"/>
      <c r="AE1276" t="s">
        <v>270</v>
      </c>
      <c r="AF1276"/>
      <c r="AL1276">
        <v>340225190</v>
      </c>
      <c r="AM1276" t="s">
        <v>271</v>
      </c>
    </row>
    <row r="1277" spans="1:39" x14ac:dyDescent="0.35">
      <c r="A1277">
        <v>3402</v>
      </c>
      <c r="B1277" t="s">
        <v>47</v>
      </c>
      <c r="C1277">
        <v>2020</v>
      </c>
      <c r="D1277" s="1">
        <v>43831</v>
      </c>
      <c r="E1277">
        <v>8</v>
      </c>
      <c r="F1277">
        <v>200102604</v>
      </c>
      <c r="G1277" t="s">
        <v>101</v>
      </c>
      <c r="H1277">
        <v>40</v>
      </c>
      <c r="I1277">
        <v>71105120</v>
      </c>
      <c r="J1277">
        <v>11210050</v>
      </c>
      <c r="K1277" t="s">
        <v>268</v>
      </c>
      <c r="L1277" s="4">
        <v>56.96</v>
      </c>
      <c r="M1277" t="s">
        <v>54</v>
      </c>
      <c r="N1277" s="4">
        <v>1070.97</v>
      </c>
      <c r="O1277" t="s">
        <v>31</v>
      </c>
      <c r="P1277" t="s">
        <v>98</v>
      </c>
      <c r="X1277" t="s">
        <v>47</v>
      </c>
      <c r="Y1277" t="s">
        <v>269</v>
      </c>
      <c r="Z1277">
        <v>20200130</v>
      </c>
      <c r="AA1277">
        <f t="shared" si="28"/>
        <v>56.96</v>
      </c>
      <c r="AC1277"/>
      <c r="AE1277" t="s">
        <v>270</v>
      </c>
      <c r="AF1277"/>
      <c r="AL1277">
        <v>340227190</v>
      </c>
      <c r="AM1277" t="s">
        <v>271</v>
      </c>
    </row>
    <row r="1278" spans="1:39" x14ac:dyDescent="0.35">
      <c r="A1278">
        <v>3402</v>
      </c>
      <c r="B1278" t="s">
        <v>47</v>
      </c>
      <c r="C1278">
        <v>2020</v>
      </c>
      <c r="D1278" s="1">
        <v>43831</v>
      </c>
      <c r="E1278">
        <v>9</v>
      </c>
      <c r="F1278">
        <v>200102604</v>
      </c>
      <c r="G1278" t="s">
        <v>101</v>
      </c>
      <c r="H1278">
        <v>40</v>
      </c>
      <c r="I1278">
        <v>71105120</v>
      </c>
      <c r="J1278">
        <v>11210050</v>
      </c>
      <c r="K1278" t="s">
        <v>268</v>
      </c>
      <c r="L1278" s="4">
        <v>28.48</v>
      </c>
      <c r="M1278" t="s">
        <v>54</v>
      </c>
      <c r="N1278" s="4">
        <v>535.49</v>
      </c>
      <c r="O1278" t="s">
        <v>31</v>
      </c>
      <c r="P1278" t="s">
        <v>98</v>
      </c>
      <c r="X1278" t="s">
        <v>47</v>
      </c>
      <c r="Y1278" t="s">
        <v>269</v>
      </c>
      <c r="Z1278">
        <v>20200130</v>
      </c>
      <c r="AA1278">
        <f t="shared" si="28"/>
        <v>28.48</v>
      </c>
      <c r="AC1278"/>
      <c r="AE1278" t="s">
        <v>270</v>
      </c>
      <c r="AF1278"/>
      <c r="AL1278">
        <v>340233190</v>
      </c>
      <c r="AM1278" t="s">
        <v>271</v>
      </c>
    </row>
    <row r="1279" spans="1:39" x14ac:dyDescent="0.35">
      <c r="A1279">
        <v>3402</v>
      </c>
      <c r="B1279" t="s">
        <v>47</v>
      </c>
      <c r="C1279">
        <v>2020</v>
      </c>
      <c r="D1279" s="1">
        <v>43831</v>
      </c>
      <c r="E1279">
        <v>10</v>
      </c>
      <c r="F1279">
        <v>200102604</v>
      </c>
      <c r="G1279" t="s">
        <v>101</v>
      </c>
      <c r="H1279">
        <v>40</v>
      </c>
      <c r="I1279">
        <v>71105120</v>
      </c>
      <c r="J1279">
        <v>11210050</v>
      </c>
      <c r="K1279" t="s">
        <v>268</v>
      </c>
      <c r="L1279" s="4">
        <v>199.38</v>
      </c>
      <c r="M1279" t="s">
        <v>54</v>
      </c>
      <c r="N1279" s="4">
        <v>3748.78</v>
      </c>
      <c r="O1279" t="s">
        <v>31</v>
      </c>
      <c r="P1279" t="s">
        <v>98</v>
      </c>
      <c r="X1279" t="s">
        <v>47</v>
      </c>
      <c r="Y1279" t="s">
        <v>269</v>
      </c>
      <c r="Z1279">
        <v>20200130</v>
      </c>
      <c r="AA1279">
        <f t="shared" si="28"/>
        <v>199.38</v>
      </c>
      <c r="AC1279"/>
      <c r="AE1279" t="s">
        <v>270</v>
      </c>
      <c r="AF1279"/>
      <c r="AL1279">
        <v>340236290</v>
      </c>
      <c r="AM1279" t="s">
        <v>271</v>
      </c>
    </row>
    <row r="1280" spans="1:39" x14ac:dyDescent="0.35">
      <c r="A1280">
        <v>3402</v>
      </c>
      <c r="B1280" t="s">
        <v>47</v>
      </c>
      <c r="C1280">
        <v>2020</v>
      </c>
      <c r="D1280" s="1">
        <v>43831</v>
      </c>
      <c r="E1280">
        <v>11</v>
      </c>
      <c r="F1280">
        <v>200102604</v>
      </c>
      <c r="G1280" t="s">
        <v>101</v>
      </c>
      <c r="H1280">
        <v>40</v>
      </c>
      <c r="I1280">
        <v>71105120</v>
      </c>
      <c r="J1280">
        <v>11210050</v>
      </c>
      <c r="K1280" t="s">
        <v>268</v>
      </c>
      <c r="L1280" s="4">
        <v>398.75</v>
      </c>
      <c r="M1280" t="s">
        <v>54</v>
      </c>
      <c r="N1280" s="4">
        <v>7497.38</v>
      </c>
      <c r="O1280" t="s">
        <v>31</v>
      </c>
      <c r="P1280" t="s">
        <v>98</v>
      </c>
      <c r="X1280" t="s">
        <v>47</v>
      </c>
      <c r="Y1280" t="s">
        <v>269</v>
      </c>
      <c r="Z1280">
        <v>20200130</v>
      </c>
      <c r="AA1280">
        <f t="shared" si="28"/>
        <v>398.75</v>
      </c>
      <c r="AC1280"/>
      <c r="AE1280" t="s">
        <v>270</v>
      </c>
      <c r="AF1280"/>
      <c r="AL1280">
        <v>340240390</v>
      </c>
      <c r="AM1280" t="s">
        <v>271</v>
      </c>
    </row>
    <row r="1281" spans="1:39" x14ac:dyDescent="0.35">
      <c r="A1281">
        <v>3402</v>
      </c>
      <c r="B1281" t="s">
        <v>47</v>
      </c>
      <c r="C1281">
        <v>2020</v>
      </c>
      <c r="D1281" s="1">
        <v>43831</v>
      </c>
      <c r="E1281">
        <v>12</v>
      </c>
      <c r="F1281">
        <v>200102604</v>
      </c>
      <c r="G1281" t="s">
        <v>101</v>
      </c>
      <c r="H1281">
        <v>40</v>
      </c>
      <c r="I1281">
        <v>71105120</v>
      </c>
      <c r="J1281">
        <v>11210050</v>
      </c>
      <c r="K1281" t="s">
        <v>268</v>
      </c>
      <c r="L1281" s="4">
        <v>28.48</v>
      </c>
      <c r="M1281" t="s">
        <v>54</v>
      </c>
      <c r="N1281" s="4">
        <v>535.49</v>
      </c>
      <c r="O1281" t="s">
        <v>31</v>
      </c>
      <c r="P1281" t="s">
        <v>98</v>
      </c>
      <c r="X1281" t="s">
        <v>47</v>
      </c>
      <c r="Y1281" t="s">
        <v>269</v>
      </c>
      <c r="Z1281">
        <v>20200130</v>
      </c>
      <c r="AA1281">
        <f t="shared" si="28"/>
        <v>28.48</v>
      </c>
      <c r="AC1281"/>
      <c r="AE1281" t="s">
        <v>270</v>
      </c>
      <c r="AF1281"/>
      <c r="AL1281">
        <v>340248290</v>
      </c>
      <c r="AM1281" t="s">
        <v>271</v>
      </c>
    </row>
    <row r="1282" spans="1:39" x14ac:dyDescent="0.35">
      <c r="A1282">
        <v>3402</v>
      </c>
      <c r="B1282" t="s">
        <v>47</v>
      </c>
      <c r="C1282">
        <v>2020</v>
      </c>
      <c r="D1282" s="1">
        <v>43831</v>
      </c>
      <c r="E1282">
        <v>13</v>
      </c>
      <c r="F1282">
        <v>200102604</v>
      </c>
      <c r="G1282" t="s">
        <v>101</v>
      </c>
      <c r="H1282">
        <v>40</v>
      </c>
      <c r="I1282">
        <v>71105120</v>
      </c>
      <c r="J1282">
        <v>11210050</v>
      </c>
      <c r="K1282" t="s">
        <v>268</v>
      </c>
      <c r="L1282" s="4">
        <v>85.45</v>
      </c>
      <c r="M1282" t="s">
        <v>54</v>
      </c>
      <c r="N1282" s="4">
        <v>1606.65</v>
      </c>
      <c r="O1282" t="s">
        <v>31</v>
      </c>
      <c r="P1282" t="s">
        <v>98</v>
      </c>
      <c r="X1282" t="s">
        <v>47</v>
      </c>
      <c r="Y1282" t="s">
        <v>269</v>
      </c>
      <c r="Z1282">
        <v>20200130</v>
      </c>
      <c r="AA1282">
        <f t="shared" si="28"/>
        <v>85.45</v>
      </c>
      <c r="AC1282"/>
      <c r="AE1282" t="s">
        <v>270</v>
      </c>
      <c r="AF1282"/>
      <c r="AL1282">
        <v>340255290</v>
      </c>
      <c r="AM1282" t="s">
        <v>271</v>
      </c>
    </row>
    <row r="1283" spans="1:39" x14ac:dyDescent="0.35">
      <c r="A1283">
        <v>3402</v>
      </c>
      <c r="B1283" t="s">
        <v>47</v>
      </c>
      <c r="C1283">
        <v>2020</v>
      </c>
      <c r="D1283" s="1">
        <v>43831</v>
      </c>
      <c r="E1283">
        <v>14</v>
      </c>
      <c r="F1283">
        <v>200102604</v>
      </c>
      <c r="G1283" t="s">
        <v>101</v>
      </c>
      <c r="H1283">
        <v>40</v>
      </c>
      <c r="I1283">
        <v>71105120</v>
      </c>
      <c r="J1283">
        <v>11210050</v>
      </c>
      <c r="K1283" t="s">
        <v>268</v>
      </c>
      <c r="L1283" s="4">
        <v>28.48</v>
      </c>
      <c r="M1283" t="s">
        <v>54</v>
      </c>
      <c r="N1283" s="4">
        <v>535.49</v>
      </c>
      <c r="O1283" t="s">
        <v>31</v>
      </c>
      <c r="P1283" t="s">
        <v>98</v>
      </c>
      <c r="X1283" t="s">
        <v>47</v>
      </c>
      <c r="Y1283" t="s">
        <v>269</v>
      </c>
      <c r="Z1283">
        <v>20200130</v>
      </c>
      <c r="AA1283">
        <f t="shared" si="28"/>
        <v>28.48</v>
      </c>
      <c r="AC1283"/>
      <c r="AE1283" t="s">
        <v>270</v>
      </c>
      <c r="AF1283"/>
      <c r="AL1283">
        <v>340262190</v>
      </c>
      <c r="AM1283" t="s">
        <v>271</v>
      </c>
    </row>
    <row r="1284" spans="1:39" x14ac:dyDescent="0.35">
      <c r="A1284">
        <v>3402</v>
      </c>
      <c r="B1284" t="s">
        <v>47</v>
      </c>
      <c r="C1284">
        <v>2020</v>
      </c>
      <c r="D1284" s="1">
        <v>43831</v>
      </c>
      <c r="E1284">
        <v>15</v>
      </c>
      <c r="F1284">
        <v>200102604</v>
      </c>
      <c r="G1284" t="s">
        <v>101</v>
      </c>
      <c r="H1284">
        <v>40</v>
      </c>
      <c r="I1284">
        <v>71105120</v>
      </c>
      <c r="J1284">
        <v>11210050</v>
      </c>
      <c r="K1284" t="s">
        <v>268</v>
      </c>
      <c r="L1284" s="4">
        <v>28.48</v>
      </c>
      <c r="M1284" t="s">
        <v>54</v>
      </c>
      <c r="N1284" s="4">
        <v>535.49</v>
      </c>
      <c r="O1284" t="s">
        <v>31</v>
      </c>
      <c r="P1284" t="s">
        <v>98</v>
      </c>
      <c r="X1284" t="s">
        <v>47</v>
      </c>
      <c r="Y1284" t="s">
        <v>269</v>
      </c>
      <c r="Z1284">
        <v>20200130</v>
      </c>
      <c r="AA1284">
        <f t="shared" si="28"/>
        <v>28.48</v>
      </c>
      <c r="AC1284"/>
      <c r="AE1284" t="s">
        <v>270</v>
      </c>
      <c r="AF1284"/>
      <c r="AL1284">
        <v>340268190</v>
      </c>
      <c r="AM1284" t="s">
        <v>271</v>
      </c>
    </row>
    <row r="1285" spans="1:39" x14ac:dyDescent="0.35">
      <c r="A1285">
        <v>3403</v>
      </c>
      <c r="B1285" t="s">
        <v>47</v>
      </c>
      <c r="C1285">
        <v>2020</v>
      </c>
      <c r="D1285" s="1">
        <v>43831</v>
      </c>
      <c r="E1285">
        <v>1</v>
      </c>
      <c r="F1285">
        <v>300017103</v>
      </c>
      <c r="G1285" t="s">
        <v>101</v>
      </c>
      <c r="H1285">
        <v>40</v>
      </c>
      <c r="I1285">
        <v>71105120</v>
      </c>
      <c r="J1285">
        <v>11210050</v>
      </c>
      <c r="K1285" t="s">
        <v>268</v>
      </c>
      <c r="L1285" s="4">
        <v>56.96</v>
      </c>
      <c r="M1285" t="s">
        <v>54</v>
      </c>
      <c r="N1285" s="4">
        <v>1070.97</v>
      </c>
      <c r="O1285" t="s">
        <v>31</v>
      </c>
      <c r="P1285" t="s">
        <v>98</v>
      </c>
      <c r="X1285" t="s">
        <v>47</v>
      </c>
      <c r="Y1285" t="s">
        <v>269</v>
      </c>
      <c r="Z1285">
        <v>20200130</v>
      </c>
      <c r="AA1285">
        <f t="shared" si="28"/>
        <v>56.96</v>
      </c>
      <c r="AC1285"/>
      <c r="AE1285" t="s">
        <v>270</v>
      </c>
      <c r="AF1285"/>
      <c r="AL1285">
        <v>340316690</v>
      </c>
      <c r="AM1285" t="s">
        <v>271</v>
      </c>
    </row>
    <row r="1286" spans="1:39" x14ac:dyDescent="0.35">
      <c r="A1286">
        <v>3403</v>
      </c>
      <c r="B1286" t="s">
        <v>47</v>
      </c>
      <c r="C1286">
        <v>2020</v>
      </c>
      <c r="D1286" s="1">
        <v>43831</v>
      </c>
      <c r="E1286">
        <v>2</v>
      </c>
      <c r="F1286">
        <v>300017103</v>
      </c>
      <c r="G1286" t="s">
        <v>101</v>
      </c>
      <c r="H1286">
        <v>40</v>
      </c>
      <c r="I1286">
        <v>71105120</v>
      </c>
      <c r="J1286">
        <v>11210050</v>
      </c>
      <c r="K1286" t="s">
        <v>268</v>
      </c>
      <c r="L1286" s="4">
        <v>28.48</v>
      </c>
      <c r="M1286" t="s">
        <v>54</v>
      </c>
      <c r="N1286" s="4">
        <v>535.49</v>
      </c>
      <c r="O1286" t="s">
        <v>31</v>
      </c>
      <c r="P1286" t="s">
        <v>98</v>
      </c>
      <c r="X1286" t="s">
        <v>47</v>
      </c>
      <c r="Y1286" t="s">
        <v>269</v>
      </c>
      <c r="Z1286">
        <v>20200130</v>
      </c>
      <c r="AA1286">
        <f t="shared" si="28"/>
        <v>28.48</v>
      </c>
      <c r="AC1286"/>
      <c r="AE1286" t="s">
        <v>270</v>
      </c>
      <c r="AF1286"/>
      <c r="AL1286">
        <v>340325190</v>
      </c>
      <c r="AM1286" t="s">
        <v>271</v>
      </c>
    </row>
    <row r="1287" spans="1:39" x14ac:dyDescent="0.35">
      <c r="A1287">
        <v>3403</v>
      </c>
      <c r="B1287" t="s">
        <v>47</v>
      </c>
      <c r="C1287">
        <v>2020</v>
      </c>
      <c r="D1287" s="1">
        <v>43831</v>
      </c>
      <c r="E1287">
        <v>3</v>
      </c>
      <c r="F1287">
        <v>300017103</v>
      </c>
      <c r="G1287" t="s">
        <v>101</v>
      </c>
      <c r="H1287">
        <v>40</v>
      </c>
      <c r="I1287">
        <v>71105120</v>
      </c>
      <c r="J1287">
        <v>11210050</v>
      </c>
      <c r="K1287" t="s">
        <v>268</v>
      </c>
      <c r="L1287" s="4">
        <v>56.96</v>
      </c>
      <c r="M1287" t="s">
        <v>54</v>
      </c>
      <c r="N1287" s="4">
        <v>1070.97</v>
      </c>
      <c r="O1287" t="s">
        <v>31</v>
      </c>
      <c r="P1287" t="s">
        <v>98</v>
      </c>
      <c r="X1287" t="s">
        <v>47</v>
      </c>
      <c r="Y1287" t="s">
        <v>269</v>
      </c>
      <c r="Z1287">
        <v>20200130</v>
      </c>
      <c r="AA1287">
        <f t="shared" si="28"/>
        <v>56.96</v>
      </c>
      <c r="AC1287"/>
      <c r="AE1287" t="s">
        <v>270</v>
      </c>
      <c r="AF1287"/>
      <c r="AL1287">
        <v>340333190</v>
      </c>
      <c r="AM1287" t="s">
        <v>271</v>
      </c>
    </row>
    <row r="1288" spans="1:39" x14ac:dyDescent="0.35">
      <c r="A1288">
        <v>3403</v>
      </c>
      <c r="B1288" t="s">
        <v>47</v>
      </c>
      <c r="C1288">
        <v>2020</v>
      </c>
      <c r="D1288" s="1">
        <v>43831</v>
      </c>
      <c r="E1288">
        <v>4</v>
      </c>
      <c r="F1288">
        <v>300017103</v>
      </c>
      <c r="G1288" t="s">
        <v>101</v>
      </c>
      <c r="H1288">
        <v>40</v>
      </c>
      <c r="I1288">
        <v>71105120</v>
      </c>
      <c r="J1288">
        <v>11210050</v>
      </c>
      <c r="K1288" t="s">
        <v>268</v>
      </c>
      <c r="L1288" s="4">
        <v>113.93</v>
      </c>
      <c r="M1288" t="s">
        <v>54</v>
      </c>
      <c r="N1288" s="4">
        <v>2142.13</v>
      </c>
      <c r="O1288" t="s">
        <v>31</v>
      </c>
      <c r="P1288" t="s">
        <v>98</v>
      </c>
      <c r="X1288" t="s">
        <v>47</v>
      </c>
      <c r="Y1288" t="s">
        <v>269</v>
      </c>
      <c r="Z1288">
        <v>20200130</v>
      </c>
      <c r="AA1288">
        <f t="shared" si="28"/>
        <v>113.93</v>
      </c>
      <c r="AC1288"/>
      <c r="AE1288" t="s">
        <v>270</v>
      </c>
      <c r="AF1288"/>
      <c r="AL1288">
        <v>340336290</v>
      </c>
      <c r="AM1288" t="s">
        <v>271</v>
      </c>
    </row>
    <row r="1289" spans="1:39" x14ac:dyDescent="0.35">
      <c r="A1289">
        <v>3403</v>
      </c>
      <c r="B1289" t="s">
        <v>47</v>
      </c>
      <c r="C1289">
        <v>2020</v>
      </c>
      <c r="D1289" s="1">
        <v>43831</v>
      </c>
      <c r="E1289">
        <v>5</v>
      </c>
      <c r="F1289">
        <v>300017103</v>
      </c>
      <c r="G1289" t="s">
        <v>101</v>
      </c>
      <c r="H1289">
        <v>40</v>
      </c>
      <c r="I1289">
        <v>71105120</v>
      </c>
      <c r="J1289">
        <v>11210050</v>
      </c>
      <c r="K1289" t="s">
        <v>268</v>
      </c>
      <c r="L1289" s="4">
        <v>256.33999999999997</v>
      </c>
      <c r="M1289" t="s">
        <v>54</v>
      </c>
      <c r="N1289" s="4">
        <v>4819.76</v>
      </c>
      <c r="O1289" t="s">
        <v>31</v>
      </c>
      <c r="P1289" t="s">
        <v>98</v>
      </c>
      <c r="X1289" t="s">
        <v>47</v>
      </c>
      <c r="Y1289" t="s">
        <v>269</v>
      </c>
      <c r="Z1289">
        <v>20200130</v>
      </c>
      <c r="AA1289">
        <f t="shared" si="28"/>
        <v>256.33999999999997</v>
      </c>
      <c r="AC1289"/>
      <c r="AE1289" t="s">
        <v>270</v>
      </c>
      <c r="AF1289"/>
      <c r="AL1289">
        <v>340340390</v>
      </c>
      <c r="AM1289" t="s">
        <v>271</v>
      </c>
    </row>
    <row r="1290" spans="1:39" x14ac:dyDescent="0.35">
      <c r="A1290">
        <v>3403</v>
      </c>
      <c r="B1290" t="s">
        <v>47</v>
      </c>
      <c r="C1290">
        <v>2020</v>
      </c>
      <c r="D1290" s="1">
        <v>43831</v>
      </c>
      <c r="E1290">
        <v>6</v>
      </c>
      <c r="F1290">
        <v>300017103</v>
      </c>
      <c r="G1290" t="s">
        <v>101</v>
      </c>
      <c r="H1290">
        <v>40</v>
      </c>
      <c r="I1290">
        <v>71105120</v>
      </c>
      <c r="J1290">
        <v>11210050</v>
      </c>
      <c r="K1290" t="s">
        <v>268</v>
      </c>
      <c r="L1290" s="4">
        <v>28.48</v>
      </c>
      <c r="M1290" t="s">
        <v>54</v>
      </c>
      <c r="N1290" s="4">
        <v>535.49</v>
      </c>
      <c r="O1290" t="s">
        <v>31</v>
      </c>
      <c r="P1290" t="s">
        <v>98</v>
      </c>
      <c r="X1290" t="s">
        <v>47</v>
      </c>
      <c r="Y1290" t="s">
        <v>269</v>
      </c>
      <c r="Z1290">
        <v>20200130</v>
      </c>
      <c r="AA1290">
        <f t="shared" si="28"/>
        <v>28.48</v>
      </c>
      <c r="AC1290"/>
      <c r="AE1290" t="s">
        <v>270</v>
      </c>
      <c r="AF1290"/>
      <c r="AL1290">
        <v>340348290</v>
      </c>
      <c r="AM1290" t="s">
        <v>271</v>
      </c>
    </row>
    <row r="1291" spans="1:39" x14ac:dyDescent="0.35">
      <c r="A1291">
        <v>3406</v>
      </c>
      <c r="B1291" t="s">
        <v>47</v>
      </c>
      <c r="C1291">
        <v>2020</v>
      </c>
      <c r="D1291" s="1">
        <v>43831</v>
      </c>
      <c r="E1291">
        <v>1</v>
      </c>
      <c r="F1291">
        <v>600029768</v>
      </c>
      <c r="G1291" t="s">
        <v>101</v>
      </c>
      <c r="H1291">
        <v>40</v>
      </c>
      <c r="I1291">
        <v>71105120</v>
      </c>
      <c r="J1291">
        <v>11210050</v>
      </c>
      <c r="K1291" t="s">
        <v>268</v>
      </c>
      <c r="L1291" s="4">
        <v>28.48</v>
      </c>
      <c r="M1291" t="s">
        <v>54</v>
      </c>
      <c r="N1291" s="4">
        <v>535.49</v>
      </c>
      <c r="O1291" t="s">
        <v>31</v>
      </c>
      <c r="P1291" t="s">
        <v>98</v>
      </c>
      <c r="X1291" t="s">
        <v>47</v>
      </c>
      <c r="Y1291" t="s">
        <v>269</v>
      </c>
      <c r="Z1291">
        <v>20200130</v>
      </c>
      <c r="AA1291">
        <f t="shared" si="28"/>
        <v>28.48</v>
      </c>
      <c r="AC1291"/>
      <c r="AE1291" t="s">
        <v>270</v>
      </c>
      <c r="AF1291"/>
      <c r="AL1291">
        <v>340612290</v>
      </c>
      <c r="AM1291" t="s">
        <v>271</v>
      </c>
    </row>
    <row r="1292" spans="1:39" x14ac:dyDescent="0.35">
      <c r="A1292">
        <v>3406</v>
      </c>
      <c r="B1292" t="s">
        <v>47</v>
      </c>
      <c r="C1292">
        <v>2020</v>
      </c>
      <c r="D1292" s="1">
        <v>43831</v>
      </c>
      <c r="E1292">
        <v>2</v>
      </c>
      <c r="F1292">
        <v>600029768</v>
      </c>
      <c r="G1292" t="s">
        <v>101</v>
      </c>
      <c r="H1292">
        <v>40</v>
      </c>
      <c r="I1292">
        <v>71105120</v>
      </c>
      <c r="J1292">
        <v>11210050</v>
      </c>
      <c r="K1292" t="s">
        <v>268</v>
      </c>
      <c r="L1292" s="4">
        <v>113.93</v>
      </c>
      <c r="M1292" t="s">
        <v>54</v>
      </c>
      <c r="N1292" s="4">
        <v>2142.13</v>
      </c>
      <c r="O1292" t="s">
        <v>31</v>
      </c>
      <c r="P1292" t="s">
        <v>98</v>
      </c>
      <c r="X1292" t="s">
        <v>47</v>
      </c>
      <c r="Y1292" t="s">
        <v>269</v>
      </c>
      <c r="Z1292">
        <v>20200130</v>
      </c>
      <c r="AA1292">
        <f t="shared" si="28"/>
        <v>113.93</v>
      </c>
      <c r="AC1292"/>
      <c r="AE1292" t="s">
        <v>270</v>
      </c>
      <c r="AF1292"/>
      <c r="AL1292">
        <v>340617690</v>
      </c>
      <c r="AM1292" t="s">
        <v>271</v>
      </c>
    </row>
    <row r="1293" spans="1:39" x14ac:dyDescent="0.35">
      <c r="A1293">
        <v>3406</v>
      </c>
      <c r="B1293" t="s">
        <v>47</v>
      </c>
      <c r="C1293">
        <v>2020</v>
      </c>
      <c r="D1293" s="1">
        <v>43831</v>
      </c>
      <c r="E1293">
        <v>3</v>
      </c>
      <c r="F1293">
        <v>600029768</v>
      </c>
      <c r="G1293" t="s">
        <v>101</v>
      </c>
      <c r="H1293">
        <v>40</v>
      </c>
      <c r="I1293">
        <v>71105120</v>
      </c>
      <c r="J1293">
        <v>11210050</v>
      </c>
      <c r="K1293" t="s">
        <v>268</v>
      </c>
      <c r="L1293" s="4">
        <v>28.48</v>
      </c>
      <c r="M1293" t="s">
        <v>54</v>
      </c>
      <c r="N1293" s="4">
        <v>535.49</v>
      </c>
      <c r="O1293" t="s">
        <v>31</v>
      </c>
      <c r="P1293" t="s">
        <v>98</v>
      </c>
      <c r="X1293" t="s">
        <v>47</v>
      </c>
      <c r="Y1293" t="s">
        <v>269</v>
      </c>
      <c r="Z1293">
        <v>20200130</v>
      </c>
      <c r="AA1293">
        <f t="shared" si="28"/>
        <v>28.48</v>
      </c>
      <c r="AC1293"/>
      <c r="AE1293" t="s">
        <v>270</v>
      </c>
      <c r="AF1293"/>
      <c r="AL1293">
        <v>340621690</v>
      </c>
      <c r="AM1293" t="s">
        <v>271</v>
      </c>
    </row>
    <row r="1294" spans="1:39" x14ac:dyDescent="0.35">
      <c r="A1294">
        <v>3406</v>
      </c>
      <c r="B1294" t="s">
        <v>47</v>
      </c>
      <c r="C1294">
        <v>2020</v>
      </c>
      <c r="D1294" s="1">
        <v>43831</v>
      </c>
      <c r="E1294">
        <v>4</v>
      </c>
      <c r="F1294">
        <v>600029768</v>
      </c>
      <c r="G1294" t="s">
        <v>101</v>
      </c>
      <c r="H1294">
        <v>40</v>
      </c>
      <c r="I1294">
        <v>71105120</v>
      </c>
      <c r="J1294">
        <v>11210050</v>
      </c>
      <c r="K1294" t="s">
        <v>268</v>
      </c>
      <c r="L1294" s="4">
        <v>28.48</v>
      </c>
      <c r="M1294" t="s">
        <v>54</v>
      </c>
      <c r="N1294" s="4">
        <v>535.49</v>
      </c>
      <c r="O1294" t="s">
        <v>31</v>
      </c>
      <c r="P1294" t="s">
        <v>98</v>
      </c>
      <c r="X1294" t="s">
        <v>47</v>
      </c>
      <c r="Y1294" t="s">
        <v>269</v>
      </c>
      <c r="Z1294">
        <v>20200130</v>
      </c>
      <c r="AA1294">
        <f t="shared" si="28"/>
        <v>28.48</v>
      </c>
      <c r="AC1294"/>
      <c r="AE1294" t="s">
        <v>270</v>
      </c>
      <c r="AF1294"/>
      <c r="AL1294">
        <v>340627190</v>
      </c>
      <c r="AM1294" t="s">
        <v>271</v>
      </c>
    </row>
    <row r="1295" spans="1:39" x14ac:dyDescent="0.35">
      <c r="A1295">
        <v>3406</v>
      </c>
      <c r="B1295" t="s">
        <v>47</v>
      </c>
      <c r="C1295">
        <v>2020</v>
      </c>
      <c r="D1295" s="1">
        <v>43831</v>
      </c>
      <c r="E1295">
        <v>5</v>
      </c>
      <c r="F1295">
        <v>600029768</v>
      </c>
      <c r="G1295" t="s">
        <v>101</v>
      </c>
      <c r="H1295">
        <v>40</v>
      </c>
      <c r="I1295">
        <v>71105120</v>
      </c>
      <c r="J1295">
        <v>11210050</v>
      </c>
      <c r="K1295" t="s">
        <v>268</v>
      </c>
      <c r="L1295" s="4">
        <v>85.45</v>
      </c>
      <c r="M1295" t="s">
        <v>54</v>
      </c>
      <c r="N1295" s="4">
        <v>1606.65</v>
      </c>
      <c r="O1295" t="s">
        <v>31</v>
      </c>
      <c r="P1295" t="s">
        <v>98</v>
      </c>
      <c r="X1295" t="s">
        <v>47</v>
      </c>
      <c r="Y1295" t="s">
        <v>269</v>
      </c>
      <c r="Z1295">
        <v>20200130</v>
      </c>
      <c r="AA1295">
        <f t="shared" si="28"/>
        <v>85.45</v>
      </c>
      <c r="AC1295"/>
      <c r="AE1295" t="s">
        <v>270</v>
      </c>
      <c r="AF1295"/>
      <c r="AL1295">
        <v>340633190</v>
      </c>
      <c r="AM1295" t="s">
        <v>271</v>
      </c>
    </row>
    <row r="1296" spans="1:39" x14ac:dyDescent="0.35">
      <c r="A1296">
        <v>3406</v>
      </c>
      <c r="B1296" t="s">
        <v>47</v>
      </c>
      <c r="C1296">
        <v>2020</v>
      </c>
      <c r="D1296" s="1">
        <v>43831</v>
      </c>
      <c r="E1296">
        <v>6</v>
      </c>
      <c r="F1296">
        <v>600029768</v>
      </c>
      <c r="G1296" t="s">
        <v>101</v>
      </c>
      <c r="H1296">
        <v>40</v>
      </c>
      <c r="I1296">
        <v>71105120</v>
      </c>
      <c r="J1296">
        <v>11210050</v>
      </c>
      <c r="K1296" t="s">
        <v>268</v>
      </c>
      <c r="L1296" s="4">
        <v>85.45</v>
      </c>
      <c r="M1296" t="s">
        <v>54</v>
      </c>
      <c r="N1296" s="4">
        <v>1606.65</v>
      </c>
      <c r="O1296" t="s">
        <v>31</v>
      </c>
      <c r="P1296" t="s">
        <v>98</v>
      </c>
      <c r="X1296" t="s">
        <v>47</v>
      </c>
      <c r="Y1296" t="s">
        <v>269</v>
      </c>
      <c r="Z1296">
        <v>20200130</v>
      </c>
      <c r="AA1296">
        <f t="shared" si="28"/>
        <v>85.45</v>
      </c>
      <c r="AC1296"/>
      <c r="AE1296" t="s">
        <v>270</v>
      </c>
      <c r="AF1296"/>
      <c r="AL1296">
        <v>340636290</v>
      </c>
      <c r="AM1296" t="s">
        <v>271</v>
      </c>
    </row>
    <row r="1297" spans="1:39" x14ac:dyDescent="0.35">
      <c r="A1297">
        <v>3406</v>
      </c>
      <c r="B1297" t="s">
        <v>47</v>
      </c>
      <c r="C1297">
        <v>2020</v>
      </c>
      <c r="D1297" s="1">
        <v>43831</v>
      </c>
      <c r="E1297">
        <v>7</v>
      </c>
      <c r="F1297">
        <v>600029768</v>
      </c>
      <c r="G1297" t="s">
        <v>101</v>
      </c>
      <c r="H1297">
        <v>40</v>
      </c>
      <c r="I1297">
        <v>71105120</v>
      </c>
      <c r="J1297">
        <v>11210050</v>
      </c>
      <c r="K1297" t="s">
        <v>268</v>
      </c>
      <c r="L1297" s="4">
        <v>313.31</v>
      </c>
      <c r="M1297" t="s">
        <v>54</v>
      </c>
      <c r="N1297" s="4">
        <v>5890.92</v>
      </c>
      <c r="O1297" t="s">
        <v>31</v>
      </c>
      <c r="P1297" t="s">
        <v>98</v>
      </c>
      <c r="X1297" t="s">
        <v>47</v>
      </c>
      <c r="Y1297" t="s">
        <v>269</v>
      </c>
      <c r="Z1297">
        <v>20200130</v>
      </c>
      <c r="AA1297">
        <f t="shared" si="28"/>
        <v>313.31</v>
      </c>
      <c r="AC1297"/>
      <c r="AE1297" t="s">
        <v>270</v>
      </c>
      <c r="AF1297"/>
      <c r="AL1297">
        <v>340640390</v>
      </c>
      <c r="AM1297" t="s">
        <v>271</v>
      </c>
    </row>
    <row r="1298" spans="1:39" x14ac:dyDescent="0.35">
      <c r="A1298">
        <v>3406</v>
      </c>
      <c r="B1298" t="s">
        <v>47</v>
      </c>
      <c r="C1298">
        <v>2020</v>
      </c>
      <c r="D1298" s="1">
        <v>43831</v>
      </c>
      <c r="E1298">
        <v>8</v>
      </c>
      <c r="F1298">
        <v>600029768</v>
      </c>
      <c r="G1298" t="s">
        <v>101</v>
      </c>
      <c r="H1298">
        <v>40</v>
      </c>
      <c r="I1298">
        <v>71105120</v>
      </c>
      <c r="J1298">
        <v>11210050</v>
      </c>
      <c r="K1298" t="s">
        <v>268</v>
      </c>
      <c r="L1298" s="4">
        <v>56.96</v>
      </c>
      <c r="M1298" t="s">
        <v>54</v>
      </c>
      <c r="N1298" s="4">
        <v>1070.97</v>
      </c>
      <c r="O1298" t="s">
        <v>31</v>
      </c>
      <c r="P1298" t="s">
        <v>98</v>
      </c>
      <c r="X1298" t="s">
        <v>47</v>
      </c>
      <c r="Y1298" t="s">
        <v>269</v>
      </c>
      <c r="Z1298">
        <v>20200130</v>
      </c>
      <c r="AA1298">
        <f t="shared" ref="AA1298:AA1361" si="29">L1298</f>
        <v>56.96</v>
      </c>
      <c r="AC1298"/>
      <c r="AE1298" t="s">
        <v>270</v>
      </c>
      <c r="AF1298"/>
      <c r="AL1298">
        <v>340646390</v>
      </c>
      <c r="AM1298" t="s">
        <v>271</v>
      </c>
    </row>
    <row r="1299" spans="1:39" x14ac:dyDescent="0.35">
      <c r="A1299">
        <v>3407</v>
      </c>
      <c r="B1299" t="s">
        <v>47</v>
      </c>
      <c r="C1299">
        <v>2020</v>
      </c>
      <c r="D1299" s="1">
        <v>43831</v>
      </c>
      <c r="E1299">
        <v>1</v>
      </c>
      <c r="F1299">
        <v>700037146</v>
      </c>
      <c r="G1299" t="s">
        <v>101</v>
      </c>
      <c r="H1299">
        <v>40</v>
      </c>
      <c r="I1299">
        <v>71105120</v>
      </c>
      <c r="J1299">
        <v>11210050</v>
      </c>
      <c r="K1299" t="s">
        <v>268</v>
      </c>
      <c r="L1299" s="4">
        <v>28.48</v>
      </c>
      <c r="M1299" t="s">
        <v>54</v>
      </c>
      <c r="N1299" s="4">
        <v>535.49</v>
      </c>
      <c r="O1299" t="s">
        <v>31</v>
      </c>
      <c r="P1299" t="s">
        <v>98</v>
      </c>
      <c r="X1299" t="s">
        <v>47</v>
      </c>
      <c r="Y1299" t="s">
        <v>269</v>
      </c>
      <c r="Z1299">
        <v>20200130</v>
      </c>
      <c r="AA1299">
        <f t="shared" si="29"/>
        <v>28.48</v>
      </c>
      <c r="AC1299"/>
      <c r="AE1299" t="s">
        <v>270</v>
      </c>
      <c r="AF1299"/>
      <c r="AL1299">
        <v>340710490</v>
      </c>
      <c r="AM1299" t="s">
        <v>271</v>
      </c>
    </row>
    <row r="1300" spans="1:39" x14ac:dyDescent="0.35">
      <c r="A1300">
        <v>3407</v>
      </c>
      <c r="B1300" t="s">
        <v>47</v>
      </c>
      <c r="C1300">
        <v>2020</v>
      </c>
      <c r="D1300" s="1">
        <v>43831</v>
      </c>
      <c r="E1300">
        <v>2</v>
      </c>
      <c r="F1300">
        <v>700037146</v>
      </c>
      <c r="G1300" t="s">
        <v>101</v>
      </c>
      <c r="H1300">
        <v>40</v>
      </c>
      <c r="I1300">
        <v>71105120</v>
      </c>
      <c r="J1300">
        <v>11210050</v>
      </c>
      <c r="K1300" t="s">
        <v>268</v>
      </c>
      <c r="L1300" s="4">
        <v>28.48</v>
      </c>
      <c r="M1300" t="s">
        <v>54</v>
      </c>
      <c r="N1300" s="4">
        <v>535.49</v>
      </c>
      <c r="O1300" t="s">
        <v>31</v>
      </c>
      <c r="P1300" t="s">
        <v>98</v>
      </c>
      <c r="X1300" t="s">
        <v>47</v>
      </c>
      <c r="Y1300" t="s">
        <v>269</v>
      </c>
      <c r="Z1300">
        <v>20200130</v>
      </c>
      <c r="AA1300">
        <f t="shared" si="29"/>
        <v>28.48</v>
      </c>
      <c r="AC1300"/>
      <c r="AE1300" t="s">
        <v>270</v>
      </c>
      <c r="AF1300"/>
      <c r="AL1300">
        <v>340712890</v>
      </c>
      <c r="AM1300" t="s">
        <v>271</v>
      </c>
    </row>
    <row r="1301" spans="1:39" x14ac:dyDescent="0.35">
      <c r="A1301">
        <v>3407</v>
      </c>
      <c r="B1301" t="s">
        <v>47</v>
      </c>
      <c r="C1301">
        <v>2020</v>
      </c>
      <c r="D1301" s="1">
        <v>43831</v>
      </c>
      <c r="E1301">
        <v>3</v>
      </c>
      <c r="F1301">
        <v>700037146</v>
      </c>
      <c r="G1301" t="s">
        <v>101</v>
      </c>
      <c r="H1301">
        <v>40</v>
      </c>
      <c r="I1301">
        <v>71105120</v>
      </c>
      <c r="J1301">
        <v>11210050</v>
      </c>
      <c r="K1301" t="s">
        <v>268</v>
      </c>
      <c r="L1301" s="4">
        <v>28.48</v>
      </c>
      <c r="M1301" t="s">
        <v>54</v>
      </c>
      <c r="N1301" s="4">
        <v>535.49</v>
      </c>
      <c r="O1301" t="s">
        <v>31</v>
      </c>
      <c r="P1301" t="s">
        <v>98</v>
      </c>
      <c r="X1301" t="s">
        <v>47</v>
      </c>
      <c r="Y1301" t="s">
        <v>269</v>
      </c>
      <c r="Z1301">
        <v>20200130</v>
      </c>
      <c r="AA1301">
        <f t="shared" si="29"/>
        <v>28.48</v>
      </c>
      <c r="AC1301"/>
      <c r="AE1301" t="s">
        <v>270</v>
      </c>
      <c r="AF1301"/>
      <c r="AL1301">
        <v>340716690</v>
      </c>
      <c r="AM1301" t="s">
        <v>271</v>
      </c>
    </row>
    <row r="1302" spans="1:39" x14ac:dyDescent="0.35">
      <c r="A1302">
        <v>3407</v>
      </c>
      <c r="B1302" t="s">
        <v>47</v>
      </c>
      <c r="C1302">
        <v>2020</v>
      </c>
      <c r="D1302" s="1">
        <v>43831</v>
      </c>
      <c r="E1302">
        <v>4</v>
      </c>
      <c r="F1302">
        <v>700037146</v>
      </c>
      <c r="G1302" t="s">
        <v>101</v>
      </c>
      <c r="H1302">
        <v>40</v>
      </c>
      <c r="I1302">
        <v>71105120</v>
      </c>
      <c r="J1302">
        <v>11210050</v>
      </c>
      <c r="K1302" t="s">
        <v>268</v>
      </c>
      <c r="L1302" s="4">
        <v>85.45</v>
      </c>
      <c r="M1302" t="s">
        <v>54</v>
      </c>
      <c r="N1302" s="4">
        <v>1606.65</v>
      </c>
      <c r="O1302" t="s">
        <v>31</v>
      </c>
      <c r="P1302" t="s">
        <v>98</v>
      </c>
      <c r="X1302" t="s">
        <v>47</v>
      </c>
      <c r="Y1302" t="s">
        <v>269</v>
      </c>
      <c r="Z1302">
        <v>20200130</v>
      </c>
      <c r="AA1302">
        <f t="shared" si="29"/>
        <v>85.45</v>
      </c>
      <c r="AC1302"/>
      <c r="AE1302" t="s">
        <v>270</v>
      </c>
      <c r="AF1302"/>
      <c r="AL1302">
        <v>340717690</v>
      </c>
      <c r="AM1302" t="s">
        <v>271</v>
      </c>
    </row>
    <row r="1303" spans="1:39" x14ac:dyDescent="0.35">
      <c r="A1303">
        <v>3407</v>
      </c>
      <c r="B1303" t="s">
        <v>47</v>
      </c>
      <c r="C1303">
        <v>2020</v>
      </c>
      <c r="D1303" s="1">
        <v>43831</v>
      </c>
      <c r="E1303">
        <v>5</v>
      </c>
      <c r="F1303">
        <v>700037146</v>
      </c>
      <c r="G1303" t="s">
        <v>101</v>
      </c>
      <c r="H1303">
        <v>40</v>
      </c>
      <c r="I1303">
        <v>71105120</v>
      </c>
      <c r="J1303">
        <v>11210050</v>
      </c>
      <c r="K1303" t="s">
        <v>268</v>
      </c>
      <c r="L1303" s="4">
        <v>85.45</v>
      </c>
      <c r="M1303" t="s">
        <v>54</v>
      </c>
      <c r="N1303" s="4">
        <v>1606.65</v>
      </c>
      <c r="O1303" t="s">
        <v>31</v>
      </c>
      <c r="P1303" t="s">
        <v>98</v>
      </c>
      <c r="X1303" t="s">
        <v>47</v>
      </c>
      <c r="Y1303" t="s">
        <v>269</v>
      </c>
      <c r="Z1303">
        <v>20200130</v>
      </c>
      <c r="AA1303">
        <f t="shared" si="29"/>
        <v>85.45</v>
      </c>
      <c r="AC1303"/>
      <c r="AE1303" t="s">
        <v>270</v>
      </c>
      <c r="AF1303"/>
      <c r="AL1303">
        <v>340725190</v>
      </c>
      <c r="AM1303" t="s">
        <v>271</v>
      </c>
    </row>
    <row r="1304" spans="1:39" x14ac:dyDescent="0.35">
      <c r="A1304">
        <v>3407</v>
      </c>
      <c r="B1304" t="s">
        <v>47</v>
      </c>
      <c r="C1304">
        <v>2020</v>
      </c>
      <c r="D1304" s="1">
        <v>43831</v>
      </c>
      <c r="E1304">
        <v>6</v>
      </c>
      <c r="F1304">
        <v>700037146</v>
      </c>
      <c r="G1304" t="s">
        <v>101</v>
      </c>
      <c r="H1304">
        <v>40</v>
      </c>
      <c r="I1304">
        <v>71105120</v>
      </c>
      <c r="J1304">
        <v>11210050</v>
      </c>
      <c r="K1304" t="s">
        <v>268</v>
      </c>
      <c r="L1304" s="4">
        <v>28.48</v>
      </c>
      <c r="M1304" t="s">
        <v>54</v>
      </c>
      <c r="N1304" s="4">
        <v>535.49</v>
      </c>
      <c r="O1304" t="s">
        <v>31</v>
      </c>
      <c r="P1304" t="s">
        <v>98</v>
      </c>
      <c r="X1304" t="s">
        <v>47</v>
      </c>
      <c r="Y1304" t="s">
        <v>269</v>
      </c>
      <c r="Z1304">
        <v>20200130</v>
      </c>
      <c r="AA1304">
        <f t="shared" si="29"/>
        <v>28.48</v>
      </c>
      <c r="AC1304"/>
      <c r="AE1304" t="s">
        <v>270</v>
      </c>
      <c r="AF1304"/>
      <c r="AL1304">
        <v>340725490</v>
      </c>
      <c r="AM1304" t="s">
        <v>271</v>
      </c>
    </row>
    <row r="1305" spans="1:39" x14ac:dyDescent="0.35">
      <c r="A1305">
        <v>3407</v>
      </c>
      <c r="B1305" t="s">
        <v>47</v>
      </c>
      <c r="C1305">
        <v>2020</v>
      </c>
      <c r="D1305" s="1">
        <v>43831</v>
      </c>
      <c r="E1305">
        <v>7</v>
      </c>
      <c r="F1305">
        <v>700037146</v>
      </c>
      <c r="G1305" t="s">
        <v>101</v>
      </c>
      <c r="H1305">
        <v>40</v>
      </c>
      <c r="I1305">
        <v>71105120</v>
      </c>
      <c r="J1305">
        <v>11210050</v>
      </c>
      <c r="K1305" t="s">
        <v>268</v>
      </c>
      <c r="L1305" s="4">
        <v>28.48</v>
      </c>
      <c r="M1305" t="s">
        <v>54</v>
      </c>
      <c r="N1305" s="4">
        <v>535.49</v>
      </c>
      <c r="O1305" t="s">
        <v>31</v>
      </c>
      <c r="P1305" t="s">
        <v>98</v>
      </c>
      <c r="X1305" t="s">
        <v>47</v>
      </c>
      <c r="Y1305" t="s">
        <v>269</v>
      </c>
      <c r="Z1305">
        <v>20200130</v>
      </c>
      <c r="AA1305">
        <f t="shared" si="29"/>
        <v>28.48</v>
      </c>
      <c r="AC1305"/>
      <c r="AE1305" t="s">
        <v>270</v>
      </c>
      <c r="AF1305"/>
      <c r="AL1305">
        <v>340727190</v>
      </c>
      <c r="AM1305" t="s">
        <v>271</v>
      </c>
    </row>
    <row r="1306" spans="1:39" x14ac:dyDescent="0.35">
      <c r="A1306">
        <v>3407</v>
      </c>
      <c r="B1306" t="s">
        <v>47</v>
      </c>
      <c r="C1306">
        <v>2020</v>
      </c>
      <c r="D1306" s="1">
        <v>43831</v>
      </c>
      <c r="E1306">
        <v>8</v>
      </c>
      <c r="F1306">
        <v>700037146</v>
      </c>
      <c r="G1306" t="s">
        <v>101</v>
      </c>
      <c r="H1306">
        <v>40</v>
      </c>
      <c r="I1306">
        <v>71105120</v>
      </c>
      <c r="J1306">
        <v>11210050</v>
      </c>
      <c r="K1306" t="s">
        <v>268</v>
      </c>
      <c r="L1306" s="4">
        <v>28.48</v>
      </c>
      <c r="M1306" t="s">
        <v>54</v>
      </c>
      <c r="N1306" s="4">
        <v>535.49</v>
      </c>
      <c r="O1306" t="s">
        <v>31</v>
      </c>
      <c r="P1306" t="s">
        <v>98</v>
      </c>
      <c r="X1306" t="s">
        <v>47</v>
      </c>
      <c r="Y1306" t="s">
        <v>269</v>
      </c>
      <c r="Z1306">
        <v>20200130</v>
      </c>
      <c r="AA1306">
        <f t="shared" si="29"/>
        <v>28.48</v>
      </c>
      <c r="AC1306"/>
      <c r="AE1306" t="s">
        <v>270</v>
      </c>
      <c r="AF1306"/>
      <c r="AL1306">
        <v>340732290</v>
      </c>
      <c r="AM1306" t="s">
        <v>271</v>
      </c>
    </row>
    <row r="1307" spans="1:39" x14ac:dyDescent="0.35">
      <c r="A1307">
        <v>3407</v>
      </c>
      <c r="B1307" t="s">
        <v>47</v>
      </c>
      <c r="C1307">
        <v>2020</v>
      </c>
      <c r="D1307" s="1">
        <v>43831</v>
      </c>
      <c r="E1307">
        <v>9</v>
      </c>
      <c r="F1307">
        <v>700037146</v>
      </c>
      <c r="G1307" t="s">
        <v>101</v>
      </c>
      <c r="H1307">
        <v>40</v>
      </c>
      <c r="I1307">
        <v>71105120</v>
      </c>
      <c r="J1307">
        <v>11210050</v>
      </c>
      <c r="K1307" t="s">
        <v>268</v>
      </c>
      <c r="L1307" s="4">
        <v>113.93</v>
      </c>
      <c r="M1307" t="s">
        <v>54</v>
      </c>
      <c r="N1307" s="4">
        <v>2142.13</v>
      </c>
      <c r="O1307" t="s">
        <v>31</v>
      </c>
      <c r="P1307" t="s">
        <v>98</v>
      </c>
      <c r="X1307" t="s">
        <v>47</v>
      </c>
      <c r="Y1307" t="s">
        <v>269</v>
      </c>
      <c r="Z1307">
        <v>20200130</v>
      </c>
      <c r="AA1307">
        <f t="shared" si="29"/>
        <v>113.93</v>
      </c>
      <c r="AC1307"/>
      <c r="AE1307" t="s">
        <v>270</v>
      </c>
      <c r="AF1307"/>
      <c r="AL1307">
        <v>340736290</v>
      </c>
      <c r="AM1307" t="s">
        <v>271</v>
      </c>
    </row>
    <row r="1308" spans="1:39" x14ac:dyDescent="0.35">
      <c r="A1308">
        <v>3407</v>
      </c>
      <c r="B1308" t="s">
        <v>47</v>
      </c>
      <c r="C1308">
        <v>2020</v>
      </c>
      <c r="D1308" s="1">
        <v>43831</v>
      </c>
      <c r="E1308">
        <v>10</v>
      </c>
      <c r="F1308">
        <v>700037146</v>
      </c>
      <c r="G1308" t="s">
        <v>101</v>
      </c>
      <c r="H1308">
        <v>40</v>
      </c>
      <c r="I1308">
        <v>71105120</v>
      </c>
      <c r="J1308">
        <v>11210050</v>
      </c>
      <c r="K1308" t="s">
        <v>268</v>
      </c>
      <c r="L1308" s="4">
        <v>341.79</v>
      </c>
      <c r="M1308" t="s">
        <v>54</v>
      </c>
      <c r="N1308" s="4">
        <v>6426.4</v>
      </c>
      <c r="O1308" t="s">
        <v>31</v>
      </c>
      <c r="P1308" t="s">
        <v>98</v>
      </c>
      <c r="X1308" t="s">
        <v>47</v>
      </c>
      <c r="Y1308" t="s">
        <v>269</v>
      </c>
      <c r="Z1308">
        <v>20200130</v>
      </c>
      <c r="AA1308">
        <f t="shared" si="29"/>
        <v>341.79</v>
      </c>
      <c r="AC1308"/>
      <c r="AE1308" t="s">
        <v>270</v>
      </c>
      <c r="AF1308"/>
      <c r="AL1308">
        <v>340740390</v>
      </c>
      <c r="AM1308" t="s">
        <v>271</v>
      </c>
    </row>
    <row r="1309" spans="1:39" x14ac:dyDescent="0.35">
      <c r="A1309">
        <v>3407</v>
      </c>
      <c r="B1309" t="s">
        <v>47</v>
      </c>
      <c r="C1309">
        <v>2020</v>
      </c>
      <c r="D1309" s="1">
        <v>43831</v>
      </c>
      <c r="E1309">
        <v>11</v>
      </c>
      <c r="F1309">
        <v>700037146</v>
      </c>
      <c r="G1309" t="s">
        <v>101</v>
      </c>
      <c r="H1309">
        <v>40</v>
      </c>
      <c r="I1309">
        <v>71105120</v>
      </c>
      <c r="J1309">
        <v>11210050</v>
      </c>
      <c r="K1309" t="s">
        <v>268</v>
      </c>
      <c r="L1309" s="4">
        <v>28.48</v>
      </c>
      <c r="M1309" t="s">
        <v>54</v>
      </c>
      <c r="N1309" s="4">
        <v>535.49</v>
      </c>
      <c r="O1309" t="s">
        <v>31</v>
      </c>
      <c r="P1309" t="s">
        <v>98</v>
      </c>
      <c r="X1309" t="s">
        <v>47</v>
      </c>
      <c r="Y1309" t="s">
        <v>269</v>
      </c>
      <c r="Z1309">
        <v>20200130</v>
      </c>
      <c r="AA1309">
        <f t="shared" si="29"/>
        <v>28.48</v>
      </c>
      <c r="AC1309"/>
      <c r="AE1309" t="s">
        <v>270</v>
      </c>
      <c r="AF1309"/>
      <c r="AL1309">
        <v>340746390</v>
      </c>
      <c r="AM1309" t="s">
        <v>271</v>
      </c>
    </row>
    <row r="1310" spans="1:39" x14ac:dyDescent="0.35">
      <c r="A1310">
        <v>3407</v>
      </c>
      <c r="B1310" t="s">
        <v>47</v>
      </c>
      <c r="C1310">
        <v>2020</v>
      </c>
      <c r="D1310" s="1">
        <v>43831</v>
      </c>
      <c r="E1310">
        <v>12</v>
      </c>
      <c r="F1310">
        <v>700037146</v>
      </c>
      <c r="G1310" t="s">
        <v>101</v>
      </c>
      <c r="H1310">
        <v>40</v>
      </c>
      <c r="I1310">
        <v>71105120</v>
      </c>
      <c r="J1310">
        <v>11210050</v>
      </c>
      <c r="K1310" t="s">
        <v>268</v>
      </c>
      <c r="L1310" s="4">
        <v>28.48</v>
      </c>
      <c r="M1310" t="s">
        <v>54</v>
      </c>
      <c r="N1310" s="4">
        <v>535.49</v>
      </c>
      <c r="O1310" t="s">
        <v>31</v>
      </c>
      <c r="P1310" t="s">
        <v>98</v>
      </c>
      <c r="X1310" t="s">
        <v>47</v>
      </c>
      <c r="Y1310" t="s">
        <v>269</v>
      </c>
      <c r="Z1310">
        <v>20200130</v>
      </c>
      <c r="AA1310">
        <f t="shared" si="29"/>
        <v>28.48</v>
      </c>
      <c r="AC1310"/>
      <c r="AE1310" t="s">
        <v>270</v>
      </c>
      <c r="AF1310"/>
      <c r="AL1310">
        <v>340748290</v>
      </c>
      <c r="AM1310" t="s">
        <v>271</v>
      </c>
    </row>
    <row r="1311" spans="1:39" x14ac:dyDescent="0.35">
      <c r="A1311">
        <v>3407</v>
      </c>
      <c r="B1311" t="s">
        <v>47</v>
      </c>
      <c r="C1311">
        <v>2020</v>
      </c>
      <c r="D1311" s="1">
        <v>43831</v>
      </c>
      <c r="E1311">
        <v>13</v>
      </c>
      <c r="F1311">
        <v>700037146</v>
      </c>
      <c r="G1311" t="s">
        <v>101</v>
      </c>
      <c r="H1311">
        <v>40</v>
      </c>
      <c r="I1311">
        <v>71105120</v>
      </c>
      <c r="J1311">
        <v>11210050</v>
      </c>
      <c r="K1311" t="s">
        <v>268</v>
      </c>
      <c r="L1311" s="4">
        <v>28.48</v>
      </c>
      <c r="M1311" t="s">
        <v>54</v>
      </c>
      <c r="N1311" s="4">
        <v>535.49</v>
      </c>
      <c r="O1311" t="s">
        <v>31</v>
      </c>
      <c r="P1311" t="s">
        <v>98</v>
      </c>
      <c r="X1311" t="s">
        <v>47</v>
      </c>
      <c r="Y1311" t="s">
        <v>269</v>
      </c>
      <c r="Z1311">
        <v>20200130</v>
      </c>
      <c r="AA1311">
        <f t="shared" si="29"/>
        <v>28.48</v>
      </c>
      <c r="AC1311"/>
      <c r="AE1311" t="s">
        <v>270</v>
      </c>
      <c r="AF1311"/>
      <c r="AL1311">
        <v>340762190</v>
      </c>
      <c r="AM1311" t="s">
        <v>271</v>
      </c>
    </row>
    <row r="1312" spans="1:39" x14ac:dyDescent="0.35">
      <c r="A1312">
        <v>3407</v>
      </c>
      <c r="B1312" t="s">
        <v>47</v>
      </c>
      <c r="C1312">
        <v>2020</v>
      </c>
      <c r="D1312" s="1">
        <v>43831</v>
      </c>
      <c r="E1312">
        <v>14</v>
      </c>
      <c r="F1312">
        <v>700037146</v>
      </c>
      <c r="G1312" t="s">
        <v>101</v>
      </c>
      <c r="H1312">
        <v>40</v>
      </c>
      <c r="I1312">
        <v>71105120</v>
      </c>
      <c r="J1312">
        <v>11210050</v>
      </c>
      <c r="K1312" t="s">
        <v>268</v>
      </c>
      <c r="L1312" s="4">
        <v>28.48</v>
      </c>
      <c r="M1312" t="s">
        <v>54</v>
      </c>
      <c r="N1312" s="4">
        <v>535.49</v>
      </c>
      <c r="O1312" t="s">
        <v>31</v>
      </c>
      <c r="P1312" t="s">
        <v>98</v>
      </c>
      <c r="X1312" t="s">
        <v>47</v>
      </c>
      <c r="Y1312" t="s">
        <v>269</v>
      </c>
      <c r="Z1312">
        <v>20200130</v>
      </c>
      <c r="AA1312">
        <f t="shared" si="29"/>
        <v>28.48</v>
      </c>
      <c r="AC1312"/>
      <c r="AE1312" t="s">
        <v>270</v>
      </c>
      <c r="AF1312"/>
      <c r="AL1312">
        <v>340768190</v>
      </c>
      <c r="AM1312" t="s">
        <v>271</v>
      </c>
    </row>
    <row r="1313" spans="1:39" x14ac:dyDescent="0.35">
      <c r="A1313">
        <v>3409</v>
      </c>
      <c r="B1313" t="s">
        <v>47</v>
      </c>
      <c r="C1313">
        <v>2020</v>
      </c>
      <c r="D1313" s="1">
        <v>43831</v>
      </c>
      <c r="E1313">
        <v>1</v>
      </c>
      <c r="F1313">
        <v>900010617</v>
      </c>
      <c r="G1313" t="s">
        <v>101</v>
      </c>
      <c r="H1313">
        <v>40</v>
      </c>
      <c r="I1313">
        <v>71105120</v>
      </c>
      <c r="J1313">
        <v>11210050</v>
      </c>
      <c r="K1313" t="s">
        <v>268</v>
      </c>
      <c r="L1313" s="4">
        <v>28.48</v>
      </c>
      <c r="M1313" t="s">
        <v>54</v>
      </c>
      <c r="N1313" s="4">
        <v>535.49</v>
      </c>
      <c r="O1313" t="s">
        <v>31</v>
      </c>
      <c r="P1313" t="s">
        <v>98</v>
      </c>
      <c r="X1313" t="s">
        <v>47</v>
      </c>
      <c r="Y1313" t="s">
        <v>269</v>
      </c>
      <c r="Z1313">
        <v>20200130</v>
      </c>
      <c r="AA1313">
        <f t="shared" si="29"/>
        <v>28.48</v>
      </c>
      <c r="AC1313"/>
      <c r="AE1313" t="s">
        <v>270</v>
      </c>
      <c r="AF1313"/>
      <c r="AL1313">
        <v>340910490</v>
      </c>
      <c r="AM1313" t="s">
        <v>271</v>
      </c>
    </row>
    <row r="1314" spans="1:39" x14ac:dyDescent="0.35">
      <c r="A1314">
        <v>3409</v>
      </c>
      <c r="B1314" t="s">
        <v>47</v>
      </c>
      <c r="C1314">
        <v>2020</v>
      </c>
      <c r="D1314" s="1">
        <v>43831</v>
      </c>
      <c r="E1314">
        <v>2</v>
      </c>
      <c r="F1314">
        <v>900010617</v>
      </c>
      <c r="G1314" t="s">
        <v>101</v>
      </c>
      <c r="H1314">
        <v>40</v>
      </c>
      <c r="I1314">
        <v>71105120</v>
      </c>
      <c r="J1314">
        <v>11210050</v>
      </c>
      <c r="K1314" t="s">
        <v>268</v>
      </c>
      <c r="L1314" s="4">
        <v>28.48</v>
      </c>
      <c r="M1314" t="s">
        <v>54</v>
      </c>
      <c r="N1314" s="4">
        <v>535.49</v>
      </c>
      <c r="O1314" t="s">
        <v>31</v>
      </c>
      <c r="P1314" t="s">
        <v>98</v>
      </c>
      <c r="X1314" t="s">
        <v>47</v>
      </c>
      <c r="Y1314" t="s">
        <v>269</v>
      </c>
      <c r="Z1314">
        <v>20200130</v>
      </c>
      <c r="AA1314">
        <f t="shared" si="29"/>
        <v>28.48</v>
      </c>
      <c r="AC1314"/>
      <c r="AE1314" t="s">
        <v>270</v>
      </c>
      <c r="AF1314"/>
      <c r="AL1314">
        <v>340910790</v>
      </c>
      <c r="AM1314" t="s">
        <v>271</v>
      </c>
    </row>
    <row r="1315" spans="1:39" x14ac:dyDescent="0.35">
      <c r="A1315">
        <v>3409</v>
      </c>
      <c r="B1315" t="s">
        <v>47</v>
      </c>
      <c r="C1315">
        <v>2020</v>
      </c>
      <c r="D1315" s="1">
        <v>43831</v>
      </c>
      <c r="E1315">
        <v>3</v>
      </c>
      <c r="F1315">
        <v>900010617</v>
      </c>
      <c r="G1315" t="s">
        <v>101</v>
      </c>
      <c r="H1315">
        <v>40</v>
      </c>
      <c r="I1315">
        <v>71105120</v>
      </c>
      <c r="J1315">
        <v>11210050</v>
      </c>
      <c r="K1315" t="s">
        <v>268</v>
      </c>
      <c r="L1315" s="4">
        <v>56.96</v>
      </c>
      <c r="M1315" t="s">
        <v>54</v>
      </c>
      <c r="N1315" s="4">
        <v>1070.97</v>
      </c>
      <c r="O1315" t="s">
        <v>31</v>
      </c>
      <c r="P1315" t="s">
        <v>98</v>
      </c>
      <c r="X1315" t="s">
        <v>47</v>
      </c>
      <c r="Y1315" t="s">
        <v>269</v>
      </c>
      <c r="Z1315">
        <v>20200130</v>
      </c>
      <c r="AA1315">
        <f t="shared" si="29"/>
        <v>56.96</v>
      </c>
      <c r="AC1315"/>
      <c r="AE1315" t="s">
        <v>270</v>
      </c>
      <c r="AF1315"/>
      <c r="AL1315">
        <v>340917690</v>
      </c>
      <c r="AM1315" t="s">
        <v>271</v>
      </c>
    </row>
    <row r="1316" spans="1:39" x14ac:dyDescent="0.35">
      <c r="A1316">
        <v>3409</v>
      </c>
      <c r="B1316" t="s">
        <v>47</v>
      </c>
      <c r="C1316">
        <v>2020</v>
      </c>
      <c r="D1316" s="1">
        <v>43831</v>
      </c>
      <c r="E1316">
        <v>4</v>
      </c>
      <c r="F1316">
        <v>900010617</v>
      </c>
      <c r="G1316" t="s">
        <v>101</v>
      </c>
      <c r="H1316">
        <v>40</v>
      </c>
      <c r="I1316">
        <v>71105120</v>
      </c>
      <c r="J1316">
        <v>11210050</v>
      </c>
      <c r="K1316" t="s">
        <v>268</v>
      </c>
      <c r="L1316" s="4">
        <v>28.48</v>
      </c>
      <c r="M1316" t="s">
        <v>54</v>
      </c>
      <c r="N1316" s="4">
        <v>535.49</v>
      </c>
      <c r="O1316" t="s">
        <v>31</v>
      </c>
      <c r="P1316" t="s">
        <v>98</v>
      </c>
      <c r="X1316" t="s">
        <v>47</v>
      </c>
      <c r="Y1316" t="s">
        <v>269</v>
      </c>
      <c r="Z1316">
        <v>20200130</v>
      </c>
      <c r="AA1316">
        <f t="shared" si="29"/>
        <v>28.48</v>
      </c>
      <c r="AC1316"/>
      <c r="AE1316" t="s">
        <v>270</v>
      </c>
      <c r="AF1316"/>
      <c r="AL1316">
        <v>340921690</v>
      </c>
      <c r="AM1316" t="s">
        <v>271</v>
      </c>
    </row>
    <row r="1317" spans="1:39" x14ac:dyDescent="0.35">
      <c r="A1317">
        <v>3409</v>
      </c>
      <c r="B1317" t="s">
        <v>47</v>
      </c>
      <c r="C1317">
        <v>2020</v>
      </c>
      <c r="D1317" s="1">
        <v>43831</v>
      </c>
      <c r="E1317">
        <v>5</v>
      </c>
      <c r="F1317">
        <v>900010617</v>
      </c>
      <c r="G1317" t="s">
        <v>101</v>
      </c>
      <c r="H1317">
        <v>40</v>
      </c>
      <c r="I1317">
        <v>71105120</v>
      </c>
      <c r="J1317">
        <v>11210050</v>
      </c>
      <c r="K1317" t="s">
        <v>268</v>
      </c>
      <c r="L1317" s="4">
        <v>85.45</v>
      </c>
      <c r="M1317" t="s">
        <v>54</v>
      </c>
      <c r="N1317" s="4">
        <v>1606.65</v>
      </c>
      <c r="O1317" t="s">
        <v>31</v>
      </c>
      <c r="P1317" t="s">
        <v>98</v>
      </c>
      <c r="X1317" t="s">
        <v>47</v>
      </c>
      <c r="Y1317" t="s">
        <v>269</v>
      </c>
      <c r="Z1317">
        <v>20200130</v>
      </c>
      <c r="AA1317">
        <f t="shared" si="29"/>
        <v>85.45</v>
      </c>
      <c r="AC1317"/>
      <c r="AE1317" t="s">
        <v>270</v>
      </c>
      <c r="AF1317"/>
      <c r="AL1317">
        <v>340936290</v>
      </c>
      <c r="AM1317" t="s">
        <v>271</v>
      </c>
    </row>
    <row r="1318" spans="1:39" x14ac:dyDescent="0.35">
      <c r="A1318">
        <v>3409</v>
      </c>
      <c r="B1318" t="s">
        <v>47</v>
      </c>
      <c r="C1318">
        <v>2020</v>
      </c>
      <c r="D1318" s="1">
        <v>43831</v>
      </c>
      <c r="E1318">
        <v>6</v>
      </c>
      <c r="F1318">
        <v>900010617</v>
      </c>
      <c r="G1318" t="s">
        <v>101</v>
      </c>
      <c r="H1318">
        <v>40</v>
      </c>
      <c r="I1318">
        <v>71105120</v>
      </c>
      <c r="J1318">
        <v>11210050</v>
      </c>
      <c r="K1318" t="s">
        <v>268</v>
      </c>
      <c r="L1318" s="4">
        <v>199.53</v>
      </c>
      <c r="M1318" t="s">
        <v>54</v>
      </c>
      <c r="N1318" s="4">
        <v>3751.6</v>
      </c>
      <c r="O1318" t="s">
        <v>31</v>
      </c>
      <c r="P1318" t="s">
        <v>98</v>
      </c>
      <c r="X1318" t="s">
        <v>47</v>
      </c>
      <c r="Y1318" t="s">
        <v>269</v>
      </c>
      <c r="Z1318">
        <v>20200130</v>
      </c>
      <c r="AA1318">
        <f t="shared" si="29"/>
        <v>199.53</v>
      </c>
      <c r="AC1318"/>
      <c r="AE1318" t="s">
        <v>270</v>
      </c>
      <c r="AF1318"/>
      <c r="AL1318">
        <v>340940390</v>
      </c>
      <c r="AM1318" t="s">
        <v>271</v>
      </c>
    </row>
    <row r="1319" spans="1:39" x14ac:dyDescent="0.35">
      <c r="A1319">
        <v>3409</v>
      </c>
      <c r="B1319" t="s">
        <v>47</v>
      </c>
      <c r="C1319">
        <v>2020</v>
      </c>
      <c r="D1319" s="1">
        <v>43831</v>
      </c>
      <c r="E1319">
        <v>7</v>
      </c>
      <c r="F1319">
        <v>900010617</v>
      </c>
      <c r="G1319" t="s">
        <v>101</v>
      </c>
      <c r="H1319">
        <v>40</v>
      </c>
      <c r="I1319">
        <v>71105120</v>
      </c>
      <c r="J1319">
        <v>11210050</v>
      </c>
      <c r="K1319" t="s">
        <v>268</v>
      </c>
      <c r="L1319" s="4">
        <v>28.48</v>
      </c>
      <c r="M1319" t="s">
        <v>54</v>
      </c>
      <c r="N1319" s="4">
        <v>535.49</v>
      </c>
      <c r="O1319" t="s">
        <v>31</v>
      </c>
      <c r="P1319" t="s">
        <v>98</v>
      </c>
      <c r="X1319" t="s">
        <v>47</v>
      </c>
      <c r="Y1319" t="s">
        <v>269</v>
      </c>
      <c r="Z1319">
        <v>20200130</v>
      </c>
      <c r="AA1319">
        <f t="shared" si="29"/>
        <v>28.48</v>
      </c>
      <c r="AC1319"/>
      <c r="AE1319" t="s">
        <v>270</v>
      </c>
      <c r="AF1319"/>
      <c r="AL1319">
        <v>340953290</v>
      </c>
      <c r="AM1319" t="s">
        <v>271</v>
      </c>
    </row>
    <row r="1320" spans="1:39" x14ac:dyDescent="0.35">
      <c r="A1320">
        <v>3413</v>
      </c>
      <c r="B1320" t="s">
        <v>47</v>
      </c>
      <c r="C1320">
        <v>2020</v>
      </c>
      <c r="D1320" s="1">
        <v>43831</v>
      </c>
      <c r="E1320">
        <v>1</v>
      </c>
      <c r="F1320">
        <v>130000428</v>
      </c>
      <c r="G1320" t="s">
        <v>101</v>
      </c>
      <c r="H1320">
        <v>40</v>
      </c>
      <c r="I1320">
        <v>71105120</v>
      </c>
      <c r="J1320">
        <v>11210050</v>
      </c>
      <c r="K1320" t="s">
        <v>268</v>
      </c>
      <c r="L1320" s="4">
        <v>56.96</v>
      </c>
      <c r="M1320" t="s">
        <v>54</v>
      </c>
      <c r="N1320" s="4">
        <v>1070.97</v>
      </c>
      <c r="O1320" t="s">
        <v>31</v>
      </c>
      <c r="P1320" t="s">
        <v>98</v>
      </c>
      <c r="X1320" t="s">
        <v>47</v>
      </c>
      <c r="Y1320" t="s">
        <v>269</v>
      </c>
      <c r="Z1320">
        <v>20200130</v>
      </c>
      <c r="AA1320">
        <f t="shared" si="29"/>
        <v>56.96</v>
      </c>
      <c r="AC1320"/>
      <c r="AE1320" t="s">
        <v>270</v>
      </c>
      <c r="AF1320"/>
      <c r="AL1320">
        <v>341340390</v>
      </c>
      <c r="AM1320" t="s">
        <v>271</v>
      </c>
    </row>
    <row r="1321" spans="1:39" x14ac:dyDescent="0.35">
      <c r="A1321">
        <v>3402</v>
      </c>
      <c r="B1321" t="s">
        <v>47</v>
      </c>
      <c r="C1321">
        <v>2020</v>
      </c>
      <c r="D1321" s="1">
        <v>43831</v>
      </c>
      <c r="E1321">
        <v>1</v>
      </c>
      <c r="F1321">
        <v>200102631</v>
      </c>
      <c r="G1321" t="s">
        <v>120</v>
      </c>
      <c r="H1321">
        <v>81</v>
      </c>
      <c r="I1321">
        <v>71104010</v>
      </c>
      <c r="J1321">
        <v>21021040</v>
      </c>
      <c r="K1321" t="s">
        <v>121</v>
      </c>
      <c r="L1321" s="4">
        <v>133.24</v>
      </c>
      <c r="M1321" t="s">
        <v>31</v>
      </c>
      <c r="N1321" s="4">
        <v>133.24</v>
      </c>
      <c r="O1321" t="s">
        <v>31</v>
      </c>
      <c r="R1321" t="s">
        <v>272</v>
      </c>
      <c r="S1321" t="s">
        <v>1131</v>
      </c>
      <c r="T1321">
        <v>107211</v>
      </c>
      <c r="U1321" t="s">
        <v>123</v>
      </c>
      <c r="X1321" t="s">
        <v>47</v>
      </c>
      <c r="Y1321" s="8">
        <v>4501229349</v>
      </c>
      <c r="Z1321">
        <v>20200130</v>
      </c>
      <c r="AA1321">
        <f t="shared" si="29"/>
        <v>133.24</v>
      </c>
      <c r="AB1321">
        <f>AA1321*0.16</f>
        <v>21.3184</v>
      </c>
      <c r="AC1321">
        <f>AA1321+AB1321</f>
        <v>154.55840000000001</v>
      </c>
      <c r="AD1321">
        <v>200124384</v>
      </c>
      <c r="AE1321" t="s">
        <v>273</v>
      </c>
      <c r="AF1321" s="4">
        <f>AC1321</f>
        <v>154.55840000000001</v>
      </c>
      <c r="AG1321" t="s">
        <v>51</v>
      </c>
      <c r="AH1321" t="s">
        <v>1123</v>
      </c>
      <c r="AI1321">
        <v>200127161</v>
      </c>
      <c r="AJ1321" t="s">
        <v>1148</v>
      </c>
      <c r="AK1321" t="s">
        <v>1129</v>
      </c>
      <c r="AL1321">
        <v>340218590</v>
      </c>
      <c r="AM1321" t="s">
        <v>135</v>
      </c>
    </row>
    <row r="1322" spans="1:39" x14ac:dyDescent="0.35">
      <c r="A1322">
        <v>3402</v>
      </c>
      <c r="B1322" t="s">
        <v>47</v>
      </c>
      <c r="C1322">
        <v>2020</v>
      </c>
      <c r="D1322" s="1">
        <v>43831</v>
      </c>
      <c r="E1322">
        <v>1</v>
      </c>
      <c r="F1322">
        <v>200102658</v>
      </c>
      <c r="G1322" t="s">
        <v>120</v>
      </c>
      <c r="H1322">
        <v>81</v>
      </c>
      <c r="I1322">
        <v>71104010</v>
      </c>
      <c r="J1322">
        <v>21021040</v>
      </c>
      <c r="K1322" t="s">
        <v>121</v>
      </c>
      <c r="L1322" s="4">
        <v>131.58000000000001</v>
      </c>
      <c r="M1322" t="s">
        <v>31</v>
      </c>
      <c r="N1322" s="4">
        <v>131.58000000000001</v>
      </c>
      <c r="O1322" t="s">
        <v>31</v>
      </c>
      <c r="R1322" t="s">
        <v>272</v>
      </c>
      <c r="S1322" t="s">
        <v>1131</v>
      </c>
      <c r="T1322">
        <v>107211</v>
      </c>
      <c r="U1322" t="s">
        <v>123</v>
      </c>
      <c r="X1322" t="s">
        <v>47</v>
      </c>
      <c r="Y1322" s="8">
        <v>4501229349</v>
      </c>
      <c r="Z1322">
        <v>20200130</v>
      </c>
      <c r="AA1322">
        <f t="shared" si="29"/>
        <v>131.58000000000001</v>
      </c>
      <c r="AB1322">
        <f t="shared" ref="AB1322:AB1335" si="30">AA1322*0.16</f>
        <v>21.052800000000001</v>
      </c>
      <c r="AC1322">
        <f t="shared" ref="AC1322:AC1338" si="31">AA1322+AB1322</f>
        <v>152.6328</v>
      </c>
      <c r="AD1322">
        <v>200124384</v>
      </c>
      <c r="AE1322" t="s">
        <v>274</v>
      </c>
      <c r="AF1322" s="4">
        <f t="shared" ref="AF1322:AF1338" si="32">AC1322</f>
        <v>152.6328</v>
      </c>
      <c r="AG1322" t="s">
        <v>51</v>
      </c>
      <c r="AH1322" t="s">
        <v>1123</v>
      </c>
      <c r="AI1322">
        <v>200127161</v>
      </c>
      <c r="AJ1322" t="s">
        <v>1148</v>
      </c>
      <c r="AK1322" t="s">
        <v>1129</v>
      </c>
      <c r="AL1322">
        <v>340218590</v>
      </c>
      <c r="AM1322" t="s">
        <v>135</v>
      </c>
    </row>
    <row r="1323" spans="1:39" x14ac:dyDescent="0.35">
      <c r="A1323">
        <v>3402</v>
      </c>
      <c r="B1323" t="s">
        <v>47</v>
      </c>
      <c r="C1323">
        <v>2020</v>
      </c>
      <c r="D1323" s="1">
        <v>43831</v>
      </c>
      <c r="E1323">
        <v>1</v>
      </c>
      <c r="F1323">
        <v>200114340</v>
      </c>
      <c r="G1323" t="s">
        <v>120</v>
      </c>
      <c r="H1323">
        <v>91</v>
      </c>
      <c r="I1323">
        <v>71104010</v>
      </c>
      <c r="J1323">
        <v>21021040</v>
      </c>
      <c r="K1323" t="s">
        <v>121</v>
      </c>
      <c r="L1323" s="4">
        <v>144.96</v>
      </c>
      <c r="M1323" t="s">
        <v>31</v>
      </c>
      <c r="N1323" s="4">
        <v>144.96</v>
      </c>
      <c r="O1323" t="s">
        <v>31</v>
      </c>
      <c r="R1323" t="s">
        <v>272</v>
      </c>
      <c r="S1323" t="s">
        <v>1131</v>
      </c>
      <c r="T1323">
        <v>107211</v>
      </c>
      <c r="U1323" t="s">
        <v>123</v>
      </c>
      <c r="X1323" t="s">
        <v>35</v>
      </c>
      <c r="Y1323" s="8">
        <v>4501229349</v>
      </c>
      <c r="Z1323">
        <v>20200130</v>
      </c>
      <c r="AA1323">
        <f t="shared" si="29"/>
        <v>144.96</v>
      </c>
      <c r="AB1323">
        <f t="shared" si="30"/>
        <v>23.1936</v>
      </c>
      <c r="AC1323">
        <f t="shared" si="31"/>
        <v>168.15360000000001</v>
      </c>
      <c r="AD1323">
        <v>200124384</v>
      </c>
      <c r="AE1323" t="s">
        <v>275</v>
      </c>
      <c r="AF1323" s="4">
        <f t="shared" si="32"/>
        <v>168.15360000000001</v>
      </c>
      <c r="AG1323" t="s">
        <v>51</v>
      </c>
      <c r="AH1323" t="s">
        <v>1123</v>
      </c>
      <c r="AI1323">
        <v>200127161</v>
      </c>
      <c r="AJ1323" t="s">
        <v>1148</v>
      </c>
      <c r="AK1323" t="s">
        <v>1129</v>
      </c>
      <c r="AL1323">
        <v>340218590</v>
      </c>
      <c r="AM1323" t="s">
        <v>135</v>
      </c>
    </row>
    <row r="1324" spans="1:39" x14ac:dyDescent="0.35">
      <c r="A1324">
        <v>3402</v>
      </c>
      <c r="B1324" t="s">
        <v>47</v>
      </c>
      <c r="C1324">
        <v>2020</v>
      </c>
      <c r="D1324" s="1">
        <v>43831</v>
      </c>
      <c r="E1324">
        <v>1</v>
      </c>
      <c r="F1324">
        <v>200114341</v>
      </c>
      <c r="G1324" t="s">
        <v>120</v>
      </c>
      <c r="H1324">
        <v>81</v>
      </c>
      <c r="I1324">
        <v>71104010</v>
      </c>
      <c r="J1324">
        <v>21021040</v>
      </c>
      <c r="K1324" t="s">
        <v>121</v>
      </c>
      <c r="L1324" s="4">
        <v>144965.98000000001</v>
      </c>
      <c r="M1324" t="s">
        <v>31</v>
      </c>
      <c r="N1324" s="4">
        <v>144965.98000000001</v>
      </c>
      <c r="O1324" t="s">
        <v>31</v>
      </c>
      <c r="R1324" t="s">
        <v>272</v>
      </c>
      <c r="S1324" t="s">
        <v>1131</v>
      </c>
      <c r="T1324">
        <v>107211</v>
      </c>
      <c r="U1324" t="s">
        <v>123</v>
      </c>
      <c r="X1324" t="s">
        <v>35</v>
      </c>
      <c r="Y1324" s="8">
        <v>4501229349</v>
      </c>
      <c r="Z1324">
        <v>20200130</v>
      </c>
      <c r="AA1324">
        <f t="shared" si="29"/>
        <v>144965.98000000001</v>
      </c>
      <c r="AB1324">
        <f t="shared" si="30"/>
        <v>23194.556800000002</v>
      </c>
      <c r="AC1324">
        <f t="shared" si="31"/>
        <v>168160.5368</v>
      </c>
      <c r="AD1324">
        <v>200124384</v>
      </c>
      <c r="AE1324" t="s">
        <v>275</v>
      </c>
      <c r="AF1324" s="4">
        <f t="shared" si="32"/>
        <v>168160.5368</v>
      </c>
      <c r="AG1324" t="s">
        <v>51</v>
      </c>
      <c r="AH1324" t="s">
        <v>1123</v>
      </c>
      <c r="AI1324">
        <v>200127161</v>
      </c>
      <c r="AJ1324" t="s">
        <v>1148</v>
      </c>
      <c r="AK1324" t="s">
        <v>1129</v>
      </c>
      <c r="AL1324">
        <v>340218590</v>
      </c>
      <c r="AM1324" t="s">
        <v>135</v>
      </c>
    </row>
    <row r="1325" spans="1:39" x14ac:dyDescent="0.35">
      <c r="A1325">
        <v>3402</v>
      </c>
      <c r="B1325" t="s">
        <v>47</v>
      </c>
      <c r="C1325">
        <v>2020</v>
      </c>
      <c r="D1325" s="1">
        <v>43831</v>
      </c>
      <c r="E1325">
        <v>1</v>
      </c>
      <c r="F1325">
        <v>200114343</v>
      </c>
      <c r="G1325" t="s">
        <v>120</v>
      </c>
      <c r="H1325">
        <v>81</v>
      </c>
      <c r="I1325">
        <v>71104010</v>
      </c>
      <c r="J1325">
        <v>21021040</v>
      </c>
      <c r="K1325" t="s">
        <v>121</v>
      </c>
      <c r="L1325" s="4">
        <v>126548.08</v>
      </c>
      <c r="M1325" t="s">
        <v>31</v>
      </c>
      <c r="N1325" s="4">
        <v>126548.08</v>
      </c>
      <c r="O1325" t="s">
        <v>31</v>
      </c>
      <c r="R1325" t="s">
        <v>272</v>
      </c>
      <c r="S1325" t="s">
        <v>1131</v>
      </c>
      <c r="T1325">
        <v>107211</v>
      </c>
      <c r="U1325" t="s">
        <v>123</v>
      </c>
      <c r="X1325" t="s">
        <v>35</v>
      </c>
      <c r="Y1325" s="8">
        <v>4501229349</v>
      </c>
      <c r="Z1325">
        <v>20200130</v>
      </c>
      <c r="AA1325">
        <f t="shared" si="29"/>
        <v>126548.08</v>
      </c>
      <c r="AB1325">
        <f t="shared" si="30"/>
        <v>20247.692800000001</v>
      </c>
      <c r="AC1325">
        <f t="shared" si="31"/>
        <v>146795.77280000001</v>
      </c>
      <c r="AD1325">
        <v>200124384</v>
      </c>
      <c r="AE1325" t="s">
        <v>276</v>
      </c>
      <c r="AF1325" s="4">
        <f t="shared" si="32"/>
        <v>146795.77280000001</v>
      </c>
      <c r="AG1325" t="s">
        <v>51</v>
      </c>
      <c r="AH1325" t="s">
        <v>1123</v>
      </c>
      <c r="AI1325">
        <v>200127161</v>
      </c>
      <c r="AJ1325" t="s">
        <v>1148</v>
      </c>
      <c r="AK1325" t="s">
        <v>1129</v>
      </c>
      <c r="AL1325">
        <v>340218590</v>
      </c>
      <c r="AM1325" t="s">
        <v>135</v>
      </c>
    </row>
    <row r="1326" spans="1:39" x14ac:dyDescent="0.35">
      <c r="A1326">
        <v>3402</v>
      </c>
      <c r="B1326" t="s">
        <v>47</v>
      </c>
      <c r="C1326">
        <v>2020</v>
      </c>
      <c r="D1326" s="1">
        <v>43831</v>
      </c>
      <c r="E1326">
        <v>1</v>
      </c>
      <c r="F1326">
        <v>200114346</v>
      </c>
      <c r="G1326" t="s">
        <v>120</v>
      </c>
      <c r="H1326">
        <v>81</v>
      </c>
      <c r="I1326">
        <v>71104010</v>
      </c>
      <c r="J1326">
        <v>21021040</v>
      </c>
      <c r="K1326" t="s">
        <v>121</v>
      </c>
      <c r="L1326" s="4">
        <v>92593.4</v>
      </c>
      <c r="M1326" t="s">
        <v>31</v>
      </c>
      <c r="N1326" s="4">
        <v>92593.4</v>
      </c>
      <c r="O1326" t="s">
        <v>31</v>
      </c>
      <c r="R1326" t="s">
        <v>272</v>
      </c>
      <c r="S1326" t="s">
        <v>1131</v>
      </c>
      <c r="T1326">
        <v>107211</v>
      </c>
      <c r="U1326" t="s">
        <v>123</v>
      </c>
      <c r="X1326" t="s">
        <v>35</v>
      </c>
      <c r="Y1326" s="8">
        <v>4501229349</v>
      </c>
      <c r="Z1326">
        <v>20200130</v>
      </c>
      <c r="AA1326">
        <f t="shared" si="29"/>
        <v>92593.4</v>
      </c>
      <c r="AB1326">
        <f t="shared" si="30"/>
        <v>14814.944</v>
      </c>
      <c r="AC1326">
        <f t="shared" si="31"/>
        <v>107408.344</v>
      </c>
      <c r="AD1326">
        <v>200124384</v>
      </c>
      <c r="AE1326" t="s">
        <v>277</v>
      </c>
      <c r="AF1326" s="4">
        <f t="shared" si="32"/>
        <v>107408.344</v>
      </c>
      <c r="AG1326" t="s">
        <v>51</v>
      </c>
      <c r="AH1326" t="s">
        <v>1123</v>
      </c>
      <c r="AI1326">
        <v>200127161</v>
      </c>
      <c r="AJ1326" t="s">
        <v>1148</v>
      </c>
      <c r="AK1326" t="s">
        <v>1129</v>
      </c>
      <c r="AL1326">
        <v>340218590</v>
      </c>
      <c r="AM1326" t="s">
        <v>135</v>
      </c>
    </row>
    <row r="1327" spans="1:39" x14ac:dyDescent="0.35">
      <c r="A1327">
        <v>3402</v>
      </c>
      <c r="B1327" t="s">
        <v>47</v>
      </c>
      <c r="C1327">
        <v>2020</v>
      </c>
      <c r="D1327" s="1">
        <v>43831</v>
      </c>
      <c r="E1327">
        <v>1</v>
      </c>
      <c r="F1327">
        <v>200114375</v>
      </c>
      <c r="G1327" t="s">
        <v>120</v>
      </c>
      <c r="H1327">
        <v>91</v>
      </c>
      <c r="I1327">
        <v>71104010</v>
      </c>
      <c r="J1327">
        <v>21021040</v>
      </c>
      <c r="K1327" t="s">
        <v>121</v>
      </c>
      <c r="L1327" s="4">
        <v>131.54</v>
      </c>
      <c r="M1327" t="s">
        <v>31</v>
      </c>
      <c r="N1327" s="4">
        <v>131.54</v>
      </c>
      <c r="O1327" t="s">
        <v>31</v>
      </c>
      <c r="R1327" t="s">
        <v>272</v>
      </c>
      <c r="S1327" t="s">
        <v>1131</v>
      </c>
      <c r="T1327">
        <v>107211</v>
      </c>
      <c r="U1327" t="s">
        <v>123</v>
      </c>
      <c r="X1327" t="s">
        <v>35</v>
      </c>
      <c r="Y1327" s="8">
        <v>4501229349</v>
      </c>
      <c r="Z1327">
        <v>20200130</v>
      </c>
      <c r="AA1327">
        <f t="shared" si="29"/>
        <v>131.54</v>
      </c>
      <c r="AB1327">
        <f t="shared" si="30"/>
        <v>21.046399999999998</v>
      </c>
      <c r="AC1327">
        <f t="shared" si="31"/>
        <v>152.5864</v>
      </c>
      <c r="AD1327">
        <v>200124384</v>
      </c>
      <c r="AE1327" t="s">
        <v>278</v>
      </c>
      <c r="AF1327" s="4">
        <f t="shared" si="32"/>
        <v>152.5864</v>
      </c>
      <c r="AG1327" t="s">
        <v>51</v>
      </c>
      <c r="AH1327" t="s">
        <v>1123</v>
      </c>
      <c r="AI1327">
        <v>200127161</v>
      </c>
      <c r="AJ1327" t="s">
        <v>1148</v>
      </c>
      <c r="AK1327" t="s">
        <v>1129</v>
      </c>
      <c r="AL1327">
        <v>340218590</v>
      </c>
      <c r="AM1327" t="s">
        <v>135</v>
      </c>
    </row>
    <row r="1328" spans="1:39" x14ac:dyDescent="0.35">
      <c r="A1328">
        <v>3402</v>
      </c>
      <c r="B1328" t="s">
        <v>47</v>
      </c>
      <c r="C1328">
        <v>2020</v>
      </c>
      <c r="D1328" s="1">
        <v>43831</v>
      </c>
      <c r="E1328">
        <v>1</v>
      </c>
      <c r="F1328">
        <v>200114387</v>
      </c>
      <c r="G1328" t="s">
        <v>120</v>
      </c>
      <c r="H1328">
        <v>81</v>
      </c>
      <c r="I1328">
        <v>71104010</v>
      </c>
      <c r="J1328">
        <v>21021040</v>
      </c>
      <c r="K1328" t="s">
        <v>121</v>
      </c>
      <c r="L1328" s="4">
        <v>135096.29999999999</v>
      </c>
      <c r="M1328" t="s">
        <v>31</v>
      </c>
      <c r="N1328" s="4">
        <v>135096.29999999999</v>
      </c>
      <c r="O1328" t="s">
        <v>31</v>
      </c>
      <c r="R1328" t="s">
        <v>272</v>
      </c>
      <c r="S1328" t="s">
        <v>1131</v>
      </c>
      <c r="T1328">
        <v>107211</v>
      </c>
      <c r="U1328" t="s">
        <v>123</v>
      </c>
      <c r="X1328" t="s">
        <v>35</v>
      </c>
      <c r="Y1328" s="8">
        <v>4501229349</v>
      </c>
      <c r="Z1328">
        <v>20200130</v>
      </c>
      <c r="AA1328">
        <f t="shared" si="29"/>
        <v>135096.29999999999</v>
      </c>
      <c r="AB1328">
        <f t="shared" si="30"/>
        <v>21615.407999999999</v>
      </c>
      <c r="AC1328">
        <f t="shared" si="31"/>
        <v>156711.70799999998</v>
      </c>
      <c r="AD1328">
        <v>200124384</v>
      </c>
      <c r="AE1328" t="s">
        <v>279</v>
      </c>
      <c r="AF1328" s="4">
        <f t="shared" si="32"/>
        <v>156711.70799999998</v>
      </c>
      <c r="AG1328" t="s">
        <v>51</v>
      </c>
      <c r="AH1328" t="s">
        <v>1123</v>
      </c>
      <c r="AI1328">
        <v>200127161</v>
      </c>
      <c r="AJ1328" t="s">
        <v>1148</v>
      </c>
      <c r="AK1328" t="s">
        <v>1129</v>
      </c>
      <c r="AL1328">
        <v>340218590</v>
      </c>
      <c r="AM1328" t="s">
        <v>135</v>
      </c>
    </row>
    <row r="1329" spans="1:39" x14ac:dyDescent="0.35">
      <c r="A1329">
        <v>3402</v>
      </c>
      <c r="B1329" t="s">
        <v>47</v>
      </c>
      <c r="C1329">
        <v>2020</v>
      </c>
      <c r="D1329" s="1">
        <v>43831</v>
      </c>
      <c r="E1329">
        <v>1</v>
      </c>
      <c r="F1329">
        <v>200114388</v>
      </c>
      <c r="G1329" t="s">
        <v>120</v>
      </c>
      <c r="H1329">
        <v>91</v>
      </c>
      <c r="I1329">
        <v>71104010</v>
      </c>
      <c r="J1329">
        <v>21021040</v>
      </c>
      <c r="K1329" t="s">
        <v>121</v>
      </c>
      <c r="L1329" s="4">
        <v>132.84</v>
      </c>
      <c r="M1329" t="s">
        <v>31</v>
      </c>
      <c r="N1329" s="4">
        <v>132.84</v>
      </c>
      <c r="O1329" t="s">
        <v>31</v>
      </c>
      <c r="R1329" t="s">
        <v>272</v>
      </c>
      <c r="S1329" t="s">
        <v>1131</v>
      </c>
      <c r="T1329">
        <v>107211</v>
      </c>
      <c r="U1329" t="s">
        <v>123</v>
      </c>
      <c r="X1329" t="s">
        <v>35</v>
      </c>
      <c r="Y1329" s="8">
        <v>4501229349</v>
      </c>
      <c r="Z1329">
        <v>20200130</v>
      </c>
      <c r="AA1329">
        <f t="shared" si="29"/>
        <v>132.84</v>
      </c>
      <c r="AB1329">
        <f t="shared" si="30"/>
        <v>21.2544</v>
      </c>
      <c r="AC1329">
        <f t="shared" si="31"/>
        <v>154.09440000000001</v>
      </c>
      <c r="AD1329">
        <v>200124384</v>
      </c>
      <c r="AE1329" t="s">
        <v>280</v>
      </c>
      <c r="AF1329" s="4">
        <f t="shared" si="32"/>
        <v>154.09440000000001</v>
      </c>
      <c r="AG1329" t="s">
        <v>51</v>
      </c>
      <c r="AH1329" t="s">
        <v>1123</v>
      </c>
      <c r="AI1329">
        <v>200127161</v>
      </c>
      <c r="AJ1329" t="s">
        <v>1148</v>
      </c>
      <c r="AK1329" t="s">
        <v>1129</v>
      </c>
      <c r="AL1329">
        <v>340218590</v>
      </c>
      <c r="AM1329" t="s">
        <v>135</v>
      </c>
    </row>
    <row r="1330" spans="1:39" x14ac:dyDescent="0.35">
      <c r="A1330">
        <v>3402</v>
      </c>
      <c r="B1330" t="s">
        <v>47</v>
      </c>
      <c r="C1330">
        <v>2020</v>
      </c>
      <c r="D1330" s="1">
        <v>43831</v>
      </c>
      <c r="E1330">
        <v>1</v>
      </c>
      <c r="F1330">
        <v>200114389</v>
      </c>
      <c r="G1330" t="s">
        <v>120</v>
      </c>
      <c r="H1330">
        <v>81</v>
      </c>
      <c r="I1330">
        <v>71104010</v>
      </c>
      <c r="J1330">
        <v>21021040</v>
      </c>
      <c r="K1330" t="s">
        <v>121</v>
      </c>
      <c r="L1330" s="4">
        <v>132835.92000000001</v>
      </c>
      <c r="M1330" t="s">
        <v>31</v>
      </c>
      <c r="N1330" s="4">
        <v>132835.92000000001</v>
      </c>
      <c r="O1330" t="s">
        <v>31</v>
      </c>
      <c r="R1330" t="s">
        <v>272</v>
      </c>
      <c r="S1330" t="s">
        <v>1131</v>
      </c>
      <c r="T1330">
        <v>107211</v>
      </c>
      <c r="U1330" t="s">
        <v>123</v>
      </c>
      <c r="X1330" t="s">
        <v>35</v>
      </c>
      <c r="Y1330" s="8">
        <v>4501229349</v>
      </c>
      <c r="Z1330">
        <v>20200130</v>
      </c>
      <c r="AA1330">
        <f t="shared" si="29"/>
        <v>132835.92000000001</v>
      </c>
      <c r="AB1330">
        <f t="shared" si="30"/>
        <v>21253.747200000002</v>
      </c>
      <c r="AC1330">
        <f t="shared" si="31"/>
        <v>154089.66720000003</v>
      </c>
      <c r="AD1330">
        <v>200124384</v>
      </c>
      <c r="AE1330" t="s">
        <v>280</v>
      </c>
      <c r="AF1330" s="4">
        <f t="shared" si="32"/>
        <v>154089.66720000003</v>
      </c>
      <c r="AG1330" t="s">
        <v>51</v>
      </c>
      <c r="AH1330" t="s">
        <v>1123</v>
      </c>
      <c r="AI1330">
        <v>200127161</v>
      </c>
      <c r="AJ1330" t="s">
        <v>1148</v>
      </c>
      <c r="AK1330" t="s">
        <v>1129</v>
      </c>
      <c r="AL1330">
        <v>340218590</v>
      </c>
      <c r="AM1330" t="s">
        <v>135</v>
      </c>
    </row>
    <row r="1331" spans="1:39" x14ac:dyDescent="0.35">
      <c r="A1331">
        <v>3402</v>
      </c>
      <c r="B1331" t="s">
        <v>47</v>
      </c>
      <c r="C1331">
        <v>2020</v>
      </c>
      <c r="D1331" s="1">
        <v>43831</v>
      </c>
      <c r="E1331">
        <v>1</v>
      </c>
      <c r="F1331">
        <v>200114392</v>
      </c>
      <c r="G1331" t="s">
        <v>120</v>
      </c>
      <c r="H1331">
        <v>91</v>
      </c>
      <c r="I1331">
        <v>71104010</v>
      </c>
      <c r="J1331">
        <v>21021040</v>
      </c>
      <c r="K1331" t="s">
        <v>121</v>
      </c>
      <c r="L1331" s="4">
        <v>132.56</v>
      </c>
      <c r="M1331" t="s">
        <v>31</v>
      </c>
      <c r="N1331" s="4">
        <v>132.56</v>
      </c>
      <c r="O1331" t="s">
        <v>31</v>
      </c>
      <c r="R1331" t="s">
        <v>272</v>
      </c>
      <c r="S1331" t="s">
        <v>1131</v>
      </c>
      <c r="T1331">
        <v>107211</v>
      </c>
      <c r="U1331" t="s">
        <v>123</v>
      </c>
      <c r="X1331" t="s">
        <v>35</v>
      </c>
      <c r="Y1331" s="8">
        <v>4501229349</v>
      </c>
      <c r="Z1331">
        <v>20200130</v>
      </c>
      <c r="AA1331">
        <f t="shared" si="29"/>
        <v>132.56</v>
      </c>
      <c r="AB1331">
        <f t="shared" si="30"/>
        <v>21.209600000000002</v>
      </c>
      <c r="AC1331">
        <f t="shared" si="31"/>
        <v>153.7696</v>
      </c>
      <c r="AD1331">
        <v>200124384</v>
      </c>
      <c r="AE1331" t="s">
        <v>281</v>
      </c>
      <c r="AF1331" s="4">
        <f t="shared" si="32"/>
        <v>153.7696</v>
      </c>
      <c r="AG1331" t="s">
        <v>51</v>
      </c>
      <c r="AH1331" t="s">
        <v>1123</v>
      </c>
      <c r="AI1331">
        <v>200127161</v>
      </c>
      <c r="AJ1331" t="s">
        <v>1148</v>
      </c>
      <c r="AK1331" t="s">
        <v>1129</v>
      </c>
      <c r="AL1331">
        <v>340218590</v>
      </c>
      <c r="AM1331" t="s">
        <v>135</v>
      </c>
    </row>
    <row r="1332" spans="1:39" x14ac:dyDescent="0.35">
      <c r="A1332">
        <v>3402</v>
      </c>
      <c r="B1332" t="s">
        <v>47</v>
      </c>
      <c r="C1332">
        <v>2020</v>
      </c>
      <c r="D1332" s="1">
        <v>43831</v>
      </c>
      <c r="E1332">
        <v>1</v>
      </c>
      <c r="F1332">
        <v>200114393</v>
      </c>
      <c r="G1332" t="s">
        <v>120</v>
      </c>
      <c r="H1332">
        <v>81</v>
      </c>
      <c r="I1332">
        <v>71104010</v>
      </c>
      <c r="J1332">
        <v>21021040</v>
      </c>
      <c r="K1332" t="s">
        <v>121</v>
      </c>
      <c r="L1332" s="4">
        <v>132559.07999999999</v>
      </c>
      <c r="M1332" t="s">
        <v>31</v>
      </c>
      <c r="N1332" s="4">
        <v>132559.07999999999</v>
      </c>
      <c r="O1332" t="s">
        <v>31</v>
      </c>
      <c r="R1332" t="s">
        <v>272</v>
      </c>
      <c r="S1332" t="s">
        <v>1131</v>
      </c>
      <c r="T1332">
        <v>107211</v>
      </c>
      <c r="U1332" t="s">
        <v>123</v>
      </c>
      <c r="X1332" t="s">
        <v>35</v>
      </c>
      <c r="Y1332" s="8">
        <v>4501229349</v>
      </c>
      <c r="Z1332">
        <v>20200130</v>
      </c>
      <c r="AA1332">
        <f t="shared" si="29"/>
        <v>132559.07999999999</v>
      </c>
      <c r="AB1332">
        <f t="shared" si="30"/>
        <v>21209.452799999999</v>
      </c>
      <c r="AC1332">
        <f t="shared" si="31"/>
        <v>153768.53279999999</v>
      </c>
      <c r="AD1332">
        <v>200124384</v>
      </c>
      <c r="AE1332" t="s">
        <v>281</v>
      </c>
      <c r="AF1332" s="4">
        <f t="shared" si="32"/>
        <v>153768.53279999999</v>
      </c>
      <c r="AG1332" t="s">
        <v>51</v>
      </c>
      <c r="AH1332" t="s">
        <v>1123</v>
      </c>
      <c r="AI1332">
        <v>200127161</v>
      </c>
      <c r="AJ1332" t="s">
        <v>1148</v>
      </c>
      <c r="AK1332" t="s">
        <v>1129</v>
      </c>
      <c r="AL1332">
        <v>340218590</v>
      </c>
      <c r="AM1332" t="s">
        <v>135</v>
      </c>
    </row>
    <row r="1333" spans="1:39" x14ac:dyDescent="0.35">
      <c r="A1333">
        <v>3402</v>
      </c>
      <c r="B1333" t="s">
        <v>47</v>
      </c>
      <c r="C1333">
        <v>2020</v>
      </c>
      <c r="D1333" s="1">
        <v>43831</v>
      </c>
      <c r="E1333">
        <v>1</v>
      </c>
      <c r="F1333">
        <v>200114400</v>
      </c>
      <c r="G1333" t="s">
        <v>120</v>
      </c>
      <c r="H1333">
        <v>91</v>
      </c>
      <c r="I1333">
        <v>71104010</v>
      </c>
      <c r="J1333">
        <v>21021040</v>
      </c>
      <c r="K1333" t="s">
        <v>121</v>
      </c>
      <c r="L1333" s="4">
        <v>112.94</v>
      </c>
      <c r="M1333" t="s">
        <v>31</v>
      </c>
      <c r="N1333" s="4">
        <v>112.94</v>
      </c>
      <c r="O1333" t="s">
        <v>31</v>
      </c>
      <c r="R1333" t="s">
        <v>272</v>
      </c>
      <c r="S1333" t="s">
        <v>1131</v>
      </c>
      <c r="T1333">
        <v>107211</v>
      </c>
      <c r="U1333" t="s">
        <v>123</v>
      </c>
      <c r="X1333" t="s">
        <v>35</v>
      </c>
      <c r="Y1333" s="8">
        <v>4501229349</v>
      </c>
      <c r="Z1333">
        <v>20200130</v>
      </c>
      <c r="AA1333">
        <f t="shared" si="29"/>
        <v>112.94</v>
      </c>
      <c r="AB1333">
        <f t="shared" si="30"/>
        <v>18.070399999999999</v>
      </c>
      <c r="AC1333">
        <f t="shared" si="31"/>
        <v>131.0104</v>
      </c>
      <c r="AD1333">
        <v>200124384</v>
      </c>
      <c r="AE1333" t="s">
        <v>282</v>
      </c>
      <c r="AF1333" s="4">
        <f t="shared" si="32"/>
        <v>131.0104</v>
      </c>
      <c r="AG1333" t="s">
        <v>51</v>
      </c>
      <c r="AH1333" t="s">
        <v>1123</v>
      </c>
      <c r="AI1333">
        <v>200127161</v>
      </c>
      <c r="AJ1333" t="s">
        <v>1148</v>
      </c>
      <c r="AK1333" t="s">
        <v>1129</v>
      </c>
      <c r="AL1333">
        <v>340218590</v>
      </c>
      <c r="AM1333" t="s">
        <v>135</v>
      </c>
    </row>
    <row r="1334" spans="1:39" x14ac:dyDescent="0.35">
      <c r="A1334">
        <v>3402</v>
      </c>
      <c r="B1334" t="s">
        <v>47</v>
      </c>
      <c r="C1334">
        <v>2020</v>
      </c>
      <c r="D1334" s="1">
        <v>43831</v>
      </c>
      <c r="E1334">
        <v>1</v>
      </c>
      <c r="F1334">
        <v>200114402</v>
      </c>
      <c r="G1334" t="s">
        <v>120</v>
      </c>
      <c r="H1334">
        <v>91</v>
      </c>
      <c r="I1334">
        <v>71104010</v>
      </c>
      <c r="J1334">
        <v>21021040</v>
      </c>
      <c r="K1334" t="s">
        <v>121</v>
      </c>
      <c r="L1334" s="4">
        <v>113.71</v>
      </c>
      <c r="M1334" t="s">
        <v>31</v>
      </c>
      <c r="N1334" s="4">
        <v>113.71</v>
      </c>
      <c r="O1334" t="s">
        <v>31</v>
      </c>
      <c r="R1334" t="s">
        <v>272</v>
      </c>
      <c r="S1334" t="s">
        <v>1131</v>
      </c>
      <c r="T1334">
        <v>107211</v>
      </c>
      <c r="U1334" t="s">
        <v>123</v>
      </c>
      <c r="X1334" t="s">
        <v>35</v>
      </c>
      <c r="Y1334" s="8">
        <v>4501229349</v>
      </c>
      <c r="Z1334">
        <v>20200130</v>
      </c>
      <c r="AA1334">
        <f t="shared" si="29"/>
        <v>113.71</v>
      </c>
      <c r="AB1334">
        <f t="shared" si="30"/>
        <v>18.1936</v>
      </c>
      <c r="AC1334">
        <f t="shared" si="31"/>
        <v>131.90359999999998</v>
      </c>
      <c r="AD1334">
        <v>200124384</v>
      </c>
      <c r="AE1334" t="s">
        <v>283</v>
      </c>
      <c r="AF1334" s="4">
        <f t="shared" si="32"/>
        <v>131.90359999999998</v>
      </c>
      <c r="AG1334" t="s">
        <v>51</v>
      </c>
      <c r="AH1334" t="s">
        <v>1123</v>
      </c>
      <c r="AI1334">
        <v>200127161</v>
      </c>
      <c r="AJ1334" t="s">
        <v>1148</v>
      </c>
      <c r="AK1334" t="s">
        <v>1129</v>
      </c>
      <c r="AL1334">
        <v>340218590</v>
      </c>
      <c r="AM1334" t="s">
        <v>135</v>
      </c>
    </row>
    <row r="1335" spans="1:39" x14ac:dyDescent="0.35">
      <c r="A1335">
        <v>3402</v>
      </c>
      <c r="B1335" t="s">
        <v>47</v>
      </c>
      <c r="C1335">
        <v>2020</v>
      </c>
      <c r="D1335" s="1">
        <v>43831</v>
      </c>
      <c r="E1335">
        <v>1</v>
      </c>
      <c r="F1335">
        <v>200114408</v>
      </c>
      <c r="G1335" t="s">
        <v>120</v>
      </c>
      <c r="H1335">
        <v>81</v>
      </c>
      <c r="I1335">
        <v>71104010</v>
      </c>
      <c r="J1335">
        <v>21021040</v>
      </c>
      <c r="K1335" t="s">
        <v>121</v>
      </c>
      <c r="L1335" s="4">
        <v>131581.92000000001</v>
      </c>
      <c r="M1335" t="s">
        <v>31</v>
      </c>
      <c r="N1335" s="4">
        <v>131581.92000000001</v>
      </c>
      <c r="O1335" t="s">
        <v>31</v>
      </c>
      <c r="R1335" t="s">
        <v>272</v>
      </c>
      <c r="S1335" t="s">
        <v>1131</v>
      </c>
      <c r="T1335">
        <v>107211</v>
      </c>
      <c r="U1335" t="s">
        <v>123</v>
      </c>
      <c r="X1335" t="s">
        <v>35</v>
      </c>
      <c r="Y1335" s="8">
        <v>4501229349</v>
      </c>
      <c r="Z1335">
        <v>20200130</v>
      </c>
      <c r="AA1335">
        <f t="shared" si="29"/>
        <v>131581.92000000001</v>
      </c>
      <c r="AB1335">
        <f t="shared" si="30"/>
        <v>21053.107200000002</v>
      </c>
      <c r="AC1335">
        <f t="shared" si="31"/>
        <v>152635.02720000001</v>
      </c>
      <c r="AD1335">
        <v>200124384</v>
      </c>
      <c r="AE1335" t="s">
        <v>274</v>
      </c>
      <c r="AF1335" s="4">
        <f t="shared" si="32"/>
        <v>152635.02720000001</v>
      </c>
      <c r="AG1335" t="s">
        <v>51</v>
      </c>
      <c r="AH1335" t="s">
        <v>1123</v>
      </c>
      <c r="AI1335">
        <v>200127161</v>
      </c>
      <c r="AJ1335" t="s">
        <v>1148</v>
      </c>
      <c r="AK1335" t="s">
        <v>1129</v>
      </c>
      <c r="AL1335">
        <v>340218590</v>
      </c>
      <c r="AM1335" t="s">
        <v>135</v>
      </c>
    </row>
    <row r="1336" spans="1:39" x14ac:dyDescent="0.35">
      <c r="A1336">
        <v>3406</v>
      </c>
      <c r="B1336" t="s">
        <v>47</v>
      </c>
      <c r="C1336">
        <v>2020</v>
      </c>
      <c r="D1336" s="1">
        <v>43831</v>
      </c>
      <c r="E1336">
        <v>1</v>
      </c>
      <c r="F1336">
        <v>600029607</v>
      </c>
      <c r="G1336" t="s">
        <v>120</v>
      </c>
      <c r="H1336">
        <v>81</v>
      </c>
      <c r="I1336">
        <v>71104010</v>
      </c>
      <c r="J1336">
        <v>21021040</v>
      </c>
      <c r="K1336" t="s">
        <v>121</v>
      </c>
      <c r="L1336" s="4">
        <v>85785</v>
      </c>
      <c r="M1336" t="s">
        <v>31</v>
      </c>
      <c r="N1336" s="4">
        <v>85785</v>
      </c>
      <c r="O1336" t="s">
        <v>31</v>
      </c>
      <c r="R1336" t="s">
        <v>147</v>
      </c>
      <c r="S1336" t="s">
        <v>1131</v>
      </c>
      <c r="T1336">
        <v>107211</v>
      </c>
      <c r="U1336" t="s">
        <v>123</v>
      </c>
      <c r="X1336" t="s">
        <v>47</v>
      </c>
      <c r="Y1336" s="8">
        <v>4501226446</v>
      </c>
      <c r="Z1336">
        <v>20200130</v>
      </c>
      <c r="AA1336">
        <f t="shared" si="29"/>
        <v>85785</v>
      </c>
      <c r="AB1336">
        <f t="shared" ref="AB1336:AB1338" si="33">AA1336</f>
        <v>85785</v>
      </c>
      <c r="AC1336">
        <f t="shared" si="31"/>
        <v>171570</v>
      </c>
      <c r="AD1336">
        <v>600035567</v>
      </c>
      <c r="AE1336" t="s">
        <v>284</v>
      </c>
      <c r="AF1336" s="4">
        <f t="shared" si="32"/>
        <v>171570</v>
      </c>
      <c r="AG1336" t="s">
        <v>51</v>
      </c>
      <c r="AH1336" t="s">
        <v>1123</v>
      </c>
      <c r="AI1336">
        <v>600035588</v>
      </c>
      <c r="AJ1336" t="s">
        <v>1148</v>
      </c>
      <c r="AK1336" t="s">
        <v>1129</v>
      </c>
      <c r="AL1336">
        <v>340618590</v>
      </c>
      <c r="AM1336" t="s">
        <v>149</v>
      </c>
    </row>
    <row r="1337" spans="1:39" x14ac:dyDescent="0.35">
      <c r="A1337">
        <v>3406</v>
      </c>
      <c r="B1337" t="s">
        <v>47</v>
      </c>
      <c r="C1337">
        <v>2020</v>
      </c>
      <c r="D1337" s="1">
        <v>43831</v>
      </c>
      <c r="E1337">
        <v>1</v>
      </c>
      <c r="F1337">
        <v>600029609</v>
      </c>
      <c r="G1337" t="s">
        <v>120</v>
      </c>
      <c r="H1337">
        <v>81</v>
      </c>
      <c r="I1337">
        <v>71104010</v>
      </c>
      <c r="J1337">
        <v>21021040</v>
      </c>
      <c r="K1337" t="s">
        <v>121</v>
      </c>
      <c r="L1337" s="4">
        <v>90300</v>
      </c>
      <c r="M1337" t="s">
        <v>31</v>
      </c>
      <c r="N1337" s="4">
        <v>90300</v>
      </c>
      <c r="O1337" t="s">
        <v>31</v>
      </c>
      <c r="R1337" t="s">
        <v>147</v>
      </c>
      <c r="S1337" t="s">
        <v>1131</v>
      </c>
      <c r="T1337">
        <v>107211</v>
      </c>
      <c r="U1337" t="s">
        <v>123</v>
      </c>
      <c r="X1337" t="s">
        <v>47</v>
      </c>
      <c r="Y1337" s="8">
        <v>4501226446</v>
      </c>
      <c r="Z1337">
        <v>20200130</v>
      </c>
      <c r="AA1337">
        <f t="shared" si="29"/>
        <v>90300</v>
      </c>
      <c r="AB1337">
        <f t="shared" si="33"/>
        <v>90300</v>
      </c>
      <c r="AC1337">
        <f t="shared" si="31"/>
        <v>180600</v>
      </c>
      <c r="AD1337">
        <v>600035567</v>
      </c>
      <c r="AE1337" t="s">
        <v>285</v>
      </c>
      <c r="AF1337" s="4">
        <f t="shared" si="32"/>
        <v>180600</v>
      </c>
      <c r="AG1337" t="s">
        <v>51</v>
      </c>
      <c r="AH1337" t="s">
        <v>1123</v>
      </c>
      <c r="AI1337">
        <v>600035588</v>
      </c>
      <c r="AJ1337" t="s">
        <v>1148</v>
      </c>
      <c r="AK1337" t="s">
        <v>1129</v>
      </c>
      <c r="AL1337">
        <v>340618590</v>
      </c>
      <c r="AM1337" t="s">
        <v>149</v>
      </c>
    </row>
    <row r="1338" spans="1:39" x14ac:dyDescent="0.35">
      <c r="A1338">
        <v>3406</v>
      </c>
      <c r="B1338" t="s">
        <v>47</v>
      </c>
      <c r="C1338">
        <v>2020</v>
      </c>
      <c r="D1338" s="1">
        <v>43831</v>
      </c>
      <c r="E1338">
        <v>1</v>
      </c>
      <c r="F1338">
        <v>600029610</v>
      </c>
      <c r="G1338" t="s">
        <v>120</v>
      </c>
      <c r="H1338">
        <v>81</v>
      </c>
      <c r="I1338">
        <v>71104010</v>
      </c>
      <c r="J1338">
        <v>21021040</v>
      </c>
      <c r="K1338" t="s">
        <v>121</v>
      </c>
      <c r="L1338" s="4">
        <v>95718</v>
      </c>
      <c r="M1338" t="s">
        <v>31</v>
      </c>
      <c r="N1338" s="4">
        <v>95718</v>
      </c>
      <c r="O1338" t="s">
        <v>31</v>
      </c>
      <c r="R1338" t="s">
        <v>147</v>
      </c>
      <c r="S1338" t="s">
        <v>1131</v>
      </c>
      <c r="T1338">
        <v>107211</v>
      </c>
      <c r="U1338" t="s">
        <v>123</v>
      </c>
      <c r="X1338" t="s">
        <v>47</v>
      </c>
      <c r="Y1338" s="8">
        <v>4501226446</v>
      </c>
      <c r="Z1338">
        <v>20200130</v>
      </c>
      <c r="AA1338">
        <f t="shared" si="29"/>
        <v>95718</v>
      </c>
      <c r="AB1338">
        <f t="shared" si="33"/>
        <v>95718</v>
      </c>
      <c r="AC1338">
        <f t="shared" si="31"/>
        <v>191436</v>
      </c>
      <c r="AD1338">
        <v>600035567</v>
      </c>
      <c r="AE1338" t="s">
        <v>286</v>
      </c>
      <c r="AF1338" s="4">
        <f t="shared" si="32"/>
        <v>191436</v>
      </c>
      <c r="AG1338" t="s">
        <v>51</v>
      </c>
      <c r="AH1338" t="s">
        <v>1123</v>
      </c>
      <c r="AI1338">
        <v>600035588</v>
      </c>
      <c r="AJ1338" t="s">
        <v>1148</v>
      </c>
      <c r="AK1338" t="s">
        <v>1129</v>
      </c>
      <c r="AL1338">
        <v>340618590</v>
      </c>
      <c r="AM1338" t="s">
        <v>149</v>
      </c>
    </row>
    <row r="1339" spans="1:39" x14ac:dyDescent="0.35">
      <c r="A1339">
        <v>3402</v>
      </c>
      <c r="B1339" t="s">
        <v>47</v>
      </c>
      <c r="C1339">
        <v>2020</v>
      </c>
      <c r="D1339" s="1">
        <v>43831</v>
      </c>
      <c r="E1339">
        <v>1</v>
      </c>
      <c r="F1339">
        <v>200102630</v>
      </c>
      <c r="G1339" t="s">
        <v>120</v>
      </c>
      <c r="H1339">
        <v>81</v>
      </c>
      <c r="I1339">
        <v>71104010</v>
      </c>
      <c r="J1339">
        <v>21021040</v>
      </c>
      <c r="K1339" t="s">
        <v>121</v>
      </c>
      <c r="L1339" s="4">
        <v>109.7</v>
      </c>
      <c r="M1339" t="s">
        <v>31</v>
      </c>
      <c r="N1339" s="4">
        <v>109.7</v>
      </c>
      <c r="O1339" t="s">
        <v>31</v>
      </c>
      <c r="R1339" t="s">
        <v>272</v>
      </c>
      <c r="S1339" t="s">
        <v>1131</v>
      </c>
      <c r="T1339">
        <v>107211</v>
      </c>
      <c r="U1339" t="s">
        <v>123</v>
      </c>
      <c r="X1339" t="s">
        <v>47</v>
      </c>
      <c r="Y1339" s="8">
        <v>4501229349</v>
      </c>
      <c r="Z1339">
        <v>20200130</v>
      </c>
      <c r="AA1339">
        <f t="shared" si="29"/>
        <v>109.7</v>
      </c>
      <c r="AB1339">
        <f t="shared" ref="AB1339:AB1402" si="34">AA1339*0.16</f>
        <v>17.552</v>
      </c>
      <c r="AC1339">
        <f t="shared" ref="AC1339:AC1402" si="35">AA1339+AB1339</f>
        <v>127.25200000000001</v>
      </c>
      <c r="AD1339">
        <v>200124384</v>
      </c>
      <c r="AE1339" t="s">
        <v>287</v>
      </c>
      <c r="AF1339" s="4">
        <f t="shared" ref="AF1339:AF1402" si="36">AC1339</f>
        <v>127.25200000000001</v>
      </c>
      <c r="AG1339" t="s">
        <v>51</v>
      </c>
      <c r="AH1339" t="s">
        <v>1123</v>
      </c>
      <c r="AI1339">
        <v>200127161</v>
      </c>
      <c r="AJ1339" t="s">
        <v>1148</v>
      </c>
      <c r="AK1339" t="s">
        <v>1129</v>
      </c>
      <c r="AL1339">
        <v>340218590</v>
      </c>
      <c r="AM1339" t="s">
        <v>135</v>
      </c>
    </row>
    <row r="1340" spans="1:39" x14ac:dyDescent="0.35">
      <c r="A1340">
        <v>3402</v>
      </c>
      <c r="B1340" t="s">
        <v>47</v>
      </c>
      <c r="C1340">
        <v>2020</v>
      </c>
      <c r="D1340" s="1">
        <v>43831</v>
      </c>
      <c r="E1340">
        <v>1</v>
      </c>
      <c r="F1340">
        <v>200102632</v>
      </c>
      <c r="G1340" t="s">
        <v>120</v>
      </c>
      <c r="H1340">
        <v>81</v>
      </c>
      <c r="I1340">
        <v>71104010</v>
      </c>
      <c r="J1340">
        <v>21021040</v>
      </c>
      <c r="K1340" t="s">
        <v>121</v>
      </c>
      <c r="L1340" s="4">
        <v>144.96</v>
      </c>
      <c r="M1340" t="s">
        <v>31</v>
      </c>
      <c r="N1340" s="4">
        <v>144.96</v>
      </c>
      <c r="O1340" t="s">
        <v>31</v>
      </c>
      <c r="R1340" t="s">
        <v>272</v>
      </c>
      <c r="S1340" t="s">
        <v>1131</v>
      </c>
      <c r="T1340">
        <v>107211</v>
      </c>
      <c r="U1340" t="s">
        <v>123</v>
      </c>
      <c r="X1340" t="s">
        <v>47</v>
      </c>
      <c r="Y1340" s="8">
        <v>4501229349</v>
      </c>
      <c r="Z1340">
        <v>20200130</v>
      </c>
      <c r="AA1340">
        <f t="shared" si="29"/>
        <v>144.96</v>
      </c>
      <c r="AB1340">
        <f t="shared" si="34"/>
        <v>23.1936</v>
      </c>
      <c r="AC1340">
        <f t="shared" si="35"/>
        <v>168.15360000000001</v>
      </c>
      <c r="AD1340">
        <v>200124384</v>
      </c>
      <c r="AE1340" t="s">
        <v>275</v>
      </c>
      <c r="AF1340" s="4">
        <f t="shared" si="36"/>
        <v>168.15360000000001</v>
      </c>
      <c r="AG1340" t="s">
        <v>51</v>
      </c>
      <c r="AH1340" t="s">
        <v>1123</v>
      </c>
      <c r="AI1340">
        <v>200127161</v>
      </c>
      <c r="AJ1340" t="s">
        <v>1148</v>
      </c>
      <c r="AK1340" t="s">
        <v>1129</v>
      </c>
      <c r="AL1340">
        <v>340218590</v>
      </c>
      <c r="AM1340" t="s">
        <v>135</v>
      </c>
    </row>
    <row r="1341" spans="1:39" x14ac:dyDescent="0.35">
      <c r="A1341">
        <v>3402</v>
      </c>
      <c r="B1341" t="s">
        <v>47</v>
      </c>
      <c r="C1341">
        <v>2020</v>
      </c>
      <c r="D1341" s="1">
        <v>43831</v>
      </c>
      <c r="E1341">
        <v>1</v>
      </c>
      <c r="F1341">
        <v>200102633</v>
      </c>
      <c r="G1341" t="s">
        <v>120</v>
      </c>
      <c r="H1341">
        <v>81</v>
      </c>
      <c r="I1341">
        <v>71104010</v>
      </c>
      <c r="J1341">
        <v>21021040</v>
      </c>
      <c r="K1341" t="s">
        <v>121</v>
      </c>
      <c r="L1341" s="4">
        <v>126.54</v>
      </c>
      <c r="M1341" t="s">
        <v>31</v>
      </c>
      <c r="N1341" s="4">
        <v>126.54</v>
      </c>
      <c r="O1341" t="s">
        <v>31</v>
      </c>
      <c r="R1341" t="s">
        <v>272</v>
      </c>
      <c r="S1341" t="s">
        <v>1131</v>
      </c>
      <c r="T1341">
        <v>107211</v>
      </c>
      <c r="U1341" t="s">
        <v>123</v>
      </c>
      <c r="X1341" t="s">
        <v>47</v>
      </c>
      <c r="Y1341" s="8">
        <v>4501229349</v>
      </c>
      <c r="Z1341">
        <v>20200130</v>
      </c>
      <c r="AA1341">
        <f t="shared" si="29"/>
        <v>126.54</v>
      </c>
      <c r="AB1341">
        <f t="shared" si="34"/>
        <v>20.246400000000001</v>
      </c>
      <c r="AC1341">
        <f t="shared" si="35"/>
        <v>146.78640000000001</v>
      </c>
      <c r="AD1341">
        <v>200124384</v>
      </c>
      <c r="AE1341" t="s">
        <v>276</v>
      </c>
      <c r="AF1341" s="4">
        <f t="shared" si="36"/>
        <v>146.78640000000001</v>
      </c>
      <c r="AG1341" t="s">
        <v>51</v>
      </c>
      <c r="AH1341" t="s">
        <v>1123</v>
      </c>
      <c r="AI1341">
        <v>200127161</v>
      </c>
      <c r="AJ1341" t="s">
        <v>1148</v>
      </c>
      <c r="AK1341" t="s">
        <v>1129</v>
      </c>
      <c r="AL1341">
        <v>340218590</v>
      </c>
      <c r="AM1341" t="s">
        <v>135</v>
      </c>
    </row>
    <row r="1342" spans="1:39" x14ac:dyDescent="0.35">
      <c r="A1342">
        <v>3402</v>
      </c>
      <c r="B1342" t="s">
        <v>47</v>
      </c>
      <c r="C1342">
        <v>2020</v>
      </c>
      <c r="D1342" s="1">
        <v>43831</v>
      </c>
      <c r="E1342">
        <v>1</v>
      </c>
      <c r="F1342">
        <v>200102634</v>
      </c>
      <c r="G1342" t="s">
        <v>120</v>
      </c>
      <c r="H1342">
        <v>81</v>
      </c>
      <c r="I1342">
        <v>71104010</v>
      </c>
      <c r="J1342">
        <v>21021040</v>
      </c>
      <c r="K1342" t="s">
        <v>121</v>
      </c>
      <c r="L1342" s="4">
        <v>92.61</v>
      </c>
      <c r="M1342" t="s">
        <v>31</v>
      </c>
      <c r="N1342" s="4">
        <v>92.61</v>
      </c>
      <c r="O1342" t="s">
        <v>31</v>
      </c>
      <c r="R1342" t="s">
        <v>272</v>
      </c>
      <c r="S1342" t="s">
        <v>1131</v>
      </c>
      <c r="T1342">
        <v>107211</v>
      </c>
      <c r="U1342" t="s">
        <v>123</v>
      </c>
      <c r="X1342" t="s">
        <v>47</v>
      </c>
      <c r="Y1342" s="8">
        <v>4501229349</v>
      </c>
      <c r="Z1342">
        <v>20200130</v>
      </c>
      <c r="AA1342">
        <f t="shared" si="29"/>
        <v>92.61</v>
      </c>
      <c r="AB1342">
        <f t="shared" si="34"/>
        <v>14.817600000000001</v>
      </c>
      <c r="AC1342">
        <f t="shared" si="35"/>
        <v>107.4276</v>
      </c>
      <c r="AD1342">
        <v>200124384</v>
      </c>
      <c r="AE1342" t="s">
        <v>277</v>
      </c>
      <c r="AF1342" s="4">
        <f t="shared" si="36"/>
        <v>107.4276</v>
      </c>
      <c r="AG1342" t="s">
        <v>51</v>
      </c>
      <c r="AH1342" t="s">
        <v>1123</v>
      </c>
      <c r="AI1342">
        <v>200127161</v>
      </c>
      <c r="AJ1342" t="s">
        <v>1148</v>
      </c>
      <c r="AK1342" t="s">
        <v>1129</v>
      </c>
      <c r="AL1342">
        <v>340218590</v>
      </c>
      <c r="AM1342" t="s">
        <v>135</v>
      </c>
    </row>
    <row r="1343" spans="1:39" x14ac:dyDescent="0.35">
      <c r="A1343">
        <v>3402</v>
      </c>
      <c r="B1343" t="s">
        <v>47</v>
      </c>
      <c r="C1343">
        <v>2020</v>
      </c>
      <c r="D1343" s="1">
        <v>43831</v>
      </c>
      <c r="E1343">
        <v>1</v>
      </c>
      <c r="F1343">
        <v>200102635</v>
      </c>
      <c r="G1343" t="s">
        <v>120</v>
      </c>
      <c r="H1343">
        <v>81</v>
      </c>
      <c r="I1343">
        <v>71104010</v>
      </c>
      <c r="J1343">
        <v>21021040</v>
      </c>
      <c r="K1343" t="s">
        <v>121</v>
      </c>
      <c r="L1343" s="4">
        <v>124.01</v>
      </c>
      <c r="M1343" t="s">
        <v>31</v>
      </c>
      <c r="N1343" s="4">
        <v>124.01</v>
      </c>
      <c r="O1343" t="s">
        <v>31</v>
      </c>
      <c r="R1343" t="s">
        <v>272</v>
      </c>
      <c r="S1343" t="s">
        <v>1131</v>
      </c>
      <c r="T1343">
        <v>107211</v>
      </c>
      <c r="U1343" t="s">
        <v>123</v>
      </c>
      <c r="X1343" t="s">
        <v>47</v>
      </c>
      <c r="Y1343" s="8">
        <v>4501229349</v>
      </c>
      <c r="Z1343">
        <v>20200130</v>
      </c>
      <c r="AA1343">
        <f t="shared" si="29"/>
        <v>124.01</v>
      </c>
      <c r="AB1343">
        <f t="shared" si="34"/>
        <v>19.8416</v>
      </c>
      <c r="AC1343">
        <f t="shared" si="35"/>
        <v>143.85160000000002</v>
      </c>
      <c r="AD1343">
        <v>200124384</v>
      </c>
      <c r="AE1343" t="s">
        <v>288</v>
      </c>
      <c r="AF1343" s="4">
        <f t="shared" si="36"/>
        <v>143.85160000000002</v>
      </c>
      <c r="AG1343" t="s">
        <v>51</v>
      </c>
      <c r="AH1343" t="s">
        <v>1123</v>
      </c>
      <c r="AI1343">
        <v>200127161</v>
      </c>
      <c r="AJ1343" t="s">
        <v>1148</v>
      </c>
      <c r="AK1343" t="s">
        <v>1129</v>
      </c>
      <c r="AL1343">
        <v>340218590</v>
      </c>
      <c r="AM1343" t="s">
        <v>135</v>
      </c>
    </row>
    <row r="1344" spans="1:39" x14ac:dyDescent="0.35">
      <c r="A1344">
        <v>3402</v>
      </c>
      <c r="B1344" t="s">
        <v>47</v>
      </c>
      <c r="C1344">
        <v>2020</v>
      </c>
      <c r="D1344" s="1">
        <v>43831</v>
      </c>
      <c r="E1344">
        <v>1</v>
      </c>
      <c r="F1344">
        <v>200102636</v>
      </c>
      <c r="G1344" t="s">
        <v>120</v>
      </c>
      <c r="H1344">
        <v>81</v>
      </c>
      <c r="I1344">
        <v>71104010</v>
      </c>
      <c r="J1344">
        <v>21021040</v>
      </c>
      <c r="K1344" t="s">
        <v>121</v>
      </c>
      <c r="L1344" s="4">
        <v>110.07</v>
      </c>
      <c r="M1344" t="s">
        <v>31</v>
      </c>
      <c r="N1344" s="4">
        <v>110.07</v>
      </c>
      <c r="O1344" t="s">
        <v>31</v>
      </c>
      <c r="R1344" t="s">
        <v>272</v>
      </c>
      <c r="S1344" t="s">
        <v>1131</v>
      </c>
      <c r="T1344">
        <v>107211</v>
      </c>
      <c r="U1344" t="s">
        <v>123</v>
      </c>
      <c r="X1344" t="s">
        <v>47</v>
      </c>
      <c r="Y1344" s="8">
        <v>4501229349</v>
      </c>
      <c r="Z1344">
        <v>20200130</v>
      </c>
      <c r="AA1344">
        <f t="shared" si="29"/>
        <v>110.07</v>
      </c>
      <c r="AB1344">
        <f t="shared" si="34"/>
        <v>17.6112</v>
      </c>
      <c r="AC1344">
        <f t="shared" si="35"/>
        <v>127.68119999999999</v>
      </c>
      <c r="AD1344">
        <v>200124384</v>
      </c>
      <c r="AE1344" t="s">
        <v>289</v>
      </c>
      <c r="AF1344" s="4">
        <f t="shared" si="36"/>
        <v>127.68119999999999</v>
      </c>
      <c r="AG1344" t="s">
        <v>51</v>
      </c>
      <c r="AH1344" t="s">
        <v>1123</v>
      </c>
      <c r="AI1344">
        <v>200127161</v>
      </c>
      <c r="AJ1344" t="s">
        <v>1148</v>
      </c>
      <c r="AK1344" t="s">
        <v>1129</v>
      </c>
      <c r="AL1344">
        <v>340218590</v>
      </c>
      <c r="AM1344" t="s">
        <v>135</v>
      </c>
    </row>
    <row r="1345" spans="1:39" x14ac:dyDescent="0.35">
      <c r="A1345">
        <v>3402</v>
      </c>
      <c r="B1345" t="s">
        <v>47</v>
      </c>
      <c r="C1345">
        <v>2020</v>
      </c>
      <c r="D1345" s="1">
        <v>43831</v>
      </c>
      <c r="E1345">
        <v>1</v>
      </c>
      <c r="F1345">
        <v>200102637</v>
      </c>
      <c r="G1345" t="s">
        <v>120</v>
      </c>
      <c r="H1345">
        <v>81</v>
      </c>
      <c r="I1345">
        <v>71104010</v>
      </c>
      <c r="J1345">
        <v>21021040</v>
      </c>
      <c r="K1345" t="s">
        <v>121</v>
      </c>
      <c r="L1345" s="4">
        <v>128.66</v>
      </c>
      <c r="M1345" t="s">
        <v>31</v>
      </c>
      <c r="N1345" s="4">
        <v>128.66</v>
      </c>
      <c r="O1345" t="s">
        <v>31</v>
      </c>
      <c r="R1345" t="s">
        <v>272</v>
      </c>
      <c r="S1345" t="s">
        <v>1131</v>
      </c>
      <c r="T1345">
        <v>107211</v>
      </c>
      <c r="U1345" t="s">
        <v>123</v>
      </c>
      <c r="X1345" t="s">
        <v>47</v>
      </c>
      <c r="Y1345" s="8">
        <v>4501229349</v>
      </c>
      <c r="Z1345">
        <v>20200130</v>
      </c>
      <c r="AA1345">
        <f t="shared" si="29"/>
        <v>128.66</v>
      </c>
      <c r="AB1345">
        <f t="shared" si="34"/>
        <v>20.585599999999999</v>
      </c>
      <c r="AC1345">
        <f t="shared" si="35"/>
        <v>149.2456</v>
      </c>
      <c r="AD1345">
        <v>200124384</v>
      </c>
      <c r="AE1345" t="s">
        <v>290</v>
      </c>
      <c r="AF1345" s="4">
        <f t="shared" si="36"/>
        <v>149.2456</v>
      </c>
      <c r="AG1345" t="s">
        <v>51</v>
      </c>
      <c r="AH1345" t="s">
        <v>1123</v>
      </c>
      <c r="AI1345">
        <v>200127161</v>
      </c>
      <c r="AJ1345" t="s">
        <v>1148</v>
      </c>
      <c r="AK1345" t="s">
        <v>1129</v>
      </c>
      <c r="AL1345">
        <v>340218590</v>
      </c>
      <c r="AM1345" t="s">
        <v>135</v>
      </c>
    </row>
    <row r="1346" spans="1:39" x14ac:dyDescent="0.35">
      <c r="A1346">
        <v>3402</v>
      </c>
      <c r="B1346" t="s">
        <v>47</v>
      </c>
      <c r="C1346">
        <v>2020</v>
      </c>
      <c r="D1346" s="1">
        <v>43831</v>
      </c>
      <c r="E1346">
        <v>1</v>
      </c>
      <c r="F1346">
        <v>200102638</v>
      </c>
      <c r="G1346" t="s">
        <v>120</v>
      </c>
      <c r="H1346">
        <v>81</v>
      </c>
      <c r="I1346">
        <v>71104010</v>
      </c>
      <c r="J1346">
        <v>21021040</v>
      </c>
      <c r="K1346" t="s">
        <v>121</v>
      </c>
      <c r="L1346" s="4">
        <v>125.42</v>
      </c>
      <c r="M1346" t="s">
        <v>31</v>
      </c>
      <c r="N1346" s="4">
        <v>125.42</v>
      </c>
      <c r="O1346" t="s">
        <v>31</v>
      </c>
      <c r="R1346" t="s">
        <v>272</v>
      </c>
      <c r="S1346" t="s">
        <v>1131</v>
      </c>
      <c r="T1346">
        <v>107211</v>
      </c>
      <c r="U1346" t="s">
        <v>123</v>
      </c>
      <c r="X1346" t="s">
        <v>47</v>
      </c>
      <c r="Y1346" s="8">
        <v>4501229349</v>
      </c>
      <c r="Z1346">
        <v>20200130</v>
      </c>
      <c r="AA1346">
        <f t="shared" si="29"/>
        <v>125.42</v>
      </c>
      <c r="AB1346">
        <f t="shared" si="34"/>
        <v>20.0672</v>
      </c>
      <c r="AC1346">
        <f t="shared" si="35"/>
        <v>145.4872</v>
      </c>
      <c r="AD1346">
        <v>200124384</v>
      </c>
      <c r="AE1346" t="s">
        <v>291</v>
      </c>
      <c r="AF1346" s="4">
        <f t="shared" si="36"/>
        <v>145.4872</v>
      </c>
      <c r="AG1346" t="s">
        <v>51</v>
      </c>
      <c r="AH1346" t="s">
        <v>1123</v>
      </c>
      <c r="AI1346">
        <v>200127161</v>
      </c>
      <c r="AJ1346" t="s">
        <v>1148</v>
      </c>
      <c r="AK1346" t="s">
        <v>1129</v>
      </c>
      <c r="AL1346">
        <v>340218590</v>
      </c>
      <c r="AM1346" t="s">
        <v>135</v>
      </c>
    </row>
    <row r="1347" spans="1:39" x14ac:dyDescent="0.35">
      <c r="A1347">
        <v>3402</v>
      </c>
      <c r="B1347" t="s">
        <v>47</v>
      </c>
      <c r="C1347">
        <v>2020</v>
      </c>
      <c r="D1347" s="1">
        <v>43831</v>
      </c>
      <c r="E1347">
        <v>1</v>
      </c>
      <c r="F1347">
        <v>200102639</v>
      </c>
      <c r="G1347" t="s">
        <v>120</v>
      </c>
      <c r="H1347">
        <v>81</v>
      </c>
      <c r="I1347">
        <v>71104010</v>
      </c>
      <c r="J1347">
        <v>21021040</v>
      </c>
      <c r="K1347" t="s">
        <v>121</v>
      </c>
      <c r="L1347" s="4">
        <v>146.44999999999999</v>
      </c>
      <c r="M1347" t="s">
        <v>31</v>
      </c>
      <c r="N1347" s="4">
        <v>146.44999999999999</v>
      </c>
      <c r="O1347" t="s">
        <v>31</v>
      </c>
      <c r="R1347" t="s">
        <v>272</v>
      </c>
      <c r="S1347" t="s">
        <v>1131</v>
      </c>
      <c r="T1347">
        <v>107211</v>
      </c>
      <c r="U1347" t="s">
        <v>123</v>
      </c>
      <c r="X1347" t="s">
        <v>47</v>
      </c>
      <c r="Y1347" s="8">
        <v>4501229349</v>
      </c>
      <c r="Z1347">
        <v>20200130</v>
      </c>
      <c r="AA1347">
        <f t="shared" si="29"/>
        <v>146.44999999999999</v>
      </c>
      <c r="AB1347">
        <f t="shared" si="34"/>
        <v>23.431999999999999</v>
      </c>
      <c r="AC1347">
        <f t="shared" si="35"/>
        <v>169.88199999999998</v>
      </c>
      <c r="AD1347">
        <v>200124384</v>
      </c>
      <c r="AE1347" t="s">
        <v>292</v>
      </c>
      <c r="AF1347" s="4">
        <f t="shared" si="36"/>
        <v>169.88199999999998</v>
      </c>
      <c r="AG1347" t="s">
        <v>51</v>
      </c>
      <c r="AH1347" t="s">
        <v>1123</v>
      </c>
      <c r="AI1347">
        <v>200127161</v>
      </c>
      <c r="AJ1347" t="s">
        <v>1148</v>
      </c>
      <c r="AK1347" t="s">
        <v>1129</v>
      </c>
      <c r="AL1347">
        <v>340218590</v>
      </c>
      <c r="AM1347" t="s">
        <v>135</v>
      </c>
    </row>
    <row r="1348" spans="1:39" x14ac:dyDescent="0.35">
      <c r="A1348">
        <v>3402</v>
      </c>
      <c r="B1348" t="s">
        <v>47</v>
      </c>
      <c r="C1348">
        <v>2020</v>
      </c>
      <c r="D1348" s="1">
        <v>43831</v>
      </c>
      <c r="E1348">
        <v>1</v>
      </c>
      <c r="F1348">
        <v>200102640</v>
      </c>
      <c r="G1348" t="s">
        <v>120</v>
      </c>
      <c r="H1348">
        <v>81</v>
      </c>
      <c r="I1348">
        <v>71104010</v>
      </c>
      <c r="J1348">
        <v>21021040</v>
      </c>
      <c r="K1348" t="s">
        <v>121</v>
      </c>
      <c r="L1348" s="4">
        <v>133.81</v>
      </c>
      <c r="M1348" t="s">
        <v>31</v>
      </c>
      <c r="N1348" s="4">
        <v>133.81</v>
      </c>
      <c r="O1348" t="s">
        <v>31</v>
      </c>
      <c r="R1348" t="s">
        <v>272</v>
      </c>
      <c r="S1348" t="s">
        <v>1131</v>
      </c>
      <c r="T1348">
        <v>107211</v>
      </c>
      <c r="U1348" t="s">
        <v>123</v>
      </c>
      <c r="X1348" t="s">
        <v>47</v>
      </c>
      <c r="Y1348" s="8">
        <v>4501229349</v>
      </c>
      <c r="Z1348">
        <v>20200130</v>
      </c>
      <c r="AA1348">
        <f t="shared" si="29"/>
        <v>133.81</v>
      </c>
      <c r="AB1348">
        <f t="shared" si="34"/>
        <v>21.409600000000001</v>
      </c>
      <c r="AC1348">
        <f t="shared" si="35"/>
        <v>155.21960000000001</v>
      </c>
      <c r="AD1348">
        <v>200124384</v>
      </c>
      <c r="AE1348" t="s">
        <v>293</v>
      </c>
      <c r="AF1348" s="4">
        <f t="shared" si="36"/>
        <v>155.21960000000001</v>
      </c>
      <c r="AG1348" t="s">
        <v>51</v>
      </c>
      <c r="AH1348" t="s">
        <v>1123</v>
      </c>
      <c r="AI1348">
        <v>200127161</v>
      </c>
      <c r="AJ1348" t="s">
        <v>1148</v>
      </c>
      <c r="AK1348" t="s">
        <v>1129</v>
      </c>
      <c r="AL1348">
        <v>340218590</v>
      </c>
      <c r="AM1348" t="s">
        <v>135</v>
      </c>
    </row>
    <row r="1349" spans="1:39" x14ac:dyDescent="0.35">
      <c r="A1349">
        <v>3402</v>
      </c>
      <c r="B1349" t="s">
        <v>47</v>
      </c>
      <c r="C1349">
        <v>2020</v>
      </c>
      <c r="D1349" s="1">
        <v>43831</v>
      </c>
      <c r="E1349">
        <v>1</v>
      </c>
      <c r="F1349">
        <v>200102641</v>
      </c>
      <c r="G1349" t="s">
        <v>120</v>
      </c>
      <c r="H1349">
        <v>81</v>
      </c>
      <c r="I1349">
        <v>71104010</v>
      </c>
      <c r="J1349">
        <v>21021040</v>
      </c>
      <c r="K1349" t="s">
        <v>121</v>
      </c>
      <c r="L1349" s="4">
        <v>106.13</v>
      </c>
      <c r="M1349" t="s">
        <v>31</v>
      </c>
      <c r="N1349" s="4">
        <v>106.13</v>
      </c>
      <c r="O1349" t="s">
        <v>31</v>
      </c>
      <c r="R1349" t="s">
        <v>272</v>
      </c>
      <c r="S1349" t="s">
        <v>1131</v>
      </c>
      <c r="T1349">
        <v>107211</v>
      </c>
      <c r="U1349" t="s">
        <v>123</v>
      </c>
      <c r="X1349" t="s">
        <v>47</v>
      </c>
      <c r="Y1349" s="8">
        <v>4501229349</v>
      </c>
      <c r="Z1349">
        <v>20200130</v>
      </c>
      <c r="AA1349">
        <f t="shared" si="29"/>
        <v>106.13</v>
      </c>
      <c r="AB1349">
        <f t="shared" si="34"/>
        <v>16.980799999999999</v>
      </c>
      <c r="AC1349">
        <f t="shared" si="35"/>
        <v>123.1108</v>
      </c>
      <c r="AD1349">
        <v>200124384</v>
      </c>
      <c r="AE1349" t="s">
        <v>294</v>
      </c>
      <c r="AF1349" s="4">
        <f t="shared" si="36"/>
        <v>123.1108</v>
      </c>
      <c r="AG1349" t="s">
        <v>51</v>
      </c>
      <c r="AH1349" t="s">
        <v>1123</v>
      </c>
      <c r="AI1349">
        <v>200127161</v>
      </c>
      <c r="AJ1349" t="s">
        <v>1148</v>
      </c>
      <c r="AK1349" t="s">
        <v>1129</v>
      </c>
      <c r="AL1349">
        <v>340218590</v>
      </c>
      <c r="AM1349" t="s">
        <v>135</v>
      </c>
    </row>
    <row r="1350" spans="1:39" x14ac:dyDescent="0.35">
      <c r="A1350">
        <v>3402</v>
      </c>
      <c r="B1350" t="s">
        <v>47</v>
      </c>
      <c r="C1350">
        <v>2020</v>
      </c>
      <c r="D1350" s="1">
        <v>43831</v>
      </c>
      <c r="E1350">
        <v>1</v>
      </c>
      <c r="F1350">
        <v>200102642</v>
      </c>
      <c r="G1350" t="s">
        <v>120</v>
      </c>
      <c r="H1350">
        <v>81</v>
      </c>
      <c r="I1350">
        <v>71104010</v>
      </c>
      <c r="J1350">
        <v>21021040</v>
      </c>
      <c r="K1350" t="s">
        <v>121</v>
      </c>
      <c r="L1350" s="4">
        <v>152.13</v>
      </c>
      <c r="M1350" t="s">
        <v>31</v>
      </c>
      <c r="N1350" s="4">
        <v>152.13</v>
      </c>
      <c r="O1350" t="s">
        <v>31</v>
      </c>
      <c r="R1350" t="s">
        <v>272</v>
      </c>
      <c r="S1350" t="s">
        <v>1131</v>
      </c>
      <c r="T1350">
        <v>107211</v>
      </c>
      <c r="U1350" t="s">
        <v>123</v>
      </c>
      <c r="X1350" t="s">
        <v>47</v>
      </c>
      <c r="Y1350" s="8">
        <v>4501229349</v>
      </c>
      <c r="Z1350">
        <v>20200130</v>
      </c>
      <c r="AA1350">
        <f t="shared" si="29"/>
        <v>152.13</v>
      </c>
      <c r="AB1350">
        <f t="shared" si="34"/>
        <v>24.340800000000002</v>
      </c>
      <c r="AC1350">
        <f t="shared" si="35"/>
        <v>176.4708</v>
      </c>
      <c r="AD1350">
        <v>200124384</v>
      </c>
      <c r="AE1350" t="s">
        <v>295</v>
      </c>
      <c r="AF1350" s="4">
        <f t="shared" si="36"/>
        <v>176.4708</v>
      </c>
      <c r="AG1350" t="s">
        <v>51</v>
      </c>
      <c r="AH1350" t="s">
        <v>1123</v>
      </c>
      <c r="AI1350">
        <v>200127161</v>
      </c>
      <c r="AJ1350" t="s">
        <v>1148</v>
      </c>
      <c r="AK1350" t="s">
        <v>1129</v>
      </c>
      <c r="AL1350">
        <v>340218590</v>
      </c>
      <c r="AM1350" t="s">
        <v>135</v>
      </c>
    </row>
    <row r="1351" spans="1:39" x14ac:dyDescent="0.35">
      <c r="A1351">
        <v>3402</v>
      </c>
      <c r="B1351" t="s">
        <v>47</v>
      </c>
      <c r="C1351">
        <v>2020</v>
      </c>
      <c r="D1351" s="1">
        <v>43831</v>
      </c>
      <c r="E1351">
        <v>1</v>
      </c>
      <c r="F1351">
        <v>200102643</v>
      </c>
      <c r="G1351" t="s">
        <v>120</v>
      </c>
      <c r="H1351">
        <v>81</v>
      </c>
      <c r="I1351">
        <v>71104010</v>
      </c>
      <c r="J1351">
        <v>21021040</v>
      </c>
      <c r="K1351" t="s">
        <v>121</v>
      </c>
      <c r="L1351" s="4">
        <v>139.52000000000001</v>
      </c>
      <c r="M1351" t="s">
        <v>31</v>
      </c>
      <c r="N1351" s="4">
        <v>139.52000000000001</v>
      </c>
      <c r="O1351" t="s">
        <v>31</v>
      </c>
      <c r="R1351" t="s">
        <v>272</v>
      </c>
      <c r="S1351" t="s">
        <v>1131</v>
      </c>
      <c r="T1351">
        <v>107211</v>
      </c>
      <c r="U1351" t="s">
        <v>123</v>
      </c>
      <c r="X1351" t="s">
        <v>47</v>
      </c>
      <c r="Y1351" s="8">
        <v>4501229349</v>
      </c>
      <c r="Z1351">
        <v>20200130</v>
      </c>
      <c r="AA1351">
        <f t="shared" si="29"/>
        <v>139.52000000000001</v>
      </c>
      <c r="AB1351">
        <f t="shared" si="34"/>
        <v>22.323200000000003</v>
      </c>
      <c r="AC1351">
        <f t="shared" si="35"/>
        <v>161.84320000000002</v>
      </c>
      <c r="AD1351">
        <v>200124384</v>
      </c>
      <c r="AE1351" t="s">
        <v>296</v>
      </c>
      <c r="AF1351" s="4">
        <f t="shared" si="36"/>
        <v>161.84320000000002</v>
      </c>
      <c r="AG1351" t="s">
        <v>51</v>
      </c>
      <c r="AH1351" t="s">
        <v>1123</v>
      </c>
      <c r="AI1351">
        <v>200127161</v>
      </c>
      <c r="AJ1351" t="s">
        <v>1148</v>
      </c>
      <c r="AK1351" t="s">
        <v>1129</v>
      </c>
      <c r="AL1351">
        <v>340218590</v>
      </c>
      <c r="AM1351" t="s">
        <v>135</v>
      </c>
    </row>
    <row r="1352" spans="1:39" x14ac:dyDescent="0.35">
      <c r="A1352">
        <v>3402</v>
      </c>
      <c r="B1352" t="s">
        <v>47</v>
      </c>
      <c r="C1352">
        <v>2020</v>
      </c>
      <c r="D1352" s="1">
        <v>43831</v>
      </c>
      <c r="E1352">
        <v>1</v>
      </c>
      <c r="F1352">
        <v>200102645</v>
      </c>
      <c r="G1352" t="s">
        <v>120</v>
      </c>
      <c r="H1352">
        <v>81</v>
      </c>
      <c r="I1352">
        <v>71104010</v>
      </c>
      <c r="J1352">
        <v>21021040</v>
      </c>
      <c r="K1352" t="s">
        <v>121</v>
      </c>
      <c r="L1352" s="4">
        <v>139.66</v>
      </c>
      <c r="M1352" t="s">
        <v>31</v>
      </c>
      <c r="N1352" s="4">
        <v>139.66</v>
      </c>
      <c r="O1352" t="s">
        <v>31</v>
      </c>
      <c r="R1352" t="s">
        <v>272</v>
      </c>
      <c r="S1352" t="s">
        <v>1131</v>
      </c>
      <c r="T1352">
        <v>107211</v>
      </c>
      <c r="U1352" t="s">
        <v>123</v>
      </c>
      <c r="X1352" t="s">
        <v>47</v>
      </c>
      <c r="Y1352" s="8">
        <v>4501229349</v>
      </c>
      <c r="Z1352">
        <v>20200130</v>
      </c>
      <c r="AA1352">
        <f t="shared" si="29"/>
        <v>139.66</v>
      </c>
      <c r="AB1352">
        <f t="shared" si="34"/>
        <v>22.345600000000001</v>
      </c>
      <c r="AC1352">
        <f t="shared" si="35"/>
        <v>162.00559999999999</v>
      </c>
      <c r="AD1352">
        <v>200124384</v>
      </c>
      <c r="AE1352" t="s">
        <v>297</v>
      </c>
      <c r="AF1352" s="4">
        <f t="shared" si="36"/>
        <v>162.00559999999999</v>
      </c>
      <c r="AG1352" t="s">
        <v>51</v>
      </c>
      <c r="AH1352" t="s">
        <v>1123</v>
      </c>
      <c r="AI1352">
        <v>200127161</v>
      </c>
      <c r="AJ1352" t="s">
        <v>1148</v>
      </c>
      <c r="AK1352" t="s">
        <v>1129</v>
      </c>
      <c r="AL1352">
        <v>340218590</v>
      </c>
      <c r="AM1352" t="s">
        <v>135</v>
      </c>
    </row>
    <row r="1353" spans="1:39" x14ac:dyDescent="0.35">
      <c r="A1353">
        <v>3402</v>
      </c>
      <c r="B1353" t="s">
        <v>47</v>
      </c>
      <c r="C1353">
        <v>2020</v>
      </c>
      <c r="D1353" s="1">
        <v>43831</v>
      </c>
      <c r="E1353">
        <v>1</v>
      </c>
      <c r="F1353">
        <v>200102646</v>
      </c>
      <c r="G1353" t="s">
        <v>120</v>
      </c>
      <c r="H1353">
        <v>81</v>
      </c>
      <c r="I1353">
        <v>71104010</v>
      </c>
      <c r="J1353">
        <v>21021040</v>
      </c>
      <c r="K1353" t="s">
        <v>121</v>
      </c>
      <c r="L1353" s="4">
        <v>131.54</v>
      </c>
      <c r="M1353" t="s">
        <v>31</v>
      </c>
      <c r="N1353" s="4">
        <v>131.54</v>
      </c>
      <c r="O1353" t="s">
        <v>31</v>
      </c>
      <c r="R1353" t="s">
        <v>272</v>
      </c>
      <c r="S1353" t="s">
        <v>1131</v>
      </c>
      <c r="T1353">
        <v>107211</v>
      </c>
      <c r="U1353" t="s">
        <v>123</v>
      </c>
      <c r="X1353" t="s">
        <v>47</v>
      </c>
      <c r="Y1353" s="8">
        <v>4501229349</v>
      </c>
      <c r="Z1353">
        <v>20200130</v>
      </c>
      <c r="AA1353">
        <f t="shared" si="29"/>
        <v>131.54</v>
      </c>
      <c r="AB1353">
        <f t="shared" si="34"/>
        <v>21.046399999999998</v>
      </c>
      <c r="AC1353">
        <f t="shared" si="35"/>
        <v>152.5864</v>
      </c>
      <c r="AD1353">
        <v>200124384</v>
      </c>
      <c r="AE1353" t="s">
        <v>278</v>
      </c>
      <c r="AF1353" s="4">
        <f t="shared" si="36"/>
        <v>152.5864</v>
      </c>
      <c r="AG1353" t="s">
        <v>51</v>
      </c>
      <c r="AH1353" t="s">
        <v>1123</v>
      </c>
      <c r="AI1353">
        <v>200127161</v>
      </c>
      <c r="AJ1353" t="s">
        <v>1148</v>
      </c>
      <c r="AK1353" t="s">
        <v>1129</v>
      </c>
      <c r="AL1353">
        <v>340218590</v>
      </c>
      <c r="AM1353" t="s">
        <v>135</v>
      </c>
    </row>
    <row r="1354" spans="1:39" x14ac:dyDescent="0.35">
      <c r="A1354">
        <v>3402</v>
      </c>
      <c r="B1354" t="s">
        <v>47</v>
      </c>
      <c r="C1354">
        <v>2020</v>
      </c>
      <c r="D1354" s="1">
        <v>43831</v>
      </c>
      <c r="E1354">
        <v>1</v>
      </c>
      <c r="F1354">
        <v>200102648</v>
      </c>
      <c r="G1354" t="s">
        <v>120</v>
      </c>
      <c r="H1354">
        <v>81</v>
      </c>
      <c r="I1354">
        <v>71104010</v>
      </c>
      <c r="J1354">
        <v>21021040</v>
      </c>
      <c r="K1354" t="s">
        <v>121</v>
      </c>
      <c r="L1354" s="4">
        <v>135.1</v>
      </c>
      <c r="M1354" t="s">
        <v>31</v>
      </c>
      <c r="N1354" s="4">
        <v>135.1</v>
      </c>
      <c r="O1354" t="s">
        <v>31</v>
      </c>
      <c r="R1354" t="s">
        <v>272</v>
      </c>
      <c r="S1354" t="s">
        <v>1131</v>
      </c>
      <c r="T1354">
        <v>107211</v>
      </c>
      <c r="U1354" t="s">
        <v>123</v>
      </c>
      <c r="X1354" t="s">
        <v>47</v>
      </c>
      <c r="Y1354" s="8">
        <v>4501229349</v>
      </c>
      <c r="Z1354">
        <v>20200130</v>
      </c>
      <c r="AA1354">
        <f t="shared" si="29"/>
        <v>135.1</v>
      </c>
      <c r="AB1354">
        <f t="shared" si="34"/>
        <v>21.616</v>
      </c>
      <c r="AC1354">
        <f t="shared" si="35"/>
        <v>156.71600000000001</v>
      </c>
      <c r="AD1354">
        <v>200124384</v>
      </c>
      <c r="AE1354" t="s">
        <v>279</v>
      </c>
      <c r="AF1354" s="4">
        <f t="shared" si="36"/>
        <v>156.71600000000001</v>
      </c>
      <c r="AG1354" t="s">
        <v>51</v>
      </c>
      <c r="AH1354" t="s">
        <v>1123</v>
      </c>
      <c r="AI1354">
        <v>200127161</v>
      </c>
      <c r="AJ1354" t="s">
        <v>1148</v>
      </c>
      <c r="AK1354" t="s">
        <v>1129</v>
      </c>
      <c r="AL1354">
        <v>340218590</v>
      </c>
      <c r="AM1354" t="s">
        <v>135</v>
      </c>
    </row>
    <row r="1355" spans="1:39" x14ac:dyDescent="0.35">
      <c r="A1355">
        <v>3402</v>
      </c>
      <c r="B1355" t="s">
        <v>47</v>
      </c>
      <c r="C1355">
        <v>2020</v>
      </c>
      <c r="D1355" s="1">
        <v>43831</v>
      </c>
      <c r="E1355">
        <v>1</v>
      </c>
      <c r="F1355">
        <v>200102649</v>
      </c>
      <c r="G1355" t="s">
        <v>120</v>
      </c>
      <c r="H1355">
        <v>81</v>
      </c>
      <c r="I1355">
        <v>71104010</v>
      </c>
      <c r="J1355">
        <v>21021040</v>
      </c>
      <c r="K1355" t="s">
        <v>121</v>
      </c>
      <c r="L1355" s="4">
        <v>132.84</v>
      </c>
      <c r="M1355" t="s">
        <v>31</v>
      </c>
      <c r="N1355" s="4">
        <v>132.84</v>
      </c>
      <c r="O1355" t="s">
        <v>31</v>
      </c>
      <c r="R1355" t="s">
        <v>272</v>
      </c>
      <c r="S1355" t="s">
        <v>1131</v>
      </c>
      <c r="T1355">
        <v>107211</v>
      </c>
      <c r="U1355" t="s">
        <v>123</v>
      </c>
      <c r="X1355" t="s">
        <v>47</v>
      </c>
      <c r="Y1355" s="8">
        <v>4501229349</v>
      </c>
      <c r="Z1355">
        <v>20200130</v>
      </c>
      <c r="AA1355">
        <f t="shared" si="29"/>
        <v>132.84</v>
      </c>
      <c r="AB1355">
        <f t="shared" si="34"/>
        <v>21.2544</v>
      </c>
      <c r="AC1355">
        <f t="shared" si="35"/>
        <v>154.09440000000001</v>
      </c>
      <c r="AD1355">
        <v>200124384</v>
      </c>
      <c r="AE1355" t="s">
        <v>280</v>
      </c>
      <c r="AF1355" s="4">
        <f t="shared" si="36"/>
        <v>154.09440000000001</v>
      </c>
      <c r="AG1355" t="s">
        <v>51</v>
      </c>
      <c r="AH1355" t="s">
        <v>1123</v>
      </c>
      <c r="AI1355">
        <v>200127161</v>
      </c>
      <c r="AJ1355" t="s">
        <v>1148</v>
      </c>
      <c r="AK1355" t="s">
        <v>1129</v>
      </c>
      <c r="AL1355">
        <v>340218590</v>
      </c>
      <c r="AM1355" t="s">
        <v>135</v>
      </c>
    </row>
    <row r="1356" spans="1:39" x14ac:dyDescent="0.35">
      <c r="A1356">
        <v>3402</v>
      </c>
      <c r="B1356" t="s">
        <v>47</v>
      </c>
      <c r="C1356">
        <v>2020</v>
      </c>
      <c r="D1356" s="1">
        <v>43831</v>
      </c>
      <c r="E1356">
        <v>1</v>
      </c>
      <c r="F1356">
        <v>200102650</v>
      </c>
      <c r="G1356" t="s">
        <v>120</v>
      </c>
      <c r="H1356">
        <v>81</v>
      </c>
      <c r="I1356">
        <v>71104010</v>
      </c>
      <c r="J1356">
        <v>21021040</v>
      </c>
      <c r="K1356" t="s">
        <v>121</v>
      </c>
      <c r="L1356" s="4">
        <v>99.77</v>
      </c>
      <c r="M1356" t="s">
        <v>31</v>
      </c>
      <c r="N1356" s="4">
        <v>99.77</v>
      </c>
      <c r="O1356" t="s">
        <v>31</v>
      </c>
      <c r="R1356" t="s">
        <v>272</v>
      </c>
      <c r="S1356" t="s">
        <v>1131</v>
      </c>
      <c r="T1356">
        <v>107211</v>
      </c>
      <c r="U1356" t="s">
        <v>123</v>
      </c>
      <c r="X1356" t="s">
        <v>47</v>
      </c>
      <c r="Y1356" s="8">
        <v>4501229349</v>
      </c>
      <c r="Z1356">
        <v>20200130</v>
      </c>
      <c r="AA1356">
        <f t="shared" si="29"/>
        <v>99.77</v>
      </c>
      <c r="AB1356">
        <f t="shared" si="34"/>
        <v>15.963200000000001</v>
      </c>
      <c r="AC1356">
        <f t="shared" si="35"/>
        <v>115.7332</v>
      </c>
      <c r="AD1356">
        <v>200124384</v>
      </c>
      <c r="AE1356" t="s">
        <v>298</v>
      </c>
      <c r="AF1356" s="4">
        <f t="shared" si="36"/>
        <v>115.7332</v>
      </c>
      <c r="AG1356" t="s">
        <v>51</v>
      </c>
      <c r="AH1356" t="s">
        <v>1123</v>
      </c>
      <c r="AI1356">
        <v>200127161</v>
      </c>
      <c r="AJ1356" t="s">
        <v>1148</v>
      </c>
      <c r="AK1356" t="s">
        <v>1129</v>
      </c>
      <c r="AL1356">
        <v>340218590</v>
      </c>
      <c r="AM1356" t="s">
        <v>135</v>
      </c>
    </row>
    <row r="1357" spans="1:39" x14ac:dyDescent="0.35">
      <c r="A1357">
        <v>3402</v>
      </c>
      <c r="B1357" t="s">
        <v>47</v>
      </c>
      <c r="C1357">
        <v>2020</v>
      </c>
      <c r="D1357" s="1">
        <v>43831</v>
      </c>
      <c r="E1357">
        <v>1</v>
      </c>
      <c r="F1357">
        <v>200102651</v>
      </c>
      <c r="G1357" t="s">
        <v>120</v>
      </c>
      <c r="H1357">
        <v>81</v>
      </c>
      <c r="I1357">
        <v>71104010</v>
      </c>
      <c r="J1357">
        <v>21021040</v>
      </c>
      <c r="K1357" t="s">
        <v>121</v>
      </c>
      <c r="L1357" s="4">
        <v>132.56</v>
      </c>
      <c r="M1357" t="s">
        <v>31</v>
      </c>
      <c r="N1357" s="4">
        <v>132.56</v>
      </c>
      <c r="O1357" t="s">
        <v>31</v>
      </c>
      <c r="R1357" t="s">
        <v>272</v>
      </c>
      <c r="S1357" t="s">
        <v>1131</v>
      </c>
      <c r="T1357">
        <v>107211</v>
      </c>
      <c r="U1357" t="s">
        <v>123</v>
      </c>
      <c r="X1357" t="s">
        <v>47</v>
      </c>
      <c r="Y1357" s="8">
        <v>4501229349</v>
      </c>
      <c r="Z1357">
        <v>20200130</v>
      </c>
      <c r="AA1357">
        <f t="shared" si="29"/>
        <v>132.56</v>
      </c>
      <c r="AB1357">
        <f t="shared" si="34"/>
        <v>21.209600000000002</v>
      </c>
      <c r="AC1357">
        <f t="shared" si="35"/>
        <v>153.7696</v>
      </c>
      <c r="AD1357">
        <v>200124384</v>
      </c>
      <c r="AE1357" t="s">
        <v>281</v>
      </c>
      <c r="AF1357" s="4">
        <f t="shared" si="36"/>
        <v>153.7696</v>
      </c>
      <c r="AG1357" t="s">
        <v>51</v>
      </c>
      <c r="AH1357" t="s">
        <v>1123</v>
      </c>
      <c r="AI1357">
        <v>200127161</v>
      </c>
      <c r="AJ1357" t="s">
        <v>1148</v>
      </c>
      <c r="AK1357" t="s">
        <v>1129</v>
      </c>
      <c r="AL1357">
        <v>340218590</v>
      </c>
      <c r="AM1357" t="s">
        <v>135</v>
      </c>
    </row>
    <row r="1358" spans="1:39" x14ac:dyDescent="0.35">
      <c r="A1358">
        <v>3402</v>
      </c>
      <c r="B1358" t="s">
        <v>47</v>
      </c>
      <c r="C1358">
        <v>2020</v>
      </c>
      <c r="D1358" s="1">
        <v>43831</v>
      </c>
      <c r="E1358">
        <v>1</v>
      </c>
      <c r="F1358">
        <v>200102652</v>
      </c>
      <c r="G1358" t="s">
        <v>120</v>
      </c>
      <c r="H1358">
        <v>81</v>
      </c>
      <c r="I1358">
        <v>71104010</v>
      </c>
      <c r="J1358">
        <v>21021040</v>
      </c>
      <c r="K1358" t="s">
        <v>121</v>
      </c>
      <c r="L1358" s="4">
        <v>114.32</v>
      </c>
      <c r="M1358" t="s">
        <v>31</v>
      </c>
      <c r="N1358" s="4">
        <v>114.32</v>
      </c>
      <c r="O1358" t="s">
        <v>31</v>
      </c>
      <c r="R1358" t="s">
        <v>272</v>
      </c>
      <c r="S1358" t="s">
        <v>1131</v>
      </c>
      <c r="T1358">
        <v>107211</v>
      </c>
      <c r="U1358" t="s">
        <v>123</v>
      </c>
      <c r="X1358" t="s">
        <v>47</v>
      </c>
      <c r="Y1358" s="8">
        <v>4501229349</v>
      </c>
      <c r="Z1358">
        <v>20200130</v>
      </c>
      <c r="AA1358">
        <f t="shared" si="29"/>
        <v>114.32</v>
      </c>
      <c r="AB1358">
        <f t="shared" si="34"/>
        <v>18.2912</v>
      </c>
      <c r="AC1358">
        <f t="shared" si="35"/>
        <v>132.6112</v>
      </c>
      <c r="AD1358">
        <v>200124384</v>
      </c>
      <c r="AE1358" t="s">
        <v>299</v>
      </c>
      <c r="AF1358" s="4">
        <f t="shared" si="36"/>
        <v>132.6112</v>
      </c>
      <c r="AG1358" t="s">
        <v>51</v>
      </c>
      <c r="AH1358" t="s">
        <v>1123</v>
      </c>
      <c r="AI1358">
        <v>200127161</v>
      </c>
      <c r="AJ1358" t="s">
        <v>1148</v>
      </c>
      <c r="AK1358" t="s">
        <v>1129</v>
      </c>
      <c r="AL1358">
        <v>340218590</v>
      </c>
      <c r="AM1358" t="s">
        <v>135</v>
      </c>
    </row>
    <row r="1359" spans="1:39" x14ac:dyDescent="0.35">
      <c r="A1359">
        <v>3402</v>
      </c>
      <c r="B1359" t="s">
        <v>47</v>
      </c>
      <c r="C1359">
        <v>2020</v>
      </c>
      <c r="D1359" s="1">
        <v>43831</v>
      </c>
      <c r="E1359">
        <v>1</v>
      </c>
      <c r="F1359">
        <v>200102653</v>
      </c>
      <c r="G1359" t="s">
        <v>120</v>
      </c>
      <c r="H1359">
        <v>81</v>
      </c>
      <c r="I1359">
        <v>71104010</v>
      </c>
      <c r="J1359">
        <v>21021040</v>
      </c>
      <c r="K1359" t="s">
        <v>121</v>
      </c>
      <c r="L1359" s="4">
        <v>103.05</v>
      </c>
      <c r="M1359" t="s">
        <v>31</v>
      </c>
      <c r="N1359" s="4">
        <v>103.05</v>
      </c>
      <c r="O1359" t="s">
        <v>31</v>
      </c>
      <c r="R1359" t="s">
        <v>272</v>
      </c>
      <c r="S1359" t="s">
        <v>1131</v>
      </c>
      <c r="T1359">
        <v>107211</v>
      </c>
      <c r="U1359" t="s">
        <v>123</v>
      </c>
      <c r="X1359" t="s">
        <v>47</v>
      </c>
      <c r="Y1359" s="8">
        <v>4501229349</v>
      </c>
      <c r="Z1359">
        <v>20200130</v>
      </c>
      <c r="AA1359">
        <f t="shared" si="29"/>
        <v>103.05</v>
      </c>
      <c r="AB1359">
        <f t="shared" si="34"/>
        <v>16.488</v>
      </c>
      <c r="AC1359">
        <f t="shared" si="35"/>
        <v>119.538</v>
      </c>
      <c r="AD1359">
        <v>200124384</v>
      </c>
      <c r="AE1359" t="s">
        <v>300</v>
      </c>
      <c r="AF1359" s="4">
        <f t="shared" si="36"/>
        <v>119.538</v>
      </c>
      <c r="AG1359" t="s">
        <v>51</v>
      </c>
      <c r="AH1359" t="s">
        <v>1123</v>
      </c>
      <c r="AI1359">
        <v>200127161</v>
      </c>
      <c r="AJ1359" t="s">
        <v>1148</v>
      </c>
      <c r="AK1359" t="s">
        <v>1129</v>
      </c>
      <c r="AL1359">
        <v>340218590</v>
      </c>
      <c r="AM1359" t="s">
        <v>135</v>
      </c>
    </row>
    <row r="1360" spans="1:39" x14ac:dyDescent="0.35">
      <c r="A1360">
        <v>3402</v>
      </c>
      <c r="B1360" t="s">
        <v>47</v>
      </c>
      <c r="C1360">
        <v>2020</v>
      </c>
      <c r="D1360" s="1">
        <v>43831</v>
      </c>
      <c r="E1360">
        <v>1</v>
      </c>
      <c r="F1360">
        <v>200102654</v>
      </c>
      <c r="G1360" t="s">
        <v>120</v>
      </c>
      <c r="H1360">
        <v>81</v>
      </c>
      <c r="I1360">
        <v>71104010</v>
      </c>
      <c r="J1360">
        <v>21021040</v>
      </c>
      <c r="K1360" t="s">
        <v>121</v>
      </c>
      <c r="L1360" s="4">
        <v>106.36</v>
      </c>
      <c r="M1360" t="s">
        <v>31</v>
      </c>
      <c r="N1360" s="4">
        <v>106.36</v>
      </c>
      <c r="O1360" t="s">
        <v>31</v>
      </c>
      <c r="R1360" t="s">
        <v>272</v>
      </c>
      <c r="S1360" t="s">
        <v>1131</v>
      </c>
      <c r="T1360">
        <v>107211</v>
      </c>
      <c r="U1360" t="s">
        <v>123</v>
      </c>
      <c r="X1360" t="s">
        <v>47</v>
      </c>
      <c r="Y1360" s="8">
        <v>4501229349</v>
      </c>
      <c r="Z1360">
        <v>20200130</v>
      </c>
      <c r="AA1360">
        <f t="shared" si="29"/>
        <v>106.36</v>
      </c>
      <c r="AB1360">
        <f t="shared" si="34"/>
        <v>17.017600000000002</v>
      </c>
      <c r="AC1360">
        <f t="shared" si="35"/>
        <v>123.3776</v>
      </c>
      <c r="AD1360">
        <v>200124384</v>
      </c>
      <c r="AE1360" t="s">
        <v>301</v>
      </c>
      <c r="AF1360" s="4">
        <f t="shared" si="36"/>
        <v>123.3776</v>
      </c>
      <c r="AG1360" t="s">
        <v>51</v>
      </c>
      <c r="AH1360" t="s">
        <v>1123</v>
      </c>
      <c r="AI1360">
        <v>200127161</v>
      </c>
      <c r="AJ1360" t="s">
        <v>1148</v>
      </c>
      <c r="AK1360" t="s">
        <v>1129</v>
      </c>
      <c r="AL1360">
        <v>340218590</v>
      </c>
      <c r="AM1360" t="s">
        <v>135</v>
      </c>
    </row>
    <row r="1361" spans="1:39" x14ac:dyDescent="0.35">
      <c r="A1361">
        <v>3402</v>
      </c>
      <c r="B1361" t="s">
        <v>47</v>
      </c>
      <c r="C1361">
        <v>2020</v>
      </c>
      <c r="D1361" s="1">
        <v>43831</v>
      </c>
      <c r="E1361">
        <v>1</v>
      </c>
      <c r="F1361">
        <v>200102655</v>
      </c>
      <c r="G1361" t="s">
        <v>120</v>
      </c>
      <c r="H1361">
        <v>81</v>
      </c>
      <c r="I1361">
        <v>71104010</v>
      </c>
      <c r="J1361">
        <v>21021040</v>
      </c>
      <c r="K1361" t="s">
        <v>121</v>
      </c>
      <c r="L1361" s="4">
        <v>112.94</v>
      </c>
      <c r="M1361" t="s">
        <v>31</v>
      </c>
      <c r="N1361" s="4">
        <v>112.94</v>
      </c>
      <c r="O1361" t="s">
        <v>31</v>
      </c>
      <c r="R1361" t="s">
        <v>272</v>
      </c>
      <c r="S1361" t="s">
        <v>1131</v>
      </c>
      <c r="T1361">
        <v>107211</v>
      </c>
      <c r="U1361" t="s">
        <v>123</v>
      </c>
      <c r="X1361" t="s">
        <v>47</v>
      </c>
      <c r="Y1361" s="8">
        <v>4501229349</v>
      </c>
      <c r="Z1361">
        <v>20200130</v>
      </c>
      <c r="AA1361">
        <f t="shared" si="29"/>
        <v>112.94</v>
      </c>
      <c r="AB1361">
        <f t="shared" si="34"/>
        <v>18.070399999999999</v>
      </c>
      <c r="AC1361">
        <f t="shared" si="35"/>
        <v>131.0104</v>
      </c>
      <c r="AD1361">
        <v>200124384</v>
      </c>
      <c r="AE1361" t="s">
        <v>282</v>
      </c>
      <c r="AF1361" s="4">
        <f t="shared" si="36"/>
        <v>131.0104</v>
      </c>
      <c r="AG1361" t="s">
        <v>51</v>
      </c>
      <c r="AH1361" t="s">
        <v>1123</v>
      </c>
      <c r="AI1361">
        <v>200127161</v>
      </c>
      <c r="AJ1361" t="s">
        <v>1148</v>
      </c>
      <c r="AK1361" t="s">
        <v>1129</v>
      </c>
      <c r="AL1361">
        <v>340218590</v>
      </c>
      <c r="AM1361" t="s">
        <v>135</v>
      </c>
    </row>
    <row r="1362" spans="1:39" x14ac:dyDescent="0.35">
      <c r="A1362">
        <v>3402</v>
      </c>
      <c r="B1362" t="s">
        <v>47</v>
      </c>
      <c r="C1362">
        <v>2020</v>
      </c>
      <c r="D1362" s="1">
        <v>43831</v>
      </c>
      <c r="E1362">
        <v>1</v>
      </c>
      <c r="F1362">
        <v>200102656</v>
      </c>
      <c r="G1362" t="s">
        <v>120</v>
      </c>
      <c r="H1362">
        <v>81</v>
      </c>
      <c r="I1362">
        <v>71104010</v>
      </c>
      <c r="J1362">
        <v>21021040</v>
      </c>
      <c r="K1362" t="s">
        <v>121</v>
      </c>
      <c r="L1362" s="4">
        <v>113.71</v>
      </c>
      <c r="M1362" t="s">
        <v>31</v>
      </c>
      <c r="N1362" s="4">
        <v>113.71</v>
      </c>
      <c r="O1362" t="s">
        <v>31</v>
      </c>
      <c r="R1362" t="s">
        <v>272</v>
      </c>
      <c r="S1362" t="s">
        <v>1131</v>
      </c>
      <c r="T1362">
        <v>107211</v>
      </c>
      <c r="U1362" t="s">
        <v>123</v>
      </c>
      <c r="X1362" t="s">
        <v>47</v>
      </c>
      <c r="Y1362" s="8">
        <v>4501229349</v>
      </c>
      <c r="Z1362">
        <v>20200130</v>
      </c>
      <c r="AA1362">
        <f t="shared" ref="AA1362:AA1425" si="37">L1362</f>
        <v>113.71</v>
      </c>
      <c r="AB1362">
        <f t="shared" si="34"/>
        <v>18.1936</v>
      </c>
      <c r="AC1362">
        <f t="shared" si="35"/>
        <v>131.90359999999998</v>
      </c>
      <c r="AD1362">
        <v>200124384</v>
      </c>
      <c r="AE1362" t="s">
        <v>283</v>
      </c>
      <c r="AF1362" s="4">
        <f t="shared" si="36"/>
        <v>131.90359999999998</v>
      </c>
      <c r="AG1362" t="s">
        <v>51</v>
      </c>
      <c r="AH1362" t="s">
        <v>1123</v>
      </c>
      <c r="AI1362">
        <v>200127161</v>
      </c>
      <c r="AJ1362" t="s">
        <v>1148</v>
      </c>
      <c r="AK1362" t="s">
        <v>1129</v>
      </c>
      <c r="AL1362">
        <v>340218590</v>
      </c>
      <c r="AM1362" t="s">
        <v>135</v>
      </c>
    </row>
    <row r="1363" spans="1:39" x14ac:dyDescent="0.35">
      <c r="A1363">
        <v>3402</v>
      </c>
      <c r="B1363" t="s">
        <v>47</v>
      </c>
      <c r="C1363">
        <v>2020</v>
      </c>
      <c r="D1363" s="1">
        <v>43831</v>
      </c>
      <c r="E1363">
        <v>1</v>
      </c>
      <c r="F1363">
        <v>200102657</v>
      </c>
      <c r="G1363" t="s">
        <v>120</v>
      </c>
      <c r="H1363">
        <v>81</v>
      </c>
      <c r="I1363">
        <v>71104010</v>
      </c>
      <c r="J1363">
        <v>21021040</v>
      </c>
      <c r="K1363" t="s">
        <v>121</v>
      </c>
      <c r="L1363" s="4">
        <v>92.39</v>
      </c>
      <c r="M1363" t="s">
        <v>31</v>
      </c>
      <c r="N1363" s="4">
        <v>92.39</v>
      </c>
      <c r="O1363" t="s">
        <v>31</v>
      </c>
      <c r="R1363" t="s">
        <v>272</v>
      </c>
      <c r="S1363" t="s">
        <v>1131</v>
      </c>
      <c r="T1363">
        <v>107211</v>
      </c>
      <c r="U1363" t="s">
        <v>123</v>
      </c>
      <c r="X1363" t="s">
        <v>47</v>
      </c>
      <c r="Y1363" s="8">
        <v>4501229349</v>
      </c>
      <c r="Z1363">
        <v>20200130</v>
      </c>
      <c r="AA1363">
        <f t="shared" si="37"/>
        <v>92.39</v>
      </c>
      <c r="AB1363">
        <f t="shared" si="34"/>
        <v>14.782400000000001</v>
      </c>
      <c r="AC1363">
        <f t="shared" si="35"/>
        <v>107.1724</v>
      </c>
      <c r="AD1363">
        <v>200124384</v>
      </c>
      <c r="AE1363" t="s">
        <v>302</v>
      </c>
      <c r="AF1363" s="4">
        <f t="shared" si="36"/>
        <v>107.1724</v>
      </c>
      <c r="AG1363" t="s">
        <v>51</v>
      </c>
      <c r="AH1363" t="s">
        <v>1123</v>
      </c>
      <c r="AI1363">
        <v>200127161</v>
      </c>
      <c r="AJ1363" t="s">
        <v>1148</v>
      </c>
      <c r="AK1363" t="s">
        <v>1129</v>
      </c>
      <c r="AL1363">
        <v>340218590</v>
      </c>
      <c r="AM1363" t="s">
        <v>135</v>
      </c>
    </row>
    <row r="1364" spans="1:39" x14ac:dyDescent="0.35">
      <c r="A1364">
        <v>3402</v>
      </c>
      <c r="B1364" t="s">
        <v>47</v>
      </c>
      <c r="C1364">
        <v>2020</v>
      </c>
      <c r="D1364" s="1">
        <v>43831</v>
      </c>
      <c r="E1364">
        <v>1</v>
      </c>
      <c r="F1364">
        <v>200102659</v>
      </c>
      <c r="G1364" t="s">
        <v>120</v>
      </c>
      <c r="H1364">
        <v>81</v>
      </c>
      <c r="I1364">
        <v>71104010</v>
      </c>
      <c r="J1364">
        <v>21021040</v>
      </c>
      <c r="K1364" t="s">
        <v>121</v>
      </c>
      <c r="L1364" s="4">
        <v>134.05000000000001</v>
      </c>
      <c r="M1364" t="s">
        <v>31</v>
      </c>
      <c r="N1364" s="4">
        <v>134.05000000000001</v>
      </c>
      <c r="O1364" t="s">
        <v>31</v>
      </c>
      <c r="R1364" t="s">
        <v>272</v>
      </c>
      <c r="S1364" t="s">
        <v>1131</v>
      </c>
      <c r="T1364">
        <v>107211</v>
      </c>
      <c r="U1364" t="s">
        <v>123</v>
      </c>
      <c r="X1364" t="s">
        <v>47</v>
      </c>
      <c r="Y1364" s="8">
        <v>4501229349</v>
      </c>
      <c r="Z1364">
        <v>20200130</v>
      </c>
      <c r="AA1364">
        <f t="shared" si="37"/>
        <v>134.05000000000001</v>
      </c>
      <c r="AB1364">
        <f t="shared" si="34"/>
        <v>21.448000000000004</v>
      </c>
      <c r="AC1364">
        <f t="shared" si="35"/>
        <v>155.49800000000002</v>
      </c>
      <c r="AD1364">
        <v>200124384</v>
      </c>
      <c r="AE1364" t="s">
        <v>303</v>
      </c>
      <c r="AF1364" s="4">
        <f t="shared" si="36"/>
        <v>155.49800000000002</v>
      </c>
      <c r="AG1364" t="s">
        <v>51</v>
      </c>
      <c r="AH1364" t="s">
        <v>1123</v>
      </c>
      <c r="AI1364">
        <v>200127161</v>
      </c>
      <c r="AJ1364" t="s">
        <v>1148</v>
      </c>
      <c r="AK1364" t="s">
        <v>1129</v>
      </c>
      <c r="AL1364">
        <v>340218590</v>
      </c>
      <c r="AM1364" t="s">
        <v>135</v>
      </c>
    </row>
    <row r="1365" spans="1:39" x14ac:dyDescent="0.35">
      <c r="A1365">
        <v>3402</v>
      </c>
      <c r="B1365" t="s">
        <v>47</v>
      </c>
      <c r="C1365">
        <v>2020</v>
      </c>
      <c r="D1365" s="1">
        <v>43831</v>
      </c>
      <c r="E1365">
        <v>1</v>
      </c>
      <c r="F1365">
        <v>200102660</v>
      </c>
      <c r="G1365" t="s">
        <v>120</v>
      </c>
      <c r="H1365">
        <v>81</v>
      </c>
      <c r="I1365">
        <v>71104010</v>
      </c>
      <c r="J1365">
        <v>21021040</v>
      </c>
      <c r="K1365" t="s">
        <v>121</v>
      </c>
      <c r="L1365" s="4">
        <v>140.38999999999999</v>
      </c>
      <c r="M1365" t="s">
        <v>31</v>
      </c>
      <c r="N1365" s="4">
        <v>140.38999999999999</v>
      </c>
      <c r="O1365" t="s">
        <v>31</v>
      </c>
      <c r="R1365" t="s">
        <v>272</v>
      </c>
      <c r="S1365" t="s">
        <v>1131</v>
      </c>
      <c r="T1365">
        <v>107211</v>
      </c>
      <c r="U1365" t="s">
        <v>123</v>
      </c>
      <c r="X1365" t="s">
        <v>47</v>
      </c>
      <c r="Y1365" s="8">
        <v>4501229349</v>
      </c>
      <c r="Z1365">
        <v>20200130</v>
      </c>
      <c r="AA1365">
        <f t="shared" si="37"/>
        <v>140.38999999999999</v>
      </c>
      <c r="AB1365">
        <f t="shared" si="34"/>
        <v>22.462399999999999</v>
      </c>
      <c r="AC1365">
        <f t="shared" si="35"/>
        <v>162.85239999999999</v>
      </c>
      <c r="AD1365">
        <v>200124384</v>
      </c>
      <c r="AE1365" t="s">
        <v>304</v>
      </c>
      <c r="AF1365" s="4">
        <f t="shared" si="36"/>
        <v>162.85239999999999</v>
      </c>
      <c r="AG1365" t="s">
        <v>51</v>
      </c>
      <c r="AH1365" t="s">
        <v>1123</v>
      </c>
      <c r="AI1365">
        <v>200127161</v>
      </c>
      <c r="AJ1365" t="s">
        <v>1148</v>
      </c>
      <c r="AK1365" t="s">
        <v>1129</v>
      </c>
      <c r="AL1365">
        <v>340218590</v>
      </c>
      <c r="AM1365" t="s">
        <v>135</v>
      </c>
    </row>
    <row r="1366" spans="1:39" x14ac:dyDescent="0.35">
      <c r="A1366">
        <v>3402</v>
      </c>
      <c r="B1366" t="s">
        <v>47</v>
      </c>
      <c r="C1366">
        <v>2020</v>
      </c>
      <c r="D1366" s="1">
        <v>43831</v>
      </c>
      <c r="E1366">
        <v>1</v>
      </c>
      <c r="F1366">
        <v>200114335</v>
      </c>
      <c r="G1366" t="s">
        <v>120</v>
      </c>
      <c r="H1366">
        <v>91</v>
      </c>
      <c r="I1366">
        <v>71104010</v>
      </c>
      <c r="J1366">
        <v>21021040</v>
      </c>
      <c r="K1366" t="s">
        <v>121</v>
      </c>
      <c r="L1366" s="4">
        <v>109.7</v>
      </c>
      <c r="M1366" t="s">
        <v>31</v>
      </c>
      <c r="N1366" s="4">
        <v>109.7</v>
      </c>
      <c r="O1366" t="s">
        <v>31</v>
      </c>
      <c r="R1366" t="s">
        <v>272</v>
      </c>
      <c r="S1366" t="s">
        <v>1131</v>
      </c>
      <c r="T1366">
        <v>107211</v>
      </c>
      <c r="U1366" t="s">
        <v>123</v>
      </c>
      <c r="X1366" t="s">
        <v>35</v>
      </c>
      <c r="Y1366" s="8">
        <v>4501229349</v>
      </c>
      <c r="Z1366">
        <v>20200130</v>
      </c>
      <c r="AA1366">
        <f t="shared" si="37"/>
        <v>109.7</v>
      </c>
      <c r="AB1366">
        <f t="shared" si="34"/>
        <v>17.552</v>
      </c>
      <c r="AC1366">
        <f t="shared" si="35"/>
        <v>127.25200000000001</v>
      </c>
      <c r="AD1366">
        <v>200124384</v>
      </c>
      <c r="AE1366" t="s">
        <v>287</v>
      </c>
      <c r="AF1366" s="4">
        <f t="shared" si="36"/>
        <v>127.25200000000001</v>
      </c>
      <c r="AG1366" t="s">
        <v>51</v>
      </c>
      <c r="AH1366" t="s">
        <v>1123</v>
      </c>
      <c r="AI1366">
        <v>200127161</v>
      </c>
      <c r="AJ1366" t="s">
        <v>1148</v>
      </c>
      <c r="AK1366" t="s">
        <v>1129</v>
      </c>
      <c r="AL1366">
        <v>340218590</v>
      </c>
      <c r="AM1366" t="s">
        <v>135</v>
      </c>
    </row>
    <row r="1367" spans="1:39" x14ac:dyDescent="0.35">
      <c r="A1367">
        <v>3402</v>
      </c>
      <c r="B1367" t="s">
        <v>47</v>
      </c>
      <c r="C1367">
        <v>2020</v>
      </c>
      <c r="D1367" s="1">
        <v>43831</v>
      </c>
      <c r="E1367">
        <v>1</v>
      </c>
      <c r="F1367">
        <v>200114336</v>
      </c>
      <c r="G1367" t="s">
        <v>120</v>
      </c>
      <c r="H1367">
        <v>81</v>
      </c>
      <c r="I1367">
        <v>71104010</v>
      </c>
      <c r="J1367">
        <v>21021040</v>
      </c>
      <c r="K1367" t="s">
        <v>121</v>
      </c>
      <c r="L1367" s="4">
        <v>109685.4</v>
      </c>
      <c r="M1367" t="s">
        <v>31</v>
      </c>
      <c r="N1367" s="4">
        <v>109685.4</v>
      </c>
      <c r="O1367" t="s">
        <v>31</v>
      </c>
      <c r="R1367" t="s">
        <v>272</v>
      </c>
      <c r="S1367" t="s">
        <v>1131</v>
      </c>
      <c r="T1367">
        <v>107211</v>
      </c>
      <c r="U1367" t="s">
        <v>123</v>
      </c>
      <c r="X1367" t="s">
        <v>35</v>
      </c>
      <c r="Y1367" s="8">
        <v>4501229349</v>
      </c>
      <c r="Z1367">
        <v>20200130</v>
      </c>
      <c r="AA1367">
        <f t="shared" si="37"/>
        <v>109685.4</v>
      </c>
      <c r="AB1367">
        <f t="shared" si="34"/>
        <v>17549.664000000001</v>
      </c>
      <c r="AC1367">
        <f t="shared" si="35"/>
        <v>127235.064</v>
      </c>
      <c r="AD1367">
        <v>200124384</v>
      </c>
      <c r="AE1367" t="s">
        <v>287</v>
      </c>
      <c r="AF1367" s="4">
        <f t="shared" si="36"/>
        <v>127235.064</v>
      </c>
      <c r="AG1367" t="s">
        <v>51</v>
      </c>
      <c r="AH1367" t="s">
        <v>1123</v>
      </c>
      <c r="AI1367">
        <v>200127161</v>
      </c>
      <c r="AJ1367" t="s">
        <v>1148</v>
      </c>
      <c r="AK1367" t="s">
        <v>1129</v>
      </c>
      <c r="AL1367">
        <v>340218590</v>
      </c>
      <c r="AM1367" t="s">
        <v>135</v>
      </c>
    </row>
    <row r="1368" spans="1:39" x14ac:dyDescent="0.35">
      <c r="A1368">
        <v>3402</v>
      </c>
      <c r="B1368" t="s">
        <v>47</v>
      </c>
      <c r="C1368">
        <v>2020</v>
      </c>
      <c r="D1368" s="1">
        <v>43831</v>
      </c>
      <c r="E1368">
        <v>1</v>
      </c>
      <c r="F1368">
        <v>200114338</v>
      </c>
      <c r="G1368" t="s">
        <v>120</v>
      </c>
      <c r="H1368">
        <v>91</v>
      </c>
      <c r="I1368">
        <v>71104010</v>
      </c>
      <c r="J1368">
        <v>21021040</v>
      </c>
      <c r="K1368" t="s">
        <v>121</v>
      </c>
      <c r="L1368" s="4">
        <v>133.24</v>
      </c>
      <c r="M1368" t="s">
        <v>31</v>
      </c>
      <c r="N1368" s="4">
        <v>133.24</v>
      </c>
      <c r="O1368" t="s">
        <v>31</v>
      </c>
      <c r="R1368" t="s">
        <v>272</v>
      </c>
      <c r="S1368" t="s">
        <v>1131</v>
      </c>
      <c r="T1368">
        <v>107211</v>
      </c>
      <c r="U1368" t="s">
        <v>123</v>
      </c>
      <c r="X1368" t="s">
        <v>35</v>
      </c>
      <c r="Y1368" s="8">
        <v>4501229349</v>
      </c>
      <c r="Z1368">
        <v>20200130</v>
      </c>
      <c r="AA1368">
        <f t="shared" si="37"/>
        <v>133.24</v>
      </c>
      <c r="AB1368">
        <f t="shared" si="34"/>
        <v>21.3184</v>
      </c>
      <c r="AC1368">
        <f t="shared" si="35"/>
        <v>154.55840000000001</v>
      </c>
      <c r="AD1368">
        <v>200124384</v>
      </c>
      <c r="AE1368" t="s">
        <v>273</v>
      </c>
      <c r="AF1368" s="4">
        <f t="shared" si="36"/>
        <v>154.55840000000001</v>
      </c>
      <c r="AG1368" t="s">
        <v>51</v>
      </c>
      <c r="AH1368" t="s">
        <v>1123</v>
      </c>
      <c r="AI1368">
        <v>200127161</v>
      </c>
      <c r="AJ1368" t="s">
        <v>1148</v>
      </c>
      <c r="AK1368" t="s">
        <v>1129</v>
      </c>
      <c r="AL1368">
        <v>340218590</v>
      </c>
      <c r="AM1368" t="s">
        <v>135</v>
      </c>
    </row>
    <row r="1369" spans="1:39" x14ac:dyDescent="0.35">
      <c r="A1369">
        <v>3402</v>
      </c>
      <c r="B1369" t="s">
        <v>47</v>
      </c>
      <c r="C1369">
        <v>2020</v>
      </c>
      <c r="D1369" s="1">
        <v>43831</v>
      </c>
      <c r="E1369">
        <v>1</v>
      </c>
      <c r="F1369">
        <v>200114339</v>
      </c>
      <c r="G1369" t="s">
        <v>120</v>
      </c>
      <c r="H1369">
        <v>81</v>
      </c>
      <c r="I1369">
        <v>71104010</v>
      </c>
      <c r="J1369">
        <v>21021040</v>
      </c>
      <c r="K1369" t="s">
        <v>121</v>
      </c>
      <c r="L1369" s="4">
        <v>133232.92000000001</v>
      </c>
      <c r="M1369" t="s">
        <v>31</v>
      </c>
      <c r="N1369" s="4">
        <v>133232.92000000001</v>
      </c>
      <c r="O1369" t="s">
        <v>31</v>
      </c>
      <c r="R1369" t="s">
        <v>272</v>
      </c>
      <c r="S1369" t="s">
        <v>1131</v>
      </c>
      <c r="T1369">
        <v>107211</v>
      </c>
      <c r="U1369" t="s">
        <v>123</v>
      </c>
      <c r="X1369" t="s">
        <v>35</v>
      </c>
      <c r="Y1369" s="8">
        <v>4501229349</v>
      </c>
      <c r="Z1369">
        <v>20200130</v>
      </c>
      <c r="AA1369">
        <f t="shared" si="37"/>
        <v>133232.92000000001</v>
      </c>
      <c r="AB1369">
        <f t="shared" si="34"/>
        <v>21317.267200000002</v>
      </c>
      <c r="AC1369">
        <f t="shared" si="35"/>
        <v>154550.18720000001</v>
      </c>
      <c r="AD1369">
        <v>200124384</v>
      </c>
      <c r="AE1369" t="s">
        <v>273</v>
      </c>
      <c r="AF1369" s="4">
        <f t="shared" si="36"/>
        <v>154550.18720000001</v>
      </c>
      <c r="AG1369" t="s">
        <v>51</v>
      </c>
      <c r="AH1369" t="s">
        <v>1123</v>
      </c>
      <c r="AI1369">
        <v>200127161</v>
      </c>
      <c r="AJ1369" t="s">
        <v>1148</v>
      </c>
      <c r="AK1369" t="s">
        <v>1129</v>
      </c>
      <c r="AL1369">
        <v>340218590</v>
      </c>
      <c r="AM1369" t="s">
        <v>135</v>
      </c>
    </row>
    <row r="1370" spans="1:39" x14ac:dyDescent="0.35">
      <c r="A1370">
        <v>3402</v>
      </c>
      <c r="B1370" t="s">
        <v>47</v>
      </c>
      <c r="C1370">
        <v>2020</v>
      </c>
      <c r="D1370" s="1">
        <v>43831</v>
      </c>
      <c r="E1370">
        <v>1</v>
      </c>
      <c r="F1370">
        <v>200114342</v>
      </c>
      <c r="G1370" t="s">
        <v>120</v>
      </c>
      <c r="H1370">
        <v>91</v>
      </c>
      <c r="I1370">
        <v>71104010</v>
      </c>
      <c r="J1370">
        <v>21021040</v>
      </c>
      <c r="K1370" t="s">
        <v>121</v>
      </c>
      <c r="L1370" s="4">
        <v>126.54</v>
      </c>
      <c r="M1370" t="s">
        <v>31</v>
      </c>
      <c r="N1370" s="4">
        <v>126.54</v>
      </c>
      <c r="O1370" t="s">
        <v>31</v>
      </c>
      <c r="R1370" t="s">
        <v>272</v>
      </c>
      <c r="S1370" t="s">
        <v>1131</v>
      </c>
      <c r="T1370">
        <v>107211</v>
      </c>
      <c r="U1370" t="s">
        <v>123</v>
      </c>
      <c r="X1370" t="s">
        <v>35</v>
      </c>
      <c r="Y1370" s="8">
        <v>4501229349</v>
      </c>
      <c r="Z1370">
        <v>20200130</v>
      </c>
      <c r="AA1370">
        <f t="shared" si="37"/>
        <v>126.54</v>
      </c>
      <c r="AB1370">
        <f t="shared" si="34"/>
        <v>20.246400000000001</v>
      </c>
      <c r="AC1370">
        <f t="shared" si="35"/>
        <v>146.78640000000001</v>
      </c>
      <c r="AD1370">
        <v>200124384</v>
      </c>
      <c r="AE1370" t="s">
        <v>276</v>
      </c>
      <c r="AF1370" s="4">
        <f t="shared" si="36"/>
        <v>146.78640000000001</v>
      </c>
      <c r="AG1370" t="s">
        <v>51</v>
      </c>
      <c r="AH1370" t="s">
        <v>1123</v>
      </c>
      <c r="AI1370">
        <v>200127161</v>
      </c>
      <c r="AJ1370" t="s">
        <v>1148</v>
      </c>
      <c r="AK1370" t="s">
        <v>1129</v>
      </c>
      <c r="AL1370">
        <v>340218590</v>
      </c>
      <c r="AM1370" t="s">
        <v>135</v>
      </c>
    </row>
    <row r="1371" spans="1:39" x14ac:dyDescent="0.35">
      <c r="A1371">
        <v>3402</v>
      </c>
      <c r="B1371" t="s">
        <v>47</v>
      </c>
      <c r="C1371">
        <v>2020</v>
      </c>
      <c r="D1371" s="1">
        <v>43831</v>
      </c>
      <c r="E1371">
        <v>1</v>
      </c>
      <c r="F1371">
        <v>200114344</v>
      </c>
      <c r="G1371" t="s">
        <v>120</v>
      </c>
      <c r="H1371">
        <v>91</v>
      </c>
      <c r="I1371">
        <v>71104010</v>
      </c>
      <c r="J1371">
        <v>21021040</v>
      </c>
      <c r="K1371" t="s">
        <v>121</v>
      </c>
      <c r="L1371" s="4">
        <v>92.61</v>
      </c>
      <c r="M1371" t="s">
        <v>31</v>
      </c>
      <c r="N1371" s="4">
        <v>92.61</v>
      </c>
      <c r="O1371" t="s">
        <v>31</v>
      </c>
      <c r="R1371" t="s">
        <v>272</v>
      </c>
      <c r="S1371" t="s">
        <v>1131</v>
      </c>
      <c r="T1371">
        <v>107211</v>
      </c>
      <c r="U1371" t="s">
        <v>123</v>
      </c>
      <c r="X1371" t="s">
        <v>35</v>
      </c>
      <c r="Y1371" s="8">
        <v>4501229349</v>
      </c>
      <c r="Z1371">
        <v>20200130</v>
      </c>
      <c r="AA1371">
        <f t="shared" si="37"/>
        <v>92.61</v>
      </c>
      <c r="AB1371">
        <f t="shared" si="34"/>
        <v>14.817600000000001</v>
      </c>
      <c r="AC1371">
        <f t="shared" si="35"/>
        <v>107.4276</v>
      </c>
      <c r="AD1371">
        <v>200124384</v>
      </c>
      <c r="AE1371" t="s">
        <v>277</v>
      </c>
      <c r="AF1371" s="4">
        <f t="shared" si="36"/>
        <v>107.4276</v>
      </c>
      <c r="AG1371" t="s">
        <v>51</v>
      </c>
      <c r="AH1371" t="s">
        <v>1123</v>
      </c>
      <c r="AI1371">
        <v>200127161</v>
      </c>
      <c r="AJ1371" t="s">
        <v>1148</v>
      </c>
      <c r="AK1371" t="s">
        <v>1129</v>
      </c>
      <c r="AL1371">
        <v>340218590</v>
      </c>
      <c r="AM1371" t="s">
        <v>135</v>
      </c>
    </row>
    <row r="1372" spans="1:39" x14ac:dyDescent="0.35">
      <c r="A1372">
        <v>3402</v>
      </c>
      <c r="B1372" t="s">
        <v>47</v>
      </c>
      <c r="C1372">
        <v>2020</v>
      </c>
      <c r="D1372" s="1">
        <v>43831</v>
      </c>
      <c r="E1372">
        <v>1</v>
      </c>
      <c r="F1372">
        <v>200114347</v>
      </c>
      <c r="G1372" t="s">
        <v>120</v>
      </c>
      <c r="H1372">
        <v>91</v>
      </c>
      <c r="I1372">
        <v>71104010</v>
      </c>
      <c r="J1372">
        <v>21021040</v>
      </c>
      <c r="K1372" t="s">
        <v>121</v>
      </c>
      <c r="L1372" s="4">
        <v>124.01</v>
      </c>
      <c r="M1372" t="s">
        <v>31</v>
      </c>
      <c r="N1372" s="4">
        <v>124.01</v>
      </c>
      <c r="O1372" t="s">
        <v>31</v>
      </c>
      <c r="R1372" t="s">
        <v>272</v>
      </c>
      <c r="S1372" t="s">
        <v>1131</v>
      </c>
      <c r="T1372">
        <v>107211</v>
      </c>
      <c r="U1372" t="s">
        <v>123</v>
      </c>
      <c r="X1372" t="s">
        <v>35</v>
      </c>
      <c r="Y1372" s="8">
        <v>4501229349</v>
      </c>
      <c r="Z1372">
        <v>20200130</v>
      </c>
      <c r="AA1372">
        <f t="shared" si="37"/>
        <v>124.01</v>
      </c>
      <c r="AB1372">
        <f t="shared" si="34"/>
        <v>19.8416</v>
      </c>
      <c r="AC1372">
        <f t="shared" si="35"/>
        <v>143.85160000000002</v>
      </c>
      <c r="AD1372">
        <v>200124384</v>
      </c>
      <c r="AE1372" t="s">
        <v>288</v>
      </c>
      <c r="AF1372" s="4">
        <f t="shared" si="36"/>
        <v>143.85160000000002</v>
      </c>
      <c r="AG1372" t="s">
        <v>51</v>
      </c>
      <c r="AH1372" t="s">
        <v>1123</v>
      </c>
      <c r="AI1372">
        <v>200127161</v>
      </c>
      <c r="AJ1372" t="s">
        <v>1148</v>
      </c>
      <c r="AK1372" t="s">
        <v>1129</v>
      </c>
      <c r="AL1372">
        <v>340218590</v>
      </c>
      <c r="AM1372" t="s">
        <v>135</v>
      </c>
    </row>
    <row r="1373" spans="1:39" x14ac:dyDescent="0.35">
      <c r="A1373">
        <v>3402</v>
      </c>
      <c r="B1373" t="s">
        <v>47</v>
      </c>
      <c r="C1373">
        <v>2020</v>
      </c>
      <c r="D1373" s="1">
        <v>43831</v>
      </c>
      <c r="E1373">
        <v>1</v>
      </c>
      <c r="F1373">
        <v>200114348</v>
      </c>
      <c r="G1373" t="s">
        <v>120</v>
      </c>
      <c r="H1373">
        <v>81</v>
      </c>
      <c r="I1373">
        <v>71104010</v>
      </c>
      <c r="J1373">
        <v>21021040</v>
      </c>
      <c r="K1373" t="s">
        <v>121</v>
      </c>
      <c r="L1373" s="4">
        <v>124005.88</v>
      </c>
      <c r="M1373" t="s">
        <v>31</v>
      </c>
      <c r="N1373" s="4">
        <v>124005.88</v>
      </c>
      <c r="O1373" t="s">
        <v>31</v>
      </c>
      <c r="R1373" t="s">
        <v>272</v>
      </c>
      <c r="S1373" t="s">
        <v>1131</v>
      </c>
      <c r="T1373">
        <v>107211</v>
      </c>
      <c r="U1373" t="s">
        <v>123</v>
      </c>
      <c r="X1373" t="s">
        <v>35</v>
      </c>
      <c r="Y1373" s="8">
        <v>4501229349</v>
      </c>
      <c r="Z1373">
        <v>20200130</v>
      </c>
      <c r="AA1373">
        <f t="shared" si="37"/>
        <v>124005.88</v>
      </c>
      <c r="AB1373">
        <f t="shared" si="34"/>
        <v>19840.9408</v>
      </c>
      <c r="AC1373">
        <f t="shared" si="35"/>
        <v>143846.82080000002</v>
      </c>
      <c r="AD1373">
        <v>200124384</v>
      </c>
      <c r="AE1373" t="s">
        <v>288</v>
      </c>
      <c r="AF1373" s="4">
        <f t="shared" si="36"/>
        <v>143846.82080000002</v>
      </c>
      <c r="AG1373" t="s">
        <v>51</v>
      </c>
      <c r="AH1373" t="s">
        <v>1123</v>
      </c>
      <c r="AI1373">
        <v>200127161</v>
      </c>
      <c r="AJ1373" t="s">
        <v>1148</v>
      </c>
      <c r="AK1373" t="s">
        <v>1129</v>
      </c>
      <c r="AL1373">
        <v>340218590</v>
      </c>
      <c r="AM1373" t="s">
        <v>135</v>
      </c>
    </row>
    <row r="1374" spans="1:39" x14ac:dyDescent="0.35">
      <c r="A1374">
        <v>3402</v>
      </c>
      <c r="B1374" t="s">
        <v>47</v>
      </c>
      <c r="C1374">
        <v>2020</v>
      </c>
      <c r="D1374" s="1">
        <v>43831</v>
      </c>
      <c r="E1374">
        <v>1</v>
      </c>
      <c r="F1374">
        <v>200114349</v>
      </c>
      <c r="G1374" t="s">
        <v>120</v>
      </c>
      <c r="H1374">
        <v>91</v>
      </c>
      <c r="I1374">
        <v>71104010</v>
      </c>
      <c r="J1374">
        <v>21021040</v>
      </c>
      <c r="K1374" t="s">
        <v>121</v>
      </c>
      <c r="L1374" s="4">
        <v>124005.88</v>
      </c>
      <c r="M1374" t="s">
        <v>31</v>
      </c>
      <c r="N1374" s="4">
        <v>124005.88</v>
      </c>
      <c r="O1374" t="s">
        <v>31</v>
      </c>
      <c r="R1374" t="s">
        <v>272</v>
      </c>
      <c r="S1374" t="s">
        <v>1131</v>
      </c>
      <c r="T1374">
        <v>107211</v>
      </c>
      <c r="U1374" t="s">
        <v>123</v>
      </c>
      <c r="X1374" t="s">
        <v>35</v>
      </c>
      <c r="Y1374" s="8">
        <v>4501229349</v>
      </c>
      <c r="Z1374">
        <v>20200130</v>
      </c>
      <c r="AA1374">
        <f t="shared" si="37"/>
        <v>124005.88</v>
      </c>
      <c r="AB1374">
        <f t="shared" si="34"/>
        <v>19840.9408</v>
      </c>
      <c r="AC1374">
        <f t="shared" si="35"/>
        <v>143846.82080000002</v>
      </c>
      <c r="AD1374">
        <v>200124384</v>
      </c>
      <c r="AE1374" t="s">
        <v>288</v>
      </c>
      <c r="AF1374" s="4">
        <f t="shared" si="36"/>
        <v>143846.82080000002</v>
      </c>
      <c r="AG1374" t="s">
        <v>51</v>
      </c>
      <c r="AH1374" t="s">
        <v>1123</v>
      </c>
      <c r="AI1374">
        <v>200127161</v>
      </c>
      <c r="AJ1374" t="s">
        <v>1148</v>
      </c>
      <c r="AK1374" t="s">
        <v>1129</v>
      </c>
      <c r="AL1374">
        <v>340218590</v>
      </c>
      <c r="AM1374" t="s">
        <v>135</v>
      </c>
    </row>
    <row r="1375" spans="1:39" x14ac:dyDescent="0.35">
      <c r="A1375">
        <v>3402</v>
      </c>
      <c r="B1375" t="s">
        <v>47</v>
      </c>
      <c r="C1375">
        <v>2020</v>
      </c>
      <c r="D1375" s="1">
        <v>43831</v>
      </c>
      <c r="E1375">
        <v>1</v>
      </c>
      <c r="F1375">
        <v>200114350</v>
      </c>
      <c r="G1375" t="s">
        <v>120</v>
      </c>
      <c r="H1375">
        <v>81</v>
      </c>
      <c r="I1375">
        <v>71104010</v>
      </c>
      <c r="J1375">
        <v>21021040</v>
      </c>
      <c r="K1375" t="s">
        <v>121</v>
      </c>
      <c r="L1375" s="4">
        <v>124005.88</v>
      </c>
      <c r="M1375" t="s">
        <v>31</v>
      </c>
      <c r="N1375" s="4">
        <v>124005.88</v>
      </c>
      <c r="O1375" t="s">
        <v>31</v>
      </c>
      <c r="R1375" t="s">
        <v>272</v>
      </c>
      <c r="S1375" t="s">
        <v>1131</v>
      </c>
      <c r="T1375">
        <v>107211</v>
      </c>
      <c r="U1375" t="s">
        <v>123</v>
      </c>
      <c r="X1375" t="s">
        <v>35</v>
      </c>
      <c r="Y1375" s="8">
        <v>4501229349</v>
      </c>
      <c r="Z1375">
        <v>20200130</v>
      </c>
      <c r="AA1375">
        <f t="shared" si="37"/>
        <v>124005.88</v>
      </c>
      <c r="AB1375">
        <f t="shared" si="34"/>
        <v>19840.9408</v>
      </c>
      <c r="AC1375">
        <f t="shared" si="35"/>
        <v>143846.82080000002</v>
      </c>
      <c r="AD1375">
        <v>200124384</v>
      </c>
      <c r="AE1375" t="s">
        <v>288</v>
      </c>
      <c r="AF1375" s="4">
        <f t="shared" si="36"/>
        <v>143846.82080000002</v>
      </c>
      <c r="AG1375" t="s">
        <v>51</v>
      </c>
      <c r="AH1375" t="s">
        <v>1123</v>
      </c>
      <c r="AI1375">
        <v>200127161</v>
      </c>
      <c r="AJ1375" t="s">
        <v>1148</v>
      </c>
      <c r="AK1375" t="s">
        <v>1129</v>
      </c>
      <c r="AL1375">
        <v>340218590</v>
      </c>
      <c r="AM1375" t="s">
        <v>135</v>
      </c>
    </row>
    <row r="1376" spans="1:39" x14ac:dyDescent="0.35">
      <c r="A1376">
        <v>3402</v>
      </c>
      <c r="B1376" t="s">
        <v>47</v>
      </c>
      <c r="C1376">
        <v>2020</v>
      </c>
      <c r="D1376" s="1">
        <v>43831</v>
      </c>
      <c r="E1376">
        <v>1</v>
      </c>
      <c r="F1376">
        <v>200114351</v>
      </c>
      <c r="G1376" t="s">
        <v>120</v>
      </c>
      <c r="H1376">
        <v>91</v>
      </c>
      <c r="I1376">
        <v>71104010</v>
      </c>
      <c r="J1376">
        <v>21021040</v>
      </c>
      <c r="K1376" t="s">
        <v>121</v>
      </c>
      <c r="L1376" s="4">
        <v>128.66</v>
      </c>
      <c r="M1376" t="s">
        <v>31</v>
      </c>
      <c r="N1376" s="4">
        <v>128.66</v>
      </c>
      <c r="O1376" t="s">
        <v>31</v>
      </c>
      <c r="R1376" t="s">
        <v>272</v>
      </c>
      <c r="S1376" t="s">
        <v>1131</v>
      </c>
      <c r="T1376">
        <v>107211</v>
      </c>
      <c r="U1376" t="s">
        <v>123</v>
      </c>
      <c r="X1376" t="s">
        <v>35</v>
      </c>
      <c r="Y1376" s="8">
        <v>4501229349</v>
      </c>
      <c r="Z1376">
        <v>20200130</v>
      </c>
      <c r="AA1376">
        <f t="shared" si="37"/>
        <v>128.66</v>
      </c>
      <c r="AB1376">
        <f t="shared" si="34"/>
        <v>20.585599999999999</v>
      </c>
      <c r="AC1376">
        <f t="shared" si="35"/>
        <v>149.2456</v>
      </c>
      <c r="AD1376">
        <v>200124384</v>
      </c>
      <c r="AE1376" t="s">
        <v>290</v>
      </c>
      <c r="AF1376" s="4">
        <f t="shared" si="36"/>
        <v>149.2456</v>
      </c>
      <c r="AG1376" t="s">
        <v>51</v>
      </c>
      <c r="AH1376" t="s">
        <v>1123</v>
      </c>
      <c r="AI1376">
        <v>200127161</v>
      </c>
      <c r="AJ1376" t="s">
        <v>1148</v>
      </c>
      <c r="AK1376" t="s">
        <v>1129</v>
      </c>
      <c r="AL1376">
        <v>340218590</v>
      </c>
      <c r="AM1376" t="s">
        <v>135</v>
      </c>
    </row>
    <row r="1377" spans="1:39" x14ac:dyDescent="0.35">
      <c r="A1377">
        <v>3402</v>
      </c>
      <c r="B1377" t="s">
        <v>47</v>
      </c>
      <c r="C1377">
        <v>2020</v>
      </c>
      <c r="D1377" s="1">
        <v>43831</v>
      </c>
      <c r="E1377">
        <v>1</v>
      </c>
      <c r="F1377">
        <v>200114352</v>
      </c>
      <c r="G1377" t="s">
        <v>120</v>
      </c>
      <c r="H1377">
        <v>81</v>
      </c>
      <c r="I1377">
        <v>71104010</v>
      </c>
      <c r="J1377">
        <v>21021040</v>
      </c>
      <c r="K1377" t="s">
        <v>121</v>
      </c>
      <c r="L1377" s="4">
        <v>128660.9</v>
      </c>
      <c r="M1377" t="s">
        <v>31</v>
      </c>
      <c r="N1377" s="4">
        <v>128660.9</v>
      </c>
      <c r="O1377" t="s">
        <v>31</v>
      </c>
      <c r="R1377" t="s">
        <v>272</v>
      </c>
      <c r="S1377" t="s">
        <v>1131</v>
      </c>
      <c r="T1377">
        <v>107211</v>
      </c>
      <c r="U1377" t="s">
        <v>123</v>
      </c>
      <c r="X1377" t="s">
        <v>35</v>
      </c>
      <c r="Y1377" s="8">
        <v>4501229349</v>
      </c>
      <c r="Z1377">
        <v>20200130</v>
      </c>
      <c r="AA1377">
        <f t="shared" si="37"/>
        <v>128660.9</v>
      </c>
      <c r="AB1377">
        <f t="shared" si="34"/>
        <v>20585.743999999999</v>
      </c>
      <c r="AC1377">
        <f t="shared" si="35"/>
        <v>149246.644</v>
      </c>
      <c r="AD1377">
        <v>200124384</v>
      </c>
      <c r="AE1377" t="s">
        <v>290</v>
      </c>
      <c r="AF1377" s="4">
        <f t="shared" si="36"/>
        <v>149246.644</v>
      </c>
      <c r="AG1377" t="s">
        <v>51</v>
      </c>
      <c r="AH1377" t="s">
        <v>1123</v>
      </c>
      <c r="AI1377">
        <v>200127161</v>
      </c>
      <c r="AJ1377" t="s">
        <v>1148</v>
      </c>
      <c r="AK1377" t="s">
        <v>1129</v>
      </c>
      <c r="AL1377">
        <v>340218590</v>
      </c>
      <c r="AM1377" t="s">
        <v>135</v>
      </c>
    </row>
    <row r="1378" spans="1:39" x14ac:dyDescent="0.35">
      <c r="A1378">
        <v>3402</v>
      </c>
      <c r="B1378" t="s">
        <v>47</v>
      </c>
      <c r="C1378">
        <v>2020</v>
      </c>
      <c r="D1378" s="1">
        <v>43831</v>
      </c>
      <c r="E1378">
        <v>1</v>
      </c>
      <c r="F1378">
        <v>200114353</v>
      </c>
      <c r="G1378" t="s">
        <v>120</v>
      </c>
      <c r="H1378">
        <v>91</v>
      </c>
      <c r="I1378">
        <v>71104010</v>
      </c>
      <c r="J1378">
        <v>21021040</v>
      </c>
      <c r="K1378" t="s">
        <v>121</v>
      </c>
      <c r="L1378" s="4">
        <v>125.42</v>
      </c>
      <c r="M1378" t="s">
        <v>31</v>
      </c>
      <c r="N1378" s="4">
        <v>125.42</v>
      </c>
      <c r="O1378" t="s">
        <v>31</v>
      </c>
      <c r="R1378" t="s">
        <v>272</v>
      </c>
      <c r="S1378" t="s">
        <v>1131</v>
      </c>
      <c r="T1378">
        <v>107211</v>
      </c>
      <c r="U1378" t="s">
        <v>123</v>
      </c>
      <c r="X1378" t="s">
        <v>35</v>
      </c>
      <c r="Y1378" s="8">
        <v>4501229349</v>
      </c>
      <c r="Z1378">
        <v>20200130</v>
      </c>
      <c r="AA1378">
        <f t="shared" si="37"/>
        <v>125.42</v>
      </c>
      <c r="AB1378">
        <f t="shared" si="34"/>
        <v>20.0672</v>
      </c>
      <c r="AC1378">
        <f t="shared" si="35"/>
        <v>145.4872</v>
      </c>
      <c r="AD1378">
        <v>200124384</v>
      </c>
      <c r="AE1378" t="s">
        <v>291</v>
      </c>
      <c r="AF1378" s="4">
        <f t="shared" si="36"/>
        <v>145.4872</v>
      </c>
      <c r="AG1378" t="s">
        <v>51</v>
      </c>
      <c r="AH1378" t="s">
        <v>1123</v>
      </c>
      <c r="AI1378">
        <v>200127161</v>
      </c>
      <c r="AJ1378" t="s">
        <v>1148</v>
      </c>
      <c r="AK1378" t="s">
        <v>1129</v>
      </c>
      <c r="AL1378">
        <v>340218590</v>
      </c>
      <c r="AM1378" t="s">
        <v>135</v>
      </c>
    </row>
    <row r="1379" spans="1:39" x14ac:dyDescent="0.35">
      <c r="A1379">
        <v>3402</v>
      </c>
      <c r="B1379" t="s">
        <v>47</v>
      </c>
      <c r="C1379">
        <v>2020</v>
      </c>
      <c r="D1379" s="1">
        <v>43831</v>
      </c>
      <c r="E1379">
        <v>1</v>
      </c>
      <c r="F1379">
        <v>200114354</v>
      </c>
      <c r="G1379" t="s">
        <v>120</v>
      </c>
      <c r="H1379">
        <v>81</v>
      </c>
      <c r="I1379">
        <v>71104010</v>
      </c>
      <c r="J1379">
        <v>21021040</v>
      </c>
      <c r="K1379" t="s">
        <v>121</v>
      </c>
      <c r="L1379" s="4">
        <v>125422.5</v>
      </c>
      <c r="M1379" t="s">
        <v>31</v>
      </c>
      <c r="N1379" s="4">
        <v>125422.5</v>
      </c>
      <c r="O1379" t="s">
        <v>31</v>
      </c>
      <c r="R1379" t="s">
        <v>272</v>
      </c>
      <c r="S1379" t="s">
        <v>1131</v>
      </c>
      <c r="T1379">
        <v>107211</v>
      </c>
      <c r="U1379" t="s">
        <v>123</v>
      </c>
      <c r="X1379" t="s">
        <v>35</v>
      </c>
      <c r="Y1379" s="8">
        <v>4501229349</v>
      </c>
      <c r="Z1379">
        <v>20200130</v>
      </c>
      <c r="AA1379">
        <f t="shared" si="37"/>
        <v>125422.5</v>
      </c>
      <c r="AB1379">
        <f t="shared" si="34"/>
        <v>20067.600000000002</v>
      </c>
      <c r="AC1379">
        <f t="shared" si="35"/>
        <v>145490.1</v>
      </c>
      <c r="AD1379">
        <v>200124384</v>
      </c>
      <c r="AE1379" t="s">
        <v>291</v>
      </c>
      <c r="AF1379" s="4">
        <f t="shared" si="36"/>
        <v>145490.1</v>
      </c>
      <c r="AG1379" t="s">
        <v>51</v>
      </c>
      <c r="AH1379" t="s">
        <v>1123</v>
      </c>
      <c r="AI1379">
        <v>200127161</v>
      </c>
      <c r="AJ1379" t="s">
        <v>1148</v>
      </c>
      <c r="AK1379" t="s">
        <v>1129</v>
      </c>
      <c r="AL1379">
        <v>340218590</v>
      </c>
      <c r="AM1379" t="s">
        <v>135</v>
      </c>
    </row>
    <row r="1380" spans="1:39" x14ac:dyDescent="0.35">
      <c r="A1380">
        <v>3402</v>
      </c>
      <c r="B1380" t="s">
        <v>47</v>
      </c>
      <c r="C1380">
        <v>2020</v>
      </c>
      <c r="D1380" s="1">
        <v>43831</v>
      </c>
      <c r="E1380">
        <v>1</v>
      </c>
      <c r="F1380">
        <v>200114355</v>
      </c>
      <c r="G1380" t="s">
        <v>120</v>
      </c>
      <c r="H1380">
        <v>91</v>
      </c>
      <c r="I1380">
        <v>71104010</v>
      </c>
      <c r="J1380">
        <v>21021040</v>
      </c>
      <c r="K1380" t="s">
        <v>121</v>
      </c>
      <c r="L1380" s="4">
        <v>146.44999999999999</v>
      </c>
      <c r="M1380" t="s">
        <v>31</v>
      </c>
      <c r="N1380" s="4">
        <v>146.44999999999999</v>
      </c>
      <c r="O1380" t="s">
        <v>31</v>
      </c>
      <c r="R1380" t="s">
        <v>272</v>
      </c>
      <c r="S1380" t="s">
        <v>1131</v>
      </c>
      <c r="T1380">
        <v>107211</v>
      </c>
      <c r="U1380" t="s">
        <v>123</v>
      </c>
      <c r="X1380" t="s">
        <v>35</v>
      </c>
      <c r="Y1380" s="8">
        <v>4501229349</v>
      </c>
      <c r="Z1380">
        <v>20200130</v>
      </c>
      <c r="AA1380">
        <f t="shared" si="37"/>
        <v>146.44999999999999</v>
      </c>
      <c r="AB1380">
        <f t="shared" si="34"/>
        <v>23.431999999999999</v>
      </c>
      <c r="AC1380">
        <f t="shared" si="35"/>
        <v>169.88199999999998</v>
      </c>
      <c r="AD1380">
        <v>200124384</v>
      </c>
      <c r="AE1380" t="s">
        <v>292</v>
      </c>
      <c r="AF1380" s="4">
        <f t="shared" si="36"/>
        <v>169.88199999999998</v>
      </c>
      <c r="AG1380" t="s">
        <v>51</v>
      </c>
      <c r="AH1380" t="s">
        <v>1123</v>
      </c>
      <c r="AI1380">
        <v>200127161</v>
      </c>
      <c r="AJ1380" t="s">
        <v>1148</v>
      </c>
      <c r="AK1380" t="s">
        <v>1129</v>
      </c>
      <c r="AL1380">
        <v>340218590</v>
      </c>
      <c r="AM1380" t="s">
        <v>135</v>
      </c>
    </row>
    <row r="1381" spans="1:39" x14ac:dyDescent="0.35">
      <c r="A1381">
        <v>3402</v>
      </c>
      <c r="B1381" t="s">
        <v>47</v>
      </c>
      <c r="C1381">
        <v>2020</v>
      </c>
      <c r="D1381" s="1">
        <v>43831</v>
      </c>
      <c r="E1381">
        <v>1</v>
      </c>
      <c r="F1381">
        <v>200114356</v>
      </c>
      <c r="G1381" t="s">
        <v>120</v>
      </c>
      <c r="H1381">
        <v>81</v>
      </c>
      <c r="I1381">
        <v>71104010</v>
      </c>
      <c r="J1381">
        <v>21021040</v>
      </c>
      <c r="K1381" t="s">
        <v>121</v>
      </c>
      <c r="L1381" s="4">
        <v>146443.92000000001</v>
      </c>
      <c r="M1381" t="s">
        <v>31</v>
      </c>
      <c r="N1381" s="4">
        <v>146443.92000000001</v>
      </c>
      <c r="O1381" t="s">
        <v>31</v>
      </c>
      <c r="R1381" t="s">
        <v>272</v>
      </c>
      <c r="S1381" t="s">
        <v>1131</v>
      </c>
      <c r="T1381">
        <v>107211</v>
      </c>
      <c r="U1381" t="s">
        <v>123</v>
      </c>
      <c r="X1381" t="s">
        <v>35</v>
      </c>
      <c r="Y1381" s="8">
        <v>4501229349</v>
      </c>
      <c r="Z1381">
        <v>20200130</v>
      </c>
      <c r="AA1381">
        <f t="shared" si="37"/>
        <v>146443.92000000001</v>
      </c>
      <c r="AB1381">
        <f t="shared" si="34"/>
        <v>23431.027200000004</v>
      </c>
      <c r="AC1381">
        <f t="shared" si="35"/>
        <v>169874.94720000002</v>
      </c>
      <c r="AD1381">
        <v>200124384</v>
      </c>
      <c r="AE1381" t="s">
        <v>292</v>
      </c>
      <c r="AF1381" s="4">
        <f t="shared" si="36"/>
        <v>169874.94720000002</v>
      </c>
      <c r="AG1381" t="s">
        <v>51</v>
      </c>
      <c r="AH1381" t="s">
        <v>1123</v>
      </c>
      <c r="AI1381">
        <v>200127161</v>
      </c>
      <c r="AJ1381" t="s">
        <v>1148</v>
      </c>
      <c r="AK1381" t="s">
        <v>1129</v>
      </c>
      <c r="AL1381">
        <v>340218590</v>
      </c>
      <c r="AM1381" t="s">
        <v>135</v>
      </c>
    </row>
    <row r="1382" spans="1:39" x14ac:dyDescent="0.35">
      <c r="A1382">
        <v>3402</v>
      </c>
      <c r="B1382" t="s">
        <v>47</v>
      </c>
      <c r="C1382">
        <v>2020</v>
      </c>
      <c r="D1382" s="1">
        <v>43831</v>
      </c>
      <c r="E1382">
        <v>1</v>
      </c>
      <c r="F1382">
        <v>200114357</v>
      </c>
      <c r="G1382" t="s">
        <v>120</v>
      </c>
      <c r="H1382">
        <v>91</v>
      </c>
      <c r="I1382">
        <v>71104010</v>
      </c>
      <c r="J1382">
        <v>21021040</v>
      </c>
      <c r="K1382" t="s">
        <v>121</v>
      </c>
      <c r="L1382" s="4">
        <v>133.81</v>
      </c>
      <c r="M1382" t="s">
        <v>31</v>
      </c>
      <c r="N1382" s="4">
        <v>133.81</v>
      </c>
      <c r="O1382" t="s">
        <v>31</v>
      </c>
      <c r="R1382" t="s">
        <v>272</v>
      </c>
      <c r="S1382" t="s">
        <v>1131</v>
      </c>
      <c r="T1382">
        <v>107211</v>
      </c>
      <c r="U1382" t="s">
        <v>123</v>
      </c>
      <c r="X1382" t="s">
        <v>35</v>
      </c>
      <c r="Y1382" s="8">
        <v>4501229349</v>
      </c>
      <c r="Z1382">
        <v>20200130</v>
      </c>
      <c r="AA1382">
        <f t="shared" si="37"/>
        <v>133.81</v>
      </c>
      <c r="AB1382">
        <f t="shared" si="34"/>
        <v>21.409600000000001</v>
      </c>
      <c r="AC1382">
        <f t="shared" si="35"/>
        <v>155.21960000000001</v>
      </c>
      <c r="AD1382">
        <v>200124384</v>
      </c>
      <c r="AE1382" t="s">
        <v>293</v>
      </c>
      <c r="AF1382" s="4">
        <f t="shared" si="36"/>
        <v>155.21960000000001</v>
      </c>
      <c r="AG1382" t="s">
        <v>51</v>
      </c>
      <c r="AH1382" t="s">
        <v>1123</v>
      </c>
      <c r="AI1382">
        <v>200127161</v>
      </c>
      <c r="AJ1382" t="s">
        <v>1148</v>
      </c>
      <c r="AK1382" t="s">
        <v>1129</v>
      </c>
      <c r="AL1382">
        <v>340218590</v>
      </c>
      <c r="AM1382" t="s">
        <v>135</v>
      </c>
    </row>
    <row r="1383" spans="1:39" x14ac:dyDescent="0.35">
      <c r="A1383">
        <v>3402</v>
      </c>
      <c r="B1383" t="s">
        <v>47</v>
      </c>
      <c r="C1383">
        <v>2020</v>
      </c>
      <c r="D1383" s="1">
        <v>43831</v>
      </c>
      <c r="E1383">
        <v>1</v>
      </c>
      <c r="F1383">
        <v>200114359</v>
      </c>
      <c r="G1383" t="s">
        <v>120</v>
      </c>
      <c r="H1383">
        <v>81</v>
      </c>
      <c r="I1383">
        <v>71104010</v>
      </c>
      <c r="J1383">
        <v>21021040</v>
      </c>
      <c r="K1383" t="s">
        <v>121</v>
      </c>
      <c r="L1383" s="4">
        <v>133814.44</v>
      </c>
      <c r="M1383" t="s">
        <v>31</v>
      </c>
      <c r="N1383" s="4">
        <v>133814.44</v>
      </c>
      <c r="O1383" t="s">
        <v>31</v>
      </c>
      <c r="R1383" t="s">
        <v>272</v>
      </c>
      <c r="S1383" t="s">
        <v>1131</v>
      </c>
      <c r="T1383">
        <v>107211</v>
      </c>
      <c r="U1383" t="s">
        <v>123</v>
      </c>
      <c r="X1383" t="s">
        <v>35</v>
      </c>
      <c r="Y1383" s="8">
        <v>4501229349</v>
      </c>
      <c r="Z1383">
        <v>20200130</v>
      </c>
      <c r="AA1383">
        <f t="shared" si="37"/>
        <v>133814.44</v>
      </c>
      <c r="AB1383">
        <f t="shared" si="34"/>
        <v>21410.310400000002</v>
      </c>
      <c r="AC1383">
        <f t="shared" si="35"/>
        <v>155224.75040000002</v>
      </c>
      <c r="AD1383">
        <v>200124384</v>
      </c>
      <c r="AE1383" t="s">
        <v>293</v>
      </c>
      <c r="AF1383" s="4">
        <f t="shared" si="36"/>
        <v>155224.75040000002</v>
      </c>
      <c r="AG1383" t="s">
        <v>51</v>
      </c>
      <c r="AH1383" t="s">
        <v>1123</v>
      </c>
      <c r="AI1383">
        <v>200127161</v>
      </c>
      <c r="AJ1383" t="s">
        <v>1148</v>
      </c>
      <c r="AK1383" t="s">
        <v>1129</v>
      </c>
      <c r="AL1383">
        <v>340218590</v>
      </c>
      <c r="AM1383" t="s">
        <v>135</v>
      </c>
    </row>
    <row r="1384" spans="1:39" x14ac:dyDescent="0.35">
      <c r="A1384">
        <v>3402</v>
      </c>
      <c r="B1384" t="s">
        <v>47</v>
      </c>
      <c r="C1384">
        <v>2020</v>
      </c>
      <c r="D1384" s="1">
        <v>43831</v>
      </c>
      <c r="E1384">
        <v>1</v>
      </c>
      <c r="F1384">
        <v>200114360</v>
      </c>
      <c r="G1384" t="s">
        <v>120</v>
      </c>
      <c r="H1384">
        <v>91</v>
      </c>
      <c r="I1384">
        <v>71104010</v>
      </c>
      <c r="J1384">
        <v>21021040</v>
      </c>
      <c r="K1384" t="s">
        <v>121</v>
      </c>
      <c r="L1384" s="4">
        <v>106.13</v>
      </c>
      <c r="M1384" t="s">
        <v>31</v>
      </c>
      <c r="N1384" s="4">
        <v>106.13</v>
      </c>
      <c r="O1384" t="s">
        <v>31</v>
      </c>
      <c r="R1384" t="s">
        <v>272</v>
      </c>
      <c r="S1384" t="s">
        <v>1131</v>
      </c>
      <c r="T1384">
        <v>107211</v>
      </c>
      <c r="U1384" t="s">
        <v>123</v>
      </c>
      <c r="X1384" t="s">
        <v>35</v>
      </c>
      <c r="Y1384" s="8">
        <v>4501229349</v>
      </c>
      <c r="Z1384">
        <v>20200130</v>
      </c>
      <c r="AA1384">
        <f t="shared" si="37"/>
        <v>106.13</v>
      </c>
      <c r="AB1384">
        <f t="shared" si="34"/>
        <v>16.980799999999999</v>
      </c>
      <c r="AC1384">
        <f t="shared" si="35"/>
        <v>123.1108</v>
      </c>
      <c r="AD1384">
        <v>200124384</v>
      </c>
      <c r="AE1384" t="s">
        <v>294</v>
      </c>
      <c r="AF1384" s="4">
        <f t="shared" si="36"/>
        <v>123.1108</v>
      </c>
      <c r="AG1384" t="s">
        <v>51</v>
      </c>
      <c r="AH1384" t="s">
        <v>1123</v>
      </c>
      <c r="AI1384">
        <v>200127161</v>
      </c>
      <c r="AJ1384" t="s">
        <v>1148</v>
      </c>
      <c r="AK1384" t="s">
        <v>1129</v>
      </c>
      <c r="AL1384">
        <v>340218590</v>
      </c>
      <c r="AM1384" t="s">
        <v>135</v>
      </c>
    </row>
    <row r="1385" spans="1:39" x14ac:dyDescent="0.35">
      <c r="A1385">
        <v>3402</v>
      </c>
      <c r="B1385" t="s">
        <v>47</v>
      </c>
      <c r="C1385">
        <v>2020</v>
      </c>
      <c r="D1385" s="1">
        <v>43831</v>
      </c>
      <c r="E1385">
        <v>1</v>
      </c>
      <c r="F1385">
        <v>200114361</v>
      </c>
      <c r="G1385" t="s">
        <v>120</v>
      </c>
      <c r="H1385">
        <v>81</v>
      </c>
      <c r="I1385">
        <v>71104010</v>
      </c>
      <c r="J1385">
        <v>21021040</v>
      </c>
      <c r="K1385" t="s">
        <v>121</v>
      </c>
      <c r="L1385" s="4">
        <v>106113.52</v>
      </c>
      <c r="M1385" t="s">
        <v>31</v>
      </c>
      <c r="N1385" s="4">
        <v>106113.52</v>
      </c>
      <c r="O1385" t="s">
        <v>31</v>
      </c>
      <c r="R1385" t="s">
        <v>272</v>
      </c>
      <c r="S1385" t="s">
        <v>1131</v>
      </c>
      <c r="T1385">
        <v>107211</v>
      </c>
      <c r="U1385" t="s">
        <v>123</v>
      </c>
      <c r="X1385" t="s">
        <v>35</v>
      </c>
      <c r="Y1385" s="8">
        <v>4501229349</v>
      </c>
      <c r="Z1385">
        <v>20200130</v>
      </c>
      <c r="AA1385">
        <f t="shared" si="37"/>
        <v>106113.52</v>
      </c>
      <c r="AB1385">
        <f t="shared" si="34"/>
        <v>16978.163200000003</v>
      </c>
      <c r="AC1385">
        <f t="shared" si="35"/>
        <v>123091.6832</v>
      </c>
      <c r="AD1385">
        <v>200124384</v>
      </c>
      <c r="AE1385" t="s">
        <v>294</v>
      </c>
      <c r="AF1385" s="4">
        <f t="shared" si="36"/>
        <v>123091.6832</v>
      </c>
      <c r="AG1385" t="s">
        <v>51</v>
      </c>
      <c r="AH1385" t="s">
        <v>1123</v>
      </c>
      <c r="AI1385">
        <v>200127161</v>
      </c>
      <c r="AJ1385" t="s">
        <v>1148</v>
      </c>
      <c r="AK1385" t="s">
        <v>1129</v>
      </c>
      <c r="AL1385">
        <v>340218590</v>
      </c>
      <c r="AM1385" t="s">
        <v>135</v>
      </c>
    </row>
    <row r="1386" spans="1:39" x14ac:dyDescent="0.35">
      <c r="A1386">
        <v>3402</v>
      </c>
      <c r="B1386" t="s">
        <v>47</v>
      </c>
      <c r="C1386">
        <v>2020</v>
      </c>
      <c r="D1386" s="1">
        <v>43831</v>
      </c>
      <c r="E1386">
        <v>1</v>
      </c>
      <c r="F1386">
        <v>200114362</v>
      </c>
      <c r="G1386" t="s">
        <v>120</v>
      </c>
      <c r="H1386">
        <v>91</v>
      </c>
      <c r="I1386">
        <v>71104010</v>
      </c>
      <c r="J1386">
        <v>21021040</v>
      </c>
      <c r="K1386" t="s">
        <v>121</v>
      </c>
      <c r="L1386" s="4">
        <v>152.13</v>
      </c>
      <c r="M1386" t="s">
        <v>31</v>
      </c>
      <c r="N1386" s="4">
        <v>152.13</v>
      </c>
      <c r="O1386" t="s">
        <v>31</v>
      </c>
      <c r="R1386" t="s">
        <v>272</v>
      </c>
      <c r="S1386" t="s">
        <v>1131</v>
      </c>
      <c r="T1386">
        <v>107211</v>
      </c>
      <c r="U1386" t="s">
        <v>123</v>
      </c>
      <c r="X1386" t="s">
        <v>35</v>
      </c>
      <c r="Y1386" s="8">
        <v>4501229349</v>
      </c>
      <c r="Z1386">
        <v>20200130</v>
      </c>
      <c r="AA1386">
        <f t="shared" si="37"/>
        <v>152.13</v>
      </c>
      <c r="AB1386">
        <f t="shared" si="34"/>
        <v>24.340800000000002</v>
      </c>
      <c r="AC1386">
        <f t="shared" si="35"/>
        <v>176.4708</v>
      </c>
      <c r="AD1386">
        <v>200124384</v>
      </c>
      <c r="AE1386" t="s">
        <v>295</v>
      </c>
      <c r="AF1386" s="4">
        <f t="shared" si="36"/>
        <v>176.4708</v>
      </c>
      <c r="AG1386" t="s">
        <v>51</v>
      </c>
      <c r="AH1386" t="s">
        <v>1123</v>
      </c>
      <c r="AI1386">
        <v>200127161</v>
      </c>
      <c r="AJ1386" t="s">
        <v>1148</v>
      </c>
      <c r="AK1386" t="s">
        <v>1129</v>
      </c>
      <c r="AL1386">
        <v>340218590</v>
      </c>
      <c r="AM1386" t="s">
        <v>135</v>
      </c>
    </row>
    <row r="1387" spans="1:39" x14ac:dyDescent="0.35">
      <c r="A1387">
        <v>3402</v>
      </c>
      <c r="B1387" t="s">
        <v>47</v>
      </c>
      <c r="C1387">
        <v>2020</v>
      </c>
      <c r="D1387" s="1">
        <v>43831</v>
      </c>
      <c r="E1387">
        <v>1</v>
      </c>
      <c r="F1387">
        <v>200114363</v>
      </c>
      <c r="G1387" t="s">
        <v>120</v>
      </c>
      <c r="H1387">
        <v>81</v>
      </c>
      <c r="I1387">
        <v>71104010</v>
      </c>
      <c r="J1387">
        <v>21021040</v>
      </c>
      <c r="K1387" t="s">
        <v>121</v>
      </c>
      <c r="L1387" s="4">
        <v>152129.60000000001</v>
      </c>
      <c r="M1387" t="s">
        <v>31</v>
      </c>
      <c r="N1387" s="4">
        <v>152129.60000000001</v>
      </c>
      <c r="O1387" t="s">
        <v>31</v>
      </c>
      <c r="R1387" t="s">
        <v>272</v>
      </c>
      <c r="S1387" t="s">
        <v>1131</v>
      </c>
      <c r="T1387">
        <v>107211</v>
      </c>
      <c r="U1387" t="s">
        <v>123</v>
      </c>
      <c r="X1387" t="s">
        <v>35</v>
      </c>
      <c r="Y1387" s="8">
        <v>4501229349</v>
      </c>
      <c r="Z1387">
        <v>20200130</v>
      </c>
      <c r="AA1387">
        <f t="shared" si="37"/>
        <v>152129.60000000001</v>
      </c>
      <c r="AB1387">
        <f t="shared" si="34"/>
        <v>24340.736000000001</v>
      </c>
      <c r="AC1387">
        <f t="shared" si="35"/>
        <v>176470.33600000001</v>
      </c>
      <c r="AD1387">
        <v>200124384</v>
      </c>
      <c r="AE1387" t="s">
        <v>295</v>
      </c>
      <c r="AF1387" s="4">
        <f t="shared" si="36"/>
        <v>176470.33600000001</v>
      </c>
      <c r="AG1387" t="s">
        <v>51</v>
      </c>
      <c r="AH1387" t="s">
        <v>1123</v>
      </c>
      <c r="AI1387">
        <v>200127161</v>
      </c>
      <c r="AJ1387" t="s">
        <v>1148</v>
      </c>
      <c r="AK1387" t="s">
        <v>1129</v>
      </c>
      <c r="AL1387">
        <v>340218590</v>
      </c>
      <c r="AM1387" t="s">
        <v>135</v>
      </c>
    </row>
    <row r="1388" spans="1:39" x14ac:dyDescent="0.35">
      <c r="A1388">
        <v>3402</v>
      </c>
      <c r="B1388" t="s">
        <v>47</v>
      </c>
      <c r="C1388">
        <v>2020</v>
      </c>
      <c r="D1388" s="1">
        <v>43831</v>
      </c>
      <c r="E1388">
        <v>1</v>
      </c>
      <c r="F1388">
        <v>200114364</v>
      </c>
      <c r="G1388" t="s">
        <v>120</v>
      </c>
      <c r="H1388">
        <v>91</v>
      </c>
      <c r="I1388">
        <v>71104010</v>
      </c>
      <c r="J1388">
        <v>21021040</v>
      </c>
      <c r="K1388" t="s">
        <v>121</v>
      </c>
      <c r="L1388" s="4">
        <v>139.52000000000001</v>
      </c>
      <c r="M1388" t="s">
        <v>31</v>
      </c>
      <c r="N1388" s="4">
        <v>139.52000000000001</v>
      </c>
      <c r="O1388" t="s">
        <v>31</v>
      </c>
      <c r="R1388" t="s">
        <v>272</v>
      </c>
      <c r="S1388" t="s">
        <v>1131</v>
      </c>
      <c r="T1388">
        <v>107211</v>
      </c>
      <c r="U1388" t="s">
        <v>123</v>
      </c>
      <c r="X1388" t="s">
        <v>35</v>
      </c>
      <c r="Y1388" s="8">
        <v>4501229349</v>
      </c>
      <c r="Z1388">
        <v>20200130</v>
      </c>
      <c r="AA1388">
        <f t="shared" si="37"/>
        <v>139.52000000000001</v>
      </c>
      <c r="AB1388">
        <f t="shared" si="34"/>
        <v>22.323200000000003</v>
      </c>
      <c r="AC1388">
        <f t="shared" si="35"/>
        <v>161.84320000000002</v>
      </c>
      <c r="AD1388">
        <v>200124384</v>
      </c>
      <c r="AE1388" t="s">
        <v>296</v>
      </c>
      <c r="AF1388" s="4">
        <f t="shared" si="36"/>
        <v>161.84320000000002</v>
      </c>
      <c r="AG1388" t="s">
        <v>51</v>
      </c>
      <c r="AH1388" t="s">
        <v>1123</v>
      </c>
      <c r="AI1388">
        <v>200127161</v>
      </c>
      <c r="AJ1388" t="s">
        <v>1148</v>
      </c>
      <c r="AK1388" t="s">
        <v>1129</v>
      </c>
      <c r="AL1388">
        <v>340218590</v>
      </c>
      <c r="AM1388" t="s">
        <v>135</v>
      </c>
    </row>
    <row r="1389" spans="1:39" x14ac:dyDescent="0.35">
      <c r="A1389">
        <v>3402</v>
      </c>
      <c r="B1389" t="s">
        <v>47</v>
      </c>
      <c r="C1389">
        <v>2020</v>
      </c>
      <c r="D1389" s="1">
        <v>43831</v>
      </c>
      <c r="E1389">
        <v>1</v>
      </c>
      <c r="F1389">
        <v>200114367</v>
      </c>
      <c r="G1389" t="s">
        <v>120</v>
      </c>
      <c r="H1389">
        <v>81</v>
      </c>
      <c r="I1389">
        <v>71104010</v>
      </c>
      <c r="J1389">
        <v>21021040</v>
      </c>
      <c r="K1389" t="s">
        <v>121</v>
      </c>
      <c r="L1389" s="4">
        <v>139516.32</v>
      </c>
      <c r="M1389" t="s">
        <v>31</v>
      </c>
      <c r="N1389" s="4">
        <v>139516.32</v>
      </c>
      <c r="O1389" t="s">
        <v>31</v>
      </c>
      <c r="R1389" t="s">
        <v>272</v>
      </c>
      <c r="S1389" t="s">
        <v>1131</v>
      </c>
      <c r="T1389">
        <v>107211</v>
      </c>
      <c r="U1389" t="s">
        <v>123</v>
      </c>
      <c r="X1389" t="s">
        <v>35</v>
      </c>
      <c r="Y1389" s="8">
        <v>4501229349</v>
      </c>
      <c r="Z1389">
        <v>20200130</v>
      </c>
      <c r="AA1389">
        <f t="shared" si="37"/>
        <v>139516.32</v>
      </c>
      <c r="AB1389">
        <f t="shared" si="34"/>
        <v>22322.611200000003</v>
      </c>
      <c r="AC1389">
        <f t="shared" si="35"/>
        <v>161838.93120000002</v>
      </c>
      <c r="AD1389">
        <v>200124384</v>
      </c>
      <c r="AE1389" t="s">
        <v>296</v>
      </c>
      <c r="AF1389" s="4">
        <f t="shared" si="36"/>
        <v>161838.93120000002</v>
      </c>
      <c r="AG1389" t="s">
        <v>51</v>
      </c>
      <c r="AH1389" t="s">
        <v>1123</v>
      </c>
      <c r="AI1389">
        <v>200127161</v>
      </c>
      <c r="AJ1389" t="s">
        <v>1148</v>
      </c>
      <c r="AK1389" t="s">
        <v>1129</v>
      </c>
      <c r="AL1389">
        <v>340218590</v>
      </c>
      <c r="AM1389" t="s">
        <v>135</v>
      </c>
    </row>
    <row r="1390" spans="1:39" x14ac:dyDescent="0.35">
      <c r="A1390">
        <v>3402</v>
      </c>
      <c r="B1390" t="s">
        <v>47</v>
      </c>
      <c r="C1390">
        <v>2020</v>
      </c>
      <c r="D1390" s="1">
        <v>43831</v>
      </c>
      <c r="E1390">
        <v>1</v>
      </c>
      <c r="F1390">
        <v>200114370</v>
      </c>
      <c r="G1390" t="s">
        <v>120</v>
      </c>
      <c r="H1390">
        <v>91</v>
      </c>
      <c r="I1390">
        <v>71104010</v>
      </c>
      <c r="J1390">
        <v>21021040</v>
      </c>
      <c r="K1390" t="s">
        <v>121</v>
      </c>
      <c r="L1390" s="4">
        <v>139.66</v>
      </c>
      <c r="M1390" t="s">
        <v>31</v>
      </c>
      <c r="N1390" s="4">
        <v>139.66</v>
      </c>
      <c r="O1390" t="s">
        <v>31</v>
      </c>
      <c r="R1390" t="s">
        <v>272</v>
      </c>
      <c r="S1390" t="s">
        <v>1131</v>
      </c>
      <c r="T1390">
        <v>107211</v>
      </c>
      <c r="U1390" t="s">
        <v>123</v>
      </c>
      <c r="X1390" t="s">
        <v>35</v>
      </c>
      <c r="Y1390" s="8">
        <v>4501229349</v>
      </c>
      <c r="Z1390">
        <v>20200130</v>
      </c>
      <c r="AA1390">
        <f t="shared" si="37"/>
        <v>139.66</v>
      </c>
      <c r="AB1390">
        <f t="shared" si="34"/>
        <v>22.345600000000001</v>
      </c>
      <c r="AC1390">
        <f t="shared" si="35"/>
        <v>162.00559999999999</v>
      </c>
      <c r="AD1390">
        <v>200124384</v>
      </c>
      <c r="AE1390" t="s">
        <v>297</v>
      </c>
      <c r="AF1390" s="4">
        <f t="shared" si="36"/>
        <v>162.00559999999999</v>
      </c>
      <c r="AG1390" t="s">
        <v>51</v>
      </c>
      <c r="AH1390" t="s">
        <v>1123</v>
      </c>
      <c r="AI1390">
        <v>200127161</v>
      </c>
      <c r="AJ1390" t="s">
        <v>1148</v>
      </c>
      <c r="AK1390" t="s">
        <v>1129</v>
      </c>
      <c r="AL1390">
        <v>340218590</v>
      </c>
      <c r="AM1390" t="s">
        <v>135</v>
      </c>
    </row>
    <row r="1391" spans="1:39" x14ac:dyDescent="0.35">
      <c r="A1391">
        <v>3402</v>
      </c>
      <c r="B1391" t="s">
        <v>47</v>
      </c>
      <c r="C1391">
        <v>2020</v>
      </c>
      <c r="D1391" s="1">
        <v>43831</v>
      </c>
      <c r="E1391">
        <v>1</v>
      </c>
      <c r="F1391">
        <v>200114373</v>
      </c>
      <c r="G1391" t="s">
        <v>120</v>
      </c>
      <c r="H1391">
        <v>81</v>
      </c>
      <c r="I1391">
        <v>71104010</v>
      </c>
      <c r="J1391">
        <v>21021040</v>
      </c>
      <c r="K1391" t="s">
        <v>121</v>
      </c>
      <c r="L1391" s="4">
        <v>139653.68</v>
      </c>
      <c r="M1391" t="s">
        <v>31</v>
      </c>
      <c r="N1391" s="4">
        <v>139653.68</v>
      </c>
      <c r="O1391" t="s">
        <v>31</v>
      </c>
      <c r="R1391" t="s">
        <v>272</v>
      </c>
      <c r="S1391" t="s">
        <v>1131</v>
      </c>
      <c r="T1391">
        <v>107211</v>
      </c>
      <c r="U1391" t="s">
        <v>123</v>
      </c>
      <c r="X1391" t="s">
        <v>35</v>
      </c>
      <c r="Y1391" s="8">
        <v>4501229349</v>
      </c>
      <c r="Z1391">
        <v>20200130</v>
      </c>
      <c r="AA1391">
        <f t="shared" si="37"/>
        <v>139653.68</v>
      </c>
      <c r="AB1391">
        <f t="shared" si="34"/>
        <v>22344.588799999998</v>
      </c>
      <c r="AC1391">
        <f t="shared" si="35"/>
        <v>161998.26879999999</v>
      </c>
      <c r="AD1391">
        <v>200124384</v>
      </c>
      <c r="AE1391" t="s">
        <v>297</v>
      </c>
      <c r="AF1391" s="4">
        <f t="shared" si="36"/>
        <v>161998.26879999999</v>
      </c>
      <c r="AG1391" t="s">
        <v>51</v>
      </c>
      <c r="AH1391" t="s">
        <v>1123</v>
      </c>
      <c r="AI1391">
        <v>200127161</v>
      </c>
      <c r="AJ1391" t="s">
        <v>1148</v>
      </c>
      <c r="AK1391" t="s">
        <v>1129</v>
      </c>
      <c r="AL1391">
        <v>340218590</v>
      </c>
      <c r="AM1391" t="s">
        <v>135</v>
      </c>
    </row>
    <row r="1392" spans="1:39" x14ac:dyDescent="0.35">
      <c r="A1392">
        <v>3402</v>
      </c>
      <c r="B1392" t="s">
        <v>47</v>
      </c>
      <c r="C1392">
        <v>2020</v>
      </c>
      <c r="D1392" s="1">
        <v>43831</v>
      </c>
      <c r="E1392">
        <v>1</v>
      </c>
      <c r="F1392">
        <v>200114385</v>
      </c>
      <c r="G1392" t="s">
        <v>120</v>
      </c>
      <c r="H1392">
        <v>81</v>
      </c>
      <c r="I1392">
        <v>71104010</v>
      </c>
      <c r="J1392">
        <v>21021040</v>
      </c>
      <c r="K1392" t="s">
        <v>121</v>
      </c>
      <c r="L1392" s="4">
        <v>131539.44</v>
      </c>
      <c r="M1392" t="s">
        <v>31</v>
      </c>
      <c r="N1392" s="4">
        <v>131539.44</v>
      </c>
      <c r="O1392" t="s">
        <v>31</v>
      </c>
      <c r="R1392" t="s">
        <v>272</v>
      </c>
      <c r="S1392" t="s">
        <v>1131</v>
      </c>
      <c r="T1392">
        <v>107211</v>
      </c>
      <c r="U1392" t="s">
        <v>123</v>
      </c>
      <c r="X1392" t="s">
        <v>35</v>
      </c>
      <c r="Y1392" s="8">
        <v>4501229349</v>
      </c>
      <c r="Z1392">
        <v>20200130</v>
      </c>
      <c r="AA1392">
        <f t="shared" si="37"/>
        <v>131539.44</v>
      </c>
      <c r="AB1392">
        <f t="shared" si="34"/>
        <v>21046.310400000002</v>
      </c>
      <c r="AC1392">
        <f t="shared" si="35"/>
        <v>152585.75040000002</v>
      </c>
      <c r="AD1392">
        <v>200124384</v>
      </c>
      <c r="AE1392" t="s">
        <v>278</v>
      </c>
      <c r="AF1392" s="4">
        <f t="shared" si="36"/>
        <v>152585.75040000002</v>
      </c>
      <c r="AG1392" t="s">
        <v>51</v>
      </c>
      <c r="AH1392" t="s">
        <v>1123</v>
      </c>
      <c r="AI1392">
        <v>200127161</v>
      </c>
      <c r="AJ1392" t="s">
        <v>1148</v>
      </c>
      <c r="AK1392" t="s">
        <v>1129</v>
      </c>
      <c r="AL1392">
        <v>340218590</v>
      </c>
      <c r="AM1392" t="s">
        <v>135</v>
      </c>
    </row>
    <row r="1393" spans="1:39" x14ac:dyDescent="0.35">
      <c r="A1393">
        <v>3402</v>
      </c>
      <c r="B1393" t="s">
        <v>47</v>
      </c>
      <c r="C1393">
        <v>2020</v>
      </c>
      <c r="D1393" s="1">
        <v>43831</v>
      </c>
      <c r="E1393">
        <v>1</v>
      </c>
      <c r="F1393">
        <v>200114386</v>
      </c>
      <c r="G1393" t="s">
        <v>120</v>
      </c>
      <c r="H1393">
        <v>91</v>
      </c>
      <c r="I1393">
        <v>71104010</v>
      </c>
      <c r="J1393">
        <v>21021040</v>
      </c>
      <c r="K1393" t="s">
        <v>121</v>
      </c>
      <c r="L1393" s="4">
        <v>135.1</v>
      </c>
      <c r="M1393" t="s">
        <v>31</v>
      </c>
      <c r="N1393" s="4">
        <v>135.1</v>
      </c>
      <c r="O1393" t="s">
        <v>31</v>
      </c>
      <c r="R1393" t="s">
        <v>272</v>
      </c>
      <c r="S1393" t="s">
        <v>1131</v>
      </c>
      <c r="T1393">
        <v>107211</v>
      </c>
      <c r="U1393" t="s">
        <v>123</v>
      </c>
      <c r="X1393" t="s">
        <v>35</v>
      </c>
      <c r="Y1393" s="8">
        <v>4501229349</v>
      </c>
      <c r="Z1393">
        <v>20200130</v>
      </c>
      <c r="AA1393">
        <f t="shared" si="37"/>
        <v>135.1</v>
      </c>
      <c r="AB1393">
        <f t="shared" si="34"/>
        <v>21.616</v>
      </c>
      <c r="AC1393">
        <f t="shared" si="35"/>
        <v>156.71600000000001</v>
      </c>
      <c r="AD1393">
        <v>200124384</v>
      </c>
      <c r="AE1393" t="s">
        <v>279</v>
      </c>
      <c r="AF1393" s="4">
        <f t="shared" si="36"/>
        <v>156.71600000000001</v>
      </c>
      <c r="AG1393" t="s">
        <v>51</v>
      </c>
      <c r="AH1393" t="s">
        <v>1123</v>
      </c>
      <c r="AI1393">
        <v>200127161</v>
      </c>
      <c r="AJ1393" t="s">
        <v>1148</v>
      </c>
      <c r="AK1393" t="s">
        <v>1129</v>
      </c>
      <c r="AL1393">
        <v>340218590</v>
      </c>
      <c r="AM1393" t="s">
        <v>135</v>
      </c>
    </row>
    <row r="1394" spans="1:39" x14ac:dyDescent="0.35">
      <c r="A1394">
        <v>3402</v>
      </c>
      <c r="B1394" t="s">
        <v>47</v>
      </c>
      <c r="C1394">
        <v>2020</v>
      </c>
      <c r="D1394" s="1">
        <v>43831</v>
      </c>
      <c r="E1394">
        <v>1</v>
      </c>
      <c r="F1394">
        <v>200114390</v>
      </c>
      <c r="G1394" t="s">
        <v>120</v>
      </c>
      <c r="H1394">
        <v>91</v>
      </c>
      <c r="I1394">
        <v>71104010</v>
      </c>
      <c r="J1394">
        <v>21021040</v>
      </c>
      <c r="K1394" t="s">
        <v>121</v>
      </c>
      <c r="L1394" s="4">
        <v>99.77</v>
      </c>
      <c r="M1394" t="s">
        <v>31</v>
      </c>
      <c r="N1394" s="4">
        <v>99.77</v>
      </c>
      <c r="O1394" t="s">
        <v>31</v>
      </c>
      <c r="R1394" t="s">
        <v>272</v>
      </c>
      <c r="S1394" t="s">
        <v>1131</v>
      </c>
      <c r="T1394">
        <v>107211</v>
      </c>
      <c r="U1394" t="s">
        <v>123</v>
      </c>
      <c r="X1394" t="s">
        <v>35</v>
      </c>
      <c r="Y1394" s="8">
        <v>4501229349</v>
      </c>
      <c r="Z1394">
        <v>20200130</v>
      </c>
      <c r="AA1394">
        <f t="shared" si="37"/>
        <v>99.77</v>
      </c>
      <c r="AB1394">
        <f t="shared" si="34"/>
        <v>15.963200000000001</v>
      </c>
      <c r="AC1394">
        <f t="shared" si="35"/>
        <v>115.7332</v>
      </c>
      <c r="AD1394">
        <v>200124384</v>
      </c>
      <c r="AE1394" t="s">
        <v>298</v>
      </c>
      <c r="AF1394" s="4">
        <f t="shared" si="36"/>
        <v>115.7332</v>
      </c>
      <c r="AG1394" t="s">
        <v>51</v>
      </c>
      <c r="AH1394" t="s">
        <v>1123</v>
      </c>
      <c r="AI1394">
        <v>200127161</v>
      </c>
      <c r="AJ1394" t="s">
        <v>1148</v>
      </c>
      <c r="AK1394" t="s">
        <v>1129</v>
      </c>
      <c r="AL1394">
        <v>340218590</v>
      </c>
      <c r="AM1394" t="s">
        <v>135</v>
      </c>
    </row>
    <row r="1395" spans="1:39" x14ac:dyDescent="0.35">
      <c r="A1395">
        <v>3402</v>
      </c>
      <c r="B1395" t="s">
        <v>47</v>
      </c>
      <c r="C1395">
        <v>2020</v>
      </c>
      <c r="D1395" s="1">
        <v>43831</v>
      </c>
      <c r="E1395">
        <v>1</v>
      </c>
      <c r="F1395">
        <v>200114391</v>
      </c>
      <c r="G1395" t="s">
        <v>120</v>
      </c>
      <c r="H1395">
        <v>81</v>
      </c>
      <c r="I1395">
        <v>71104010</v>
      </c>
      <c r="J1395">
        <v>21021040</v>
      </c>
      <c r="K1395" t="s">
        <v>121</v>
      </c>
      <c r="L1395" s="4">
        <v>99744.78</v>
      </c>
      <c r="M1395" t="s">
        <v>31</v>
      </c>
      <c r="N1395" s="4">
        <v>99744.78</v>
      </c>
      <c r="O1395" t="s">
        <v>31</v>
      </c>
      <c r="R1395" t="s">
        <v>272</v>
      </c>
      <c r="S1395" t="s">
        <v>1131</v>
      </c>
      <c r="T1395">
        <v>107211</v>
      </c>
      <c r="U1395" t="s">
        <v>123</v>
      </c>
      <c r="X1395" t="s">
        <v>35</v>
      </c>
      <c r="Y1395" s="8">
        <v>4501229349</v>
      </c>
      <c r="Z1395">
        <v>20200130</v>
      </c>
      <c r="AA1395">
        <f t="shared" si="37"/>
        <v>99744.78</v>
      </c>
      <c r="AB1395">
        <f t="shared" si="34"/>
        <v>15959.1648</v>
      </c>
      <c r="AC1395">
        <f t="shared" si="35"/>
        <v>115703.9448</v>
      </c>
      <c r="AD1395">
        <v>200124384</v>
      </c>
      <c r="AE1395" t="s">
        <v>298</v>
      </c>
      <c r="AF1395" s="4">
        <f t="shared" si="36"/>
        <v>115703.9448</v>
      </c>
      <c r="AG1395" t="s">
        <v>51</v>
      </c>
      <c r="AH1395" t="s">
        <v>1123</v>
      </c>
      <c r="AI1395">
        <v>200127161</v>
      </c>
      <c r="AJ1395" t="s">
        <v>1148</v>
      </c>
      <c r="AK1395" t="s">
        <v>1129</v>
      </c>
      <c r="AL1395">
        <v>340218590</v>
      </c>
      <c r="AM1395" t="s">
        <v>135</v>
      </c>
    </row>
    <row r="1396" spans="1:39" x14ac:dyDescent="0.35">
      <c r="A1396">
        <v>3402</v>
      </c>
      <c r="B1396" t="s">
        <v>47</v>
      </c>
      <c r="C1396">
        <v>2020</v>
      </c>
      <c r="D1396" s="1">
        <v>43831</v>
      </c>
      <c r="E1396">
        <v>1</v>
      </c>
      <c r="F1396">
        <v>200114394</v>
      </c>
      <c r="G1396" t="s">
        <v>120</v>
      </c>
      <c r="H1396">
        <v>91</v>
      </c>
      <c r="I1396">
        <v>71104010</v>
      </c>
      <c r="J1396">
        <v>21021040</v>
      </c>
      <c r="K1396" t="s">
        <v>121</v>
      </c>
      <c r="L1396" s="4">
        <v>114.32</v>
      </c>
      <c r="M1396" t="s">
        <v>31</v>
      </c>
      <c r="N1396" s="4">
        <v>114.32</v>
      </c>
      <c r="O1396" t="s">
        <v>31</v>
      </c>
      <c r="R1396" t="s">
        <v>272</v>
      </c>
      <c r="S1396" t="s">
        <v>1131</v>
      </c>
      <c r="T1396">
        <v>107211</v>
      </c>
      <c r="U1396" t="s">
        <v>123</v>
      </c>
      <c r="X1396" t="s">
        <v>35</v>
      </c>
      <c r="Y1396" s="8">
        <v>4501229349</v>
      </c>
      <c r="Z1396">
        <v>20200130</v>
      </c>
      <c r="AA1396">
        <f t="shared" si="37"/>
        <v>114.32</v>
      </c>
      <c r="AB1396">
        <f t="shared" si="34"/>
        <v>18.2912</v>
      </c>
      <c r="AC1396">
        <f t="shared" si="35"/>
        <v>132.6112</v>
      </c>
      <c r="AD1396">
        <v>200124384</v>
      </c>
      <c r="AE1396" t="s">
        <v>299</v>
      </c>
      <c r="AF1396" s="4">
        <f t="shared" si="36"/>
        <v>132.6112</v>
      </c>
      <c r="AG1396" t="s">
        <v>51</v>
      </c>
      <c r="AH1396" t="s">
        <v>1123</v>
      </c>
      <c r="AI1396">
        <v>200127161</v>
      </c>
      <c r="AJ1396" t="s">
        <v>1148</v>
      </c>
      <c r="AK1396" t="s">
        <v>1129</v>
      </c>
      <c r="AL1396">
        <v>340218590</v>
      </c>
      <c r="AM1396" t="s">
        <v>135</v>
      </c>
    </row>
    <row r="1397" spans="1:39" x14ac:dyDescent="0.35">
      <c r="A1397">
        <v>3402</v>
      </c>
      <c r="B1397" t="s">
        <v>47</v>
      </c>
      <c r="C1397">
        <v>2020</v>
      </c>
      <c r="D1397" s="1">
        <v>43831</v>
      </c>
      <c r="E1397">
        <v>1</v>
      </c>
      <c r="F1397">
        <v>200114395</v>
      </c>
      <c r="G1397" t="s">
        <v>120</v>
      </c>
      <c r="H1397">
        <v>81</v>
      </c>
      <c r="I1397">
        <v>71104010</v>
      </c>
      <c r="J1397">
        <v>21021040</v>
      </c>
      <c r="K1397" t="s">
        <v>121</v>
      </c>
      <c r="L1397" s="4">
        <v>114322.46</v>
      </c>
      <c r="M1397" t="s">
        <v>31</v>
      </c>
      <c r="N1397" s="4">
        <v>114322.46</v>
      </c>
      <c r="O1397" t="s">
        <v>31</v>
      </c>
      <c r="R1397" t="s">
        <v>272</v>
      </c>
      <c r="S1397" t="s">
        <v>1131</v>
      </c>
      <c r="T1397">
        <v>107211</v>
      </c>
      <c r="U1397" t="s">
        <v>123</v>
      </c>
      <c r="X1397" t="s">
        <v>35</v>
      </c>
      <c r="Y1397" s="8">
        <v>4501229349</v>
      </c>
      <c r="Z1397">
        <v>20200130</v>
      </c>
      <c r="AA1397">
        <f t="shared" si="37"/>
        <v>114322.46</v>
      </c>
      <c r="AB1397">
        <f t="shared" si="34"/>
        <v>18291.5936</v>
      </c>
      <c r="AC1397">
        <f t="shared" si="35"/>
        <v>132614.05360000001</v>
      </c>
      <c r="AD1397">
        <v>200124384</v>
      </c>
      <c r="AE1397" t="s">
        <v>299</v>
      </c>
      <c r="AF1397" s="4">
        <f t="shared" si="36"/>
        <v>132614.05360000001</v>
      </c>
      <c r="AG1397" t="s">
        <v>51</v>
      </c>
      <c r="AH1397" t="s">
        <v>1123</v>
      </c>
      <c r="AI1397">
        <v>200127161</v>
      </c>
      <c r="AJ1397" t="s">
        <v>1148</v>
      </c>
      <c r="AK1397" t="s">
        <v>1129</v>
      </c>
      <c r="AL1397">
        <v>340218590</v>
      </c>
      <c r="AM1397" t="s">
        <v>135</v>
      </c>
    </row>
    <row r="1398" spans="1:39" x14ac:dyDescent="0.35">
      <c r="A1398">
        <v>3402</v>
      </c>
      <c r="B1398" t="s">
        <v>47</v>
      </c>
      <c r="C1398">
        <v>2020</v>
      </c>
      <c r="D1398" s="1">
        <v>43831</v>
      </c>
      <c r="E1398">
        <v>1</v>
      </c>
      <c r="F1398">
        <v>200114396</v>
      </c>
      <c r="G1398" t="s">
        <v>120</v>
      </c>
      <c r="H1398">
        <v>91</v>
      </c>
      <c r="I1398">
        <v>71104010</v>
      </c>
      <c r="J1398">
        <v>21021040</v>
      </c>
      <c r="K1398" t="s">
        <v>121</v>
      </c>
      <c r="L1398" s="4">
        <v>103.05</v>
      </c>
      <c r="M1398" t="s">
        <v>31</v>
      </c>
      <c r="N1398" s="4">
        <v>103.05</v>
      </c>
      <c r="O1398" t="s">
        <v>31</v>
      </c>
      <c r="R1398" t="s">
        <v>272</v>
      </c>
      <c r="S1398" t="s">
        <v>1131</v>
      </c>
      <c r="T1398">
        <v>107211</v>
      </c>
      <c r="U1398" t="s">
        <v>123</v>
      </c>
      <c r="X1398" t="s">
        <v>35</v>
      </c>
      <c r="Y1398" s="8">
        <v>4501229349</v>
      </c>
      <c r="Z1398">
        <v>20200130</v>
      </c>
      <c r="AA1398">
        <f t="shared" si="37"/>
        <v>103.05</v>
      </c>
      <c r="AB1398">
        <f t="shared" si="34"/>
        <v>16.488</v>
      </c>
      <c r="AC1398">
        <f t="shared" si="35"/>
        <v>119.538</v>
      </c>
      <c r="AD1398">
        <v>200124384</v>
      </c>
      <c r="AE1398" t="s">
        <v>300</v>
      </c>
      <c r="AF1398" s="4">
        <f t="shared" si="36"/>
        <v>119.538</v>
      </c>
      <c r="AG1398" t="s">
        <v>51</v>
      </c>
      <c r="AH1398" t="s">
        <v>1123</v>
      </c>
      <c r="AI1398">
        <v>200127161</v>
      </c>
      <c r="AJ1398" t="s">
        <v>1148</v>
      </c>
      <c r="AK1398" t="s">
        <v>1129</v>
      </c>
      <c r="AL1398">
        <v>340218590</v>
      </c>
      <c r="AM1398" t="s">
        <v>135</v>
      </c>
    </row>
    <row r="1399" spans="1:39" x14ac:dyDescent="0.35">
      <c r="A1399">
        <v>3402</v>
      </c>
      <c r="B1399" t="s">
        <v>47</v>
      </c>
      <c r="C1399">
        <v>2020</v>
      </c>
      <c r="D1399" s="1">
        <v>43831</v>
      </c>
      <c r="E1399">
        <v>1</v>
      </c>
      <c r="F1399">
        <v>200114397</v>
      </c>
      <c r="G1399" t="s">
        <v>120</v>
      </c>
      <c r="H1399">
        <v>81</v>
      </c>
      <c r="I1399">
        <v>71104010</v>
      </c>
      <c r="J1399">
        <v>21021040</v>
      </c>
      <c r="K1399" t="s">
        <v>121</v>
      </c>
      <c r="L1399" s="4">
        <v>103053.84</v>
      </c>
      <c r="M1399" t="s">
        <v>31</v>
      </c>
      <c r="N1399" s="4">
        <v>103053.84</v>
      </c>
      <c r="O1399" t="s">
        <v>31</v>
      </c>
      <c r="R1399" t="s">
        <v>272</v>
      </c>
      <c r="S1399" t="s">
        <v>1131</v>
      </c>
      <c r="T1399">
        <v>107211</v>
      </c>
      <c r="U1399" t="s">
        <v>123</v>
      </c>
      <c r="X1399" t="s">
        <v>35</v>
      </c>
      <c r="Y1399" s="8">
        <v>4501229349</v>
      </c>
      <c r="Z1399">
        <v>20200130</v>
      </c>
      <c r="AA1399">
        <f t="shared" si="37"/>
        <v>103053.84</v>
      </c>
      <c r="AB1399">
        <f t="shared" si="34"/>
        <v>16488.614399999999</v>
      </c>
      <c r="AC1399">
        <f t="shared" si="35"/>
        <v>119542.45439999999</v>
      </c>
      <c r="AD1399">
        <v>200124384</v>
      </c>
      <c r="AE1399" t="s">
        <v>300</v>
      </c>
      <c r="AF1399" s="4">
        <f t="shared" si="36"/>
        <v>119542.45439999999</v>
      </c>
      <c r="AG1399" t="s">
        <v>51</v>
      </c>
      <c r="AH1399" t="s">
        <v>1123</v>
      </c>
      <c r="AI1399">
        <v>200127161</v>
      </c>
      <c r="AJ1399" t="s">
        <v>1148</v>
      </c>
      <c r="AK1399" t="s">
        <v>1129</v>
      </c>
      <c r="AL1399">
        <v>340218590</v>
      </c>
      <c r="AM1399" t="s">
        <v>135</v>
      </c>
    </row>
    <row r="1400" spans="1:39" x14ac:dyDescent="0.35">
      <c r="A1400">
        <v>3402</v>
      </c>
      <c r="B1400" t="s">
        <v>47</v>
      </c>
      <c r="C1400">
        <v>2020</v>
      </c>
      <c r="D1400" s="1">
        <v>43831</v>
      </c>
      <c r="E1400">
        <v>1</v>
      </c>
      <c r="F1400">
        <v>200114398</v>
      </c>
      <c r="G1400" t="s">
        <v>120</v>
      </c>
      <c r="H1400">
        <v>91</v>
      </c>
      <c r="I1400">
        <v>71104010</v>
      </c>
      <c r="J1400">
        <v>21021040</v>
      </c>
      <c r="K1400" t="s">
        <v>121</v>
      </c>
      <c r="L1400" s="4">
        <v>106.36</v>
      </c>
      <c r="M1400" t="s">
        <v>31</v>
      </c>
      <c r="N1400" s="4">
        <v>106.36</v>
      </c>
      <c r="O1400" t="s">
        <v>31</v>
      </c>
      <c r="R1400" t="s">
        <v>272</v>
      </c>
      <c r="S1400" t="s">
        <v>1131</v>
      </c>
      <c r="T1400">
        <v>107211</v>
      </c>
      <c r="U1400" t="s">
        <v>123</v>
      </c>
      <c r="X1400" t="s">
        <v>35</v>
      </c>
      <c r="Y1400" s="8">
        <v>4501229349</v>
      </c>
      <c r="Z1400">
        <v>20200130</v>
      </c>
      <c r="AA1400">
        <f t="shared" si="37"/>
        <v>106.36</v>
      </c>
      <c r="AB1400">
        <f t="shared" si="34"/>
        <v>17.017600000000002</v>
      </c>
      <c r="AC1400">
        <f t="shared" si="35"/>
        <v>123.3776</v>
      </c>
      <c r="AD1400">
        <v>200124384</v>
      </c>
      <c r="AE1400" t="s">
        <v>301</v>
      </c>
      <c r="AF1400" s="4">
        <f t="shared" si="36"/>
        <v>123.3776</v>
      </c>
      <c r="AG1400" t="s">
        <v>51</v>
      </c>
      <c r="AH1400" t="s">
        <v>1123</v>
      </c>
      <c r="AI1400">
        <v>200127161</v>
      </c>
      <c r="AJ1400" t="s">
        <v>1148</v>
      </c>
      <c r="AK1400" t="s">
        <v>1129</v>
      </c>
      <c r="AL1400">
        <v>340218590</v>
      </c>
      <c r="AM1400" t="s">
        <v>135</v>
      </c>
    </row>
    <row r="1401" spans="1:39" x14ac:dyDescent="0.35">
      <c r="A1401">
        <v>3402</v>
      </c>
      <c r="B1401" t="s">
        <v>47</v>
      </c>
      <c r="C1401">
        <v>2020</v>
      </c>
      <c r="D1401" s="1">
        <v>43831</v>
      </c>
      <c r="E1401">
        <v>1</v>
      </c>
      <c r="F1401">
        <v>200114399</v>
      </c>
      <c r="G1401" t="s">
        <v>120</v>
      </c>
      <c r="H1401">
        <v>81</v>
      </c>
      <c r="I1401">
        <v>71104010</v>
      </c>
      <c r="J1401">
        <v>21021040</v>
      </c>
      <c r="K1401" t="s">
        <v>121</v>
      </c>
      <c r="L1401" s="4">
        <v>106362.82</v>
      </c>
      <c r="M1401" t="s">
        <v>31</v>
      </c>
      <c r="N1401" s="4">
        <v>106362.82</v>
      </c>
      <c r="O1401" t="s">
        <v>31</v>
      </c>
      <c r="R1401" t="s">
        <v>272</v>
      </c>
      <c r="S1401" t="s">
        <v>1131</v>
      </c>
      <c r="T1401">
        <v>107211</v>
      </c>
      <c r="U1401" t="s">
        <v>123</v>
      </c>
      <c r="X1401" t="s">
        <v>35</v>
      </c>
      <c r="Y1401" s="8">
        <v>4501229349</v>
      </c>
      <c r="Z1401">
        <v>20200130</v>
      </c>
      <c r="AA1401">
        <f t="shared" si="37"/>
        <v>106362.82</v>
      </c>
      <c r="AB1401">
        <f t="shared" si="34"/>
        <v>17018.051200000002</v>
      </c>
      <c r="AC1401">
        <f t="shared" si="35"/>
        <v>123380.87120000001</v>
      </c>
      <c r="AD1401">
        <v>200124384</v>
      </c>
      <c r="AE1401" t="s">
        <v>301</v>
      </c>
      <c r="AF1401" s="4">
        <f t="shared" si="36"/>
        <v>123380.87120000001</v>
      </c>
      <c r="AG1401" t="s">
        <v>51</v>
      </c>
      <c r="AH1401" t="s">
        <v>1123</v>
      </c>
      <c r="AI1401">
        <v>200127161</v>
      </c>
      <c r="AJ1401" t="s">
        <v>1148</v>
      </c>
      <c r="AK1401" t="s">
        <v>1129</v>
      </c>
      <c r="AL1401">
        <v>340218590</v>
      </c>
      <c r="AM1401" t="s">
        <v>135</v>
      </c>
    </row>
    <row r="1402" spans="1:39" x14ac:dyDescent="0.35">
      <c r="A1402">
        <v>3402</v>
      </c>
      <c r="B1402" t="s">
        <v>47</v>
      </c>
      <c r="C1402">
        <v>2020</v>
      </c>
      <c r="D1402" s="1">
        <v>43831</v>
      </c>
      <c r="E1402">
        <v>1</v>
      </c>
      <c r="F1402">
        <v>200114401</v>
      </c>
      <c r="G1402" t="s">
        <v>120</v>
      </c>
      <c r="H1402">
        <v>81</v>
      </c>
      <c r="I1402">
        <v>71104010</v>
      </c>
      <c r="J1402">
        <v>21021040</v>
      </c>
      <c r="K1402" t="s">
        <v>121</v>
      </c>
      <c r="L1402" s="4">
        <v>112943.74</v>
      </c>
      <c r="M1402" t="s">
        <v>31</v>
      </c>
      <c r="N1402" s="4">
        <v>112943.74</v>
      </c>
      <c r="O1402" t="s">
        <v>31</v>
      </c>
      <c r="R1402" t="s">
        <v>272</v>
      </c>
      <c r="S1402" t="s">
        <v>1131</v>
      </c>
      <c r="T1402">
        <v>107211</v>
      </c>
      <c r="U1402" t="s">
        <v>123</v>
      </c>
      <c r="X1402" t="s">
        <v>35</v>
      </c>
      <c r="Y1402" s="8">
        <v>4501229349</v>
      </c>
      <c r="Z1402">
        <v>20200130</v>
      </c>
      <c r="AA1402">
        <f t="shared" si="37"/>
        <v>112943.74</v>
      </c>
      <c r="AB1402">
        <f t="shared" si="34"/>
        <v>18070.9984</v>
      </c>
      <c r="AC1402">
        <f t="shared" si="35"/>
        <v>131014.7384</v>
      </c>
      <c r="AD1402">
        <v>200124384</v>
      </c>
      <c r="AE1402" t="s">
        <v>282</v>
      </c>
      <c r="AF1402" s="4">
        <f t="shared" si="36"/>
        <v>131014.7384</v>
      </c>
      <c r="AG1402" t="s">
        <v>51</v>
      </c>
      <c r="AH1402" t="s">
        <v>1123</v>
      </c>
      <c r="AI1402">
        <v>200127161</v>
      </c>
      <c r="AJ1402" t="s">
        <v>1148</v>
      </c>
      <c r="AK1402" t="s">
        <v>1129</v>
      </c>
      <c r="AL1402">
        <v>340218590</v>
      </c>
      <c r="AM1402" t="s">
        <v>135</v>
      </c>
    </row>
    <row r="1403" spans="1:39" x14ac:dyDescent="0.35">
      <c r="A1403">
        <v>3402</v>
      </c>
      <c r="B1403" t="s">
        <v>47</v>
      </c>
      <c r="C1403">
        <v>2020</v>
      </c>
      <c r="D1403" s="1">
        <v>43831</v>
      </c>
      <c r="E1403">
        <v>1</v>
      </c>
      <c r="F1403">
        <v>200114404</v>
      </c>
      <c r="G1403" t="s">
        <v>120</v>
      </c>
      <c r="H1403">
        <v>81</v>
      </c>
      <c r="I1403">
        <v>71104010</v>
      </c>
      <c r="J1403">
        <v>21021040</v>
      </c>
      <c r="K1403" t="s">
        <v>121</v>
      </c>
      <c r="L1403" s="4">
        <v>113707.4</v>
      </c>
      <c r="M1403" t="s">
        <v>31</v>
      </c>
      <c r="N1403" s="4">
        <v>113707.4</v>
      </c>
      <c r="O1403" t="s">
        <v>31</v>
      </c>
      <c r="R1403" t="s">
        <v>272</v>
      </c>
      <c r="S1403" t="s">
        <v>1131</v>
      </c>
      <c r="T1403">
        <v>107211</v>
      </c>
      <c r="U1403" t="s">
        <v>123</v>
      </c>
      <c r="X1403" t="s">
        <v>35</v>
      </c>
      <c r="Y1403" s="8">
        <v>4501229349</v>
      </c>
      <c r="Z1403">
        <v>20200130</v>
      </c>
      <c r="AA1403">
        <f t="shared" si="37"/>
        <v>113707.4</v>
      </c>
      <c r="AB1403">
        <f t="shared" ref="AB1403:AB1410" si="38">AA1403*0.16</f>
        <v>18193.184000000001</v>
      </c>
      <c r="AC1403">
        <f t="shared" ref="AC1403:AC1410" si="39">AA1403+AB1403</f>
        <v>131900.584</v>
      </c>
      <c r="AD1403">
        <v>200124384</v>
      </c>
      <c r="AE1403" t="s">
        <v>283</v>
      </c>
      <c r="AF1403" s="4">
        <f t="shared" ref="AF1403:AF1410" si="40">AC1403</f>
        <v>131900.584</v>
      </c>
      <c r="AG1403" t="s">
        <v>51</v>
      </c>
      <c r="AH1403" t="s">
        <v>1123</v>
      </c>
      <c r="AI1403">
        <v>200127161</v>
      </c>
      <c r="AJ1403" t="s">
        <v>1148</v>
      </c>
      <c r="AK1403" t="s">
        <v>1129</v>
      </c>
      <c r="AL1403">
        <v>340218590</v>
      </c>
      <c r="AM1403" t="s">
        <v>135</v>
      </c>
    </row>
    <row r="1404" spans="1:39" x14ac:dyDescent="0.35">
      <c r="A1404">
        <v>3402</v>
      </c>
      <c r="B1404" t="s">
        <v>47</v>
      </c>
      <c r="C1404">
        <v>2020</v>
      </c>
      <c r="D1404" s="1">
        <v>43831</v>
      </c>
      <c r="E1404">
        <v>1</v>
      </c>
      <c r="F1404">
        <v>200114405</v>
      </c>
      <c r="G1404" t="s">
        <v>120</v>
      </c>
      <c r="H1404">
        <v>91</v>
      </c>
      <c r="I1404">
        <v>71104010</v>
      </c>
      <c r="J1404">
        <v>21021040</v>
      </c>
      <c r="K1404" t="s">
        <v>121</v>
      </c>
      <c r="L1404" s="4">
        <v>92.39</v>
      </c>
      <c r="M1404" t="s">
        <v>31</v>
      </c>
      <c r="N1404" s="4">
        <v>92.39</v>
      </c>
      <c r="O1404" t="s">
        <v>31</v>
      </c>
      <c r="R1404" t="s">
        <v>272</v>
      </c>
      <c r="S1404" t="s">
        <v>1131</v>
      </c>
      <c r="T1404">
        <v>107211</v>
      </c>
      <c r="U1404" t="s">
        <v>123</v>
      </c>
      <c r="X1404" t="s">
        <v>35</v>
      </c>
      <c r="Y1404" s="8">
        <v>4501229349</v>
      </c>
      <c r="Z1404">
        <v>20200130</v>
      </c>
      <c r="AA1404">
        <f t="shared" si="37"/>
        <v>92.39</v>
      </c>
      <c r="AB1404">
        <f t="shared" si="38"/>
        <v>14.782400000000001</v>
      </c>
      <c r="AC1404">
        <f t="shared" si="39"/>
        <v>107.1724</v>
      </c>
      <c r="AD1404">
        <v>200124384</v>
      </c>
      <c r="AE1404" t="s">
        <v>302</v>
      </c>
      <c r="AF1404" s="4">
        <f t="shared" si="40"/>
        <v>107.1724</v>
      </c>
      <c r="AG1404" t="s">
        <v>51</v>
      </c>
      <c r="AH1404" t="s">
        <v>1123</v>
      </c>
      <c r="AI1404">
        <v>200127161</v>
      </c>
      <c r="AJ1404" t="s">
        <v>1148</v>
      </c>
      <c r="AK1404" t="s">
        <v>1129</v>
      </c>
      <c r="AL1404">
        <v>340218590</v>
      </c>
      <c r="AM1404" t="s">
        <v>135</v>
      </c>
    </row>
    <row r="1405" spans="1:39" x14ac:dyDescent="0.35">
      <c r="A1405">
        <v>3402</v>
      </c>
      <c r="B1405" t="s">
        <v>47</v>
      </c>
      <c r="C1405">
        <v>2020</v>
      </c>
      <c r="D1405" s="1">
        <v>43831</v>
      </c>
      <c r="E1405">
        <v>1</v>
      </c>
      <c r="F1405">
        <v>200114406</v>
      </c>
      <c r="G1405" t="s">
        <v>120</v>
      </c>
      <c r="H1405">
        <v>81</v>
      </c>
      <c r="I1405">
        <v>71104010</v>
      </c>
      <c r="J1405">
        <v>21021040</v>
      </c>
      <c r="K1405" t="s">
        <v>121</v>
      </c>
      <c r="L1405" s="4">
        <v>92364.68</v>
      </c>
      <c r="M1405" t="s">
        <v>31</v>
      </c>
      <c r="N1405" s="4">
        <v>92364.68</v>
      </c>
      <c r="O1405" t="s">
        <v>31</v>
      </c>
      <c r="R1405" t="s">
        <v>272</v>
      </c>
      <c r="S1405" t="s">
        <v>1131</v>
      </c>
      <c r="T1405">
        <v>107211</v>
      </c>
      <c r="U1405" t="s">
        <v>123</v>
      </c>
      <c r="X1405" t="s">
        <v>35</v>
      </c>
      <c r="Y1405" s="8">
        <v>4501229349</v>
      </c>
      <c r="Z1405">
        <v>20200130</v>
      </c>
      <c r="AA1405">
        <f t="shared" si="37"/>
        <v>92364.68</v>
      </c>
      <c r="AB1405">
        <f t="shared" si="38"/>
        <v>14778.3488</v>
      </c>
      <c r="AC1405">
        <f t="shared" si="39"/>
        <v>107143.0288</v>
      </c>
      <c r="AD1405">
        <v>200124384</v>
      </c>
      <c r="AE1405" t="s">
        <v>302</v>
      </c>
      <c r="AF1405" s="4">
        <f t="shared" si="40"/>
        <v>107143.0288</v>
      </c>
      <c r="AG1405" t="s">
        <v>51</v>
      </c>
      <c r="AH1405" t="s">
        <v>1123</v>
      </c>
      <c r="AI1405">
        <v>200127161</v>
      </c>
      <c r="AJ1405" t="s">
        <v>1148</v>
      </c>
      <c r="AK1405" t="s">
        <v>1129</v>
      </c>
      <c r="AL1405">
        <v>340218590</v>
      </c>
      <c r="AM1405" t="s">
        <v>135</v>
      </c>
    </row>
    <row r="1406" spans="1:39" x14ac:dyDescent="0.35">
      <c r="A1406">
        <v>3402</v>
      </c>
      <c r="B1406" t="s">
        <v>47</v>
      </c>
      <c r="C1406">
        <v>2020</v>
      </c>
      <c r="D1406" s="1">
        <v>43831</v>
      </c>
      <c r="E1406">
        <v>1</v>
      </c>
      <c r="F1406">
        <v>200114407</v>
      </c>
      <c r="G1406" t="s">
        <v>120</v>
      </c>
      <c r="H1406">
        <v>91</v>
      </c>
      <c r="I1406">
        <v>71104010</v>
      </c>
      <c r="J1406">
        <v>21021040</v>
      </c>
      <c r="K1406" t="s">
        <v>121</v>
      </c>
      <c r="L1406" s="4">
        <v>131.58000000000001</v>
      </c>
      <c r="M1406" t="s">
        <v>31</v>
      </c>
      <c r="N1406" s="4">
        <v>131.58000000000001</v>
      </c>
      <c r="O1406" t="s">
        <v>31</v>
      </c>
      <c r="R1406" t="s">
        <v>272</v>
      </c>
      <c r="S1406" t="s">
        <v>1131</v>
      </c>
      <c r="T1406">
        <v>107211</v>
      </c>
      <c r="U1406" t="s">
        <v>123</v>
      </c>
      <c r="X1406" t="s">
        <v>35</v>
      </c>
      <c r="Y1406" s="8">
        <v>4501229349</v>
      </c>
      <c r="Z1406">
        <v>20200130</v>
      </c>
      <c r="AA1406">
        <f t="shared" si="37"/>
        <v>131.58000000000001</v>
      </c>
      <c r="AB1406">
        <f t="shared" si="38"/>
        <v>21.052800000000001</v>
      </c>
      <c r="AC1406">
        <f t="shared" si="39"/>
        <v>152.6328</v>
      </c>
      <c r="AD1406">
        <v>200124384</v>
      </c>
      <c r="AE1406" t="s">
        <v>274</v>
      </c>
      <c r="AF1406" s="4">
        <f t="shared" si="40"/>
        <v>152.6328</v>
      </c>
      <c r="AG1406" t="s">
        <v>51</v>
      </c>
      <c r="AH1406" t="s">
        <v>1123</v>
      </c>
      <c r="AI1406">
        <v>200127161</v>
      </c>
      <c r="AJ1406" t="s">
        <v>1148</v>
      </c>
      <c r="AK1406" t="s">
        <v>1129</v>
      </c>
      <c r="AL1406">
        <v>340218590</v>
      </c>
      <c r="AM1406" t="s">
        <v>135</v>
      </c>
    </row>
    <row r="1407" spans="1:39" x14ac:dyDescent="0.35">
      <c r="A1407">
        <v>3402</v>
      </c>
      <c r="B1407" t="s">
        <v>47</v>
      </c>
      <c r="C1407">
        <v>2020</v>
      </c>
      <c r="D1407" s="1">
        <v>43831</v>
      </c>
      <c r="E1407">
        <v>1</v>
      </c>
      <c r="F1407">
        <v>200114409</v>
      </c>
      <c r="G1407" t="s">
        <v>120</v>
      </c>
      <c r="H1407">
        <v>91</v>
      </c>
      <c r="I1407">
        <v>71104010</v>
      </c>
      <c r="J1407">
        <v>21021040</v>
      </c>
      <c r="K1407" t="s">
        <v>121</v>
      </c>
      <c r="L1407" s="4">
        <v>134.05000000000001</v>
      </c>
      <c r="M1407" t="s">
        <v>31</v>
      </c>
      <c r="N1407" s="4">
        <v>134.05000000000001</v>
      </c>
      <c r="O1407" t="s">
        <v>31</v>
      </c>
      <c r="R1407" t="s">
        <v>272</v>
      </c>
      <c r="S1407" t="s">
        <v>1131</v>
      </c>
      <c r="T1407">
        <v>107211</v>
      </c>
      <c r="U1407" t="s">
        <v>123</v>
      </c>
      <c r="X1407" t="s">
        <v>35</v>
      </c>
      <c r="Y1407" s="8">
        <v>4501229349</v>
      </c>
      <c r="Z1407">
        <v>20200130</v>
      </c>
      <c r="AA1407">
        <f t="shared" si="37"/>
        <v>134.05000000000001</v>
      </c>
      <c r="AB1407">
        <f t="shared" si="38"/>
        <v>21.448000000000004</v>
      </c>
      <c r="AC1407">
        <f t="shared" si="39"/>
        <v>155.49800000000002</v>
      </c>
      <c r="AD1407">
        <v>200124384</v>
      </c>
      <c r="AE1407" t="s">
        <v>303</v>
      </c>
      <c r="AF1407" s="4">
        <f t="shared" si="40"/>
        <v>155.49800000000002</v>
      </c>
      <c r="AG1407" t="s">
        <v>51</v>
      </c>
      <c r="AH1407" t="s">
        <v>1123</v>
      </c>
      <c r="AI1407">
        <v>200127161</v>
      </c>
      <c r="AJ1407" t="s">
        <v>1148</v>
      </c>
      <c r="AK1407" t="s">
        <v>1129</v>
      </c>
      <c r="AL1407">
        <v>340218590</v>
      </c>
      <c r="AM1407" t="s">
        <v>135</v>
      </c>
    </row>
    <row r="1408" spans="1:39" x14ac:dyDescent="0.35">
      <c r="A1408">
        <v>3402</v>
      </c>
      <c r="B1408" t="s">
        <v>47</v>
      </c>
      <c r="C1408">
        <v>2020</v>
      </c>
      <c r="D1408" s="1">
        <v>43831</v>
      </c>
      <c r="E1408">
        <v>1</v>
      </c>
      <c r="F1408">
        <v>200114410</v>
      </c>
      <c r="G1408" t="s">
        <v>120</v>
      </c>
      <c r="H1408">
        <v>81</v>
      </c>
      <c r="I1408">
        <v>71104010</v>
      </c>
      <c r="J1408">
        <v>21021040</v>
      </c>
      <c r="K1408" t="s">
        <v>121</v>
      </c>
      <c r="L1408" s="4">
        <v>134060.46</v>
      </c>
      <c r="M1408" t="s">
        <v>31</v>
      </c>
      <c r="N1408" s="4">
        <v>134060.46</v>
      </c>
      <c r="O1408" t="s">
        <v>31</v>
      </c>
      <c r="R1408" t="s">
        <v>272</v>
      </c>
      <c r="S1408" t="s">
        <v>1131</v>
      </c>
      <c r="T1408">
        <v>107211</v>
      </c>
      <c r="U1408" t="s">
        <v>123</v>
      </c>
      <c r="X1408" t="s">
        <v>35</v>
      </c>
      <c r="Y1408" s="8">
        <v>4501229349</v>
      </c>
      <c r="Z1408">
        <v>20200130</v>
      </c>
      <c r="AA1408">
        <f t="shared" si="37"/>
        <v>134060.46</v>
      </c>
      <c r="AB1408">
        <f t="shared" si="38"/>
        <v>21449.673599999998</v>
      </c>
      <c r="AC1408">
        <f t="shared" si="39"/>
        <v>155510.1336</v>
      </c>
      <c r="AD1408">
        <v>200124384</v>
      </c>
      <c r="AE1408" t="s">
        <v>303</v>
      </c>
      <c r="AF1408" s="4">
        <f t="shared" si="40"/>
        <v>155510.1336</v>
      </c>
      <c r="AG1408" t="s">
        <v>51</v>
      </c>
      <c r="AH1408" t="s">
        <v>1123</v>
      </c>
      <c r="AI1408">
        <v>200127161</v>
      </c>
      <c r="AJ1408" t="s">
        <v>1148</v>
      </c>
      <c r="AK1408" t="s">
        <v>1129</v>
      </c>
      <c r="AL1408">
        <v>340218590</v>
      </c>
      <c r="AM1408" t="s">
        <v>135</v>
      </c>
    </row>
    <row r="1409" spans="1:39" x14ac:dyDescent="0.35">
      <c r="A1409">
        <v>3402</v>
      </c>
      <c r="B1409" t="s">
        <v>47</v>
      </c>
      <c r="C1409">
        <v>2020</v>
      </c>
      <c r="D1409" s="1">
        <v>43831</v>
      </c>
      <c r="E1409">
        <v>1</v>
      </c>
      <c r="F1409">
        <v>200114411</v>
      </c>
      <c r="G1409" t="s">
        <v>120</v>
      </c>
      <c r="H1409">
        <v>91</v>
      </c>
      <c r="I1409">
        <v>71104010</v>
      </c>
      <c r="J1409">
        <v>21021040</v>
      </c>
      <c r="K1409" t="s">
        <v>121</v>
      </c>
      <c r="L1409" s="4">
        <v>140.38999999999999</v>
      </c>
      <c r="M1409" t="s">
        <v>31</v>
      </c>
      <c r="N1409" s="4">
        <v>140.38999999999999</v>
      </c>
      <c r="O1409" t="s">
        <v>31</v>
      </c>
      <c r="R1409" t="s">
        <v>272</v>
      </c>
      <c r="S1409" t="s">
        <v>1131</v>
      </c>
      <c r="T1409">
        <v>107211</v>
      </c>
      <c r="U1409" t="s">
        <v>123</v>
      </c>
      <c r="X1409" t="s">
        <v>35</v>
      </c>
      <c r="Y1409" s="8">
        <v>4501229349</v>
      </c>
      <c r="Z1409">
        <v>20200130</v>
      </c>
      <c r="AA1409">
        <f t="shared" si="37"/>
        <v>140.38999999999999</v>
      </c>
      <c r="AB1409">
        <f t="shared" si="38"/>
        <v>22.462399999999999</v>
      </c>
      <c r="AC1409">
        <f t="shared" si="39"/>
        <v>162.85239999999999</v>
      </c>
      <c r="AD1409">
        <v>200124384</v>
      </c>
      <c r="AE1409" t="s">
        <v>304</v>
      </c>
      <c r="AF1409" s="4">
        <f t="shared" si="40"/>
        <v>162.85239999999999</v>
      </c>
      <c r="AG1409" t="s">
        <v>51</v>
      </c>
      <c r="AH1409" t="s">
        <v>1123</v>
      </c>
      <c r="AI1409">
        <v>200127161</v>
      </c>
      <c r="AJ1409" t="s">
        <v>1148</v>
      </c>
      <c r="AK1409" t="s">
        <v>1129</v>
      </c>
      <c r="AL1409">
        <v>340218590</v>
      </c>
      <c r="AM1409" t="s">
        <v>135</v>
      </c>
    </row>
    <row r="1410" spans="1:39" x14ac:dyDescent="0.35">
      <c r="A1410">
        <v>3402</v>
      </c>
      <c r="B1410" t="s">
        <v>47</v>
      </c>
      <c r="C1410">
        <v>2020</v>
      </c>
      <c r="D1410" s="1">
        <v>43831</v>
      </c>
      <c r="E1410">
        <v>1</v>
      </c>
      <c r="F1410">
        <v>200114412</v>
      </c>
      <c r="G1410" t="s">
        <v>120</v>
      </c>
      <c r="H1410">
        <v>81</v>
      </c>
      <c r="I1410">
        <v>71104010</v>
      </c>
      <c r="J1410">
        <v>21021040</v>
      </c>
      <c r="K1410" t="s">
        <v>121</v>
      </c>
      <c r="L1410" s="4">
        <v>140387.4</v>
      </c>
      <c r="M1410" t="s">
        <v>31</v>
      </c>
      <c r="N1410" s="4">
        <v>140387.4</v>
      </c>
      <c r="O1410" t="s">
        <v>31</v>
      </c>
      <c r="R1410" t="s">
        <v>272</v>
      </c>
      <c r="S1410" t="s">
        <v>1131</v>
      </c>
      <c r="T1410">
        <v>107211</v>
      </c>
      <c r="U1410" t="s">
        <v>123</v>
      </c>
      <c r="X1410" t="s">
        <v>35</v>
      </c>
      <c r="Y1410" s="8">
        <v>4501229349</v>
      </c>
      <c r="Z1410">
        <v>20200130</v>
      </c>
      <c r="AA1410">
        <f t="shared" si="37"/>
        <v>140387.4</v>
      </c>
      <c r="AB1410">
        <f t="shared" si="38"/>
        <v>22461.984</v>
      </c>
      <c r="AC1410">
        <f t="shared" si="39"/>
        <v>162849.38399999999</v>
      </c>
      <c r="AD1410">
        <v>200124384</v>
      </c>
      <c r="AE1410" t="s">
        <v>304</v>
      </c>
      <c r="AF1410" s="4">
        <f t="shared" si="40"/>
        <v>162849.38399999999</v>
      </c>
      <c r="AG1410" t="s">
        <v>51</v>
      </c>
      <c r="AH1410" t="s">
        <v>1123</v>
      </c>
      <c r="AI1410">
        <v>200127161</v>
      </c>
      <c r="AJ1410" t="s">
        <v>1148</v>
      </c>
      <c r="AK1410" t="s">
        <v>1129</v>
      </c>
      <c r="AL1410">
        <v>340218590</v>
      </c>
      <c r="AM1410" t="s">
        <v>135</v>
      </c>
    </row>
    <row r="1411" spans="1:39" x14ac:dyDescent="0.35">
      <c r="A1411">
        <v>3400</v>
      </c>
      <c r="B1411" t="s">
        <v>28</v>
      </c>
      <c r="C1411">
        <v>2020</v>
      </c>
      <c r="D1411" s="1">
        <v>43831</v>
      </c>
      <c r="E1411">
        <v>1</v>
      </c>
      <c r="F1411">
        <v>100010628</v>
      </c>
      <c r="G1411" t="s">
        <v>96</v>
      </c>
      <c r="H1411">
        <v>40</v>
      </c>
      <c r="I1411">
        <v>71105130</v>
      </c>
      <c r="J1411">
        <v>21021040</v>
      </c>
      <c r="K1411" t="s">
        <v>305</v>
      </c>
      <c r="L1411" s="4">
        <v>4038.35</v>
      </c>
      <c r="M1411" t="s">
        <v>54</v>
      </c>
      <c r="N1411" s="4">
        <v>75544.2</v>
      </c>
      <c r="O1411" t="s">
        <v>31</v>
      </c>
      <c r="P1411" t="s">
        <v>98</v>
      </c>
      <c r="X1411" t="s">
        <v>28</v>
      </c>
      <c r="Y1411"/>
      <c r="Z1411" t="s">
        <v>306</v>
      </c>
      <c r="AA1411">
        <f t="shared" si="37"/>
        <v>4038.35</v>
      </c>
      <c r="AC1411"/>
      <c r="AE1411" t="s">
        <v>307</v>
      </c>
      <c r="AF1411"/>
      <c r="AL1411">
        <v>340020050</v>
      </c>
      <c r="AM1411" t="s">
        <v>78</v>
      </c>
    </row>
    <row r="1412" spans="1:39" x14ac:dyDescent="0.35">
      <c r="A1412">
        <v>3400</v>
      </c>
      <c r="B1412" t="s">
        <v>28</v>
      </c>
      <c r="C1412">
        <v>2020</v>
      </c>
      <c r="D1412" s="1">
        <v>43831</v>
      </c>
      <c r="E1412">
        <v>1</v>
      </c>
      <c r="F1412">
        <v>100010630</v>
      </c>
      <c r="G1412" t="s">
        <v>96</v>
      </c>
      <c r="H1412">
        <v>40</v>
      </c>
      <c r="I1412">
        <v>71105130</v>
      </c>
      <c r="J1412">
        <v>21021040</v>
      </c>
      <c r="K1412" t="s">
        <v>305</v>
      </c>
      <c r="L1412" s="4">
        <v>2305.0300000000002</v>
      </c>
      <c r="M1412" t="s">
        <v>54</v>
      </c>
      <c r="N1412" s="4">
        <v>43119.5</v>
      </c>
      <c r="O1412" t="s">
        <v>31</v>
      </c>
      <c r="P1412" t="s">
        <v>98</v>
      </c>
      <c r="X1412" t="s">
        <v>28</v>
      </c>
      <c r="Y1412"/>
      <c r="Z1412" t="s">
        <v>308</v>
      </c>
      <c r="AA1412">
        <f t="shared" si="37"/>
        <v>2305.0300000000002</v>
      </c>
      <c r="AC1412"/>
      <c r="AE1412" t="s">
        <v>307</v>
      </c>
      <c r="AF1412"/>
      <c r="AL1412">
        <v>340020050</v>
      </c>
      <c r="AM1412" t="s">
        <v>78</v>
      </c>
    </row>
    <row r="1413" spans="1:39" x14ac:dyDescent="0.35">
      <c r="A1413">
        <v>3400</v>
      </c>
      <c r="B1413" t="s">
        <v>309</v>
      </c>
      <c r="C1413">
        <v>2020</v>
      </c>
      <c r="D1413" s="1">
        <v>43831</v>
      </c>
      <c r="E1413">
        <v>1</v>
      </c>
      <c r="F1413">
        <v>100003067</v>
      </c>
      <c r="G1413" t="s">
        <v>96</v>
      </c>
      <c r="H1413">
        <v>40</v>
      </c>
      <c r="I1413">
        <v>71105060</v>
      </c>
      <c r="J1413">
        <v>21021040</v>
      </c>
      <c r="K1413" t="s">
        <v>238</v>
      </c>
      <c r="L1413" s="4">
        <v>176000</v>
      </c>
      <c r="M1413" t="s">
        <v>31</v>
      </c>
      <c r="N1413" s="4">
        <v>176000</v>
      </c>
      <c r="O1413" t="s">
        <v>31</v>
      </c>
      <c r="P1413" t="s">
        <v>211</v>
      </c>
      <c r="X1413" t="s">
        <v>309</v>
      </c>
      <c r="Y1413"/>
      <c r="Z1413" t="s">
        <v>310</v>
      </c>
      <c r="AA1413">
        <f t="shared" si="37"/>
        <v>176000</v>
      </c>
      <c r="AC1413"/>
      <c r="AE1413" t="s">
        <v>311</v>
      </c>
      <c r="AF1413"/>
      <c r="AL1413">
        <v>340020050</v>
      </c>
      <c r="AM1413" t="s">
        <v>78</v>
      </c>
    </row>
    <row r="1414" spans="1:39" x14ac:dyDescent="0.35">
      <c r="A1414">
        <v>3400</v>
      </c>
      <c r="B1414" t="s">
        <v>309</v>
      </c>
      <c r="C1414">
        <v>2020</v>
      </c>
      <c r="D1414" s="1">
        <v>43831</v>
      </c>
      <c r="E1414">
        <v>1</v>
      </c>
      <c r="F1414">
        <v>100003175</v>
      </c>
      <c r="G1414" t="s">
        <v>96</v>
      </c>
      <c r="H1414">
        <v>40</v>
      </c>
      <c r="I1414">
        <v>71106100</v>
      </c>
      <c r="J1414">
        <v>21021040</v>
      </c>
      <c r="K1414" t="s">
        <v>97</v>
      </c>
      <c r="L1414" s="4">
        <v>101696</v>
      </c>
      <c r="M1414" t="s">
        <v>31</v>
      </c>
      <c r="N1414" s="4">
        <v>101696</v>
      </c>
      <c r="O1414" t="s">
        <v>31</v>
      </c>
      <c r="P1414" t="s">
        <v>211</v>
      </c>
      <c r="X1414" t="s">
        <v>309</v>
      </c>
      <c r="Y1414"/>
      <c r="Z1414" t="s">
        <v>312</v>
      </c>
      <c r="AA1414">
        <f t="shared" si="37"/>
        <v>101696</v>
      </c>
      <c r="AC1414"/>
      <c r="AE1414" t="s">
        <v>313</v>
      </c>
      <c r="AF1414"/>
      <c r="AL1414">
        <v>340022250</v>
      </c>
      <c r="AM1414" t="s">
        <v>78</v>
      </c>
    </row>
    <row r="1415" spans="1:39" x14ac:dyDescent="0.35">
      <c r="A1415">
        <v>3400</v>
      </c>
      <c r="B1415" t="s">
        <v>43</v>
      </c>
      <c r="C1415">
        <v>2020</v>
      </c>
      <c r="D1415" s="1">
        <v>43831</v>
      </c>
      <c r="E1415">
        <v>1</v>
      </c>
      <c r="F1415">
        <v>100004818</v>
      </c>
      <c r="G1415" t="s">
        <v>96</v>
      </c>
      <c r="H1415">
        <v>40</v>
      </c>
      <c r="I1415">
        <v>71106100</v>
      </c>
      <c r="J1415">
        <v>21021040</v>
      </c>
      <c r="K1415" t="s">
        <v>97</v>
      </c>
      <c r="L1415" s="4">
        <v>220724</v>
      </c>
      <c r="M1415" t="s">
        <v>31</v>
      </c>
      <c r="N1415" s="4">
        <v>220724</v>
      </c>
      <c r="O1415" t="s">
        <v>31</v>
      </c>
      <c r="P1415" t="s">
        <v>211</v>
      </c>
      <c r="X1415" t="s">
        <v>43</v>
      </c>
      <c r="Y1415"/>
      <c r="Z1415" t="s">
        <v>314</v>
      </c>
      <c r="AA1415">
        <f t="shared" si="37"/>
        <v>220724</v>
      </c>
      <c r="AC1415"/>
      <c r="AE1415" t="s">
        <v>315</v>
      </c>
      <c r="AF1415"/>
      <c r="AL1415">
        <v>340022250</v>
      </c>
      <c r="AM1415" t="s">
        <v>78</v>
      </c>
    </row>
    <row r="1416" spans="1:39" x14ac:dyDescent="0.35">
      <c r="A1416">
        <v>3400</v>
      </c>
      <c r="B1416" t="s">
        <v>309</v>
      </c>
      <c r="C1416">
        <v>2020</v>
      </c>
      <c r="D1416" s="1">
        <v>43831</v>
      </c>
      <c r="E1416">
        <v>1</v>
      </c>
      <c r="F1416">
        <v>100003176</v>
      </c>
      <c r="G1416" t="s">
        <v>96</v>
      </c>
      <c r="H1416">
        <v>40</v>
      </c>
      <c r="I1416">
        <v>71105060</v>
      </c>
      <c r="J1416">
        <v>21021040</v>
      </c>
      <c r="K1416" t="s">
        <v>238</v>
      </c>
      <c r="L1416" s="4">
        <v>180000</v>
      </c>
      <c r="M1416" t="s">
        <v>31</v>
      </c>
      <c r="N1416" s="4">
        <v>180000</v>
      </c>
      <c r="O1416" t="s">
        <v>31</v>
      </c>
      <c r="P1416" t="s">
        <v>211</v>
      </c>
      <c r="X1416" t="s">
        <v>309</v>
      </c>
      <c r="Y1416"/>
      <c r="Z1416" t="s">
        <v>316</v>
      </c>
      <c r="AA1416">
        <f t="shared" si="37"/>
        <v>180000</v>
      </c>
      <c r="AC1416"/>
      <c r="AE1416" t="s">
        <v>317</v>
      </c>
      <c r="AF1416"/>
      <c r="AL1416">
        <v>340022250</v>
      </c>
      <c r="AM1416" t="s">
        <v>78</v>
      </c>
    </row>
    <row r="1417" spans="1:39" x14ac:dyDescent="0.35">
      <c r="A1417">
        <v>3400</v>
      </c>
      <c r="B1417" t="s">
        <v>53</v>
      </c>
      <c r="C1417">
        <v>2020</v>
      </c>
      <c r="D1417" s="1">
        <v>43831</v>
      </c>
      <c r="E1417">
        <v>1</v>
      </c>
      <c r="F1417">
        <v>100006091</v>
      </c>
      <c r="G1417" t="s">
        <v>96</v>
      </c>
      <c r="H1417">
        <v>40</v>
      </c>
      <c r="I1417">
        <v>71105060</v>
      </c>
      <c r="J1417">
        <v>21021040</v>
      </c>
      <c r="K1417" t="s">
        <v>238</v>
      </c>
      <c r="L1417" s="4">
        <v>20000</v>
      </c>
      <c r="M1417" t="s">
        <v>31</v>
      </c>
      <c r="N1417" s="4">
        <v>20000</v>
      </c>
      <c r="O1417" t="s">
        <v>31</v>
      </c>
      <c r="P1417" t="s">
        <v>211</v>
      </c>
      <c r="X1417" t="s">
        <v>318</v>
      </c>
      <c r="Y1417"/>
      <c r="Z1417" t="s">
        <v>319</v>
      </c>
      <c r="AA1417">
        <f t="shared" si="37"/>
        <v>20000</v>
      </c>
      <c r="AC1417"/>
      <c r="AE1417" t="s">
        <v>317</v>
      </c>
      <c r="AF1417"/>
      <c r="AL1417">
        <v>340022250</v>
      </c>
      <c r="AM1417" t="s">
        <v>320</v>
      </c>
    </row>
    <row r="1418" spans="1:39" x14ac:dyDescent="0.35">
      <c r="A1418">
        <v>3400</v>
      </c>
      <c r="B1418" t="s">
        <v>258</v>
      </c>
      <c r="C1418">
        <v>2020</v>
      </c>
      <c r="D1418" s="1">
        <v>43831</v>
      </c>
      <c r="E1418">
        <v>1</v>
      </c>
      <c r="F1418">
        <v>100007315</v>
      </c>
      <c r="G1418" t="s">
        <v>96</v>
      </c>
      <c r="H1418">
        <v>40</v>
      </c>
      <c r="I1418">
        <v>71105130</v>
      </c>
      <c r="J1418">
        <v>21021040</v>
      </c>
      <c r="K1418" t="s">
        <v>305</v>
      </c>
      <c r="L1418" s="4">
        <v>963.05</v>
      </c>
      <c r="M1418" t="s">
        <v>31</v>
      </c>
      <c r="N1418" s="4">
        <v>963.05</v>
      </c>
      <c r="O1418" t="s">
        <v>31</v>
      </c>
      <c r="P1418" t="s">
        <v>211</v>
      </c>
      <c r="X1418" t="s">
        <v>258</v>
      </c>
      <c r="Y1418"/>
      <c r="Z1418" t="s">
        <v>321</v>
      </c>
      <c r="AA1418">
        <f t="shared" si="37"/>
        <v>963.05</v>
      </c>
      <c r="AC1418"/>
      <c r="AE1418" t="s">
        <v>322</v>
      </c>
      <c r="AF1418"/>
      <c r="AL1418">
        <v>340022250</v>
      </c>
      <c r="AM1418" t="s">
        <v>78</v>
      </c>
    </row>
    <row r="1419" spans="1:39" x14ac:dyDescent="0.35">
      <c r="A1419">
        <v>3400</v>
      </c>
      <c r="B1419" t="s">
        <v>61</v>
      </c>
      <c r="C1419">
        <v>2020</v>
      </c>
      <c r="D1419" s="1">
        <v>43831</v>
      </c>
      <c r="E1419">
        <v>1</v>
      </c>
      <c r="F1419">
        <v>100009263</v>
      </c>
      <c r="G1419" t="s">
        <v>96</v>
      </c>
      <c r="H1419">
        <v>40</v>
      </c>
      <c r="I1419">
        <v>71105060</v>
      </c>
      <c r="J1419">
        <v>21021040</v>
      </c>
      <c r="K1419" t="s">
        <v>238</v>
      </c>
      <c r="L1419" s="4">
        <v>30000</v>
      </c>
      <c r="M1419" t="s">
        <v>31</v>
      </c>
      <c r="N1419" s="4">
        <v>30000</v>
      </c>
      <c r="O1419" t="s">
        <v>31</v>
      </c>
      <c r="P1419" t="s">
        <v>211</v>
      </c>
      <c r="X1419" t="s">
        <v>83</v>
      </c>
      <c r="Y1419"/>
      <c r="Z1419" t="s">
        <v>323</v>
      </c>
      <c r="AA1419">
        <f t="shared" si="37"/>
        <v>30000</v>
      </c>
      <c r="AC1419"/>
      <c r="AE1419" t="s">
        <v>324</v>
      </c>
      <c r="AF1419"/>
      <c r="AL1419">
        <v>340022250</v>
      </c>
      <c r="AM1419" t="s">
        <v>78</v>
      </c>
    </row>
    <row r="1420" spans="1:39" x14ac:dyDescent="0.35">
      <c r="A1420">
        <v>3400</v>
      </c>
      <c r="B1420" t="s">
        <v>61</v>
      </c>
      <c r="C1420">
        <v>2020</v>
      </c>
      <c r="D1420" s="1">
        <v>43831</v>
      </c>
      <c r="E1420">
        <v>1</v>
      </c>
      <c r="F1420">
        <v>100009703</v>
      </c>
      <c r="G1420" t="s">
        <v>96</v>
      </c>
      <c r="H1420">
        <v>40</v>
      </c>
      <c r="I1420">
        <v>71105130</v>
      </c>
      <c r="J1420">
        <v>21021040</v>
      </c>
      <c r="K1420" t="s">
        <v>305</v>
      </c>
      <c r="L1420" s="4">
        <v>1293.75</v>
      </c>
      <c r="M1420" t="s">
        <v>54</v>
      </c>
      <c r="N1420" s="4">
        <v>24324.83</v>
      </c>
      <c r="O1420" t="s">
        <v>31</v>
      </c>
      <c r="P1420" t="s">
        <v>98</v>
      </c>
      <c r="X1420" t="s">
        <v>62</v>
      </c>
      <c r="Y1420"/>
      <c r="Z1420" t="s">
        <v>325</v>
      </c>
      <c r="AA1420">
        <f t="shared" si="37"/>
        <v>1293.75</v>
      </c>
      <c r="AC1420"/>
      <c r="AE1420" t="s">
        <v>326</v>
      </c>
      <c r="AF1420"/>
      <c r="AL1420">
        <v>340022250</v>
      </c>
      <c r="AM1420" t="s">
        <v>78</v>
      </c>
    </row>
    <row r="1421" spans="1:39" x14ac:dyDescent="0.35">
      <c r="A1421">
        <v>3400</v>
      </c>
      <c r="B1421" t="s">
        <v>88</v>
      </c>
      <c r="C1421">
        <v>2020</v>
      </c>
      <c r="D1421" s="1">
        <v>43831</v>
      </c>
      <c r="E1421">
        <v>1</v>
      </c>
      <c r="F1421">
        <v>100001322</v>
      </c>
      <c r="G1421" t="s">
        <v>96</v>
      </c>
      <c r="H1421">
        <v>40</v>
      </c>
      <c r="I1421">
        <v>71105130</v>
      </c>
      <c r="J1421">
        <v>21021040</v>
      </c>
      <c r="K1421" t="s">
        <v>305</v>
      </c>
      <c r="L1421" s="4">
        <v>478870.39</v>
      </c>
      <c r="M1421" t="s">
        <v>31</v>
      </c>
      <c r="N1421" s="4">
        <v>478870.39</v>
      </c>
      <c r="O1421" t="s">
        <v>31</v>
      </c>
      <c r="P1421" t="s">
        <v>211</v>
      </c>
      <c r="X1421" t="s">
        <v>88</v>
      </c>
      <c r="Y1421"/>
      <c r="Z1421" t="s">
        <v>327</v>
      </c>
      <c r="AA1421">
        <f t="shared" si="37"/>
        <v>478870.39</v>
      </c>
      <c r="AC1421"/>
      <c r="AE1421" t="s">
        <v>328</v>
      </c>
      <c r="AF1421"/>
      <c r="AL1421">
        <v>340046150</v>
      </c>
      <c r="AM1421" t="s">
        <v>78</v>
      </c>
    </row>
    <row r="1422" spans="1:39" x14ac:dyDescent="0.35">
      <c r="A1422">
        <v>3400</v>
      </c>
      <c r="B1422" t="s">
        <v>28</v>
      </c>
      <c r="C1422">
        <v>2020</v>
      </c>
      <c r="D1422" s="1">
        <v>43831</v>
      </c>
      <c r="E1422">
        <v>1</v>
      </c>
      <c r="F1422">
        <v>100011184</v>
      </c>
      <c r="G1422" t="s">
        <v>329</v>
      </c>
      <c r="H1422">
        <v>40</v>
      </c>
      <c r="I1422">
        <v>71101060</v>
      </c>
      <c r="J1422">
        <v>606338</v>
      </c>
      <c r="K1422" t="s">
        <v>30</v>
      </c>
      <c r="L1422" s="4">
        <v>1500</v>
      </c>
      <c r="M1422" t="s">
        <v>31</v>
      </c>
      <c r="N1422" s="4">
        <v>1500</v>
      </c>
      <c r="O1422" t="s">
        <v>31</v>
      </c>
      <c r="P1422" t="s">
        <v>50</v>
      </c>
      <c r="Q1422" t="s">
        <v>330</v>
      </c>
      <c r="X1422" t="s">
        <v>65</v>
      </c>
      <c r="Y1422">
        <v>79220</v>
      </c>
      <c r="Z1422" t="s">
        <v>331</v>
      </c>
      <c r="AA1422">
        <f t="shared" si="37"/>
        <v>1500</v>
      </c>
      <c r="AC1422"/>
      <c r="AE1422" t="s">
        <v>332</v>
      </c>
      <c r="AF1422"/>
      <c r="AL1422">
        <v>340023450</v>
      </c>
      <c r="AM1422" t="s">
        <v>333</v>
      </c>
    </row>
    <row r="1423" spans="1:39" x14ac:dyDescent="0.35">
      <c r="A1423">
        <v>3400</v>
      </c>
      <c r="B1423" t="s">
        <v>28</v>
      </c>
      <c r="C1423">
        <v>2020</v>
      </c>
      <c r="D1423" s="1">
        <v>43831</v>
      </c>
      <c r="E1423">
        <v>1</v>
      </c>
      <c r="F1423">
        <v>100011185</v>
      </c>
      <c r="G1423" t="s">
        <v>329</v>
      </c>
      <c r="H1423">
        <v>40</v>
      </c>
      <c r="I1423">
        <v>71101060</v>
      </c>
      <c r="J1423">
        <v>606338</v>
      </c>
      <c r="K1423" t="s">
        <v>30</v>
      </c>
      <c r="L1423" s="4">
        <v>1500</v>
      </c>
      <c r="M1423" t="s">
        <v>31</v>
      </c>
      <c r="N1423" s="4">
        <v>1500</v>
      </c>
      <c r="O1423" t="s">
        <v>31</v>
      </c>
      <c r="P1423" t="s">
        <v>50</v>
      </c>
      <c r="Q1423" t="s">
        <v>334</v>
      </c>
      <c r="X1423" t="s">
        <v>65</v>
      </c>
      <c r="Y1423">
        <v>79220</v>
      </c>
      <c r="Z1423" t="s">
        <v>331</v>
      </c>
      <c r="AA1423">
        <f t="shared" si="37"/>
        <v>1500</v>
      </c>
      <c r="AC1423"/>
      <c r="AE1423" t="s">
        <v>332</v>
      </c>
      <c r="AF1423"/>
      <c r="AL1423">
        <v>340023450</v>
      </c>
      <c r="AM1423" t="s">
        <v>333</v>
      </c>
    </row>
    <row r="1424" spans="1:39" x14ac:dyDescent="0.35">
      <c r="A1424">
        <v>3400</v>
      </c>
      <c r="B1424" t="s">
        <v>28</v>
      </c>
      <c r="C1424">
        <v>2020</v>
      </c>
      <c r="D1424" s="1">
        <v>43831</v>
      </c>
      <c r="E1424">
        <v>1</v>
      </c>
      <c r="F1424">
        <v>100010673</v>
      </c>
      <c r="G1424" t="s">
        <v>96</v>
      </c>
      <c r="H1424">
        <v>40</v>
      </c>
      <c r="I1424">
        <v>71106100</v>
      </c>
      <c r="J1424">
        <v>21021040</v>
      </c>
      <c r="K1424" t="s">
        <v>97</v>
      </c>
      <c r="L1424" s="4">
        <v>1621.62</v>
      </c>
      <c r="M1424" t="s">
        <v>54</v>
      </c>
      <c r="N1424" s="4">
        <v>30335.16</v>
      </c>
      <c r="O1424" t="s">
        <v>31</v>
      </c>
      <c r="P1424" t="s">
        <v>98</v>
      </c>
      <c r="X1424" t="s">
        <v>28</v>
      </c>
      <c r="Y1424"/>
      <c r="Z1424" t="s">
        <v>335</v>
      </c>
      <c r="AA1424">
        <f t="shared" si="37"/>
        <v>1621.62</v>
      </c>
      <c r="AC1424"/>
      <c r="AE1424" t="s">
        <v>336</v>
      </c>
      <c r="AF1424"/>
      <c r="AL1424">
        <v>340021950</v>
      </c>
      <c r="AM1424" t="s">
        <v>78</v>
      </c>
    </row>
    <row r="1425" spans="1:39" x14ac:dyDescent="0.35">
      <c r="A1425">
        <v>3400</v>
      </c>
      <c r="B1425" t="s">
        <v>28</v>
      </c>
      <c r="C1425">
        <v>2020</v>
      </c>
      <c r="D1425" s="1">
        <v>43831</v>
      </c>
      <c r="E1425">
        <v>1</v>
      </c>
      <c r="F1425">
        <v>100010674</v>
      </c>
      <c r="G1425" t="s">
        <v>96</v>
      </c>
      <c r="H1425">
        <v>40</v>
      </c>
      <c r="I1425">
        <v>71106100</v>
      </c>
      <c r="J1425">
        <v>21021040</v>
      </c>
      <c r="K1425" t="s">
        <v>97</v>
      </c>
      <c r="L1425" s="4">
        <v>3917.19</v>
      </c>
      <c r="M1425" t="s">
        <v>54</v>
      </c>
      <c r="N1425" s="4">
        <v>73277.7</v>
      </c>
      <c r="O1425" t="s">
        <v>31</v>
      </c>
      <c r="P1425" t="s">
        <v>98</v>
      </c>
      <c r="X1425" t="s">
        <v>28</v>
      </c>
      <c r="Y1425"/>
      <c r="Z1425" t="s">
        <v>337</v>
      </c>
      <c r="AA1425">
        <f t="shared" si="37"/>
        <v>3917.19</v>
      </c>
      <c r="AC1425"/>
      <c r="AE1425" t="s">
        <v>336</v>
      </c>
      <c r="AF1425"/>
      <c r="AL1425">
        <v>340021950</v>
      </c>
      <c r="AM1425" t="s">
        <v>78</v>
      </c>
    </row>
    <row r="1426" spans="1:39" x14ac:dyDescent="0.35">
      <c r="A1426">
        <v>3400</v>
      </c>
      <c r="B1426" t="s">
        <v>28</v>
      </c>
      <c r="C1426">
        <v>2020</v>
      </c>
      <c r="D1426" s="1">
        <v>43831</v>
      </c>
      <c r="E1426">
        <v>1</v>
      </c>
      <c r="F1426">
        <v>100010675</v>
      </c>
      <c r="G1426" t="s">
        <v>96</v>
      </c>
      <c r="H1426">
        <v>40</v>
      </c>
      <c r="I1426">
        <v>71106100</v>
      </c>
      <c r="J1426">
        <v>21021040</v>
      </c>
      <c r="K1426" t="s">
        <v>97</v>
      </c>
      <c r="L1426" s="4">
        <v>435.25</v>
      </c>
      <c r="M1426" t="s">
        <v>54</v>
      </c>
      <c r="N1426" s="4">
        <v>8142.09</v>
      </c>
      <c r="O1426" t="s">
        <v>31</v>
      </c>
      <c r="P1426" t="s">
        <v>98</v>
      </c>
      <c r="X1426" t="s">
        <v>28</v>
      </c>
      <c r="Y1426"/>
      <c r="Z1426" t="s">
        <v>338</v>
      </c>
      <c r="AA1426">
        <f t="shared" ref="AA1426:AA1489" si="41">L1426</f>
        <v>435.25</v>
      </c>
      <c r="AC1426"/>
      <c r="AE1426" t="s">
        <v>336</v>
      </c>
      <c r="AF1426"/>
      <c r="AL1426">
        <v>340021950</v>
      </c>
      <c r="AM1426" t="s">
        <v>78</v>
      </c>
    </row>
    <row r="1427" spans="1:39" x14ac:dyDescent="0.35">
      <c r="A1427">
        <v>3400</v>
      </c>
      <c r="B1427" t="s">
        <v>28</v>
      </c>
      <c r="C1427">
        <v>2020</v>
      </c>
      <c r="D1427" s="1">
        <v>43831</v>
      </c>
      <c r="E1427">
        <v>1</v>
      </c>
      <c r="F1427">
        <v>100010676</v>
      </c>
      <c r="G1427" t="s">
        <v>96</v>
      </c>
      <c r="H1427">
        <v>40</v>
      </c>
      <c r="I1427">
        <v>71106100</v>
      </c>
      <c r="J1427">
        <v>21021040</v>
      </c>
      <c r="K1427" t="s">
        <v>97</v>
      </c>
      <c r="L1427" s="4">
        <v>8114.2</v>
      </c>
      <c r="M1427" t="s">
        <v>54</v>
      </c>
      <c r="N1427" s="4">
        <v>151789.91</v>
      </c>
      <c r="O1427" t="s">
        <v>31</v>
      </c>
      <c r="P1427" t="s">
        <v>98</v>
      </c>
      <c r="X1427" t="s">
        <v>28</v>
      </c>
      <c r="Y1427"/>
      <c r="Z1427" t="s">
        <v>339</v>
      </c>
      <c r="AA1427">
        <f t="shared" si="41"/>
        <v>8114.2</v>
      </c>
      <c r="AC1427"/>
      <c r="AE1427" t="s">
        <v>336</v>
      </c>
      <c r="AF1427"/>
      <c r="AL1427">
        <v>340021950</v>
      </c>
      <c r="AM1427" t="s">
        <v>78</v>
      </c>
    </row>
    <row r="1428" spans="1:39" x14ac:dyDescent="0.35">
      <c r="A1428">
        <v>3400</v>
      </c>
      <c r="B1428" t="s">
        <v>28</v>
      </c>
      <c r="C1428">
        <v>2020</v>
      </c>
      <c r="D1428" s="1">
        <v>43831</v>
      </c>
      <c r="E1428">
        <v>1</v>
      </c>
      <c r="F1428">
        <v>100010677</v>
      </c>
      <c r="G1428" t="s">
        <v>96</v>
      </c>
      <c r="H1428">
        <v>40</v>
      </c>
      <c r="I1428">
        <v>71106100</v>
      </c>
      <c r="J1428">
        <v>21021040</v>
      </c>
      <c r="K1428" t="s">
        <v>97</v>
      </c>
      <c r="L1428" s="4">
        <v>37264.519999999997</v>
      </c>
      <c r="M1428" t="s">
        <v>54</v>
      </c>
      <c r="N1428" s="4">
        <v>697096.2</v>
      </c>
      <c r="O1428" t="s">
        <v>31</v>
      </c>
      <c r="P1428" t="s">
        <v>98</v>
      </c>
      <c r="X1428" t="s">
        <v>28</v>
      </c>
      <c r="Y1428"/>
      <c r="Z1428" t="s">
        <v>340</v>
      </c>
      <c r="AA1428">
        <f t="shared" si="41"/>
        <v>37264.519999999997</v>
      </c>
      <c r="AC1428"/>
      <c r="AE1428" t="s">
        <v>336</v>
      </c>
      <c r="AF1428"/>
      <c r="AL1428">
        <v>340021950</v>
      </c>
      <c r="AM1428" t="s">
        <v>78</v>
      </c>
    </row>
    <row r="1429" spans="1:39" x14ac:dyDescent="0.35">
      <c r="A1429">
        <v>3400</v>
      </c>
      <c r="B1429" t="s">
        <v>28</v>
      </c>
      <c r="C1429">
        <v>2020</v>
      </c>
      <c r="D1429" s="1">
        <v>43831</v>
      </c>
      <c r="E1429">
        <v>1</v>
      </c>
      <c r="F1429">
        <v>100010678</v>
      </c>
      <c r="G1429" t="s">
        <v>96</v>
      </c>
      <c r="H1429">
        <v>40</v>
      </c>
      <c r="I1429">
        <v>71106100</v>
      </c>
      <c r="J1429">
        <v>21021040</v>
      </c>
      <c r="K1429" t="s">
        <v>97</v>
      </c>
      <c r="L1429" s="4">
        <v>6294.84</v>
      </c>
      <c r="M1429" t="s">
        <v>54</v>
      </c>
      <c r="N1429" s="4">
        <v>117755.68</v>
      </c>
      <c r="O1429" t="s">
        <v>31</v>
      </c>
      <c r="P1429" t="s">
        <v>98</v>
      </c>
      <c r="X1429" t="s">
        <v>28</v>
      </c>
      <c r="Y1429"/>
      <c r="Z1429" t="s">
        <v>341</v>
      </c>
      <c r="AA1429">
        <f t="shared" si="41"/>
        <v>6294.84</v>
      </c>
      <c r="AC1429"/>
      <c r="AE1429" t="s">
        <v>336</v>
      </c>
      <c r="AF1429"/>
      <c r="AL1429">
        <v>340021950</v>
      </c>
      <c r="AM1429" t="s">
        <v>78</v>
      </c>
    </row>
    <row r="1430" spans="1:39" x14ac:dyDescent="0.35">
      <c r="A1430">
        <v>3400</v>
      </c>
      <c r="B1430" t="s">
        <v>61</v>
      </c>
      <c r="C1430">
        <v>2020</v>
      </c>
      <c r="D1430" s="1">
        <v>43831</v>
      </c>
      <c r="E1430">
        <v>1</v>
      </c>
      <c r="F1430">
        <v>100010693</v>
      </c>
      <c r="G1430" t="s">
        <v>96</v>
      </c>
      <c r="H1430">
        <v>40</v>
      </c>
      <c r="I1430">
        <v>71105130</v>
      </c>
      <c r="J1430">
        <v>21021040</v>
      </c>
      <c r="K1430" t="s">
        <v>305</v>
      </c>
      <c r="L1430" s="4">
        <v>1293.75</v>
      </c>
      <c r="M1430" t="s">
        <v>54</v>
      </c>
      <c r="N1430" s="4">
        <v>24324.83</v>
      </c>
      <c r="O1430" t="s">
        <v>31</v>
      </c>
      <c r="P1430" t="s">
        <v>98</v>
      </c>
      <c r="X1430" t="s">
        <v>28</v>
      </c>
      <c r="Y1430"/>
      <c r="Z1430" t="s">
        <v>342</v>
      </c>
      <c r="AA1430">
        <f t="shared" si="41"/>
        <v>1293.75</v>
      </c>
      <c r="AC1430"/>
      <c r="AE1430" t="s">
        <v>326</v>
      </c>
      <c r="AF1430"/>
      <c r="AL1430">
        <v>340021950</v>
      </c>
      <c r="AM1430" t="s">
        <v>271</v>
      </c>
    </row>
    <row r="1431" spans="1:39" x14ac:dyDescent="0.35">
      <c r="A1431">
        <v>3409</v>
      </c>
      <c r="B1431" t="s">
        <v>28</v>
      </c>
      <c r="C1431">
        <v>2020</v>
      </c>
      <c r="D1431" s="1">
        <v>43831</v>
      </c>
      <c r="E1431">
        <v>1</v>
      </c>
      <c r="F1431">
        <v>900012395</v>
      </c>
      <c r="G1431" t="s">
        <v>96</v>
      </c>
      <c r="H1431">
        <v>40</v>
      </c>
      <c r="I1431">
        <v>71105130</v>
      </c>
      <c r="J1431">
        <v>21021040</v>
      </c>
      <c r="K1431" t="s">
        <v>305</v>
      </c>
      <c r="L1431" s="4">
        <v>1293.75</v>
      </c>
      <c r="M1431" t="s">
        <v>54</v>
      </c>
      <c r="N1431" s="4">
        <v>24201.79</v>
      </c>
      <c r="O1431" t="s">
        <v>31</v>
      </c>
      <c r="P1431" t="s">
        <v>211</v>
      </c>
      <c r="X1431" t="s">
        <v>72</v>
      </c>
      <c r="Y1431"/>
      <c r="Z1431" t="s">
        <v>343</v>
      </c>
      <c r="AA1431">
        <f t="shared" si="41"/>
        <v>1293.75</v>
      </c>
      <c r="AC1431"/>
      <c r="AE1431" t="s">
        <v>326</v>
      </c>
      <c r="AF1431"/>
      <c r="AL1431">
        <v>340921790</v>
      </c>
      <c r="AM1431" t="s">
        <v>78</v>
      </c>
    </row>
    <row r="1432" spans="1:39" x14ac:dyDescent="0.35">
      <c r="A1432">
        <v>3409</v>
      </c>
      <c r="B1432" t="s">
        <v>55</v>
      </c>
      <c r="C1432">
        <v>2020</v>
      </c>
      <c r="D1432" s="1">
        <v>43831</v>
      </c>
      <c r="E1432">
        <v>2</v>
      </c>
      <c r="F1432">
        <v>900008124</v>
      </c>
      <c r="G1432" t="s">
        <v>226</v>
      </c>
      <c r="H1432">
        <v>50</v>
      </c>
      <c r="I1432">
        <v>71106150</v>
      </c>
      <c r="J1432">
        <v>21230140</v>
      </c>
      <c r="K1432" t="s">
        <v>102</v>
      </c>
      <c r="L1432">
        <v>18936.080000000002</v>
      </c>
      <c r="M1432" t="s">
        <v>54</v>
      </c>
      <c r="N1432">
        <v>356854.21</v>
      </c>
      <c r="O1432" t="s">
        <v>31</v>
      </c>
      <c r="W1432">
        <v>100100275</v>
      </c>
      <c r="X1432" t="s">
        <v>258</v>
      </c>
      <c r="Y1432" t="s">
        <v>344</v>
      </c>
      <c r="Z1432" t="s">
        <v>345</v>
      </c>
      <c r="AA1432">
        <f t="shared" si="41"/>
        <v>18936.080000000002</v>
      </c>
      <c r="AC1432"/>
      <c r="AE1432" t="s">
        <v>346</v>
      </c>
      <c r="AF1432"/>
      <c r="AL1432">
        <v>340921790</v>
      </c>
      <c r="AM1432" t="s">
        <v>208</v>
      </c>
    </row>
    <row r="1433" spans="1:39" x14ac:dyDescent="0.35">
      <c r="A1433">
        <v>3409</v>
      </c>
      <c r="B1433" t="s">
        <v>55</v>
      </c>
      <c r="C1433">
        <v>2020</v>
      </c>
      <c r="D1433" s="1">
        <v>43831</v>
      </c>
      <c r="E1433">
        <v>1</v>
      </c>
      <c r="F1433">
        <v>900008124</v>
      </c>
      <c r="G1433" t="s">
        <v>226</v>
      </c>
      <c r="H1433">
        <v>50</v>
      </c>
      <c r="I1433">
        <v>71106150</v>
      </c>
      <c r="J1433">
        <v>21230140</v>
      </c>
      <c r="K1433" t="s">
        <v>102</v>
      </c>
      <c r="L1433">
        <v>56808.25</v>
      </c>
      <c r="M1433" t="s">
        <v>54</v>
      </c>
      <c r="N1433">
        <v>1070562.83</v>
      </c>
      <c r="O1433" t="s">
        <v>31</v>
      </c>
      <c r="W1433">
        <v>100100275</v>
      </c>
      <c r="X1433" t="s">
        <v>258</v>
      </c>
      <c r="Y1433" t="s">
        <v>344</v>
      </c>
      <c r="Z1433" t="s">
        <v>345</v>
      </c>
      <c r="AA1433">
        <f t="shared" si="41"/>
        <v>56808.25</v>
      </c>
      <c r="AC1433"/>
      <c r="AE1433" t="s">
        <v>347</v>
      </c>
      <c r="AF1433"/>
      <c r="AL1433">
        <v>340921790</v>
      </c>
      <c r="AM1433" t="s">
        <v>208</v>
      </c>
    </row>
    <row r="1434" spans="1:39" x14ac:dyDescent="0.35">
      <c r="A1434">
        <v>3409</v>
      </c>
      <c r="B1434" t="s">
        <v>55</v>
      </c>
      <c r="C1434">
        <v>2020</v>
      </c>
      <c r="D1434" s="1">
        <v>43831</v>
      </c>
      <c r="E1434">
        <v>1</v>
      </c>
      <c r="F1434">
        <v>900006650</v>
      </c>
      <c r="G1434" t="s">
        <v>120</v>
      </c>
      <c r="H1434">
        <v>81</v>
      </c>
      <c r="I1434">
        <v>71106150</v>
      </c>
      <c r="J1434">
        <v>21021040</v>
      </c>
      <c r="K1434" t="s">
        <v>102</v>
      </c>
      <c r="L1434" s="4">
        <v>75744.33</v>
      </c>
      <c r="M1434" t="s">
        <v>54</v>
      </c>
      <c r="N1434" s="4">
        <v>1423463.19</v>
      </c>
      <c r="O1434" t="s">
        <v>31</v>
      </c>
      <c r="R1434" t="s">
        <v>1121</v>
      </c>
      <c r="S1434">
        <v>270972527</v>
      </c>
      <c r="T1434">
        <v>200497</v>
      </c>
      <c r="U1434" t="s">
        <v>348</v>
      </c>
      <c r="X1434" t="s">
        <v>55</v>
      </c>
      <c r="Y1434" s="10" t="s">
        <v>1174</v>
      </c>
      <c r="Z1434" t="s">
        <v>345</v>
      </c>
      <c r="AA1434">
        <f t="shared" si="41"/>
        <v>75744.33</v>
      </c>
      <c r="AB1434">
        <v>0</v>
      </c>
      <c r="AC1434">
        <f>AA1434</f>
        <v>75744.33</v>
      </c>
      <c r="AD1434">
        <v>900006711</v>
      </c>
      <c r="AE1434" t="s">
        <v>349</v>
      </c>
      <c r="AF1434" s="4">
        <f>AC1434</f>
        <v>75744.33</v>
      </c>
      <c r="AG1434" t="s">
        <v>1175</v>
      </c>
      <c r="AH1434" t="s">
        <v>1123</v>
      </c>
      <c r="AI1434">
        <v>900203553</v>
      </c>
      <c r="AJ1434" t="s">
        <v>1125</v>
      </c>
      <c r="AK1434" t="s">
        <v>1124</v>
      </c>
      <c r="AL1434">
        <v>340921790</v>
      </c>
      <c r="AM1434" t="s">
        <v>185</v>
      </c>
    </row>
    <row r="1435" spans="1:39" x14ac:dyDescent="0.35">
      <c r="A1435">
        <v>3402</v>
      </c>
      <c r="B1435" t="s">
        <v>252</v>
      </c>
      <c r="C1435">
        <v>2020</v>
      </c>
      <c r="D1435" s="1">
        <v>43831</v>
      </c>
      <c r="E1435">
        <v>1</v>
      </c>
      <c r="F1435">
        <v>200016561</v>
      </c>
      <c r="G1435" t="s">
        <v>87</v>
      </c>
      <c r="H1435">
        <v>40</v>
      </c>
      <c r="I1435">
        <v>74010070</v>
      </c>
      <c r="J1435">
        <v>5000010</v>
      </c>
      <c r="K1435" t="s">
        <v>49</v>
      </c>
      <c r="L1435" s="4">
        <v>10427.14</v>
      </c>
      <c r="M1435" t="s">
        <v>54</v>
      </c>
      <c r="N1435" s="4">
        <v>196699.65</v>
      </c>
      <c r="O1435" t="s">
        <v>31</v>
      </c>
      <c r="X1435" t="s">
        <v>253</v>
      </c>
      <c r="Y1435">
        <v>200103151541</v>
      </c>
      <c r="Z1435" t="s">
        <v>106</v>
      </c>
      <c r="AA1435">
        <f t="shared" si="41"/>
        <v>10427.14</v>
      </c>
      <c r="AC1435"/>
      <c r="AE1435" t="s">
        <v>254</v>
      </c>
      <c r="AF1435"/>
      <c r="AL1435">
        <v>340240390</v>
      </c>
      <c r="AM1435" t="s">
        <v>255</v>
      </c>
    </row>
    <row r="1436" spans="1:39" x14ac:dyDescent="0.35">
      <c r="A1436">
        <v>3403</v>
      </c>
      <c r="B1436" t="s">
        <v>252</v>
      </c>
      <c r="C1436">
        <v>2020</v>
      </c>
      <c r="D1436" s="1">
        <v>43831</v>
      </c>
      <c r="E1436">
        <v>1</v>
      </c>
      <c r="F1436">
        <v>300002925</v>
      </c>
      <c r="G1436" t="s">
        <v>87</v>
      </c>
      <c r="H1436">
        <v>40</v>
      </c>
      <c r="I1436">
        <v>74010070</v>
      </c>
      <c r="J1436">
        <v>5000010</v>
      </c>
      <c r="K1436" t="s">
        <v>49</v>
      </c>
      <c r="L1436" s="4">
        <v>847.42</v>
      </c>
      <c r="M1436" t="s">
        <v>54</v>
      </c>
      <c r="N1436" s="4">
        <v>15985.9</v>
      </c>
      <c r="O1436" t="s">
        <v>31</v>
      </c>
      <c r="X1436" t="s">
        <v>253</v>
      </c>
      <c r="Y1436">
        <v>200103151541</v>
      </c>
      <c r="Z1436" t="s">
        <v>106</v>
      </c>
      <c r="AA1436">
        <f t="shared" si="41"/>
        <v>847.42</v>
      </c>
      <c r="AC1436"/>
      <c r="AE1436" t="s">
        <v>254</v>
      </c>
      <c r="AF1436"/>
      <c r="AL1436">
        <v>340340390</v>
      </c>
      <c r="AM1436" t="s">
        <v>255</v>
      </c>
    </row>
    <row r="1437" spans="1:39" x14ac:dyDescent="0.35">
      <c r="A1437">
        <v>3407</v>
      </c>
      <c r="B1437" t="s">
        <v>252</v>
      </c>
      <c r="C1437">
        <v>2020</v>
      </c>
      <c r="D1437" s="1">
        <v>43831</v>
      </c>
      <c r="E1437">
        <v>1</v>
      </c>
      <c r="F1437">
        <v>700004412</v>
      </c>
      <c r="G1437" t="s">
        <v>87</v>
      </c>
      <c r="H1437">
        <v>40</v>
      </c>
      <c r="I1437">
        <v>74010070</v>
      </c>
      <c r="J1437">
        <v>5000010</v>
      </c>
      <c r="K1437" t="s">
        <v>49</v>
      </c>
      <c r="L1437" s="4">
        <v>14453.1</v>
      </c>
      <c r="M1437" t="s">
        <v>54</v>
      </c>
      <c r="N1437" s="4">
        <v>272646.17</v>
      </c>
      <c r="O1437" t="s">
        <v>31</v>
      </c>
      <c r="X1437" t="s">
        <v>253</v>
      </c>
      <c r="Y1437">
        <v>200103151541</v>
      </c>
      <c r="Z1437" t="s">
        <v>106</v>
      </c>
      <c r="AA1437">
        <f t="shared" si="41"/>
        <v>14453.1</v>
      </c>
      <c r="AC1437"/>
      <c r="AE1437" t="s">
        <v>254</v>
      </c>
      <c r="AF1437"/>
      <c r="AL1437">
        <v>340740390</v>
      </c>
      <c r="AM1437" t="s">
        <v>255</v>
      </c>
    </row>
    <row r="1438" spans="1:39" x14ac:dyDescent="0.35">
      <c r="A1438">
        <v>3401</v>
      </c>
      <c r="B1438" t="s">
        <v>39</v>
      </c>
      <c r="C1438">
        <v>2020</v>
      </c>
      <c r="D1438" s="1">
        <v>43831</v>
      </c>
      <c r="E1438">
        <v>4</v>
      </c>
      <c r="F1438">
        <v>100014903</v>
      </c>
      <c r="G1438" t="s">
        <v>87</v>
      </c>
      <c r="H1438">
        <v>40</v>
      </c>
      <c r="I1438">
        <v>74010070</v>
      </c>
      <c r="J1438">
        <v>11210050</v>
      </c>
      <c r="K1438" t="s">
        <v>49</v>
      </c>
      <c r="L1438" s="4">
        <v>11896.17</v>
      </c>
      <c r="M1438" t="s">
        <v>54</v>
      </c>
      <c r="N1438" s="4">
        <v>223903.76</v>
      </c>
      <c r="O1438" t="s">
        <v>31</v>
      </c>
      <c r="X1438" t="s">
        <v>39</v>
      </c>
      <c r="Y1438">
        <v>200115185108</v>
      </c>
      <c r="Z1438" t="s">
        <v>106</v>
      </c>
      <c r="AA1438">
        <f t="shared" si="41"/>
        <v>11896.17</v>
      </c>
      <c r="AC1438"/>
      <c r="AE1438" t="s">
        <v>350</v>
      </c>
      <c r="AF1438"/>
      <c r="AL1438">
        <v>340140390</v>
      </c>
      <c r="AM1438" t="s">
        <v>255</v>
      </c>
    </row>
    <row r="1439" spans="1:39" x14ac:dyDescent="0.35">
      <c r="A1439">
        <v>3402</v>
      </c>
      <c r="B1439" t="s">
        <v>39</v>
      </c>
      <c r="C1439">
        <v>2020</v>
      </c>
      <c r="D1439" s="1">
        <v>43831</v>
      </c>
      <c r="E1439">
        <v>1</v>
      </c>
      <c r="F1439">
        <v>200041376</v>
      </c>
      <c r="G1439" t="s">
        <v>87</v>
      </c>
      <c r="H1439">
        <v>40</v>
      </c>
      <c r="I1439">
        <v>74010070</v>
      </c>
      <c r="J1439">
        <v>5000010</v>
      </c>
      <c r="K1439" t="s">
        <v>49</v>
      </c>
      <c r="L1439" s="4">
        <v>12829.83</v>
      </c>
      <c r="M1439" t="s">
        <v>54</v>
      </c>
      <c r="N1439" s="4">
        <v>241476.65</v>
      </c>
      <c r="O1439" t="s">
        <v>31</v>
      </c>
      <c r="X1439" t="s">
        <v>39</v>
      </c>
      <c r="Y1439">
        <v>200115185108</v>
      </c>
      <c r="Z1439" t="s">
        <v>106</v>
      </c>
      <c r="AA1439">
        <f t="shared" si="41"/>
        <v>12829.83</v>
      </c>
      <c r="AC1439"/>
      <c r="AE1439" t="s">
        <v>350</v>
      </c>
      <c r="AF1439"/>
      <c r="AL1439">
        <v>340240390</v>
      </c>
      <c r="AM1439" t="s">
        <v>255</v>
      </c>
    </row>
    <row r="1440" spans="1:39" x14ac:dyDescent="0.35">
      <c r="A1440">
        <v>3403</v>
      </c>
      <c r="B1440" t="s">
        <v>39</v>
      </c>
      <c r="C1440">
        <v>2020</v>
      </c>
      <c r="D1440" s="1">
        <v>43831</v>
      </c>
      <c r="E1440">
        <v>1</v>
      </c>
      <c r="F1440">
        <v>300008360</v>
      </c>
      <c r="G1440" t="s">
        <v>87</v>
      </c>
      <c r="H1440">
        <v>40</v>
      </c>
      <c r="I1440">
        <v>74010070</v>
      </c>
      <c r="J1440">
        <v>11210050</v>
      </c>
      <c r="K1440" t="s">
        <v>49</v>
      </c>
      <c r="L1440" s="4">
        <v>8233.43</v>
      </c>
      <c r="M1440" t="s">
        <v>54</v>
      </c>
      <c r="N1440" s="4">
        <v>154965.5</v>
      </c>
      <c r="O1440" t="s">
        <v>31</v>
      </c>
      <c r="X1440" t="s">
        <v>39</v>
      </c>
      <c r="Y1440">
        <v>200115185108</v>
      </c>
      <c r="Z1440" t="s">
        <v>106</v>
      </c>
      <c r="AA1440">
        <f t="shared" si="41"/>
        <v>8233.43</v>
      </c>
      <c r="AC1440"/>
      <c r="AE1440" t="s">
        <v>350</v>
      </c>
      <c r="AF1440"/>
      <c r="AL1440">
        <v>340340390</v>
      </c>
      <c r="AM1440" t="s">
        <v>255</v>
      </c>
    </row>
    <row r="1441" spans="1:39" x14ac:dyDescent="0.35">
      <c r="A1441">
        <v>3407</v>
      </c>
      <c r="B1441" t="s">
        <v>39</v>
      </c>
      <c r="C1441">
        <v>2020</v>
      </c>
      <c r="D1441" s="1">
        <v>43831</v>
      </c>
      <c r="E1441">
        <v>1</v>
      </c>
      <c r="F1441">
        <v>700015473</v>
      </c>
      <c r="G1441" t="s">
        <v>87</v>
      </c>
      <c r="H1441">
        <v>40</v>
      </c>
      <c r="I1441">
        <v>74010070</v>
      </c>
      <c r="J1441">
        <v>5000010</v>
      </c>
      <c r="K1441" t="s">
        <v>49</v>
      </c>
      <c r="L1441" s="4">
        <v>7219.36</v>
      </c>
      <c r="M1441" t="s">
        <v>54</v>
      </c>
      <c r="N1441" s="4">
        <v>135879.18</v>
      </c>
      <c r="O1441" t="s">
        <v>31</v>
      </c>
      <c r="X1441" t="s">
        <v>39</v>
      </c>
      <c r="Y1441">
        <v>200115185108</v>
      </c>
      <c r="Z1441" t="s">
        <v>106</v>
      </c>
      <c r="AA1441">
        <f t="shared" si="41"/>
        <v>7219.36</v>
      </c>
      <c r="AC1441"/>
      <c r="AE1441" t="s">
        <v>350</v>
      </c>
      <c r="AF1441"/>
      <c r="AL1441">
        <v>340740390</v>
      </c>
      <c r="AM1441" t="s">
        <v>255</v>
      </c>
    </row>
    <row r="1442" spans="1:39" x14ac:dyDescent="0.35">
      <c r="A1442">
        <v>3401</v>
      </c>
      <c r="B1442" t="s">
        <v>83</v>
      </c>
      <c r="C1442">
        <v>2020</v>
      </c>
      <c r="D1442" s="1">
        <v>43831</v>
      </c>
      <c r="E1442">
        <v>2</v>
      </c>
      <c r="F1442">
        <v>100028034</v>
      </c>
      <c r="G1442" t="s">
        <v>87</v>
      </c>
      <c r="H1442">
        <v>40</v>
      </c>
      <c r="I1442">
        <v>74010070</v>
      </c>
      <c r="J1442">
        <v>5000010</v>
      </c>
      <c r="K1442" t="s">
        <v>49</v>
      </c>
      <c r="L1442" s="4">
        <v>3446.21</v>
      </c>
      <c r="M1442" t="s">
        <v>54</v>
      </c>
      <c r="N1442" s="4">
        <v>64896.61</v>
      </c>
      <c r="O1442" t="s">
        <v>31</v>
      </c>
      <c r="X1442" t="s">
        <v>83</v>
      </c>
      <c r="Y1442">
        <v>200128117681</v>
      </c>
      <c r="Z1442" t="s">
        <v>106</v>
      </c>
      <c r="AA1442">
        <f t="shared" si="41"/>
        <v>3446.21</v>
      </c>
      <c r="AC1442"/>
      <c r="AE1442" t="s">
        <v>351</v>
      </c>
      <c r="AF1442"/>
      <c r="AL1442">
        <v>340140390</v>
      </c>
      <c r="AM1442" t="s">
        <v>255</v>
      </c>
    </row>
    <row r="1443" spans="1:39" x14ac:dyDescent="0.35">
      <c r="A1443">
        <v>3402</v>
      </c>
      <c r="B1443" t="s">
        <v>83</v>
      </c>
      <c r="C1443">
        <v>2020</v>
      </c>
      <c r="D1443" s="1">
        <v>43831</v>
      </c>
      <c r="E1443">
        <v>1</v>
      </c>
      <c r="F1443">
        <v>200091400</v>
      </c>
      <c r="G1443" t="s">
        <v>87</v>
      </c>
      <c r="H1443">
        <v>40</v>
      </c>
      <c r="I1443">
        <v>74010070</v>
      </c>
      <c r="J1443">
        <v>5000010</v>
      </c>
      <c r="K1443" t="s">
        <v>49</v>
      </c>
      <c r="L1443" s="4">
        <v>2306.4899999999998</v>
      </c>
      <c r="M1443" t="s">
        <v>54</v>
      </c>
      <c r="N1443" s="4">
        <v>43434.21</v>
      </c>
      <c r="O1443" t="s">
        <v>31</v>
      </c>
      <c r="X1443" t="s">
        <v>83</v>
      </c>
      <c r="Y1443">
        <v>200128117681</v>
      </c>
      <c r="Z1443" t="s">
        <v>106</v>
      </c>
      <c r="AA1443">
        <f t="shared" si="41"/>
        <v>2306.4899999999998</v>
      </c>
      <c r="AC1443"/>
      <c r="AE1443" t="s">
        <v>351</v>
      </c>
      <c r="AF1443"/>
      <c r="AL1443">
        <v>340240390</v>
      </c>
      <c r="AM1443" t="s">
        <v>255</v>
      </c>
    </row>
    <row r="1444" spans="1:39" x14ac:dyDescent="0.35">
      <c r="A1444">
        <v>3403</v>
      </c>
      <c r="B1444" t="s">
        <v>83</v>
      </c>
      <c r="C1444">
        <v>2020</v>
      </c>
      <c r="D1444" s="1">
        <v>43831</v>
      </c>
      <c r="E1444">
        <v>1</v>
      </c>
      <c r="F1444">
        <v>300015514</v>
      </c>
      <c r="G1444" t="s">
        <v>87</v>
      </c>
      <c r="H1444">
        <v>40</v>
      </c>
      <c r="I1444">
        <v>74010070</v>
      </c>
      <c r="J1444">
        <v>11210050</v>
      </c>
      <c r="K1444" t="s">
        <v>49</v>
      </c>
      <c r="L1444" s="4">
        <v>4809.28</v>
      </c>
      <c r="M1444" t="s">
        <v>54</v>
      </c>
      <c r="N1444" s="4">
        <v>90564.99</v>
      </c>
      <c r="O1444" t="s">
        <v>31</v>
      </c>
      <c r="X1444" t="s">
        <v>83</v>
      </c>
      <c r="Y1444">
        <v>200128117681</v>
      </c>
      <c r="Z1444" t="s">
        <v>106</v>
      </c>
      <c r="AA1444">
        <f t="shared" si="41"/>
        <v>4809.28</v>
      </c>
      <c r="AC1444"/>
      <c r="AE1444" t="s">
        <v>351</v>
      </c>
      <c r="AF1444"/>
      <c r="AL1444">
        <v>340340390</v>
      </c>
      <c r="AM1444" t="s">
        <v>255</v>
      </c>
    </row>
    <row r="1445" spans="1:39" x14ac:dyDescent="0.35">
      <c r="A1445">
        <v>3407</v>
      </c>
      <c r="B1445" t="s">
        <v>83</v>
      </c>
      <c r="C1445">
        <v>2020</v>
      </c>
      <c r="D1445" s="1">
        <v>43831</v>
      </c>
      <c r="E1445">
        <v>1</v>
      </c>
      <c r="F1445">
        <v>700032922</v>
      </c>
      <c r="G1445" t="s">
        <v>87</v>
      </c>
      <c r="H1445">
        <v>40</v>
      </c>
      <c r="I1445">
        <v>74010070</v>
      </c>
      <c r="J1445">
        <v>11210050</v>
      </c>
      <c r="K1445" t="s">
        <v>49</v>
      </c>
      <c r="L1445" s="4">
        <v>3907.74</v>
      </c>
      <c r="M1445" t="s">
        <v>54</v>
      </c>
      <c r="N1445" s="4">
        <v>73587.820000000007</v>
      </c>
      <c r="O1445" t="s">
        <v>31</v>
      </c>
      <c r="X1445" t="s">
        <v>83</v>
      </c>
      <c r="Y1445">
        <v>200128117681</v>
      </c>
      <c r="Z1445" t="s">
        <v>106</v>
      </c>
      <c r="AA1445">
        <f t="shared" si="41"/>
        <v>3907.74</v>
      </c>
      <c r="AC1445"/>
      <c r="AE1445" t="s">
        <v>351</v>
      </c>
      <c r="AF1445"/>
      <c r="AL1445">
        <v>340740390</v>
      </c>
      <c r="AM1445" t="s">
        <v>255</v>
      </c>
    </row>
    <row r="1446" spans="1:39" x14ac:dyDescent="0.35">
      <c r="A1446">
        <v>3402</v>
      </c>
      <c r="B1446" t="s">
        <v>352</v>
      </c>
      <c r="C1446">
        <v>2020</v>
      </c>
      <c r="D1446" s="1">
        <v>43831</v>
      </c>
      <c r="E1446">
        <v>2</v>
      </c>
      <c r="F1446">
        <v>200016804</v>
      </c>
      <c r="G1446" t="s">
        <v>87</v>
      </c>
      <c r="H1446">
        <v>40</v>
      </c>
      <c r="I1446">
        <v>74010070</v>
      </c>
      <c r="J1446">
        <v>102070</v>
      </c>
      <c r="K1446" t="s">
        <v>49</v>
      </c>
      <c r="L1446" s="4">
        <v>20</v>
      </c>
      <c r="M1446" t="s">
        <v>54</v>
      </c>
      <c r="N1446" s="4">
        <v>377.45</v>
      </c>
      <c r="O1446" t="s">
        <v>31</v>
      </c>
      <c r="X1446" t="s">
        <v>253</v>
      </c>
      <c r="Y1446">
        <v>4266059</v>
      </c>
      <c r="Z1446">
        <v>2247968</v>
      </c>
      <c r="AA1446">
        <f t="shared" si="41"/>
        <v>20</v>
      </c>
      <c r="AC1446"/>
      <c r="AE1446" t="s">
        <v>353</v>
      </c>
      <c r="AF1446"/>
      <c r="AL1446">
        <v>340240390</v>
      </c>
      <c r="AM1446" t="s">
        <v>261</v>
      </c>
    </row>
    <row r="1447" spans="1:39" x14ac:dyDescent="0.35">
      <c r="A1447">
        <v>3402</v>
      </c>
      <c r="B1447" t="s">
        <v>53</v>
      </c>
      <c r="C1447">
        <v>2020</v>
      </c>
      <c r="D1447" s="1">
        <v>43831</v>
      </c>
      <c r="E1447">
        <v>2</v>
      </c>
      <c r="F1447">
        <v>200057557</v>
      </c>
      <c r="G1447" t="s">
        <v>87</v>
      </c>
      <c r="H1447">
        <v>40</v>
      </c>
      <c r="I1447">
        <v>74010070</v>
      </c>
      <c r="J1447">
        <v>6000005</v>
      </c>
      <c r="K1447" t="s">
        <v>49</v>
      </c>
      <c r="L1447" s="4">
        <v>10</v>
      </c>
      <c r="M1447" t="s">
        <v>54</v>
      </c>
      <c r="N1447" s="4">
        <v>188.08</v>
      </c>
      <c r="O1447" t="s">
        <v>31</v>
      </c>
      <c r="X1447" t="s">
        <v>55</v>
      </c>
      <c r="Y1447">
        <v>200117527947</v>
      </c>
      <c r="Z1447">
        <v>6000005</v>
      </c>
      <c r="AA1447">
        <f t="shared" si="41"/>
        <v>10</v>
      </c>
      <c r="AC1447"/>
      <c r="AE1447" t="s">
        <v>354</v>
      </c>
      <c r="AF1447"/>
      <c r="AL1447">
        <v>340240390</v>
      </c>
      <c r="AM1447" t="s">
        <v>355</v>
      </c>
    </row>
    <row r="1448" spans="1:39" x14ac:dyDescent="0.35">
      <c r="A1448">
        <v>3401</v>
      </c>
      <c r="B1448" t="s">
        <v>57</v>
      </c>
      <c r="C1448">
        <v>2020</v>
      </c>
      <c r="D1448" s="1">
        <v>43831</v>
      </c>
      <c r="E1448">
        <v>3</v>
      </c>
      <c r="F1448">
        <v>100035289</v>
      </c>
      <c r="G1448" t="s">
        <v>87</v>
      </c>
      <c r="H1448">
        <v>40</v>
      </c>
      <c r="I1448">
        <v>74010070</v>
      </c>
      <c r="J1448">
        <v>2000045</v>
      </c>
      <c r="K1448" t="s">
        <v>49</v>
      </c>
      <c r="L1448" s="4">
        <v>40</v>
      </c>
      <c r="M1448" t="s">
        <v>54</v>
      </c>
      <c r="N1448" s="4">
        <v>750.93</v>
      </c>
      <c r="O1448" t="s">
        <v>31</v>
      </c>
      <c r="X1448" t="s">
        <v>72</v>
      </c>
      <c r="Y1448">
        <v>200113272415</v>
      </c>
      <c r="Z1448">
        <v>200045</v>
      </c>
      <c r="AA1448">
        <f t="shared" si="41"/>
        <v>40</v>
      </c>
      <c r="AC1448"/>
      <c r="AE1448" t="s">
        <v>356</v>
      </c>
      <c r="AF1448"/>
      <c r="AL1448">
        <v>340140390</v>
      </c>
      <c r="AM1448" t="s">
        <v>357</v>
      </c>
    </row>
    <row r="1449" spans="1:39" x14ac:dyDescent="0.35">
      <c r="A1449">
        <v>3401</v>
      </c>
      <c r="B1449" t="s">
        <v>53</v>
      </c>
      <c r="C1449">
        <v>2020</v>
      </c>
      <c r="D1449" s="1">
        <v>43831</v>
      </c>
      <c r="E1449">
        <v>1</v>
      </c>
      <c r="F1449">
        <v>100016554</v>
      </c>
      <c r="G1449" t="s">
        <v>120</v>
      </c>
      <c r="H1449">
        <v>81</v>
      </c>
      <c r="I1449">
        <v>71104010</v>
      </c>
      <c r="J1449">
        <v>21021040</v>
      </c>
      <c r="K1449" t="s">
        <v>121</v>
      </c>
      <c r="L1449" s="4">
        <v>61152</v>
      </c>
      <c r="M1449" t="s">
        <v>31</v>
      </c>
      <c r="N1449" s="4">
        <v>61152</v>
      </c>
      <c r="O1449" t="s">
        <v>31</v>
      </c>
      <c r="R1449" t="s">
        <v>122</v>
      </c>
      <c r="S1449" t="s">
        <v>1131</v>
      </c>
      <c r="T1449">
        <v>107211</v>
      </c>
      <c r="U1449" t="s">
        <v>123</v>
      </c>
      <c r="X1449" t="s">
        <v>53</v>
      </c>
      <c r="Y1449" s="8">
        <v>4501216248</v>
      </c>
      <c r="Z1449" t="s">
        <v>1127</v>
      </c>
      <c r="AA1449">
        <f t="shared" si="41"/>
        <v>61152</v>
      </c>
      <c r="AC1449"/>
      <c r="AD1449">
        <v>100036889</v>
      </c>
      <c r="AE1449" t="s">
        <v>1128</v>
      </c>
      <c r="AG1449" t="s">
        <v>51</v>
      </c>
      <c r="AH1449" t="s">
        <v>1123</v>
      </c>
      <c r="AJ1449" t="s">
        <v>1148</v>
      </c>
      <c r="AK1449" t="s">
        <v>1129</v>
      </c>
      <c r="AL1449">
        <v>340118590</v>
      </c>
      <c r="AM1449" t="s">
        <v>124</v>
      </c>
    </row>
    <row r="1450" spans="1:39" x14ac:dyDescent="0.35">
      <c r="A1450">
        <v>3402</v>
      </c>
      <c r="B1450" t="s">
        <v>53</v>
      </c>
      <c r="C1450">
        <v>2020</v>
      </c>
      <c r="D1450" s="1">
        <v>43831</v>
      </c>
      <c r="E1450">
        <v>1</v>
      </c>
      <c r="F1450">
        <v>200044644</v>
      </c>
      <c r="G1450" t="s">
        <v>120</v>
      </c>
      <c r="H1450">
        <v>81</v>
      </c>
      <c r="I1450">
        <v>71106040</v>
      </c>
      <c r="J1450">
        <v>21021040</v>
      </c>
      <c r="K1450" t="s">
        <v>125</v>
      </c>
      <c r="L1450" s="4">
        <v>38730.230000000003</v>
      </c>
      <c r="M1450" t="s">
        <v>31</v>
      </c>
      <c r="N1450" s="4">
        <v>38730.230000000003</v>
      </c>
      <c r="O1450" t="s">
        <v>31</v>
      </c>
      <c r="R1450" t="s">
        <v>358</v>
      </c>
      <c r="S1450" t="s">
        <v>1183</v>
      </c>
      <c r="T1450">
        <v>801033</v>
      </c>
      <c r="U1450" t="s">
        <v>359</v>
      </c>
      <c r="X1450" t="s">
        <v>53</v>
      </c>
      <c r="Y1450" s="8" t="s">
        <v>360</v>
      </c>
      <c r="Z1450">
        <v>4501221659</v>
      </c>
      <c r="AA1450">
        <f t="shared" si="41"/>
        <v>38730.230000000003</v>
      </c>
      <c r="AB1450">
        <f>AA1450*0.16</f>
        <v>6196.8368000000009</v>
      </c>
      <c r="AC1450">
        <f>AA1450+AB1450</f>
        <v>44927.066800000001</v>
      </c>
      <c r="AD1450">
        <v>200057190</v>
      </c>
      <c r="AE1450" t="s">
        <v>361</v>
      </c>
      <c r="AF1450" s="4">
        <f>AC1450</f>
        <v>44927.066800000001</v>
      </c>
      <c r="AG1450" t="s">
        <v>1184</v>
      </c>
      <c r="AH1450" t="s">
        <v>1123</v>
      </c>
      <c r="AI1450">
        <v>200153773</v>
      </c>
      <c r="AJ1450" t="s">
        <v>1136</v>
      </c>
      <c r="AK1450" t="s">
        <v>1135</v>
      </c>
      <c r="AL1450">
        <v>340210190</v>
      </c>
      <c r="AM1450" t="s">
        <v>362</v>
      </c>
    </row>
    <row r="1451" spans="1:39" x14ac:dyDescent="0.35">
      <c r="A1451">
        <v>3409</v>
      </c>
      <c r="B1451" t="s">
        <v>53</v>
      </c>
      <c r="C1451">
        <v>2020</v>
      </c>
      <c r="D1451" s="1">
        <v>43831</v>
      </c>
      <c r="E1451">
        <v>1</v>
      </c>
      <c r="F1451">
        <v>900005944</v>
      </c>
      <c r="G1451" t="s">
        <v>120</v>
      </c>
      <c r="H1451">
        <v>81</v>
      </c>
      <c r="I1451">
        <v>71106040</v>
      </c>
      <c r="J1451">
        <v>21021040</v>
      </c>
      <c r="K1451" t="s">
        <v>125</v>
      </c>
      <c r="L1451" s="4">
        <v>252</v>
      </c>
      <c r="M1451" t="s">
        <v>54</v>
      </c>
      <c r="N1451" s="4">
        <v>4739.54</v>
      </c>
      <c r="O1451" t="s">
        <v>31</v>
      </c>
      <c r="R1451" t="s">
        <v>1121</v>
      </c>
      <c r="S1451">
        <v>261534006</v>
      </c>
      <c r="T1451">
        <v>801038</v>
      </c>
      <c r="U1451" t="s">
        <v>363</v>
      </c>
      <c r="X1451" t="s">
        <v>53</v>
      </c>
      <c r="Y1451" s="8" t="s">
        <v>364</v>
      </c>
      <c r="Z1451">
        <v>20200117</v>
      </c>
      <c r="AA1451">
        <f t="shared" si="41"/>
        <v>252</v>
      </c>
      <c r="AB1451">
        <v>0</v>
      </c>
      <c r="AC1451">
        <f>AA1451</f>
        <v>252</v>
      </c>
      <c r="AD1451">
        <v>900006186</v>
      </c>
      <c r="AE1451" t="s">
        <v>365</v>
      </c>
      <c r="AF1451" s="4">
        <f>AC1451</f>
        <v>252</v>
      </c>
      <c r="AG1451" t="s">
        <v>1144</v>
      </c>
      <c r="AH1451" t="s">
        <v>1123</v>
      </c>
      <c r="AI1451">
        <v>900022506</v>
      </c>
      <c r="AJ1451" t="s">
        <v>1125</v>
      </c>
      <c r="AK1451" t="s">
        <v>1124</v>
      </c>
      <c r="AL1451">
        <v>340921790</v>
      </c>
      <c r="AM1451" t="s">
        <v>185</v>
      </c>
    </row>
    <row r="1452" spans="1:39" x14ac:dyDescent="0.35">
      <c r="A1452">
        <v>3403</v>
      </c>
      <c r="B1452" t="s">
        <v>53</v>
      </c>
      <c r="C1452">
        <v>2020</v>
      </c>
      <c r="D1452" s="1">
        <v>43831</v>
      </c>
      <c r="E1452">
        <v>6</v>
      </c>
      <c r="F1452">
        <v>300012986</v>
      </c>
      <c r="G1452" t="s">
        <v>101</v>
      </c>
      <c r="H1452">
        <v>50</v>
      </c>
      <c r="I1452">
        <v>71105120</v>
      </c>
      <c r="J1452">
        <v>54020040</v>
      </c>
      <c r="K1452" t="s">
        <v>268</v>
      </c>
      <c r="L1452" s="4">
        <v>4333.5600000000004</v>
      </c>
      <c r="M1452" t="s">
        <v>31</v>
      </c>
      <c r="N1452" s="4">
        <v>4333.5600000000004</v>
      </c>
      <c r="O1452" t="s">
        <v>31</v>
      </c>
      <c r="X1452" t="s">
        <v>258</v>
      </c>
      <c r="Y1452" t="s">
        <v>366</v>
      </c>
      <c r="Z1452">
        <v>20200117</v>
      </c>
      <c r="AA1452">
        <f t="shared" si="41"/>
        <v>4333.5600000000004</v>
      </c>
      <c r="AC1452"/>
      <c r="AE1452" t="s">
        <v>367</v>
      </c>
      <c r="AF1452"/>
      <c r="AL1452">
        <v>340316690</v>
      </c>
      <c r="AM1452" t="s">
        <v>40</v>
      </c>
    </row>
    <row r="1453" spans="1:39" x14ac:dyDescent="0.35">
      <c r="A1453">
        <v>3403</v>
      </c>
      <c r="B1453" t="s">
        <v>53</v>
      </c>
      <c r="C1453">
        <v>2020</v>
      </c>
      <c r="D1453" s="1">
        <v>43831</v>
      </c>
      <c r="E1453">
        <v>10</v>
      </c>
      <c r="F1453">
        <v>300012991</v>
      </c>
      <c r="G1453" t="s">
        <v>101</v>
      </c>
      <c r="H1453">
        <v>50</v>
      </c>
      <c r="I1453">
        <v>71105120</v>
      </c>
      <c r="J1453">
        <v>54020040</v>
      </c>
      <c r="K1453" t="s">
        <v>268</v>
      </c>
      <c r="L1453" s="4">
        <v>4007.09</v>
      </c>
      <c r="M1453" t="s">
        <v>31</v>
      </c>
      <c r="N1453" s="4">
        <v>4007.09</v>
      </c>
      <c r="O1453" t="s">
        <v>31</v>
      </c>
      <c r="X1453" t="s">
        <v>258</v>
      </c>
      <c r="Y1453" t="s">
        <v>368</v>
      </c>
      <c r="Z1453">
        <v>20200117</v>
      </c>
      <c r="AA1453">
        <f t="shared" si="41"/>
        <v>4007.09</v>
      </c>
      <c r="AC1453"/>
      <c r="AE1453" t="s">
        <v>369</v>
      </c>
      <c r="AF1453"/>
      <c r="AL1453">
        <v>340348290</v>
      </c>
      <c r="AM1453" t="s">
        <v>40</v>
      </c>
    </row>
    <row r="1454" spans="1:39" x14ac:dyDescent="0.35">
      <c r="A1454">
        <v>3400</v>
      </c>
      <c r="B1454" t="s">
        <v>370</v>
      </c>
      <c r="C1454">
        <v>2020</v>
      </c>
      <c r="D1454" s="1">
        <v>43831</v>
      </c>
      <c r="E1454">
        <v>3</v>
      </c>
      <c r="F1454">
        <v>100003472</v>
      </c>
      <c r="G1454" t="s">
        <v>101</v>
      </c>
      <c r="H1454">
        <v>40</v>
      </c>
      <c r="I1454">
        <v>71105060</v>
      </c>
      <c r="J1454">
        <v>21220060</v>
      </c>
      <c r="K1454" t="s">
        <v>238</v>
      </c>
      <c r="L1454" s="4">
        <v>238572.29</v>
      </c>
      <c r="M1454" t="s">
        <v>31</v>
      </c>
      <c r="N1454" s="4">
        <v>238572.29</v>
      </c>
      <c r="O1454" t="s">
        <v>31</v>
      </c>
      <c r="X1454" t="s">
        <v>370</v>
      </c>
      <c r="Y1454" t="s">
        <v>371</v>
      </c>
      <c r="Z1454" t="s">
        <v>269</v>
      </c>
      <c r="AA1454">
        <f t="shared" si="41"/>
        <v>238572.29</v>
      </c>
      <c r="AC1454"/>
      <c r="AE1454" t="s">
        <v>372</v>
      </c>
      <c r="AF1454"/>
      <c r="AL1454">
        <v>340040050</v>
      </c>
      <c r="AM1454" t="s">
        <v>373</v>
      </c>
    </row>
    <row r="1455" spans="1:39" x14ac:dyDescent="0.35">
      <c r="A1455">
        <v>3400</v>
      </c>
      <c r="B1455" t="s">
        <v>370</v>
      </c>
      <c r="C1455">
        <v>2020</v>
      </c>
      <c r="D1455" s="1">
        <v>43831</v>
      </c>
      <c r="E1455">
        <v>4</v>
      </c>
      <c r="F1455">
        <v>100003472</v>
      </c>
      <c r="G1455" t="s">
        <v>101</v>
      </c>
      <c r="H1455">
        <v>40</v>
      </c>
      <c r="I1455">
        <v>71105060</v>
      </c>
      <c r="J1455">
        <v>21220060</v>
      </c>
      <c r="K1455" t="s">
        <v>238</v>
      </c>
      <c r="L1455" s="4">
        <v>6650</v>
      </c>
      <c r="M1455" t="s">
        <v>31</v>
      </c>
      <c r="N1455" s="4">
        <v>6650</v>
      </c>
      <c r="O1455" t="s">
        <v>31</v>
      </c>
      <c r="X1455" t="s">
        <v>370</v>
      </c>
      <c r="Y1455" t="s">
        <v>371</v>
      </c>
      <c r="Z1455" t="s">
        <v>269</v>
      </c>
      <c r="AA1455">
        <f t="shared" si="41"/>
        <v>6650</v>
      </c>
      <c r="AC1455"/>
      <c r="AE1455" t="s">
        <v>374</v>
      </c>
      <c r="AF1455"/>
      <c r="AL1455">
        <v>340040050</v>
      </c>
      <c r="AM1455" t="s">
        <v>373</v>
      </c>
    </row>
    <row r="1456" spans="1:39" x14ac:dyDescent="0.35">
      <c r="A1456">
        <v>3400</v>
      </c>
      <c r="B1456" t="s">
        <v>28</v>
      </c>
      <c r="C1456">
        <v>2020</v>
      </c>
      <c r="D1456" s="1">
        <v>43831</v>
      </c>
      <c r="E1456">
        <v>1</v>
      </c>
      <c r="F1456">
        <v>100011188</v>
      </c>
      <c r="G1456" t="s">
        <v>329</v>
      </c>
      <c r="H1456">
        <v>40</v>
      </c>
      <c r="I1456">
        <v>74010070</v>
      </c>
      <c r="J1456">
        <v>606338</v>
      </c>
      <c r="K1456" t="s">
        <v>49</v>
      </c>
      <c r="L1456" s="4">
        <v>34.22</v>
      </c>
      <c r="M1456" t="s">
        <v>31</v>
      </c>
      <c r="N1456" s="4">
        <v>34.22</v>
      </c>
      <c r="O1456" t="s">
        <v>31</v>
      </c>
      <c r="P1456" t="s">
        <v>98</v>
      </c>
      <c r="X1456" t="s">
        <v>65</v>
      </c>
      <c r="Y1456">
        <v>79220</v>
      </c>
      <c r="Z1456" t="s">
        <v>331</v>
      </c>
      <c r="AA1456">
        <f t="shared" si="41"/>
        <v>34.22</v>
      </c>
      <c r="AC1456"/>
      <c r="AE1456" t="s">
        <v>332</v>
      </c>
      <c r="AF1456"/>
      <c r="AL1456">
        <v>340023450</v>
      </c>
      <c r="AM1456" t="s">
        <v>333</v>
      </c>
    </row>
    <row r="1457" spans="1:39" x14ac:dyDescent="0.35">
      <c r="A1457">
        <v>3400</v>
      </c>
      <c r="B1457" t="s">
        <v>28</v>
      </c>
      <c r="C1457">
        <v>2020</v>
      </c>
      <c r="D1457" s="1">
        <v>43831</v>
      </c>
      <c r="E1457">
        <v>1</v>
      </c>
      <c r="F1457">
        <v>100011189</v>
      </c>
      <c r="G1457" t="s">
        <v>329</v>
      </c>
      <c r="H1457">
        <v>40</v>
      </c>
      <c r="I1457">
        <v>74010070</v>
      </c>
      <c r="J1457">
        <v>606338</v>
      </c>
      <c r="K1457" t="s">
        <v>49</v>
      </c>
      <c r="L1457" s="4">
        <v>34.22</v>
      </c>
      <c r="M1457" t="s">
        <v>31</v>
      </c>
      <c r="N1457" s="4">
        <v>34.22</v>
      </c>
      <c r="O1457" t="s">
        <v>31</v>
      </c>
      <c r="P1457" t="s">
        <v>98</v>
      </c>
      <c r="X1457" t="s">
        <v>65</v>
      </c>
      <c r="Y1457">
        <v>79220</v>
      </c>
      <c r="Z1457" t="s">
        <v>331</v>
      </c>
      <c r="AA1457">
        <f t="shared" si="41"/>
        <v>34.22</v>
      </c>
      <c r="AC1457"/>
      <c r="AE1457" t="s">
        <v>332</v>
      </c>
      <c r="AF1457"/>
      <c r="AL1457">
        <v>340023450</v>
      </c>
      <c r="AM1457" t="s">
        <v>333</v>
      </c>
    </row>
    <row r="1458" spans="1:39" x14ac:dyDescent="0.35">
      <c r="A1458">
        <v>3407</v>
      </c>
      <c r="B1458" t="s">
        <v>28</v>
      </c>
      <c r="C1458">
        <v>2020</v>
      </c>
      <c r="D1458" s="1">
        <v>43831</v>
      </c>
      <c r="E1458">
        <v>3</v>
      </c>
      <c r="F1458">
        <v>700041054</v>
      </c>
      <c r="G1458" t="s">
        <v>101</v>
      </c>
      <c r="H1458">
        <v>40</v>
      </c>
      <c r="I1458">
        <v>71102010</v>
      </c>
      <c r="J1458">
        <v>71111040</v>
      </c>
      <c r="K1458" t="s">
        <v>187</v>
      </c>
      <c r="L1458" s="4">
        <v>3.8</v>
      </c>
      <c r="M1458" t="s">
        <v>54</v>
      </c>
      <c r="N1458" s="4">
        <v>76.06</v>
      </c>
      <c r="O1458" t="s">
        <v>31</v>
      </c>
      <c r="X1458" t="s">
        <v>35</v>
      </c>
      <c r="Y1458" t="s">
        <v>375</v>
      </c>
      <c r="Z1458" t="s">
        <v>376</v>
      </c>
      <c r="AA1458">
        <f t="shared" si="41"/>
        <v>3.8</v>
      </c>
      <c r="AC1458"/>
      <c r="AE1458" t="s">
        <v>377</v>
      </c>
      <c r="AF1458"/>
      <c r="AL1458">
        <v>340732290</v>
      </c>
      <c r="AM1458" t="s">
        <v>217</v>
      </c>
    </row>
    <row r="1459" spans="1:39" x14ac:dyDescent="0.35">
      <c r="A1459">
        <v>3400</v>
      </c>
      <c r="B1459" t="s">
        <v>88</v>
      </c>
      <c r="C1459">
        <v>2020</v>
      </c>
      <c r="D1459" s="1">
        <v>43831</v>
      </c>
      <c r="E1459">
        <v>1</v>
      </c>
      <c r="F1459">
        <v>100001324</v>
      </c>
      <c r="G1459" t="s">
        <v>96</v>
      </c>
      <c r="H1459">
        <v>40</v>
      </c>
      <c r="I1459">
        <v>71105130</v>
      </c>
      <c r="J1459">
        <v>21021040</v>
      </c>
      <c r="K1459" t="s">
        <v>305</v>
      </c>
      <c r="L1459" s="4">
        <v>800</v>
      </c>
      <c r="M1459" t="s">
        <v>54</v>
      </c>
      <c r="N1459" s="4">
        <v>15061.6</v>
      </c>
      <c r="O1459" t="s">
        <v>31</v>
      </c>
      <c r="P1459" t="s">
        <v>98</v>
      </c>
      <c r="X1459" t="s">
        <v>88</v>
      </c>
      <c r="Y1459"/>
      <c r="Z1459" t="s">
        <v>378</v>
      </c>
      <c r="AA1459">
        <f t="shared" si="41"/>
        <v>800</v>
      </c>
      <c r="AC1459"/>
      <c r="AE1459" t="s">
        <v>379</v>
      </c>
      <c r="AF1459"/>
      <c r="AL1459">
        <v>340019450</v>
      </c>
      <c r="AM1459" t="s">
        <v>78</v>
      </c>
    </row>
    <row r="1460" spans="1:39" x14ac:dyDescent="0.35">
      <c r="A1460">
        <v>3400</v>
      </c>
      <c r="B1460" t="s">
        <v>88</v>
      </c>
      <c r="C1460">
        <v>2020</v>
      </c>
      <c r="D1460" s="1">
        <v>43831</v>
      </c>
      <c r="E1460">
        <v>1</v>
      </c>
      <c r="F1460">
        <v>100001325</v>
      </c>
      <c r="G1460" t="s">
        <v>96</v>
      </c>
      <c r="H1460">
        <v>40</v>
      </c>
      <c r="I1460">
        <v>71105130</v>
      </c>
      <c r="J1460">
        <v>21021040</v>
      </c>
      <c r="K1460" t="s">
        <v>305</v>
      </c>
      <c r="L1460" s="4">
        <v>800</v>
      </c>
      <c r="M1460" t="s">
        <v>54</v>
      </c>
      <c r="N1460" s="4">
        <v>15061.6</v>
      </c>
      <c r="O1460" t="s">
        <v>31</v>
      </c>
      <c r="P1460" t="s">
        <v>98</v>
      </c>
      <c r="X1460" t="s">
        <v>88</v>
      </c>
      <c r="Y1460"/>
      <c r="Z1460" t="s">
        <v>380</v>
      </c>
      <c r="AA1460">
        <f t="shared" si="41"/>
        <v>800</v>
      </c>
      <c r="AC1460"/>
      <c r="AE1460" t="s">
        <v>379</v>
      </c>
      <c r="AF1460"/>
      <c r="AL1460">
        <v>340019450</v>
      </c>
      <c r="AM1460" t="s">
        <v>78</v>
      </c>
    </row>
    <row r="1461" spans="1:39" x14ac:dyDescent="0.35">
      <c r="A1461">
        <v>3400</v>
      </c>
      <c r="B1461" t="s">
        <v>88</v>
      </c>
      <c r="C1461">
        <v>2020</v>
      </c>
      <c r="D1461" s="1">
        <v>43831</v>
      </c>
      <c r="E1461">
        <v>1</v>
      </c>
      <c r="F1461">
        <v>100001326</v>
      </c>
      <c r="G1461" t="s">
        <v>96</v>
      </c>
      <c r="H1461">
        <v>40</v>
      </c>
      <c r="I1461">
        <v>71105130</v>
      </c>
      <c r="J1461">
        <v>21021040</v>
      </c>
      <c r="K1461" t="s">
        <v>305</v>
      </c>
      <c r="L1461" s="4">
        <v>800</v>
      </c>
      <c r="M1461" t="s">
        <v>54</v>
      </c>
      <c r="N1461" s="4">
        <v>15061.6</v>
      </c>
      <c r="O1461" t="s">
        <v>31</v>
      </c>
      <c r="P1461" t="s">
        <v>98</v>
      </c>
      <c r="X1461" t="s">
        <v>88</v>
      </c>
      <c r="Y1461"/>
      <c r="Z1461" t="s">
        <v>381</v>
      </c>
      <c r="AA1461">
        <f t="shared" si="41"/>
        <v>800</v>
      </c>
      <c r="AC1461"/>
      <c r="AE1461" t="s">
        <v>379</v>
      </c>
      <c r="AF1461"/>
      <c r="AL1461">
        <v>340019450</v>
      </c>
      <c r="AM1461" t="s">
        <v>78</v>
      </c>
    </row>
    <row r="1462" spans="1:39" x14ac:dyDescent="0.35">
      <c r="A1462">
        <v>3400</v>
      </c>
      <c r="B1462" t="s">
        <v>88</v>
      </c>
      <c r="C1462">
        <v>2020</v>
      </c>
      <c r="D1462" s="1">
        <v>43831</v>
      </c>
      <c r="E1462">
        <v>1</v>
      </c>
      <c r="F1462">
        <v>100001327</v>
      </c>
      <c r="G1462" t="s">
        <v>96</v>
      </c>
      <c r="H1462">
        <v>40</v>
      </c>
      <c r="I1462">
        <v>71105130</v>
      </c>
      <c r="J1462">
        <v>21021040</v>
      </c>
      <c r="K1462" t="s">
        <v>305</v>
      </c>
      <c r="L1462" s="4">
        <v>800</v>
      </c>
      <c r="M1462" t="s">
        <v>54</v>
      </c>
      <c r="N1462" s="4">
        <v>15061.6</v>
      </c>
      <c r="O1462" t="s">
        <v>31</v>
      </c>
      <c r="P1462" t="s">
        <v>98</v>
      </c>
      <c r="X1462" t="s">
        <v>88</v>
      </c>
      <c r="Y1462"/>
      <c r="Z1462" t="s">
        <v>382</v>
      </c>
      <c r="AA1462">
        <f t="shared" si="41"/>
        <v>800</v>
      </c>
      <c r="AC1462"/>
      <c r="AE1462" t="s">
        <v>379</v>
      </c>
      <c r="AF1462"/>
      <c r="AL1462">
        <v>340019450</v>
      </c>
      <c r="AM1462" t="s">
        <v>78</v>
      </c>
    </row>
    <row r="1463" spans="1:39" x14ac:dyDescent="0.35">
      <c r="A1463">
        <v>3400</v>
      </c>
      <c r="B1463" t="s">
        <v>88</v>
      </c>
      <c r="C1463">
        <v>2020</v>
      </c>
      <c r="D1463" s="1">
        <v>43831</v>
      </c>
      <c r="E1463">
        <v>1</v>
      </c>
      <c r="F1463">
        <v>100001328</v>
      </c>
      <c r="G1463" t="s">
        <v>96</v>
      </c>
      <c r="H1463">
        <v>40</v>
      </c>
      <c r="I1463">
        <v>71105130</v>
      </c>
      <c r="J1463">
        <v>21021040</v>
      </c>
      <c r="K1463" t="s">
        <v>305</v>
      </c>
      <c r="L1463" s="4">
        <v>800</v>
      </c>
      <c r="M1463" t="s">
        <v>54</v>
      </c>
      <c r="N1463" s="4">
        <v>15061.6</v>
      </c>
      <c r="O1463" t="s">
        <v>31</v>
      </c>
      <c r="P1463" t="s">
        <v>98</v>
      </c>
      <c r="X1463" t="s">
        <v>88</v>
      </c>
      <c r="Y1463"/>
      <c r="Z1463" t="s">
        <v>383</v>
      </c>
      <c r="AA1463">
        <f t="shared" si="41"/>
        <v>800</v>
      </c>
      <c r="AC1463"/>
      <c r="AE1463" t="s">
        <v>379</v>
      </c>
      <c r="AF1463"/>
      <c r="AL1463">
        <v>340019450</v>
      </c>
      <c r="AM1463" t="s">
        <v>78</v>
      </c>
    </row>
    <row r="1464" spans="1:39" x14ac:dyDescent="0.35">
      <c r="A1464">
        <v>3400</v>
      </c>
      <c r="B1464" t="s">
        <v>88</v>
      </c>
      <c r="C1464">
        <v>2020</v>
      </c>
      <c r="D1464" s="1">
        <v>43831</v>
      </c>
      <c r="E1464">
        <v>1</v>
      </c>
      <c r="F1464">
        <v>100001329</v>
      </c>
      <c r="G1464" t="s">
        <v>96</v>
      </c>
      <c r="H1464">
        <v>40</v>
      </c>
      <c r="I1464">
        <v>71105130</v>
      </c>
      <c r="J1464">
        <v>21021040</v>
      </c>
      <c r="K1464" t="s">
        <v>305</v>
      </c>
      <c r="L1464" s="4">
        <v>800</v>
      </c>
      <c r="M1464" t="s">
        <v>54</v>
      </c>
      <c r="N1464" s="4">
        <v>15061.6</v>
      </c>
      <c r="O1464" t="s">
        <v>31</v>
      </c>
      <c r="P1464" t="s">
        <v>98</v>
      </c>
      <c r="X1464" t="s">
        <v>88</v>
      </c>
      <c r="Y1464"/>
      <c r="Z1464" t="s">
        <v>384</v>
      </c>
      <c r="AA1464">
        <f t="shared" si="41"/>
        <v>800</v>
      </c>
      <c r="AC1464"/>
      <c r="AE1464" t="s">
        <v>379</v>
      </c>
      <c r="AF1464"/>
      <c r="AL1464">
        <v>340019450</v>
      </c>
      <c r="AM1464" t="s">
        <v>78</v>
      </c>
    </row>
    <row r="1465" spans="1:39" x14ac:dyDescent="0.35">
      <c r="A1465">
        <v>3400</v>
      </c>
      <c r="B1465" t="s">
        <v>81</v>
      </c>
      <c r="C1465">
        <v>2020</v>
      </c>
      <c r="D1465" s="1">
        <v>43831</v>
      </c>
      <c r="E1465">
        <v>1</v>
      </c>
      <c r="F1465">
        <v>100005790</v>
      </c>
      <c r="G1465" t="s">
        <v>96</v>
      </c>
      <c r="H1465">
        <v>40</v>
      </c>
      <c r="I1465">
        <v>71105130</v>
      </c>
      <c r="J1465">
        <v>21021040</v>
      </c>
      <c r="K1465" t="s">
        <v>305</v>
      </c>
      <c r="L1465" s="4">
        <v>800</v>
      </c>
      <c r="M1465" t="s">
        <v>54</v>
      </c>
      <c r="N1465" s="4">
        <v>14991.04</v>
      </c>
      <c r="O1465" t="s">
        <v>31</v>
      </c>
      <c r="P1465" t="s">
        <v>98</v>
      </c>
      <c r="X1465" t="s">
        <v>81</v>
      </c>
      <c r="Y1465"/>
      <c r="Z1465" t="s">
        <v>385</v>
      </c>
      <c r="AA1465">
        <f t="shared" si="41"/>
        <v>800</v>
      </c>
      <c r="AC1465"/>
      <c r="AE1465" t="s">
        <v>379</v>
      </c>
      <c r="AF1465"/>
      <c r="AL1465">
        <v>340019450</v>
      </c>
      <c r="AM1465" t="s">
        <v>78</v>
      </c>
    </row>
    <row r="1466" spans="1:39" x14ac:dyDescent="0.35">
      <c r="A1466">
        <v>3400</v>
      </c>
      <c r="B1466" t="s">
        <v>81</v>
      </c>
      <c r="C1466">
        <v>2020</v>
      </c>
      <c r="D1466" s="1">
        <v>43831</v>
      </c>
      <c r="E1466">
        <v>1</v>
      </c>
      <c r="F1466">
        <v>100005791</v>
      </c>
      <c r="G1466" t="s">
        <v>96</v>
      </c>
      <c r="H1466">
        <v>40</v>
      </c>
      <c r="I1466">
        <v>71105130</v>
      </c>
      <c r="J1466">
        <v>21021040</v>
      </c>
      <c r="K1466" t="s">
        <v>305</v>
      </c>
      <c r="L1466" s="4">
        <v>800</v>
      </c>
      <c r="M1466" t="s">
        <v>54</v>
      </c>
      <c r="N1466" s="4">
        <v>14991.04</v>
      </c>
      <c r="O1466" t="s">
        <v>31</v>
      </c>
      <c r="P1466" t="s">
        <v>98</v>
      </c>
      <c r="X1466" t="s">
        <v>81</v>
      </c>
      <c r="Y1466"/>
      <c r="Z1466" t="s">
        <v>386</v>
      </c>
      <c r="AA1466">
        <f t="shared" si="41"/>
        <v>800</v>
      </c>
      <c r="AC1466"/>
      <c r="AE1466" t="s">
        <v>379</v>
      </c>
      <c r="AF1466"/>
      <c r="AL1466">
        <v>340019450</v>
      </c>
      <c r="AM1466" t="s">
        <v>78</v>
      </c>
    </row>
    <row r="1467" spans="1:39" x14ac:dyDescent="0.35">
      <c r="A1467">
        <v>3400</v>
      </c>
      <c r="B1467" t="s">
        <v>88</v>
      </c>
      <c r="C1467">
        <v>2020</v>
      </c>
      <c r="D1467" s="1">
        <v>43831</v>
      </c>
      <c r="E1467">
        <v>1</v>
      </c>
      <c r="F1467">
        <v>100010312</v>
      </c>
      <c r="G1467" t="s">
        <v>101</v>
      </c>
      <c r="H1467">
        <v>50</v>
      </c>
      <c r="I1467">
        <v>71105130</v>
      </c>
      <c r="J1467">
        <v>71105100</v>
      </c>
      <c r="K1467" t="s">
        <v>305</v>
      </c>
      <c r="L1467" s="4">
        <v>800</v>
      </c>
      <c r="M1467" t="s">
        <v>54</v>
      </c>
      <c r="N1467" s="4">
        <v>15061.6</v>
      </c>
      <c r="O1467" t="s">
        <v>31</v>
      </c>
      <c r="P1467" t="s">
        <v>98</v>
      </c>
      <c r="X1467" t="s">
        <v>47</v>
      </c>
      <c r="Y1467" t="s">
        <v>387</v>
      </c>
      <c r="Z1467" t="s">
        <v>378</v>
      </c>
      <c r="AA1467">
        <f t="shared" si="41"/>
        <v>800</v>
      </c>
      <c r="AC1467"/>
      <c r="AE1467" t="s">
        <v>379</v>
      </c>
      <c r="AF1467"/>
      <c r="AL1467">
        <v>340019450</v>
      </c>
      <c r="AM1467" t="s">
        <v>388</v>
      </c>
    </row>
    <row r="1468" spans="1:39" x14ac:dyDescent="0.35">
      <c r="A1468">
        <v>3400</v>
      </c>
      <c r="B1468" t="s">
        <v>88</v>
      </c>
      <c r="C1468">
        <v>2020</v>
      </c>
      <c r="D1468" s="1">
        <v>43831</v>
      </c>
      <c r="E1468">
        <v>1</v>
      </c>
      <c r="F1468">
        <v>100010313</v>
      </c>
      <c r="G1468" t="s">
        <v>101</v>
      </c>
      <c r="H1468">
        <v>50</v>
      </c>
      <c r="I1468">
        <v>71105130</v>
      </c>
      <c r="J1468">
        <v>71105100</v>
      </c>
      <c r="K1468" t="s">
        <v>305</v>
      </c>
      <c r="L1468" s="4">
        <v>800</v>
      </c>
      <c r="M1468" t="s">
        <v>54</v>
      </c>
      <c r="N1468" s="4">
        <v>15061.6</v>
      </c>
      <c r="O1468" t="s">
        <v>31</v>
      </c>
      <c r="P1468" t="s">
        <v>98</v>
      </c>
      <c r="X1468" t="s">
        <v>47</v>
      </c>
      <c r="Y1468" t="s">
        <v>387</v>
      </c>
      <c r="Z1468" t="s">
        <v>380</v>
      </c>
      <c r="AA1468">
        <f t="shared" si="41"/>
        <v>800</v>
      </c>
      <c r="AC1468"/>
      <c r="AE1468" t="s">
        <v>379</v>
      </c>
      <c r="AF1468"/>
      <c r="AL1468">
        <v>340019450</v>
      </c>
      <c r="AM1468" t="s">
        <v>388</v>
      </c>
    </row>
    <row r="1469" spans="1:39" x14ac:dyDescent="0.35">
      <c r="A1469">
        <v>3400</v>
      </c>
      <c r="B1469" t="s">
        <v>88</v>
      </c>
      <c r="C1469">
        <v>2020</v>
      </c>
      <c r="D1469" s="1">
        <v>43831</v>
      </c>
      <c r="E1469">
        <v>1</v>
      </c>
      <c r="F1469">
        <v>100010314</v>
      </c>
      <c r="G1469" t="s">
        <v>101</v>
      </c>
      <c r="H1469">
        <v>50</v>
      </c>
      <c r="I1469">
        <v>71105130</v>
      </c>
      <c r="J1469">
        <v>71105100</v>
      </c>
      <c r="K1469" t="s">
        <v>305</v>
      </c>
      <c r="L1469" s="4">
        <v>800</v>
      </c>
      <c r="M1469" t="s">
        <v>54</v>
      </c>
      <c r="N1469" s="4">
        <v>15061.6</v>
      </c>
      <c r="O1469" t="s">
        <v>31</v>
      </c>
      <c r="P1469" t="s">
        <v>98</v>
      </c>
      <c r="X1469" t="s">
        <v>47</v>
      </c>
      <c r="Y1469" t="s">
        <v>387</v>
      </c>
      <c r="Z1469" t="s">
        <v>381</v>
      </c>
      <c r="AA1469">
        <f t="shared" si="41"/>
        <v>800</v>
      </c>
      <c r="AC1469"/>
      <c r="AE1469" t="s">
        <v>379</v>
      </c>
      <c r="AF1469"/>
      <c r="AL1469">
        <v>340019450</v>
      </c>
      <c r="AM1469" t="s">
        <v>388</v>
      </c>
    </row>
    <row r="1470" spans="1:39" x14ac:dyDescent="0.35">
      <c r="A1470">
        <v>3400</v>
      </c>
      <c r="B1470" t="s">
        <v>88</v>
      </c>
      <c r="C1470">
        <v>2020</v>
      </c>
      <c r="D1470" s="1">
        <v>43831</v>
      </c>
      <c r="E1470">
        <v>1</v>
      </c>
      <c r="F1470">
        <v>100010317</v>
      </c>
      <c r="G1470" t="s">
        <v>101</v>
      </c>
      <c r="H1470">
        <v>50</v>
      </c>
      <c r="I1470">
        <v>71105130</v>
      </c>
      <c r="J1470">
        <v>71105100</v>
      </c>
      <c r="K1470" t="s">
        <v>305</v>
      </c>
      <c r="L1470" s="4">
        <v>800</v>
      </c>
      <c r="M1470" t="s">
        <v>54</v>
      </c>
      <c r="N1470" s="4">
        <v>15061.6</v>
      </c>
      <c r="O1470" t="s">
        <v>31</v>
      </c>
      <c r="P1470" t="s">
        <v>98</v>
      </c>
      <c r="X1470" t="s">
        <v>47</v>
      </c>
      <c r="Y1470" t="s">
        <v>387</v>
      </c>
      <c r="Z1470" t="s">
        <v>383</v>
      </c>
      <c r="AA1470">
        <f t="shared" si="41"/>
        <v>800</v>
      </c>
      <c r="AC1470"/>
      <c r="AE1470" t="s">
        <v>379</v>
      </c>
      <c r="AF1470"/>
      <c r="AL1470">
        <v>340019450</v>
      </c>
      <c r="AM1470" t="s">
        <v>388</v>
      </c>
    </row>
    <row r="1471" spans="1:39" x14ac:dyDescent="0.35">
      <c r="A1471">
        <v>3400</v>
      </c>
      <c r="B1471" t="s">
        <v>81</v>
      </c>
      <c r="C1471">
        <v>2020</v>
      </c>
      <c r="D1471" s="1">
        <v>43831</v>
      </c>
      <c r="E1471">
        <v>1</v>
      </c>
      <c r="F1471">
        <v>100010318</v>
      </c>
      <c r="G1471" t="s">
        <v>101</v>
      </c>
      <c r="H1471">
        <v>50</v>
      </c>
      <c r="I1471">
        <v>71105130</v>
      </c>
      <c r="J1471">
        <v>71105100</v>
      </c>
      <c r="K1471" t="s">
        <v>305</v>
      </c>
      <c r="L1471" s="4">
        <v>800</v>
      </c>
      <c r="M1471" t="s">
        <v>54</v>
      </c>
      <c r="N1471" s="4">
        <v>14991.04</v>
      </c>
      <c r="O1471" t="s">
        <v>31</v>
      </c>
      <c r="P1471" t="s">
        <v>98</v>
      </c>
      <c r="X1471" t="s">
        <v>47</v>
      </c>
      <c r="Y1471" t="s">
        <v>387</v>
      </c>
      <c r="Z1471" t="s">
        <v>385</v>
      </c>
      <c r="AA1471">
        <f t="shared" si="41"/>
        <v>800</v>
      </c>
      <c r="AC1471"/>
      <c r="AE1471" t="s">
        <v>379</v>
      </c>
      <c r="AF1471"/>
      <c r="AL1471">
        <v>340019450</v>
      </c>
      <c r="AM1471" t="s">
        <v>388</v>
      </c>
    </row>
    <row r="1472" spans="1:39" x14ac:dyDescent="0.35">
      <c r="A1472">
        <v>3400</v>
      </c>
      <c r="B1472" t="s">
        <v>81</v>
      </c>
      <c r="C1472">
        <v>2020</v>
      </c>
      <c r="D1472" s="1">
        <v>43831</v>
      </c>
      <c r="E1472">
        <v>1</v>
      </c>
      <c r="F1472">
        <v>100010319</v>
      </c>
      <c r="G1472" t="s">
        <v>101</v>
      </c>
      <c r="H1472">
        <v>50</v>
      </c>
      <c r="I1472">
        <v>71105130</v>
      </c>
      <c r="J1472">
        <v>71105100</v>
      </c>
      <c r="K1472" t="s">
        <v>305</v>
      </c>
      <c r="L1472" s="4">
        <v>800</v>
      </c>
      <c r="M1472" t="s">
        <v>54</v>
      </c>
      <c r="N1472" s="4">
        <v>14991.04</v>
      </c>
      <c r="O1472" t="s">
        <v>31</v>
      </c>
      <c r="P1472" t="s">
        <v>98</v>
      </c>
      <c r="X1472" t="s">
        <v>47</v>
      </c>
      <c r="Y1472" t="s">
        <v>387</v>
      </c>
      <c r="Z1472" t="s">
        <v>386</v>
      </c>
      <c r="AA1472">
        <f t="shared" si="41"/>
        <v>800</v>
      </c>
      <c r="AC1472"/>
      <c r="AE1472" t="s">
        <v>379</v>
      </c>
      <c r="AF1472"/>
      <c r="AL1472">
        <v>340019450</v>
      </c>
      <c r="AM1472" t="s">
        <v>388</v>
      </c>
    </row>
    <row r="1473" spans="1:39" x14ac:dyDescent="0.35">
      <c r="A1473">
        <v>3400</v>
      </c>
      <c r="B1473" t="s">
        <v>88</v>
      </c>
      <c r="C1473">
        <v>2020</v>
      </c>
      <c r="D1473" s="1">
        <v>43831</v>
      </c>
      <c r="E1473">
        <v>1</v>
      </c>
      <c r="F1473">
        <v>100010324</v>
      </c>
      <c r="G1473" t="s">
        <v>101</v>
      </c>
      <c r="H1473">
        <v>50</v>
      </c>
      <c r="I1473">
        <v>71105130</v>
      </c>
      <c r="J1473">
        <v>71105100</v>
      </c>
      <c r="K1473" t="s">
        <v>305</v>
      </c>
      <c r="L1473" s="4">
        <v>800</v>
      </c>
      <c r="M1473" t="s">
        <v>54</v>
      </c>
      <c r="N1473" s="4">
        <v>15061.6</v>
      </c>
      <c r="O1473" t="s">
        <v>31</v>
      </c>
      <c r="P1473" t="s">
        <v>98</v>
      </c>
      <c r="X1473" t="s">
        <v>47</v>
      </c>
      <c r="Y1473" t="s">
        <v>387</v>
      </c>
      <c r="Z1473" t="s">
        <v>384</v>
      </c>
      <c r="AA1473">
        <f t="shared" si="41"/>
        <v>800</v>
      </c>
      <c r="AC1473"/>
      <c r="AE1473" t="s">
        <v>379</v>
      </c>
      <c r="AF1473"/>
      <c r="AL1473">
        <v>340019450</v>
      </c>
      <c r="AM1473" t="s">
        <v>388</v>
      </c>
    </row>
    <row r="1474" spans="1:39" x14ac:dyDescent="0.35">
      <c r="A1474">
        <v>3400</v>
      </c>
      <c r="B1474" t="s">
        <v>88</v>
      </c>
      <c r="C1474">
        <v>2020</v>
      </c>
      <c r="D1474" s="1">
        <v>43831</v>
      </c>
      <c r="E1474">
        <v>1</v>
      </c>
      <c r="F1474">
        <v>100010316</v>
      </c>
      <c r="G1474" t="s">
        <v>101</v>
      </c>
      <c r="H1474">
        <v>50</v>
      </c>
      <c r="I1474">
        <v>71105130</v>
      </c>
      <c r="J1474">
        <v>71105100</v>
      </c>
      <c r="K1474" t="s">
        <v>305</v>
      </c>
      <c r="L1474" s="4">
        <v>800</v>
      </c>
      <c r="M1474" t="s">
        <v>54</v>
      </c>
      <c r="N1474" s="4">
        <v>15061.6</v>
      </c>
      <c r="O1474" t="s">
        <v>31</v>
      </c>
      <c r="P1474" t="s">
        <v>98</v>
      </c>
      <c r="X1474" t="s">
        <v>47</v>
      </c>
      <c r="Y1474" t="s">
        <v>387</v>
      </c>
      <c r="Z1474" t="s">
        <v>382</v>
      </c>
      <c r="AA1474">
        <f t="shared" si="41"/>
        <v>800</v>
      </c>
      <c r="AC1474"/>
      <c r="AE1474" t="s">
        <v>379</v>
      </c>
      <c r="AF1474"/>
      <c r="AL1474">
        <v>340019450</v>
      </c>
      <c r="AM1474" t="s">
        <v>388</v>
      </c>
    </row>
    <row r="1475" spans="1:39" x14ac:dyDescent="0.35">
      <c r="A1475">
        <v>3400</v>
      </c>
      <c r="B1475" t="s">
        <v>28</v>
      </c>
      <c r="C1475">
        <v>2020</v>
      </c>
      <c r="D1475" s="1">
        <v>43831</v>
      </c>
      <c r="E1475">
        <v>1</v>
      </c>
      <c r="F1475">
        <v>100010949</v>
      </c>
      <c r="G1475" t="s">
        <v>101</v>
      </c>
      <c r="H1475">
        <v>40</v>
      </c>
      <c r="I1475">
        <v>71105120</v>
      </c>
      <c r="J1475">
        <v>11610030</v>
      </c>
      <c r="K1475" t="s">
        <v>268</v>
      </c>
      <c r="L1475" s="4">
        <v>25.13</v>
      </c>
      <c r="M1475" t="s">
        <v>54</v>
      </c>
      <c r="N1475" s="4">
        <v>470.36</v>
      </c>
      <c r="O1475" t="s">
        <v>31</v>
      </c>
      <c r="P1475" t="s">
        <v>98</v>
      </c>
      <c r="X1475" t="s">
        <v>35</v>
      </c>
      <c r="Y1475" t="s">
        <v>389</v>
      </c>
      <c r="Z1475">
        <v>20200131</v>
      </c>
      <c r="AA1475">
        <f t="shared" si="41"/>
        <v>25.13</v>
      </c>
      <c r="AC1475"/>
      <c r="AE1475" t="s">
        <v>390</v>
      </c>
      <c r="AF1475"/>
      <c r="AL1475">
        <v>340014250</v>
      </c>
      <c r="AM1475" t="s">
        <v>391</v>
      </c>
    </row>
    <row r="1476" spans="1:39" x14ac:dyDescent="0.35">
      <c r="A1476">
        <v>3400</v>
      </c>
      <c r="B1476" t="s">
        <v>28</v>
      </c>
      <c r="C1476">
        <v>2020</v>
      </c>
      <c r="D1476" s="1">
        <v>43831</v>
      </c>
      <c r="E1476">
        <v>2</v>
      </c>
      <c r="F1476">
        <v>100010949</v>
      </c>
      <c r="G1476" t="s">
        <v>101</v>
      </c>
      <c r="H1476">
        <v>40</v>
      </c>
      <c r="I1476">
        <v>71105120</v>
      </c>
      <c r="J1476">
        <v>11610030</v>
      </c>
      <c r="K1476" t="s">
        <v>268</v>
      </c>
      <c r="L1476" s="4">
        <v>146.6</v>
      </c>
      <c r="M1476" t="s">
        <v>54</v>
      </c>
      <c r="N1476" s="4">
        <v>2742.4</v>
      </c>
      <c r="O1476" t="s">
        <v>31</v>
      </c>
      <c r="P1476" t="s">
        <v>98</v>
      </c>
      <c r="X1476" t="s">
        <v>35</v>
      </c>
      <c r="Y1476" t="s">
        <v>389</v>
      </c>
      <c r="Z1476">
        <v>20200131</v>
      </c>
      <c r="AA1476">
        <f t="shared" si="41"/>
        <v>146.6</v>
      </c>
      <c r="AC1476"/>
      <c r="AE1476" t="s">
        <v>390</v>
      </c>
      <c r="AF1476"/>
      <c r="AL1476">
        <v>340019450</v>
      </c>
      <c r="AM1476" t="s">
        <v>391</v>
      </c>
    </row>
    <row r="1477" spans="1:39" x14ac:dyDescent="0.35">
      <c r="A1477">
        <v>3400</v>
      </c>
      <c r="B1477" t="s">
        <v>28</v>
      </c>
      <c r="C1477">
        <v>2020</v>
      </c>
      <c r="D1477" s="1">
        <v>43831</v>
      </c>
      <c r="E1477">
        <v>3</v>
      </c>
      <c r="F1477">
        <v>100010949</v>
      </c>
      <c r="G1477" t="s">
        <v>101</v>
      </c>
      <c r="H1477">
        <v>40</v>
      </c>
      <c r="I1477">
        <v>71105120</v>
      </c>
      <c r="J1477">
        <v>11610030</v>
      </c>
      <c r="K1477" t="s">
        <v>268</v>
      </c>
      <c r="L1477" s="4">
        <v>108.9</v>
      </c>
      <c r="M1477" t="s">
        <v>54</v>
      </c>
      <c r="N1477" s="4">
        <v>2037.16</v>
      </c>
      <c r="O1477" t="s">
        <v>31</v>
      </c>
      <c r="P1477" t="s">
        <v>98</v>
      </c>
      <c r="X1477" t="s">
        <v>35</v>
      </c>
      <c r="Y1477" t="s">
        <v>389</v>
      </c>
      <c r="Z1477">
        <v>20200131</v>
      </c>
      <c r="AA1477">
        <f t="shared" si="41"/>
        <v>108.9</v>
      </c>
      <c r="AC1477"/>
      <c r="AE1477" t="s">
        <v>390</v>
      </c>
      <c r="AF1477"/>
      <c r="AL1477">
        <v>340019550</v>
      </c>
      <c r="AM1477" t="s">
        <v>391</v>
      </c>
    </row>
    <row r="1478" spans="1:39" x14ac:dyDescent="0.35">
      <c r="A1478">
        <v>3400</v>
      </c>
      <c r="B1478" t="s">
        <v>28</v>
      </c>
      <c r="C1478">
        <v>2020</v>
      </c>
      <c r="D1478" s="1">
        <v>43831</v>
      </c>
      <c r="E1478">
        <v>4</v>
      </c>
      <c r="F1478">
        <v>100010949</v>
      </c>
      <c r="G1478" t="s">
        <v>101</v>
      </c>
      <c r="H1478">
        <v>40</v>
      </c>
      <c r="I1478">
        <v>71105120</v>
      </c>
      <c r="J1478">
        <v>11610030</v>
      </c>
      <c r="K1478" t="s">
        <v>268</v>
      </c>
      <c r="L1478" s="4">
        <v>268.06</v>
      </c>
      <c r="M1478" t="s">
        <v>54</v>
      </c>
      <c r="N1478" s="4">
        <v>5014.5200000000004</v>
      </c>
      <c r="O1478" t="s">
        <v>31</v>
      </c>
      <c r="P1478" t="s">
        <v>98</v>
      </c>
      <c r="X1478" t="s">
        <v>35</v>
      </c>
      <c r="Y1478" t="s">
        <v>389</v>
      </c>
      <c r="Z1478">
        <v>20200131</v>
      </c>
      <c r="AA1478">
        <f t="shared" si="41"/>
        <v>268.06</v>
      </c>
      <c r="AC1478"/>
      <c r="AE1478" t="s">
        <v>390</v>
      </c>
      <c r="AF1478"/>
      <c r="AL1478">
        <v>340019850</v>
      </c>
      <c r="AM1478" t="s">
        <v>391</v>
      </c>
    </row>
    <row r="1479" spans="1:39" x14ac:dyDescent="0.35">
      <c r="A1479">
        <v>3400</v>
      </c>
      <c r="B1479" t="s">
        <v>28</v>
      </c>
      <c r="C1479">
        <v>2020</v>
      </c>
      <c r="D1479" s="1">
        <v>43831</v>
      </c>
      <c r="E1479">
        <v>5</v>
      </c>
      <c r="F1479">
        <v>100010949</v>
      </c>
      <c r="G1479" t="s">
        <v>101</v>
      </c>
      <c r="H1479">
        <v>40</v>
      </c>
      <c r="I1479">
        <v>71105120</v>
      </c>
      <c r="J1479">
        <v>11610030</v>
      </c>
      <c r="K1479" t="s">
        <v>268</v>
      </c>
      <c r="L1479" s="4">
        <v>87.96</v>
      </c>
      <c r="M1479" t="s">
        <v>54</v>
      </c>
      <c r="N1479" s="4">
        <v>1645.44</v>
      </c>
      <c r="O1479" t="s">
        <v>31</v>
      </c>
      <c r="P1479" t="s">
        <v>98</v>
      </c>
      <c r="X1479" t="s">
        <v>35</v>
      </c>
      <c r="Y1479" t="s">
        <v>389</v>
      </c>
      <c r="Z1479">
        <v>20200131</v>
      </c>
      <c r="AA1479">
        <f t="shared" si="41"/>
        <v>87.96</v>
      </c>
      <c r="AC1479"/>
      <c r="AE1479" t="s">
        <v>390</v>
      </c>
      <c r="AF1479"/>
      <c r="AL1479">
        <v>340020050</v>
      </c>
      <c r="AM1479" t="s">
        <v>391</v>
      </c>
    </row>
    <row r="1480" spans="1:39" x14ac:dyDescent="0.35">
      <c r="A1480">
        <v>3400</v>
      </c>
      <c r="B1480" t="s">
        <v>28</v>
      </c>
      <c r="C1480">
        <v>2020</v>
      </c>
      <c r="D1480" s="1">
        <v>43831</v>
      </c>
      <c r="E1480">
        <v>6</v>
      </c>
      <c r="F1480">
        <v>100010949</v>
      </c>
      <c r="G1480" t="s">
        <v>101</v>
      </c>
      <c r="H1480">
        <v>40</v>
      </c>
      <c r="I1480">
        <v>71105120</v>
      </c>
      <c r="J1480">
        <v>11610030</v>
      </c>
      <c r="K1480" t="s">
        <v>268</v>
      </c>
      <c r="L1480" s="4">
        <v>16.75</v>
      </c>
      <c r="M1480" t="s">
        <v>54</v>
      </c>
      <c r="N1480" s="4">
        <v>313.33999999999997</v>
      </c>
      <c r="O1480" t="s">
        <v>31</v>
      </c>
      <c r="P1480" t="s">
        <v>98</v>
      </c>
      <c r="X1480" t="s">
        <v>35</v>
      </c>
      <c r="Y1480" t="s">
        <v>389</v>
      </c>
      <c r="Z1480">
        <v>20200131</v>
      </c>
      <c r="AA1480">
        <f t="shared" si="41"/>
        <v>16.75</v>
      </c>
      <c r="AC1480"/>
      <c r="AE1480" t="s">
        <v>390</v>
      </c>
      <c r="AF1480"/>
      <c r="AL1480">
        <v>340021850</v>
      </c>
      <c r="AM1480" t="s">
        <v>391</v>
      </c>
    </row>
    <row r="1481" spans="1:39" x14ac:dyDescent="0.35">
      <c r="A1481">
        <v>3400</v>
      </c>
      <c r="B1481" t="s">
        <v>28</v>
      </c>
      <c r="C1481">
        <v>2020</v>
      </c>
      <c r="D1481" s="1">
        <v>43831</v>
      </c>
      <c r="E1481">
        <v>7</v>
      </c>
      <c r="F1481">
        <v>100010949</v>
      </c>
      <c r="G1481" t="s">
        <v>101</v>
      </c>
      <c r="H1481">
        <v>40</v>
      </c>
      <c r="I1481">
        <v>71105120</v>
      </c>
      <c r="J1481">
        <v>11610030</v>
      </c>
      <c r="K1481" t="s">
        <v>268</v>
      </c>
      <c r="L1481" s="4">
        <v>20.94</v>
      </c>
      <c r="M1481" t="s">
        <v>54</v>
      </c>
      <c r="N1481" s="4">
        <v>391.72</v>
      </c>
      <c r="O1481" t="s">
        <v>31</v>
      </c>
      <c r="P1481" t="s">
        <v>98</v>
      </c>
      <c r="X1481" t="s">
        <v>35</v>
      </c>
      <c r="Y1481" t="s">
        <v>389</v>
      </c>
      <c r="Z1481">
        <v>20200131</v>
      </c>
      <c r="AA1481">
        <f t="shared" si="41"/>
        <v>20.94</v>
      </c>
      <c r="AC1481"/>
      <c r="AE1481" t="s">
        <v>390</v>
      </c>
      <c r="AF1481"/>
      <c r="AL1481">
        <v>340021950</v>
      </c>
      <c r="AM1481" t="s">
        <v>391</v>
      </c>
    </row>
    <row r="1482" spans="1:39" x14ac:dyDescent="0.35">
      <c r="A1482">
        <v>3400</v>
      </c>
      <c r="B1482" t="s">
        <v>28</v>
      </c>
      <c r="C1482">
        <v>2020</v>
      </c>
      <c r="D1482" s="1">
        <v>43831</v>
      </c>
      <c r="E1482">
        <v>8</v>
      </c>
      <c r="F1482">
        <v>100010949</v>
      </c>
      <c r="G1482" t="s">
        <v>101</v>
      </c>
      <c r="H1482">
        <v>40</v>
      </c>
      <c r="I1482">
        <v>71105120</v>
      </c>
      <c r="J1482">
        <v>11610030</v>
      </c>
      <c r="K1482" t="s">
        <v>268</v>
      </c>
      <c r="L1482" s="4">
        <v>16.75</v>
      </c>
      <c r="M1482" t="s">
        <v>54</v>
      </c>
      <c r="N1482" s="4">
        <v>313.33999999999997</v>
      </c>
      <c r="O1482" t="s">
        <v>31</v>
      </c>
      <c r="P1482" t="s">
        <v>98</v>
      </c>
      <c r="X1482" t="s">
        <v>35</v>
      </c>
      <c r="Y1482" t="s">
        <v>389</v>
      </c>
      <c r="Z1482">
        <v>20200131</v>
      </c>
      <c r="AA1482">
        <f t="shared" si="41"/>
        <v>16.75</v>
      </c>
      <c r="AC1482"/>
      <c r="AE1482" t="s">
        <v>390</v>
      </c>
      <c r="AF1482"/>
      <c r="AL1482">
        <v>340021950</v>
      </c>
      <c r="AM1482" t="s">
        <v>391</v>
      </c>
    </row>
    <row r="1483" spans="1:39" x14ac:dyDescent="0.35">
      <c r="A1483">
        <v>3400</v>
      </c>
      <c r="B1483" t="s">
        <v>28</v>
      </c>
      <c r="C1483">
        <v>2020</v>
      </c>
      <c r="D1483" s="1">
        <v>43831</v>
      </c>
      <c r="E1483">
        <v>9</v>
      </c>
      <c r="F1483">
        <v>100010949</v>
      </c>
      <c r="G1483" t="s">
        <v>101</v>
      </c>
      <c r="H1483">
        <v>40</v>
      </c>
      <c r="I1483">
        <v>71105120</v>
      </c>
      <c r="J1483">
        <v>11610030</v>
      </c>
      <c r="K1483" t="s">
        <v>268</v>
      </c>
      <c r="L1483" s="4">
        <v>41.89</v>
      </c>
      <c r="M1483" t="s">
        <v>54</v>
      </c>
      <c r="N1483" s="4">
        <v>783.62</v>
      </c>
      <c r="O1483" t="s">
        <v>31</v>
      </c>
      <c r="P1483" t="s">
        <v>98</v>
      </c>
      <c r="X1483" t="s">
        <v>35</v>
      </c>
      <c r="Y1483" t="s">
        <v>389</v>
      </c>
      <c r="Z1483">
        <v>20200131</v>
      </c>
      <c r="AA1483">
        <f t="shared" si="41"/>
        <v>41.89</v>
      </c>
      <c r="AC1483"/>
      <c r="AE1483" t="s">
        <v>390</v>
      </c>
      <c r="AF1483"/>
      <c r="AL1483">
        <v>340021950</v>
      </c>
      <c r="AM1483" t="s">
        <v>391</v>
      </c>
    </row>
    <row r="1484" spans="1:39" x14ac:dyDescent="0.35">
      <c r="A1484">
        <v>3400</v>
      </c>
      <c r="B1484" t="s">
        <v>28</v>
      </c>
      <c r="C1484">
        <v>2020</v>
      </c>
      <c r="D1484" s="1">
        <v>43831</v>
      </c>
      <c r="E1484">
        <v>10</v>
      </c>
      <c r="F1484">
        <v>100010949</v>
      </c>
      <c r="G1484" t="s">
        <v>101</v>
      </c>
      <c r="H1484">
        <v>40</v>
      </c>
      <c r="I1484">
        <v>71105120</v>
      </c>
      <c r="J1484">
        <v>11610030</v>
      </c>
      <c r="K1484" t="s">
        <v>268</v>
      </c>
      <c r="L1484" s="4">
        <v>54.45</v>
      </c>
      <c r="M1484" t="s">
        <v>54</v>
      </c>
      <c r="N1484" s="4">
        <v>1018.58</v>
      </c>
      <c r="O1484" t="s">
        <v>31</v>
      </c>
      <c r="P1484" t="s">
        <v>98</v>
      </c>
      <c r="X1484" t="s">
        <v>35</v>
      </c>
      <c r="Y1484" t="s">
        <v>389</v>
      </c>
      <c r="Z1484">
        <v>20200131</v>
      </c>
      <c r="AA1484">
        <f t="shared" si="41"/>
        <v>54.45</v>
      </c>
      <c r="AC1484"/>
      <c r="AE1484" t="s">
        <v>390</v>
      </c>
      <c r="AF1484"/>
      <c r="AL1484">
        <v>340021950</v>
      </c>
      <c r="AM1484" t="s">
        <v>391</v>
      </c>
    </row>
    <row r="1485" spans="1:39" x14ac:dyDescent="0.35">
      <c r="A1485">
        <v>3400</v>
      </c>
      <c r="B1485" t="s">
        <v>28</v>
      </c>
      <c r="C1485">
        <v>2020</v>
      </c>
      <c r="D1485" s="1">
        <v>43831</v>
      </c>
      <c r="E1485">
        <v>11</v>
      </c>
      <c r="F1485">
        <v>100010949</v>
      </c>
      <c r="G1485" t="s">
        <v>101</v>
      </c>
      <c r="H1485">
        <v>40</v>
      </c>
      <c r="I1485">
        <v>71105120</v>
      </c>
      <c r="J1485">
        <v>11610030</v>
      </c>
      <c r="K1485" t="s">
        <v>268</v>
      </c>
      <c r="L1485" s="4">
        <v>20.94</v>
      </c>
      <c r="M1485" t="s">
        <v>54</v>
      </c>
      <c r="N1485" s="4">
        <v>391.72</v>
      </c>
      <c r="O1485" t="s">
        <v>31</v>
      </c>
      <c r="P1485" t="s">
        <v>98</v>
      </c>
      <c r="X1485" t="s">
        <v>35</v>
      </c>
      <c r="Y1485" t="s">
        <v>389</v>
      </c>
      <c r="Z1485">
        <v>20200131</v>
      </c>
      <c r="AA1485">
        <f t="shared" si="41"/>
        <v>20.94</v>
      </c>
      <c r="AC1485"/>
      <c r="AE1485" t="s">
        <v>390</v>
      </c>
      <c r="AF1485"/>
      <c r="AL1485">
        <v>340021950</v>
      </c>
      <c r="AM1485" t="s">
        <v>391</v>
      </c>
    </row>
    <row r="1486" spans="1:39" x14ac:dyDescent="0.35">
      <c r="A1486">
        <v>3400</v>
      </c>
      <c r="B1486" t="s">
        <v>28</v>
      </c>
      <c r="C1486">
        <v>2020</v>
      </c>
      <c r="D1486" s="1">
        <v>43831</v>
      </c>
      <c r="E1486">
        <v>12</v>
      </c>
      <c r="F1486">
        <v>100010949</v>
      </c>
      <c r="G1486" t="s">
        <v>101</v>
      </c>
      <c r="H1486">
        <v>40</v>
      </c>
      <c r="I1486">
        <v>71105120</v>
      </c>
      <c r="J1486">
        <v>11610030</v>
      </c>
      <c r="K1486" t="s">
        <v>268</v>
      </c>
      <c r="L1486" s="4">
        <v>92.15</v>
      </c>
      <c r="M1486" t="s">
        <v>54</v>
      </c>
      <c r="N1486" s="4">
        <v>1723.82</v>
      </c>
      <c r="O1486" t="s">
        <v>31</v>
      </c>
      <c r="P1486" t="s">
        <v>98</v>
      </c>
      <c r="X1486" t="s">
        <v>35</v>
      </c>
      <c r="Y1486" t="s">
        <v>389</v>
      </c>
      <c r="Z1486">
        <v>20200131</v>
      </c>
      <c r="AA1486">
        <f t="shared" si="41"/>
        <v>92.15</v>
      </c>
      <c r="AC1486"/>
      <c r="AE1486" t="s">
        <v>390</v>
      </c>
      <c r="AF1486"/>
      <c r="AL1486">
        <v>340021950</v>
      </c>
      <c r="AM1486" t="s">
        <v>391</v>
      </c>
    </row>
    <row r="1487" spans="1:39" x14ac:dyDescent="0.35">
      <c r="A1487">
        <v>3400</v>
      </c>
      <c r="B1487" t="s">
        <v>28</v>
      </c>
      <c r="C1487">
        <v>2020</v>
      </c>
      <c r="D1487" s="1">
        <v>43831</v>
      </c>
      <c r="E1487">
        <v>13</v>
      </c>
      <c r="F1487">
        <v>100010949</v>
      </c>
      <c r="G1487" t="s">
        <v>101</v>
      </c>
      <c r="H1487">
        <v>40</v>
      </c>
      <c r="I1487">
        <v>71105120</v>
      </c>
      <c r="J1487">
        <v>11610030</v>
      </c>
      <c r="K1487" t="s">
        <v>268</v>
      </c>
      <c r="L1487" s="4">
        <v>20.94</v>
      </c>
      <c r="M1487" t="s">
        <v>54</v>
      </c>
      <c r="N1487" s="4">
        <v>391.72</v>
      </c>
      <c r="O1487" t="s">
        <v>31</v>
      </c>
      <c r="P1487" t="s">
        <v>98</v>
      </c>
      <c r="X1487" t="s">
        <v>35</v>
      </c>
      <c r="Y1487" t="s">
        <v>389</v>
      </c>
      <c r="Z1487">
        <v>20200131</v>
      </c>
      <c r="AA1487">
        <f t="shared" si="41"/>
        <v>20.94</v>
      </c>
      <c r="AC1487"/>
      <c r="AE1487" t="s">
        <v>390</v>
      </c>
      <c r="AF1487"/>
      <c r="AL1487">
        <v>340021950</v>
      </c>
      <c r="AM1487" t="s">
        <v>391</v>
      </c>
    </row>
    <row r="1488" spans="1:39" x14ac:dyDescent="0.35">
      <c r="A1488">
        <v>3400</v>
      </c>
      <c r="B1488" t="s">
        <v>28</v>
      </c>
      <c r="C1488">
        <v>2020</v>
      </c>
      <c r="D1488" s="1">
        <v>43831</v>
      </c>
      <c r="E1488">
        <v>14</v>
      </c>
      <c r="F1488">
        <v>100010949</v>
      </c>
      <c r="G1488" t="s">
        <v>101</v>
      </c>
      <c r="H1488">
        <v>40</v>
      </c>
      <c r="I1488">
        <v>71105120</v>
      </c>
      <c r="J1488">
        <v>11610030</v>
      </c>
      <c r="K1488" t="s">
        <v>268</v>
      </c>
      <c r="L1488" s="4">
        <v>113.09</v>
      </c>
      <c r="M1488" t="s">
        <v>54</v>
      </c>
      <c r="N1488" s="4">
        <v>2115.54</v>
      </c>
      <c r="O1488" t="s">
        <v>31</v>
      </c>
      <c r="P1488" t="s">
        <v>98</v>
      </c>
      <c r="X1488" t="s">
        <v>35</v>
      </c>
      <c r="Y1488" t="s">
        <v>389</v>
      </c>
      <c r="Z1488">
        <v>20200131</v>
      </c>
      <c r="AA1488">
        <f t="shared" si="41"/>
        <v>113.09</v>
      </c>
      <c r="AC1488"/>
      <c r="AE1488" t="s">
        <v>390</v>
      </c>
      <c r="AF1488"/>
      <c r="AL1488">
        <v>340022150</v>
      </c>
      <c r="AM1488" t="s">
        <v>391</v>
      </c>
    </row>
    <row r="1489" spans="1:39" x14ac:dyDescent="0.35">
      <c r="A1489">
        <v>3400</v>
      </c>
      <c r="B1489" t="s">
        <v>28</v>
      </c>
      <c r="C1489">
        <v>2020</v>
      </c>
      <c r="D1489" s="1">
        <v>43831</v>
      </c>
      <c r="E1489">
        <v>15</v>
      </c>
      <c r="F1489">
        <v>100010949</v>
      </c>
      <c r="G1489" t="s">
        <v>101</v>
      </c>
      <c r="H1489">
        <v>40</v>
      </c>
      <c r="I1489">
        <v>71105120</v>
      </c>
      <c r="J1489">
        <v>11610030</v>
      </c>
      <c r="K1489" t="s">
        <v>268</v>
      </c>
      <c r="L1489" s="4">
        <v>29.32</v>
      </c>
      <c r="M1489" t="s">
        <v>54</v>
      </c>
      <c r="N1489" s="4">
        <v>548.48</v>
      </c>
      <c r="O1489" t="s">
        <v>31</v>
      </c>
      <c r="P1489" t="s">
        <v>98</v>
      </c>
      <c r="X1489" t="s">
        <v>35</v>
      </c>
      <c r="Y1489" t="s">
        <v>389</v>
      </c>
      <c r="Z1489">
        <v>20200131</v>
      </c>
      <c r="AA1489">
        <f t="shared" si="41"/>
        <v>29.32</v>
      </c>
      <c r="AC1489"/>
      <c r="AE1489" t="s">
        <v>390</v>
      </c>
      <c r="AF1489"/>
      <c r="AL1489">
        <v>340022250</v>
      </c>
      <c r="AM1489" t="s">
        <v>391</v>
      </c>
    </row>
    <row r="1490" spans="1:39" x14ac:dyDescent="0.35">
      <c r="A1490">
        <v>3400</v>
      </c>
      <c r="B1490" t="s">
        <v>28</v>
      </c>
      <c r="C1490">
        <v>2020</v>
      </c>
      <c r="D1490" s="1">
        <v>43831</v>
      </c>
      <c r="E1490">
        <v>16</v>
      </c>
      <c r="F1490">
        <v>100010949</v>
      </c>
      <c r="G1490" t="s">
        <v>101</v>
      </c>
      <c r="H1490">
        <v>40</v>
      </c>
      <c r="I1490">
        <v>71105120</v>
      </c>
      <c r="J1490">
        <v>11610030</v>
      </c>
      <c r="K1490" t="s">
        <v>268</v>
      </c>
      <c r="L1490" s="4">
        <v>37.700000000000003</v>
      </c>
      <c r="M1490" t="s">
        <v>54</v>
      </c>
      <c r="N1490" s="4">
        <v>705.24</v>
      </c>
      <c r="O1490" t="s">
        <v>31</v>
      </c>
      <c r="P1490" t="s">
        <v>98</v>
      </c>
      <c r="X1490" t="s">
        <v>35</v>
      </c>
      <c r="Y1490" t="s">
        <v>389</v>
      </c>
      <c r="Z1490">
        <v>20200131</v>
      </c>
      <c r="AA1490">
        <f t="shared" ref="AA1490:AA1553" si="42">L1490</f>
        <v>37.700000000000003</v>
      </c>
      <c r="AC1490"/>
      <c r="AE1490" t="s">
        <v>390</v>
      </c>
      <c r="AF1490"/>
      <c r="AL1490">
        <v>340022950</v>
      </c>
      <c r="AM1490" t="s">
        <v>391</v>
      </c>
    </row>
    <row r="1491" spans="1:39" x14ac:dyDescent="0.35">
      <c r="A1491">
        <v>3400</v>
      </c>
      <c r="B1491" t="s">
        <v>28</v>
      </c>
      <c r="C1491">
        <v>2020</v>
      </c>
      <c r="D1491" s="1">
        <v>43831</v>
      </c>
      <c r="E1491">
        <v>17</v>
      </c>
      <c r="F1491">
        <v>100010949</v>
      </c>
      <c r="G1491" t="s">
        <v>101</v>
      </c>
      <c r="H1491">
        <v>40</v>
      </c>
      <c r="I1491">
        <v>71105120</v>
      </c>
      <c r="J1491">
        <v>11610030</v>
      </c>
      <c r="K1491" t="s">
        <v>268</v>
      </c>
      <c r="L1491" s="4">
        <v>67.02</v>
      </c>
      <c r="M1491" t="s">
        <v>54</v>
      </c>
      <c r="N1491" s="4">
        <v>1253.72</v>
      </c>
      <c r="O1491" t="s">
        <v>31</v>
      </c>
      <c r="P1491" t="s">
        <v>98</v>
      </c>
      <c r="X1491" t="s">
        <v>35</v>
      </c>
      <c r="Y1491" t="s">
        <v>389</v>
      </c>
      <c r="Z1491">
        <v>20200131</v>
      </c>
      <c r="AA1491">
        <f t="shared" si="42"/>
        <v>67.02</v>
      </c>
      <c r="AC1491"/>
      <c r="AE1491" t="s">
        <v>390</v>
      </c>
      <c r="AF1491"/>
      <c r="AL1491">
        <v>340023250</v>
      </c>
      <c r="AM1491" t="s">
        <v>391</v>
      </c>
    </row>
    <row r="1492" spans="1:39" x14ac:dyDescent="0.35">
      <c r="A1492">
        <v>3400</v>
      </c>
      <c r="B1492" t="s">
        <v>28</v>
      </c>
      <c r="C1492">
        <v>2020</v>
      </c>
      <c r="D1492" s="1">
        <v>43831</v>
      </c>
      <c r="E1492">
        <v>18</v>
      </c>
      <c r="F1492">
        <v>100010949</v>
      </c>
      <c r="G1492" t="s">
        <v>101</v>
      </c>
      <c r="H1492">
        <v>40</v>
      </c>
      <c r="I1492">
        <v>71105120</v>
      </c>
      <c r="J1492">
        <v>11610030</v>
      </c>
      <c r="K1492" t="s">
        <v>268</v>
      </c>
      <c r="L1492" s="4">
        <v>54.45</v>
      </c>
      <c r="M1492" t="s">
        <v>54</v>
      </c>
      <c r="N1492" s="4">
        <v>1018.58</v>
      </c>
      <c r="O1492" t="s">
        <v>31</v>
      </c>
      <c r="P1492" t="s">
        <v>98</v>
      </c>
      <c r="X1492" t="s">
        <v>35</v>
      </c>
      <c r="Y1492" t="s">
        <v>389</v>
      </c>
      <c r="Z1492">
        <v>20200131</v>
      </c>
      <c r="AA1492">
        <f t="shared" si="42"/>
        <v>54.45</v>
      </c>
      <c r="AC1492"/>
      <c r="AE1492" t="s">
        <v>390</v>
      </c>
      <c r="AF1492"/>
      <c r="AL1492">
        <v>340023450</v>
      </c>
      <c r="AM1492" t="s">
        <v>391</v>
      </c>
    </row>
    <row r="1493" spans="1:39" x14ac:dyDescent="0.35">
      <c r="A1493">
        <v>3400</v>
      </c>
      <c r="B1493" t="s">
        <v>28</v>
      </c>
      <c r="C1493">
        <v>2020</v>
      </c>
      <c r="D1493" s="1">
        <v>43831</v>
      </c>
      <c r="E1493">
        <v>19</v>
      </c>
      <c r="F1493">
        <v>100010949</v>
      </c>
      <c r="G1493" t="s">
        <v>101</v>
      </c>
      <c r="H1493">
        <v>40</v>
      </c>
      <c r="I1493">
        <v>71105120</v>
      </c>
      <c r="J1493">
        <v>11610030</v>
      </c>
      <c r="K1493" t="s">
        <v>268</v>
      </c>
      <c r="L1493" s="4">
        <v>33.51</v>
      </c>
      <c r="M1493" t="s">
        <v>54</v>
      </c>
      <c r="N1493" s="4">
        <v>626.86</v>
      </c>
      <c r="O1493" t="s">
        <v>31</v>
      </c>
      <c r="P1493" t="s">
        <v>98</v>
      </c>
      <c r="X1493" t="s">
        <v>35</v>
      </c>
      <c r="Y1493" t="s">
        <v>389</v>
      </c>
      <c r="Z1493">
        <v>20200131</v>
      </c>
      <c r="AA1493">
        <f t="shared" si="42"/>
        <v>33.51</v>
      </c>
      <c r="AC1493"/>
      <c r="AE1493" t="s">
        <v>390</v>
      </c>
      <c r="AF1493"/>
      <c r="AL1493">
        <v>340023550</v>
      </c>
      <c r="AM1493" t="s">
        <v>391</v>
      </c>
    </row>
    <row r="1494" spans="1:39" x14ac:dyDescent="0.35">
      <c r="A1494">
        <v>3400</v>
      </c>
      <c r="B1494" t="s">
        <v>28</v>
      </c>
      <c r="C1494">
        <v>2020</v>
      </c>
      <c r="D1494" s="1">
        <v>43831</v>
      </c>
      <c r="E1494">
        <v>20</v>
      </c>
      <c r="F1494">
        <v>100010949</v>
      </c>
      <c r="G1494" t="s">
        <v>101</v>
      </c>
      <c r="H1494">
        <v>40</v>
      </c>
      <c r="I1494">
        <v>71105120</v>
      </c>
      <c r="J1494">
        <v>11610030</v>
      </c>
      <c r="K1494" t="s">
        <v>268</v>
      </c>
      <c r="L1494" s="4">
        <v>33.51</v>
      </c>
      <c r="M1494" t="s">
        <v>54</v>
      </c>
      <c r="N1494" s="4">
        <v>626.86</v>
      </c>
      <c r="O1494" t="s">
        <v>31</v>
      </c>
      <c r="P1494" t="s">
        <v>98</v>
      </c>
      <c r="X1494" t="s">
        <v>35</v>
      </c>
      <c r="Y1494" t="s">
        <v>389</v>
      </c>
      <c r="Z1494">
        <v>20200131</v>
      </c>
      <c r="AA1494">
        <f t="shared" si="42"/>
        <v>33.51</v>
      </c>
      <c r="AC1494"/>
      <c r="AE1494" t="s">
        <v>390</v>
      </c>
      <c r="AF1494"/>
      <c r="AL1494">
        <v>340023650</v>
      </c>
      <c r="AM1494" t="s">
        <v>391</v>
      </c>
    </row>
    <row r="1495" spans="1:39" x14ac:dyDescent="0.35">
      <c r="A1495">
        <v>3400</v>
      </c>
      <c r="B1495" t="s">
        <v>28</v>
      </c>
      <c r="C1495">
        <v>2020</v>
      </c>
      <c r="D1495" s="1">
        <v>43831</v>
      </c>
      <c r="E1495">
        <v>21</v>
      </c>
      <c r="F1495">
        <v>100010949</v>
      </c>
      <c r="G1495" t="s">
        <v>101</v>
      </c>
      <c r="H1495">
        <v>40</v>
      </c>
      <c r="I1495">
        <v>71105120</v>
      </c>
      <c r="J1495">
        <v>11610030</v>
      </c>
      <c r="K1495" t="s">
        <v>268</v>
      </c>
      <c r="L1495" s="4">
        <v>96.34</v>
      </c>
      <c r="M1495" t="s">
        <v>54</v>
      </c>
      <c r="N1495" s="4">
        <v>1802.2</v>
      </c>
      <c r="O1495" t="s">
        <v>31</v>
      </c>
      <c r="P1495" t="s">
        <v>98</v>
      </c>
      <c r="X1495" t="s">
        <v>35</v>
      </c>
      <c r="Y1495" t="s">
        <v>389</v>
      </c>
      <c r="Z1495">
        <v>20200131</v>
      </c>
      <c r="AA1495">
        <f t="shared" si="42"/>
        <v>96.34</v>
      </c>
      <c r="AC1495"/>
      <c r="AE1495" t="s">
        <v>390</v>
      </c>
      <c r="AF1495"/>
      <c r="AL1495">
        <v>340036150</v>
      </c>
      <c r="AM1495" t="s">
        <v>391</v>
      </c>
    </row>
    <row r="1496" spans="1:39" x14ac:dyDescent="0.35">
      <c r="A1496">
        <v>3400</v>
      </c>
      <c r="B1496" t="s">
        <v>28</v>
      </c>
      <c r="C1496">
        <v>2020</v>
      </c>
      <c r="D1496" s="1">
        <v>43831</v>
      </c>
      <c r="E1496">
        <v>22</v>
      </c>
      <c r="F1496">
        <v>100010949</v>
      </c>
      <c r="G1496" t="s">
        <v>101</v>
      </c>
      <c r="H1496">
        <v>40</v>
      </c>
      <c r="I1496">
        <v>71105120</v>
      </c>
      <c r="J1496">
        <v>11610030</v>
      </c>
      <c r="K1496" t="s">
        <v>268</v>
      </c>
      <c r="L1496" s="4">
        <v>54.45</v>
      </c>
      <c r="M1496" t="s">
        <v>54</v>
      </c>
      <c r="N1496" s="4">
        <v>1018.58</v>
      </c>
      <c r="O1496" t="s">
        <v>31</v>
      </c>
      <c r="P1496" t="s">
        <v>98</v>
      </c>
      <c r="X1496" t="s">
        <v>35</v>
      </c>
      <c r="Y1496" t="s">
        <v>389</v>
      </c>
      <c r="Z1496">
        <v>20200131</v>
      </c>
      <c r="AA1496">
        <f t="shared" si="42"/>
        <v>54.45</v>
      </c>
      <c r="AC1496"/>
      <c r="AE1496" t="s">
        <v>390</v>
      </c>
      <c r="AF1496"/>
      <c r="AL1496">
        <v>340036350</v>
      </c>
      <c r="AM1496" t="s">
        <v>391</v>
      </c>
    </row>
    <row r="1497" spans="1:39" x14ac:dyDescent="0.35">
      <c r="A1497">
        <v>3400</v>
      </c>
      <c r="B1497" t="s">
        <v>28</v>
      </c>
      <c r="C1497">
        <v>2020</v>
      </c>
      <c r="D1497" s="1">
        <v>43831</v>
      </c>
      <c r="E1497">
        <v>23</v>
      </c>
      <c r="F1497">
        <v>100010949</v>
      </c>
      <c r="G1497" t="s">
        <v>101</v>
      </c>
      <c r="H1497">
        <v>40</v>
      </c>
      <c r="I1497">
        <v>71105120</v>
      </c>
      <c r="J1497">
        <v>11610030</v>
      </c>
      <c r="K1497" t="s">
        <v>268</v>
      </c>
      <c r="L1497" s="4">
        <v>100.52</v>
      </c>
      <c r="M1497" t="s">
        <v>54</v>
      </c>
      <c r="N1497" s="4">
        <v>1880.4</v>
      </c>
      <c r="O1497" t="s">
        <v>31</v>
      </c>
      <c r="P1497" t="s">
        <v>98</v>
      </c>
      <c r="X1497" t="s">
        <v>35</v>
      </c>
      <c r="Y1497" t="s">
        <v>389</v>
      </c>
      <c r="Z1497">
        <v>20200131</v>
      </c>
      <c r="AA1497">
        <f t="shared" si="42"/>
        <v>100.52</v>
      </c>
      <c r="AC1497"/>
      <c r="AE1497" t="s">
        <v>390</v>
      </c>
      <c r="AF1497"/>
      <c r="AL1497">
        <v>340040050</v>
      </c>
      <c r="AM1497" t="s">
        <v>391</v>
      </c>
    </row>
    <row r="1498" spans="1:39" x14ac:dyDescent="0.35">
      <c r="A1498">
        <v>3400</v>
      </c>
      <c r="B1498" t="s">
        <v>28</v>
      </c>
      <c r="C1498">
        <v>2020</v>
      </c>
      <c r="D1498" s="1">
        <v>43831</v>
      </c>
      <c r="E1498">
        <v>24</v>
      </c>
      <c r="F1498">
        <v>100010949</v>
      </c>
      <c r="G1498" t="s">
        <v>101</v>
      </c>
      <c r="H1498">
        <v>40</v>
      </c>
      <c r="I1498">
        <v>71105120</v>
      </c>
      <c r="J1498">
        <v>11610030</v>
      </c>
      <c r="K1498" t="s">
        <v>268</v>
      </c>
      <c r="L1498" s="4">
        <v>25.13</v>
      </c>
      <c r="M1498" t="s">
        <v>54</v>
      </c>
      <c r="N1498" s="4">
        <v>470.1</v>
      </c>
      <c r="O1498" t="s">
        <v>31</v>
      </c>
      <c r="P1498" t="s">
        <v>98</v>
      </c>
      <c r="X1498" t="s">
        <v>35</v>
      </c>
      <c r="Y1498" t="s">
        <v>389</v>
      </c>
      <c r="Z1498">
        <v>20200131</v>
      </c>
      <c r="AA1498">
        <f t="shared" si="42"/>
        <v>25.13</v>
      </c>
      <c r="AC1498"/>
      <c r="AE1498" t="s">
        <v>390</v>
      </c>
      <c r="AF1498"/>
      <c r="AL1498">
        <v>340040150</v>
      </c>
      <c r="AM1498" t="s">
        <v>391</v>
      </c>
    </row>
    <row r="1499" spans="1:39" x14ac:dyDescent="0.35">
      <c r="A1499">
        <v>3400</v>
      </c>
      <c r="B1499" t="s">
        <v>28</v>
      </c>
      <c r="C1499">
        <v>2020</v>
      </c>
      <c r="D1499" s="1">
        <v>43831</v>
      </c>
      <c r="E1499">
        <v>25</v>
      </c>
      <c r="F1499">
        <v>100010949</v>
      </c>
      <c r="G1499" t="s">
        <v>101</v>
      </c>
      <c r="H1499">
        <v>40</v>
      </c>
      <c r="I1499">
        <v>71105120</v>
      </c>
      <c r="J1499">
        <v>11610030</v>
      </c>
      <c r="K1499" t="s">
        <v>268</v>
      </c>
      <c r="L1499" s="4">
        <v>92.15</v>
      </c>
      <c r="M1499" t="s">
        <v>54</v>
      </c>
      <c r="N1499" s="4">
        <v>1723.82</v>
      </c>
      <c r="O1499" t="s">
        <v>31</v>
      </c>
      <c r="P1499" t="s">
        <v>98</v>
      </c>
      <c r="X1499" t="s">
        <v>35</v>
      </c>
      <c r="Y1499" t="s">
        <v>389</v>
      </c>
      <c r="Z1499">
        <v>20200131</v>
      </c>
      <c r="AA1499">
        <f t="shared" si="42"/>
        <v>92.15</v>
      </c>
      <c r="AC1499"/>
      <c r="AE1499" t="s">
        <v>390</v>
      </c>
      <c r="AF1499"/>
      <c r="AL1499">
        <v>340040250</v>
      </c>
      <c r="AM1499" t="s">
        <v>391</v>
      </c>
    </row>
    <row r="1500" spans="1:39" x14ac:dyDescent="0.35">
      <c r="A1500">
        <v>3400</v>
      </c>
      <c r="B1500" t="s">
        <v>28</v>
      </c>
      <c r="C1500">
        <v>2020</v>
      </c>
      <c r="D1500" s="1">
        <v>43831</v>
      </c>
      <c r="E1500">
        <v>26</v>
      </c>
      <c r="F1500">
        <v>100010949</v>
      </c>
      <c r="G1500" t="s">
        <v>101</v>
      </c>
      <c r="H1500">
        <v>40</v>
      </c>
      <c r="I1500">
        <v>71105120</v>
      </c>
      <c r="J1500">
        <v>11610030</v>
      </c>
      <c r="K1500" t="s">
        <v>268</v>
      </c>
      <c r="L1500" s="4">
        <v>121.47</v>
      </c>
      <c r="M1500" t="s">
        <v>54</v>
      </c>
      <c r="N1500" s="4">
        <v>2272.3000000000002</v>
      </c>
      <c r="O1500" t="s">
        <v>31</v>
      </c>
      <c r="P1500" t="s">
        <v>98</v>
      </c>
      <c r="X1500" t="s">
        <v>35</v>
      </c>
      <c r="Y1500" t="s">
        <v>389</v>
      </c>
      <c r="Z1500">
        <v>20200131</v>
      </c>
      <c r="AA1500">
        <f t="shared" si="42"/>
        <v>121.47</v>
      </c>
      <c r="AC1500"/>
      <c r="AE1500" t="s">
        <v>390</v>
      </c>
      <c r="AF1500"/>
      <c r="AL1500">
        <v>340040450</v>
      </c>
      <c r="AM1500" t="s">
        <v>391</v>
      </c>
    </row>
    <row r="1501" spans="1:39" x14ac:dyDescent="0.35">
      <c r="A1501">
        <v>3400</v>
      </c>
      <c r="B1501" t="s">
        <v>28</v>
      </c>
      <c r="C1501">
        <v>2020</v>
      </c>
      <c r="D1501" s="1">
        <v>43831</v>
      </c>
      <c r="E1501">
        <v>27</v>
      </c>
      <c r="F1501">
        <v>100010949</v>
      </c>
      <c r="G1501" t="s">
        <v>101</v>
      </c>
      <c r="H1501">
        <v>40</v>
      </c>
      <c r="I1501">
        <v>71105120</v>
      </c>
      <c r="J1501">
        <v>11610030</v>
      </c>
      <c r="K1501" t="s">
        <v>268</v>
      </c>
      <c r="L1501" s="4">
        <v>16.75</v>
      </c>
      <c r="M1501" t="s">
        <v>54</v>
      </c>
      <c r="N1501" s="4">
        <v>313.33999999999997</v>
      </c>
      <c r="O1501" t="s">
        <v>31</v>
      </c>
      <c r="P1501" t="s">
        <v>98</v>
      </c>
      <c r="X1501" t="s">
        <v>35</v>
      </c>
      <c r="Y1501" t="s">
        <v>389</v>
      </c>
      <c r="Z1501">
        <v>20200131</v>
      </c>
      <c r="AA1501">
        <f t="shared" si="42"/>
        <v>16.75</v>
      </c>
      <c r="AC1501"/>
      <c r="AE1501" t="s">
        <v>390</v>
      </c>
      <c r="AF1501"/>
      <c r="AL1501">
        <v>340040550</v>
      </c>
      <c r="AM1501" t="s">
        <v>391</v>
      </c>
    </row>
    <row r="1502" spans="1:39" x14ac:dyDescent="0.35">
      <c r="A1502">
        <v>3400</v>
      </c>
      <c r="B1502" t="s">
        <v>28</v>
      </c>
      <c r="C1502">
        <v>2020</v>
      </c>
      <c r="D1502" s="1">
        <v>43831</v>
      </c>
      <c r="E1502">
        <v>28</v>
      </c>
      <c r="F1502">
        <v>100010949</v>
      </c>
      <c r="G1502" t="s">
        <v>101</v>
      </c>
      <c r="H1502">
        <v>40</v>
      </c>
      <c r="I1502">
        <v>71105120</v>
      </c>
      <c r="J1502">
        <v>11610030</v>
      </c>
      <c r="K1502" t="s">
        <v>268</v>
      </c>
      <c r="L1502" s="4">
        <v>8.3800000000000008</v>
      </c>
      <c r="M1502" t="s">
        <v>54</v>
      </c>
      <c r="N1502" s="4">
        <v>156.76</v>
      </c>
      <c r="O1502" t="s">
        <v>31</v>
      </c>
      <c r="P1502" t="s">
        <v>98</v>
      </c>
      <c r="X1502" t="s">
        <v>35</v>
      </c>
      <c r="Y1502" t="s">
        <v>389</v>
      </c>
      <c r="Z1502">
        <v>20200131</v>
      </c>
      <c r="AA1502">
        <f t="shared" si="42"/>
        <v>8.3800000000000008</v>
      </c>
      <c r="AC1502"/>
      <c r="AE1502" t="s">
        <v>390</v>
      </c>
      <c r="AF1502"/>
      <c r="AL1502">
        <v>340040650</v>
      </c>
      <c r="AM1502" t="s">
        <v>391</v>
      </c>
    </row>
    <row r="1503" spans="1:39" x14ac:dyDescent="0.35">
      <c r="A1503">
        <v>3400</v>
      </c>
      <c r="B1503" t="s">
        <v>28</v>
      </c>
      <c r="C1503">
        <v>2020</v>
      </c>
      <c r="D1503" s="1">
        <v>43831</v>
      </c>
      <c r="E1503">
        <v>29</v>
      </c>
      <c r="F1503">
        <v>100010949</v>
      </c>
      <c r="G1503" t="s">
        <v>101</v>
      </c>
      <c r="H1503">
        <v>40</v>
      </c>
      <c r="I1503">
        <v>71105120</v>
      </c>
      <c r="J1503">
        <v>11610030</v>
      </c>
      <c r="K1503" t="s">
        <v>268</v>
      </c>
      <c r="L1503" s="4">
        <v>50.26</v>
      </c>
      <c r="M1503" t="s">
        <v>54</v>
      </c>
      <c r="N1503" s="4">
        <v>940.2</v>
      </c>
      <c r="O1503" t="s">
        <v>31</v>
      </c>
      <c r="P1503" t="s">
        <v>98</v>
      </c>
      <c r="X1503" t="s">
        <v>35</v>
      </c>
      <c r="Y1503" t="s">
        <v>389</v>
      </c>
      <c r="Z1503">
        <v>20200131</v>
      </c>
      <c r="AA1503">
        <f t="shared" si="42"/>
        <v>50.26</v>
      </c>
      <c r="AC1503"/>
      <c r="AE1503" t="s">
        <v>390</v>
      </c>
      <c r="AF1503"/>
      <c r="AL1503">
        <v>340040750</v>
      </c>
      <c r="AM1503" t="s">
        <v>391</v>
      </c>
    </row>
    <row r="1504" spans="1:39" x14ac:dyDescent="0.35">
      <c r="A1504">
        <v>3400</v>
      </c>
      <c r="B1504" t="s">
        <v>28</v>
      </c>
      <c r="C1504">
        <v>2020</v>
      </c>
      <c r="D1504" s="1">
        <v>43831</v>
      </c>
      <c r="E1504">
        <v>30</v>
      </c>
      <c r="F1504">
        <v>100010949</v>
      </c>
      <c r="G1504" t="s">
        <v>101</v>
      </c>
      <c r="H1504">
        <v>40</v>
      </c>
      <c r="I1504">
        <v>71105120</v>
      </c>
      <c r="J1504">
        <v>11610030</v>
      </c>
      <c r="K1504" t="s">
        <v>268</v>
      </c>
      <c r="L1504" s="4">
        <v>46.07</v>
      </c>
      <c r="M1504" t="s">
        <v>54</v>
      </c>
      <c r="N1504" s="4">
        <v>861.82</v>
      </c>
      <c r="O1504" t="s">
        <v>31</v>
      </c>
      <c r="P1504" t="s">
        <v>98</v>
      </c>
      <c r="X1504" t="s">
        <v>35</v>
      </c>
      <c r="Y1504" t="s">
        <v>389</v>
      </c>
      <c r="Z1504">
        <v>20200131</v>
      </c>
      <c r="AA1504">
        <f t="shared" si="42"/>
        <v>46.07</v>
      </c>
      <c r="AC1504"/>
      <c r="AE1504" t="s">
        <v>390</v>
      </c>
      <c r="AF1504"/>
      <c r="AL1504">
        <v>340040850</v>
      </c>
      <c r="AM1504" t="s">
        <v>391</v>
      </c>
    </row>
    <row r="1505" spans="1:39" x14ac:dyDescent="0.35">
      <c r="A1505">
        <v>3400</v>
      </c>
      <c r="B1505" t="s">
        <v>28</v>
      </c>
      <c r="C1505">
        <v>2020</v>
      </c>
      <c r="D1505" s="1">
        <v>43831</v>
      </c>
      <c r="E1505">
        <v>31</v>
      </c>
      <c r="F1505">
        <v>100010949</v>
      </c>
      <c r="G1505" t="s">
        <v>101</v>
      </c>
      <c r="H1505">
        <v>40</v>
      </c>
      <c r="I1505">
        <v>71105120</v>
      </c>
      <c r="J1505">
        <v>11610030</v>
      </c>
      <c r="K1505" t="s">
        <v>268</v>
      </c>
      <c r="L1505" s="4">
        <v>134.03</v>
      </c>
      <c r="M1505" t="s">
        <v>54</v>
      </c>
      <c r="N1505" s="4">
        <v>2507.2600000000002</v>
      </c>
      <c r="O1505" t="s">
        <v>31</v>
      </c>
      <c r="P1505" t="s">
        <v>98</v>
      </c>
      <c r="X1505" t="s">
        <v>35</v>
      </c>
      <c r="Y1505" t="s">
        <v>389</v>
      </c>
      <c r="Z1505">
        <v>20200131</v>
      </c>
      <c r="AA1505">
        <f t="shared" si="42"/>
        <v>134.03</v>
      </c>
      <c r="AC1505"/>
      <c r="AE1505" t="s">
        <v>390</v>
      </c>
      <c r="AF1505"/>
      <c r="AL1505">
        <v>340040950</v>
      </c>
      <c r="AM1505" t="s">
        <v>391</v>
      </c>
    </row>
    <row r="1506" spans="1:39" x14ac:dyDescent="0.35">
      <c r="A1506">
        <v>3400</v>
      </c>
      <c r="B1506" t="s">
        <v>28</v>
      </c>
      <c r="C1506">
        <v>2020</v>
      </c>
      <c r="D1506" s="1">
        <v>43831</v>
      </c>
      <c r="E1506">
        <v>32</v>
      </c>
      <c r="F1506">
        <v>100010949</v>
      </c>
      <c r="G1506" t="s">
        <v>101</v>
      </c>
      <c r="H1506">
        <v>40</v>
      </c>
      <c r="I1506">
        <v>71105120</v>
      </c>
      <c r="J1506">
        <v>11610030</v>
      </c>
      <c r="K1506" t="s">
        <v>268</v>
      </c>
      <c r="L1506" s="4">
        <v>8.3800000000000008</v>
      </c>
      <c r="M1506" t="s">
        <v>54</v>
      </c>
      <c r="N1506" s="4">
        <v>156.76</v>
      </c>
      <c r="O1506" t="s">
        <v>31</v>
      </c>
      <c r="P1506" t="s">
        <v>98</v>
      </c>
      <c r="X1506" t="s">
        <v>35</v>
      </c>
      <c r="Y1506" t="s">
        <v>389</v>
      </c>
      <c r="Z1506">
        <v>20200131</v>
      </c>
      <c r="AA1506">
        <f t="shared" si="42"/>
        <v>8.3800000000000008</v>
      </c>
      <c r="AC1506"/>
      <c r="AE1506" t="s">
        <v>390</v>
      </c>
      <c r="AF1506"/>
      <c r="AL1506">
        <v>340041450</v>
      </c>
      <c r="AM1506" t="s">
        <v>391</v>
      </c>
    </row>
    <row r="1507" spans="1:39" x14ac:dyDescent="0.35">
      <c r="A1507">
        <v>3400</v>
      </c>
      <c r="B1507" t="s">
        <v>28</v>
      </c>
      <c r="C1507">
        <v>2020</v>
      </c>
      <c r="D1507" s="1">
        <v>43831</v>
      </c>
      <c r="E1507">
        <v>33</v>
      </c>
      <c r="F1507">
        <v>100010949</v>
      </c>
      <c r="G1507" t="s">
        <v>101</v>
      </c>
      <c r="H1507">
        <v>40</v>
      </c>
      <c r="I1507">
        <v>71105120</v>
      </c>
      <c r="J1507">
        <v>11610030</v>
      </c>
      <c r="K1507" t="s">
        <v>268</v>
      </c>
      <c r="L1507" s="4">
        <v>96.34</v>
      </c>
      <c r="M1507" t="s">
        <v>54</v>
      </c>
      <c r="N1507" s="4">
        <v>1802.2</v>
      </c>
      <c r="O1507" t="s">
        <v>31</v>
      </c>
      <c r="P1507" t="s">
        <v>98</v>
      </c>
      <c r="X1507" t="s">
        <v>35</v>
      </c>
      <c r="Y1507" t="s">
        <v>389</v>
      </c>
      <c r="Z1507">
        <v>20200131</v>
      </c>
      <c r="AA1507">
        <f t="shared" si="42"/>
        <v>96.34</v>
      </c>
      <c r="AC1507"/>
      <c r="AE1507" t="s">
        <v>390</v>
      </c>
      <c r="AF1507"/>
      <c r="AL1507">
        <v>340041550</v>
      </c>
      <c r="AM1507" t="s">
        <v>391</v>
      </c>
    </row>
    <row r="1508" spans="1:39" x14ac:dyDescent="0.35">
      <c r="A1508">
        <v>3400</v>
      </c>
      <c r="B1508" t="s">
        <v>28</v>
      </c>
      <c r="C1508">
        <v>2020</v>
      </c>
      <c r="D1508" s="1">
        <v>43831</v>
      </c>
      <c r="E1508">
        <v>34</v>
      </c>
      <c r="F1508">
        <v>100010949</v>
      </c>
      <c r="G1508" t="s">
        <v>101</v>
      </c>
      <c r="H1508">
        <v>40</v>
      </c>
      <c r="I1508">
        <v>71105120</v>
      </c>
      <c r="J1508">
        <v>11610030</v>
      </c>
      <c r="K1508" t="s">
        <v>268</v>
      </c>
      <c r="L1508" s="4">
        <v>12.57</v>
      </c>
      <c r="M1508" t="s">
        <v>54</v>
      </c>
      <c r="N1508" s="4">
        <v>235.14</v>
      </c>
      <c r="O1508" t="s">
        <v>31</v>
      </c>
      <c r="P1508" t="s">
        <v>98</v>
      </c>
      <c r="X1508" t="s">
        <v>35</v>
      </c>
      <c r="Y1508" t="s">
        <v>389</v>
      </c>
      <c r="Z1508">
        <v>20200131</v>
      </c>
      <c r="AA1508">
        <f t="shared" si="42"/>
        <v>12.57</v>
      </c>
      <c r="AC1508"/>
      <c r="AE1508" t="s">
        <v>390</v>
      </c>
      <c r="AF1508"/>
      <c r="AL1508">
        <v>340041850</v>
      </c>
      <c r="AM1508" t="s">
        <v>391</v>
      </c>
    </row>
    <row r="1509" spans="1:39" x14ac:dyDescent="0.35">
      <c r="A1509">
        <v>3400</v>
      </c>
      <c r="B1509" t="s">
        <v>28</v>
      </c>
      <c r="C1509">
        <v>2020</v>
      </c>
      <c r="D1509" s="1">
        <v>43831</v>
      </c>
      <c r="E1509">
        <v>35</v>
      </c>
      <c r="F1509">
        <v>100010949</v>
      </c>
      <c r="G1509" t="s">
        <v>101</v>
      </c>
      <c r="H1509">
        <v>40</v>
      </c>
      <c r="I1509">
        <v>71105120</v>
      </c>
      <c r="J1509">
        <v>11610030</v>
      </c>
      <c r="K1509" t="s">
        <v>268</v>
      </c>
      <c r="L1509" s="4">
        <v>4.1900000000000004</v>
      </c>
      <c r="M1509" t="s">
        <v>54</v>
      </c>
      <c r="N1509" s="4">
        <v>78.38</v>
      </c>
      <c r="O1509" t="s">
        <v>31</v>
      </c>
      <c r="P1509" t="s">
        <v>98</v>
      </c>
      <c r="X1509" t="s">
        <v>35</v>
      </c>
      <c r="Y1509" t="s">
        <v>389</v>
      </c>
      <c r="Z1509">
        <v>20200131</v>
      </c>
      <c r="AA1509">
        <f t="shared" si="42"/>
        <v>4.1900000000000004</v>
      </c>
      <c r="AC1509"/>
      <c r="AE1509" t="s">
        <v>390</v>
      </c>
      <c r="AF1509"/>
      <c r="AL1509">
        <v>340041950</v>
      </c>
      <c r="AM1509" t="s">
        <v>391</v>
      </c>
    </row>
    <row r="1510" spans="1:39" x14ac:dyDescent="0.35">
      <c r="A1510">
        <v>3400</v>
      </c>
      <c r="B1510" t="s">
        <v>28</v>
      </c>
      <c r="C1510">
        <v>2020</v>
      </c>
      <c r="D1510" s="1">
        <v>43831</v>
      </c>
      <c r="E1510">
        <v>36</v>
      </c>
      <c r="F1510">
        <v>100010949</v>
      </c>
      <c r="G1510" t="s">
        <v>101</v>
      </c>
      <c r="H1510">
        <v>40</v>
      </c>
      <c r="I1510">
        <v>71105120</v>
      </c>
      <c r="J1510">
        <v>11610030</v>
      </c>
      <c r="K1510" t="s">
        <v>268</v>
      </c>
      <c r="L1510" s="4">
        <v>2078.2399999999998</v>
      </c>
      <c r="M1510" t="s">
        <v>54</v>
      </c>
      <c r="N1510" s="4">
        <v>38877.01</v>
      </c>
      <c r="O1510" t="s">
        <v>31</v>
      </c>
      <c r="P1510" t="s">
        <v>98</v>
      </c>
      <c r="X1510" t="s">
        <v>35</v>
      </c>
      <c r="Y1510" t="s">
        <v>389</v>
      </c>
      <c r="Z1510">
        <v>20200131</v>
      </c>
      <c r="AA1510">
        <f t="shared" si="42"/>
        <v>2078.2399999999998</v>
      </c>
      <c r="AC1510"/>
      <c r="AE1510" t="s">
        <v>390</v>
      </c>
      <c r="AF1510"/>
      <c r="AL1510">
        <v>340046150</v>
      </c>
      <c r="AM1510" t="s">
        <v>391</v>
      </c>
    </row>
    <row r="1511" spans="1:39" x14ac:dyDescent="0.35">
      <c r="A1511">
        <v>3400</v>
      </c>
      <c r="B1511" t="s">
        <v>28</v>
      </c>
      <c r="C1511">
        <v>2020</v>
      </c>
      <c r="D1511" s="1">
        <v>43831</v>
      </c>
      <c r="E1511">
        <v>37</v>
      </c>
      <c r="F1511">
        <v>100010949</v>
      </c>
      <c r="G1511" t="s">
        <v>101</v>
      </c>
      <c r="H1511">
        <v>40</v>
      </c>
      <c r="I1511">
        <v>71105120</v>
      </c>
      <c r="J1511">
        <v>11610030</v>
      </c>
      <c r="K1511" t="s">
        <v>268</v>
      </c>
      <c r="L1511" s="4">
        <v>33.51</v>
      </c>
      <c r="M1511" t="s">
        <v>54</v>
      </c>
      <c r="N1511" s="4">
        <v>626.86</v>
      </c>
      <c r="O1511" t="s">
        <v>31</v>
      </c>
      <c r="P1511" t="s">
        <v>98</v>
      </c>
      <c r="X1511" t="s">
        <v>35</v>
      </c>
      <c r="Y1511" t="s">
        <v>389</v>
      </c>
      <c r="Z1511">
        <v>20200131</v>
      </c>
      <c r="AA1511">
        <f t="shared" si="42"/>
        <v>33.51</v>
      </c>
      <c r="AC1511"/>
      <c r="AE1511" t="s">
        <v>390</v>
      </c>
      <c r="AF1511"/>
      <c r="AL1511">
        <v>340049150</v>
      </c>
      <c r="AM1511" t="s">
        <v>391</v>
      </c>
    </row>
    <row r="1512" spans="1:39" x14ac:dyDescent="0.35">
      <c r="A1512">
        <v>3400</v>
      </c>
      <c r="B1512" t="s">
        <v>28</v>
      </c>
      <c r="C1512">
        <v>2020</v>
      </c>
      <c r="D1512" s="1">
        <v>43831</v>
      </c>
      <c r="E1512">
        <v>38</v>
      </c>
      <c r="F1512">
        <v>100010949</v>
      </c>
      <c r="G1512" t="s">
        <v>101</v>
      </c>
      <c r="H1512">
        <v>40</v>
      </c>
      <c r="I1512">
        <v>71105120</v>
      </c>
      <c r="J1512">
        <v>11610030</v>
      </c>
      <c r="K1512" t="s">
        <v>268</v>
      </c>
      <c r="L1512" s="4">
        <v>20.94</v>
      </c>
      <c r="M1512" t="s">
        <v>54</v>
      </c>
      <c r="N1512" s="4">
        <v>391.72</v>
      </c>
      <c r="O1512" t="s">
        <v>31</v>
      </c>
      <c r="P1512" t="s">
        <v>98</v>
      </c>
      <c r="X1512" t="s">
        <v>35</v>
      </c>
      <c r="Y1512" t="s">
        <v>389</v>
      </c>
      <c r="Z1512">
        <v>20200131</v>
      </c>
      <c r="AA1512">
        <f t="shared" si="42"/>
        <v>20.94</v>
      </c>
      <c r="AC1512"/>
      <c r="AE1512" t="s">
        <v>390</v>
      </c>
      <c r="AF1512"/>
      <c r="AL1512">
        <v>340049250</v>
      </c>
      <c r="AM1512" t="s">
        <v>391</v>
      </c>
    </row>
    <row r="1513" spans="1:39" x14ac:dyDescent="0.35">
      <c r="A1513">
        <v>3400</v>
      </c>
      <c r="B1513" t="s">
        <v>28</v>
      </c>
      <c r="C1513">
        <v>2020</v>
      </c>
      <c r="D1513" s="1">
        <v>43831</v>
      </c>
      <c r="E1513">
        <v>39</v>
      </c>
      <c r="F1513">
        <v>100010949</v>
      </c>
      <c r="G1513" t="s">
        <v>101</v>
      </c>
      <c r="H1513">
        <v>40</v>
      </c>
      <c r="I1513">
        <v>71105120</v>
      </c>
      <c r="J1513">
        <v>11610030</v>
      </c>
      <c r="K1513" t="s">
        <v>268</v>
      </c>
      <c r="L1513" s="4">
        <v>25.13</v>
      </c>
      <c r="M1513" t="s">
        <v>54</v>
      </c>
      <c r="N1513" s="4">
        <v>470.1</v>
      </c>
      <c r="O1513" t="s">
        <v>31</v>
      </c>
      <c r="P1513" t="s">
        <v>98</v>
      </c>
      <c r="X1513" t="s">
        <v>35</v>
      </c>
      <c r="Y1513" t="s">
        <v>389</v>
      </c>
      <c r="Z1513">
        <v>20200131</v>
      </c>
      <c r="AA1513">
        <f t="shared" si="42"/>
        <v>25.13</v>
      </c>
      <c r="AC1513"/>
      <c r="AE1513" t="s">
        <v>390</v>
      </c>
      <c r="AF1513"/>
      <c r="AL1513">
        <v>340098550</v>
      </c>
      <c r="AM1513" t="s">
        <v>391</v>
      </c>
    </row>
    <row r="1514" spans="1:39" x14ac:dyDescent="0.35">
      <c r="A1514">
        <v>3400</v>
      </c>
      <c r="B1514" t="s">
        <v>28</v>
      </c>
      <c r="C1514">
        <v>2020</v>
      </c>
      <c r="D1514" s="1">
        <v>43831</v>
      </c>
      <c r="E1514">
        <v>40</v>
      </c>
      <c r="F1514">
        <v>100010949</v>
      </c>
      <c r="G1514" t="s">
        <v>101</v>
      </c>
      <c r="H1514">
        <v>40</v>
      </c>
      <c r="I1514">
        <v>71105120</v>
      </c>
      <c r="J1514">
        <v>11610030</v>
      </c>
      <c r="K1514" t="s">
        <v>268</v>
      </c>
      <c r="L1514" s="4">
        <v>134.03</v>
      </c>
      <c r="M1514" t="s">
        <v>54</v>
      </c>
      <c r="N1514" s="4">
        <v>2507.2600000000002</v>
      </c>
      <c r="O1514" t="s">
        <v>31</v>
      </c>
      <c r="P1514" t="s">
        <v>98</v>
      </c>
      <c r="X1514" t="s">
        <v>35</v>
      </c>
      <c r="Y1514" t="s">
        <v>389</v>
      </c>
      <c r="Z1514">
        <v>20200131</v>
      </c>
      <c r="AA1514">
        <f t="shared" si="42"/>
        <v>134.03</v>
      </c>
      <c r="AC1514"/>
      <c r="AE1514" t="s">
        <v>390</v>
      </c>
      <c r="AF1514"/>
      <c r="AL1514">
        <v>340098550</v>
      </c>
      <c r="AM1514" t="s">
        <v>391</v>
      </c>
    </row>
    <row r="1515" spans="1:39" x14ac:dyDescent="0.35">
      <c r="A1515">
        <v>3400</v>
      </c>
      <c r="B1515" t="s">
        <v>28</v>
      </c>
      <c r="C1515">
        <v>2020</v>
      </c>
      <c r="D1515" s="1">
        <v>43831</v>
      </c>
      <c r="E1515">
        <v>41</v>
      </c>
      <c r="F1515">
        <v>100010949</v>
      </c>
      <c r="G1515" t="s">
        <v>101</v>
      </c>
      <c r="H1515">
        <v>40</v>
      </c>
      <c r="I1515">
        <v>71105120</v>
      </c>
      <c r="J1515">
        <v>11610030</v>
      </c>
      <c r="K1515" t="s">
        <v>268</v>
      </c>
      <c r="L1515" s="4">
        <v>20.94</v>
      </c>
      <c r="M1515" t="s">
        <v>54</v>
      </c>
      <c r="N1515" s="4">
        <v>391.72</v>
      </c>
      <c r="O1515" t="s">
        <v>31</v>
      </c>
      <c r="P1515" t="s">
        <v>98</v>
      </c>
      <c r="X1515" t="s">
        <v>35</v>
      </c>
      <c r="Y1515" t="s">
        <v>389</v>
      </c>
      <c r="Z1515">
        <v>20200131</v>
      </c>
      <c r="AA1515">
        <f t="shared" si="42"/>
        <v>20.94</v>
      </c>
      <c r="AC1515"/>
      <c r="AE1515" t="s">
        <v>390</v>
      </c>
      <c r="AF1515"/>
      <c r="AL1515">
        <v>340098550</v>
      </c>
      <c r="AM1515" t="s">
        <v>391</v>
      </c>
    </row>
    <row r="1516" spans="1:39" x14ac:dyDescent="0.35">
      <c r="A1516">
        <v>3400</v>
      </c>
      <c r="B1516" t="s">
        <v>28</v>
      </c>
      <c r="C1516">
        <v>2020</v>
      </c>
      <c r="D1516" s="1">
        <v>43831</v>
      </c>
      <c r="E1516">
        <v>42</v>
      </c>
      <c r="F1516">
        <v>100010949</v>
      </c>
      <c r="G1516" t="s">
        <v>101</v>
      </c>
      <c r="H1516">
        <v>40</v>
      </c>
      <c r="I1516">
        <v>71105120</v>
      </c>
      <c r="J1516">
        <v>11610030</v>
      </c>
      <c r="K1516" t="s">
        <v>268</v>
      </c>
      <c r="L1516" s="4">
        <v>50.26</v>
      </c>
      <c r="M1516" t="s">
        <v>54</v>
      </c>
      <c r="N1516" s="4">
        <v>940.2</v>
      </c>
      <c r="O1516" t="s">
        <v>31</v>
      </c>
      <c r="P1516" t="s">
        <v>98</v>
      </c>
      <c r="X1516" t="s">
        <v>35</v>
      </c>
      <c r="Y1516" t="s">
        <v>389</v>
      </c>
      <c r="Z1516">
        <v>20200131</v>
      </c>
      <c r="AA1516">
        <f t="shared" si="42"/>
        <v>50.26</v>
      </c>
      <c r="AC1516"/>
      <c r="AE1516" t="s">
        <v>390</v>
      </c>
      <c r="AF1516"/>
      <c r="AL1516">
        <v>340098550</v>
      </c>
      <c r="AM1516" t="s">
        <v>391</v>
      </c>
    </row>
    <row r="1517" spans="1:39" x14ac:dyDescent="0.35">
      <c r="A1517">
        <v>3400</v>
      </c>
      <c r="B1517" t="s">
        <v>28</v>
      </c>
      <c r="C1517">
        <v>2020</v>
      </c>
      <c r="D1517" s="1">
        <v>43831</v>
      </c>
      <c r="E1517">
        <v>43</v>
      </c>
      <c r="F1517">
        <v>100010949</v>
      </c>
      <c r="G1517" t="s">
        <v>101</v>
      </c>
      <c r="H1517">
        <v>40</v>
      </c>
      <c r="I1517">
        <v>71105120</v>
      </c>
      <c r="J1517">
        <v>11610030</v>
      </c>
      <c r="K1517" t="s">
        <v>268</v>
      </c>
      <c r="L1517" s="4">
        <v>12.57</v>
      </c>
      <c r="M1517" t="s">
        <v>54</v>
      </c>
      <c r="N1517" s="4">
        <v>235.14</v>
      </c>
      <c r="O1517" t="s">
        <v>31</v>
      </c>
      <c r="P1517" t="s">
        <v>98</v>
      </c>
      <c r="X1517" t="s">
        <v>35</v>
      </c>
      <c r="Y1517" t="s">
        <v>389</v>
      </c>
      <c r="Z1517">
        <v>20200131</v>
      </c>
      <c r="AA1517">
        <f t="shared" si="42"/>
        <v>12.57</v>
      </c>
      <c r="AC1517"/>
      <c r="AE1517" t="s">
        <v>390</v>
      </c>
      <c r="AF1517"/>
      <c r="AL1517">
        <v>340099350</v>
      </c>
      <c r="AM1517" t="s">
        <v>391</v>
      </c>
    </row>
    <row r="1518" spans="1:39" x14ac:dyDescent="0.35">
      <c r="A1518">
        <v>3400</v>
      </c>
      <c r="B1518" t="s">
        <v>28</v>
      </c>
      <c r="C1518">
        <v>2020</v>
      </c>
      <c r="D1518" s="1">
        <v>43831</v>
      </c>
      <c r="E1518">
        <v>44</v>
      </c>
      <c r="F1518">
        <v>100010949</v>
      </c>
      <c r="G1518" t="s">
        <v>101</v>
      </c>
      <c r="H1518">
        <v>40</v>
      </c>
      <c r="I1518">
        <v>71105120</v>
      </c>
      <c r="J1518">
        <v>11610030</v>
      </c>
      <c r="K1518" t="s">
        <v>268</v>
      </c>
      <c r="L1518" s="4">
        <v>33.51</v>
      </c>
      <c r="M1518" t="s">
        <v>54</v>
      </c>
      <c r="N1518" s="4">
        <v>626.86</v>
      </c>
      <c r="O1518" t="s">
        <v>31</v>
      </c>
      <c r="P1518" t="s">
        <v>98</v>
      </c>
      <c r="X1518" t="s">
        <v>35</v>
      </c>
      <c r="Y1518" t="s">
        <v>389</v>
      </c>
      <c r="Z1518">
        <v>20200131</v>
      </c>
      <c r="AA1518">
        <f t="shared" si="42"/>
        <v>33.51</v>
      </c>
      <c r="AC1518"/>
      <c r="AE1518" t="s">
        <v>390</v>
      </c>
      <c r="AF1518"/>
      <c r="AL1518">
        <v>340099350</v>
      </c>
      <c r="AM1518" t="s">
        <v>391</v>
      </c>
    </row>
    <row r="1519" spans="1:39" x14ac:dyDescent="0.35">
      <c r="A1519">
        <v>3400</v>
      </c>
      <c r="B1519" t="s">
        <v>28</v>
      </c>
      <c r="C1519">
        <v>2020</v>
      </c>
      <c r="D1519" s="1">
        <v>43831</v>
      </c>
      <c r="E1519">
        <v>45</v>
      </c>
      <c r="F1519">
        <v>100010949</v>
      </c>
      <c r="G1519" t="s">
        <v>101</v>
      </c>
      <c r="H1519">
        <v>40</v>
      </c>
      <c r="I1519">
        <v>71105120</v>
      </c>
      <c r="J1519">
        <v>11610030</v>
      </c>
      <c r="K1519" t="s">
        <v>268</v>
      </c>
      <c r="L1519" s="4">
        <v>8.3800000000000008</v>
      </c>
      <c r="M1519" t="s">
        <v>54</v>
      </c>
      <c r="N1519" s="4">
        <v>156.76</v>
      </c>
      <c r="O1519" t="s">
        <v>31</v>
      </c>
      <c r="P1519" t="s">
        <v>98</v>
      </c>
      <c r="X1519" t="s">
        <v>35</v>
      </c>
      <c r="Y1519" t="s">
        <v>389</v>
      </c>
      <c r="Z1519">
        <v>20200131</v>
      </c>
      <c r="AA1519">
        <f t="shared" si="42"/>
        <v>8.3800000000000008</v>
      </c>
      <c r="AC1519"/>
      <c r="AE1519" t="s">
        <v>390</v>
      </c>
      <c r="AF1519"/>
      <c r="AL1519">
        <v>340099350</v>
      </c>
      <c r="AM1519" t="s">
        <v>391</v>
      </c>
    </row>
    <row r="1520" spans="1:39" x14ac:dyDescent="0.35">
      <c r="A1520">
        <v>3400</v>
      </c>
      <c r="B1520" t="s">
        <v>28</v>
      </c>
      <c r="C1520">
        <v>2020</v>
      </c>
      <c r="D1520" s="1">
        <v>43831</v>
      </c>
      <c r="E1520">
        <v>46</v>
      </c>
      <c r="F1520">
        <v>100010949</v>
      </c>
      <c r="G1520" t="s">
        <v>101</v>
      </c>
      <c r="H1520">
        <v>40</v>
      </c>
      <c r="I1520">
        <v>71105120</v>
      </c>
      <c r="J1520">
        <v>11610030</v>
      </c>
      <c r="K1520" t="s">
        <v>268</v>
      </c>
      <c r="L1520" s="4">
        <v>113.09</v>
      </c>
      <c r="M1520" t="s">
        <v>54</v>
      </c>
      <c r="N1520" s="4">
        <v>2115.54</v>
      </c>
      <c r="O1520" t="s">
        <v>31</v>
      </c>
      <c r="P1520" t="s">
        <v>98</v>
      </c>
      <c r="X1520" t="s">
        <v>35</v>
      </c>
      <c r="Y1520" t="s">
        <v>389</v>
      </c>
      <c r="Z1520">
        <v>20200131</v>
      </c>
      <c r="AA1520">
        <f t="shared" si="42"/>
        <v>113.09</v>
      </c>
      <c r="AC1520"/>
      <c r="AE1520" t="s">
        <v>390</v>
      </c>
      <c r="AF1520"/>
      <c r="AL1520">
        <v>340099350</v>
      </c>
      <c r="AM1520" t="s">
        <v>391</v>
      </c>
    </row>
    <row r="1521" spans="1:39" x14ac:dyDescent="0.35">
      <c r="A1521">
        <v>3400</v>
      </c>
      <c r="B1521" t="s">
        <v>28</v>
      </c>
      <c r="C1521">
        <v>2020</v>
      </c>
      <c r="D1521" s="1">
        <v>43831</v>
      </c>
      <c r="E1521">
        <v>47</v>
      </c>
      <c r="F1521">
        <v>100010949</v>
      </c>
      <c r="G1521" t="s">
        <v>101</v>
      </c>
      <c r="H1521">
        <v>40</v>
      </c>
      <c r="I1521">
        <v>71105120</v>
      </c>
      <c r="J1521">
        <v>11610030</v>
      </c>
      <c r="K1521" t="s">
        <v>268</v>
      </c>
      <c r="L1521" s="4">
        <v>16.75</v>
      </c>
      <c r="M1521" t="s">
        <v>54</v>
      </c>
      <c r="N1521" s="4">
        <v>313.33999999999997</v>
      </c>
      <c r="O1521" t="s">
        <v>31</v>
      </c>
      <c r="P1521" t="s">
        <v>98</v>
      </c>
      <c r="X1521" t="s">
        <v>35</v>
      </c>
      <c r="Y1521" t="s">
        <v>389</v>
      </c>
      <c r="Z1521">
        <v>20200131</v>
      </c>
      <c r="AA1521">
        <f t="shared" si="42"/>
        <v>16.75</v>
      </c>
      <c r="AC1521"/>
      <c r="AE1521" t="s">
        <v>390</v>
      </c>
      <c r="AF1521"/>
      <c r="AL1521">
        <v>340099350</v>
      </c>
      <c r="AM1521" t="s">
        <v>391</v>
      </c>
    </row>
    <row r="1522" spans="1:39" x14ac:dyDescent="0.35">
      <c r="A1522">
        <v>3400</v>
      </c>
      <c r="B1522" t="s">
        <v>28</v>
      </c>
      <c r="C1522">
        <v>2020</v>
      </c>
      <c r="D1522" s="1">
        <v>43831</v>
      </c>
      <c r="E1522">
        <v>48</v>
      </c>
      <c r="F1522">
        <v>100010949</v>
      </c>
      <c r="G1522" t="s">
        <v>101</v>
      </c>
      <c r="H1522">
        <v>40</v>
      </c>
      <c r="I1522">
        <v>71105120</v>
      </c>
      <c r="J1522">
        <v>11610030</v>
      </c>
      <c r="K1522" t="s">
        <v>268</v>
      </c>
      <c r="L1522" s="4">
        <v>33.51</v>
      </c>
      <c r="M1522" t="s">
        <v>54</v>
      </c>
      <c r="N1522" s="4">
        <v>626.86</v>
      </c>
      <c r="O1522" t="s">
        <v>31</v>
      </c>
      <c r="P1522" t="s">
        <v>98</v>
      </c>
      <c r="X1522" t="s">
        <v>35</v>
      </c>
      <c r="Y1522" t="s">
        <v>389</v>
      </c>
      <c r="Z1522">
        <v>20200131</v>
      </c>
      <c r="AA1522">
        <f t="shared" si="42"/>
        <v>33.51</v>
      </c>
      <c r="AC1522"/>
      <c r="AE1522" t="s">
        <v>390</v>
      </c>
      <c r="AF1522"/>
      <c r="AL1522">
        <v>340099350</v>
      </c>
      <c r="AM1522" t="s">
        <v>391</v>
      </c>
    </row>
    <row r="1523" spans="1:39" x14ac:dyDescent="0.35">
      <c r="A1523">
        <v>3400</v>
      </c>
      <c r="B1523" t="s">
        <v>28</v>
      </c>
      <c r="C1523">
        <v>2020</v>
      </c>
      <c r="D1523" s="1">
        <v>43831</v>
      </c>
      <c r="E1523">
        <v>49</v>
      </c>
      <c r="F1523">
        <v>100010949</v>
      </c>
      <c r="G1523" t="s">
        <v>101</v>
      </c>
      <c r="H1523">
        <v>40</v>
      </c>
      <c r="I1523">
        <v>71105120</v>
      </c>
      <c r="J1523">
        <v>11610030</v>
      </c>
      <c r="K1523" t="s">
        <v>268</v>
      </c>
      <c r="L1523" s="4">
        <v>20.94</v>
      </c>
      <c r="M1523" t="s">
        <v>54</v>
      </c>
      <c r="N1523" s="4">
        <v>391.72</v>
      </c>
      <c r="O1523" t="s">
        <v>31</v>
      </c>
      <c r="P1523" t="s">
        <v>98</v>
      </c>
      <c r="X1523" t="s">
        <v>35</v>
      </c>
      <c r="Y1523" t="s">
        <v>389</v>
      </c>
      <c r="Z1523">
        <v>20200131</v>
      </c>
      <c r="AA1523">
        <f t="shared" si="42"/>
        <v>20.94</v>
      </c>
      <c r="AC1523"/>
      <c r="AE1523" t="s">
        <v>390</v>
      </c>
      <c r="AF1523"/>
      <c r="AL1523">
        <v>340099350</v>
      </c>
      <c r="AM1523" t="s">
        <v>391</v>
      </c>
    </row>
    <row r="1524" spans="1:39" x14ac:dyDescent="0.35">
      <c r="A1524">
        <v>3400</v>
      </c>
      <c r="B1524" t="s">
        <v>28</v>
      </c>
      <c r="C1524">
        <v>2020</v>
      </c>
      <c r="D1524" s="1">
        <v>43831</v>
      </c>
      <c r="E1524">
        <v>50</v>
      </c>
      <c r="F1524">
        <v>100010949</v>
      </c>
      <c r="G1524" t="s">
        <v>101</v>
      </c>
      <c r="H1524">
        <v>40</v>
      </c>
      <c r="I1524">
        <v>71105120</v>
      </c>
      <c r="J1524">
        <v>11610030</v>
      </c>
      <c r="K1524" t="s">
        <v>268</v>
      </c>
      <c r="L1524" s="4">
        <v>121.47</v>
      </c>
      <c r="M1524" t="s">
        <v>54</v>
      </c>
      <c r="N1524" s="4">
        <v>2272.3000000000002</v>
      </c>
      <c r="O1524" t="s">
        <v>31</v>
      </c>
      <c r="P1524" t="s">
        <v>98</v>
      </c>
      <c r="X1524" t="s">
        <v>35</v>
      </c>
      <c r="Y1524" t="s">
        <v>389</v>
      </c>
      <c r="Z1524">
        <v>20200131</v>
      </c>
      <c r="AA1524">
        <f t="shared" si="42"/>
        <v>121.47</v>
      </c>
      <c r="AC1524"/>
      <c r="AE1524" t="s">
        <v>390</v>
      </c>
      <c r="AF1524"/>
      <c r="AL1524">
        <v>340099350</v>
      </c>
      <c r="AM1524" t="s">
        <v>391</v>
      </c>
    </row>
    <row r="1525" spans="1:39" x14ac:dyDescent="0.35">
      <c r="A1525">
        <v>3400</v>
      </c>
      <c r="B1525" t="s">
        <v>28</v>
      </c>
      <c r="C1525">
        <v>2020</v>
      </c>
      <c r="D1525" s="1">
        <v>43831</v>
      </c>
      <c r="E1525">
        <v>51</v>
      </c>
      <c r="F1525">
        <v>100010949</v>
      </c>
      <c r="G1525" t="s">
        <v>101</v>
      </c>
      <c r="H1525">
        <v>40</v>
      </c>
      <c r="I1525">
        <v>71105120</v>
      </c>
      <c r="J1525">
        <v>11610030</v>
      </c>
      <c r="K1525" t="s">
        <v>268</v>
      </c>
      <c r="L1525" s="4">
        <v>37.700000000000003</v>
      </c>
      <c r="M1525" t="s">
        <v>54</v>
      </c>
      <c r="N1525" s="4">
        <v>705.24</v>
      </c>
      <c r="O1525" t="s">
        <v>31</v>
      </c>
      <c r="P1525" t="s">
        <v>98</v>
      </c>
      <c r="X1525" t="s">
        <v>35</v>
      </c>
      <c r="Y1525" t="s">
        <v>389</v>
      </c>
      <c r="Z1525">
        <v>20200131</v>
      </c>
      <c r="AA1525">
        <f t="shared" si="42"/>
        <v>37.700000000000003</v>
      </c>
      <c r="AC1525"/>
      <c r="AE1525" t="s">
        <v>390</v>
      </c>
      <c r="AF1525"/>
      <c r="AL1525">
        <v>340099350</v>
      </c>
      <c r="AM1525" t="s">
        <v>391</v>
      </c>
    </row>
    <row r="1526" spans="1:39" x14ac:dyDescent="0.35">
      <c r="A1526">
        <v>3400</v>
      </c>
      <c r="B1526" t="s">
        <v>28</v>
      </c>
      <c r="C1526">
        <v>2020</v>
      </c>
      <c r="D1526" s="1">
        <v>43831</v>
      </c>
      <c r="E1526">
        <v>52</v>
      </c>
      <c r="F1526">
        <v>100010949</v>
      </c>
      <c r="G1526" t="s">
        <v>101</v>
      </c>
      <c r="H1526">
        <v>40</v>
      </c>
      <c r="I1526">
        <v>71105120</v>
      </c>
      <c r="J1526">
        <v>11610030</v>
      </c>
      <c r="K1526" t="s">
        <v>268</v>
      </c>
      <c r="L1526" s="4">
        <v>8.3800000000000008</v>
      </c>
      <c r="M1526" t="s">
        <v>54</v>
      </c>
      <c r="N1526" s="4">
        <v>156.76</v>
      </c>
      <c r="O1526" t="s">
        <v>31</v>
      </c>
      <c r="P1526" t="s">
        <v>98</v>
      </c>
      <c r="X1526" t="s">
        <v>35</v>
      </c>
      <c r="Y1526" t="s">
        <v>389</v>
      </c>
      <c r="Z1526">
        <v>20200131</v>
      </c>
      <c r="AA1526">
        <f t="shared" si="42"/>
        <v>8.3800000000000008</v>
      </c>
      <c r="AC1526"/>
      <c r="AE1526" t="s">
        <v>390</v>
      </c>
      <c r="AF1526"/>
      <c r="AL1526">
        <v>340099350</v>
      </c>
      <c r="AM1526" t="s">
        <v>391</v>
      </c>
    </row>
    <row r="1527" spans="1:39" x14ac:dyDescent="0.35">
      <c r="A1527">
        <v>3400</v>
      </c>
      <c r="B1527" t="s">
        <v>28</v>
      </c>
      <c r="C1527">
        <v>2020</v>
      </c>
      <c r="D1527" s="1">
        <v>43831</v>
      </c>
      <c r="E1527">
        <v>53</v>
      </c>
      <c r="F1527">
        <v>100010949</v>
      </c>
      <c r="G1527" t="s">
        <v>101</v>
      </c>
      <c r="H1527">
        <v>40</v>
      </c>
      <c r="I1527">
        <v>71105120</v>
      </c>
      <c r="J1527">
        <v>11610030</v>
      </c>
      <c r="K1527" t="s">
        <v>268</v>
      </c>
      <c r="L1527" s="4">
        <v>29.32</v>
      </c>
      <c r="M1527" t="s">
        <v>54</v>
      </c>
      <c r="N1527" s="4">
        <v>548.48</v>
      </c>
      <c r="O1527" t="s">
        <v>31</v>
      </c>
      <c r="P1527" t="s">
        <v>98</v>
      </c>
      <c r="X1527" t="s">
        <v>35</v>
      </c>
      <c r="Y1527" t="s">
        <v>389</v>
      </c>
      <c r="Z1527">
        <v>20200131</v>
      </c>
      <c r="AA1527">
        <f t="shared" si="42"/>
        <v>29.32</v>
      </c>
      <c r="AC1527"/>
      <c r="AE1527" t="s">
        <v>390</v>
      </c>
      <c r="AF1527"/>
      <c r="AL1527">
        <v>340099350</v>
      </c>
      <c r="AM1527" t="s">
        <v>391</v>
      </c>
    </row>
    <row r="1528" spans="1:39" x14ac:dyDescent="0.35">
      <c r="A1528">
        <v>3400</v>
      </c>
      <c r="B1528" t="s">
        <v>28</v>
      </c>
      <c r="C1528">
        <v>2020</v>
      </c>
      <c r="D1528" s="1">
        <v>43831</v>
      </c>
      <c r="E1528">
        <v>54</v>
      </c>
      <c r="F1528">
        <v>100010949</v>
      </c>
      <c r="G1528" t="s">
        <v>101</v>
      </c>
      <c r="H1528">
        <v>40</v>
      </c>
      <c r="I1528">
        <v>71105120</v>
      </c>
      <c r="J1528">
        <v>11610030</v>
      </c>
      <c r="K1528" t="s">
        <v>268</v>
      </c>
      <c r="L1528" s="4">
        <v>12.57</v>
      </c>
      <c r="M1528" t="s">
        <v>54</v>
      </c>
      <c r="N1528" s="4">
        <v>235.14</v>
      </c>
      <c r="O1528" t="s">
        <v>31</v>
      </c>
      <c r="P1528" t="s">
        <v>98</v>
      </c>
      <c r="X1528" t="s">
        <v>35</v>
      </c>
      <c r="Y1528" t="s">
        <v>389</v>
      </c>
      <c r="Z1528">
        <v>20200131</v>
      </c>
      <c r="AA1528">
        <f t="shared" si="42"/>
        <v>12.57</v>
      </c>
      <c r="AC1528"/>
      <c r="AE1528" t="s">
        <v>390</v>
      </c>
      <c r="AF1528"/>
      <c r="AL1528">
        <v>340099350</v>
      </c>
      <c r="AM1528" t="s">
        <v>391</v>
      </c>
    </row>
    <row r="1529" spans="1:39" x14ac:dyDescent="0.35">
      <c r="A1529">
        <v>3400</v>
      </c>
      <c r="B1529" t="s">
        <v>28</v>
      </c>
      <c r="C1529">
        <v>2020</v>
      </c>
      <c r="D1529" s="1">
        <v>43831</v>
      </c>
      <c r="E1529">
        <v>55</v>
      </c>
      <c r="F1529">
        <v>100010949</v>
      </c>
      <c r="G1529" t="s">
        <v>101</v>
      </c>
      <c r="H1529">
        <v>40</v>
      </c>
      <c r="I1529">
        <v>71105120</v>
      </c>
      <c r="J1529">
        <v>11610030</v>
      </c>
      <c r="K1529" t="s">
        <v>268</v>
      </c>
      <c r="L1529" s="4">
        <v>20.94</v>
      </c>
      <c r="M1529" t="s">
        <v>54</v>
      </c>
      <c r="N1529" s="4">
        <v>391.72</v>
      </c>
      <c r="O1529" t="s">
        <v>31</v>
      </c>
      <c r="P1529" t="s">
        <v>98</v>
      </c>
      <c r="X1529" t="s">
        <v>35</v>
      </c>
      <c r="Y1529" t="s">
        <v>389</v>
      </c>
      <c r="Z1529">
        <v>20200131</v>
      </c>
      <c r="AA1529">
        <f t="shared" si="42"/>
        <v>20.94</v>
      </c>
      <c r="AC1529"/>
      <c r="AE1529" t="s">
        <v>390</v>
      </c>
      <c r="AF1529"/>
      <c r="AL1529">
        <v>340099350</v>
      </c>
      <c r="AM1529" t="s">
        <v>391</v>
      </c>
    </row>
    <row r="1530" spans="1:39" x14ac:dyDescent="0.35">
      <c r="A1530">
        <v>3400</v>
      </c>
      <c r="B1530" t="s">
        <v>28</v>
      </c>
      <c r="C1530">
        <v>2020</v>
      </c>
      <c r="D1530" s="1">
        <v>43831</v>
      </c>
      <c r="E1530">
        <v>56</v>
      </c>
      <c r="F1530">
        <v>100010949</v>
      </c>
      <c r="G1530" t="s">
        <v>101</v>
      </c>
      <c r="H1530">
        <v>40</v>
      </c>
      <c r="I1530">
        <v>71105120</v>
      </c>
      <c r="J1530">
        <v>11610030</v>
      </c>
      <c r="K1530" t="s">
        <v>268</v>
      </c>
      <c r="L1530" s="4">
        <v>12.57</v>
      </c>
      <c r="M1530" t="s">
        <v>54</v>
      </c>
      <c r="N1530" s="4">
        <v>235.14</v>
      </c>
      <c r="O1530" t="s">
        <v>31</v>
      </c>
      <c r="P1530" t="s">
        <v>98</v>
      </c>
      <c r="X1530" t="s">
        <v>35</v>
      </c>
      <c r="Y1530" t="s">
        <v>389</v>
      </c>
      <c r="Z1530">
        <v>20200131</v>
      </c>
      <c r="AA1530">
        <f t="shared" si="42"/>
        <v>12.57</v>
      </c>
      <c r="AC1530"/>
      <c r="AE1530" t="s">
        <v>390</v>
      </c>
      <c r="AF1530"/>
      <c r="AL1530">
        <v>340099350</v>
      </c>
      <c r="AM1530" t="s">
        <v>391</v>
      </c>
    </row>
    <row r="1531" spans="1:39" x14ac:dyDescent="0.35">
      <c r="A1531">
        <v>3400</v>
      </c>
      <c r="B1531" t="s">
        <v>28</v>
      </c>
      <c r="C1531">
        <v>2020</v>
      </c>
      <c r="D1531" s="1">
        <v>43831</v>
      </c>
      <c r="E1531">
        <v>57</v>
      </c>
      <c r="F1531">
        <v>100010949</v>
      </c>
      <c r="G1531" t="s">
        <v>101</v>
      </c>
      <c r="H1531">
        <v>40</v>
      </c>
      <c r="I1531">
        <v>71105120</v>
      </c>
      <c r="J1531">
        <v>11610030</v>
      </c>
      <c r="K1531" t="s">
        <v>268</v>
      </c>
      <c r="L1531" s="4">
        <v>12.57</v>
      </c>
      <c r="M1531" t="s">
        <v>54</v>
      </c>
      <c r="N1531" s="4">
        <v>235.14</v>
      </c>
      <c r="O1531" t="s">
        <v>31</v>
      </c>
      <c r="P1531" t="s">
        <v>98</v>
      </c>
      <c r="X1531" t="s">
        <v>35</v>
      </c>
      <c r="Y1531" t="s">
        <v>389</v>
      </c>
      <c r="Z1531">
        <v>20200131</v>
      </c>
      <c r="AA1531">
        <f t="shared" si="42"/>
        <v>12.57</v>
      </c>
      <c r="AC1531"/>
      <c r="AE1531" t="s">
        <v>390</v>
      </c>
      <c r="AF1531"/>
      <c r="AL1531">
        <v>340099350</v>
      </c>
      <c r="AM1531" t="s">
        <v>391</v>
      </c>
    </row>
    <row r="1532" spans="1:39" x14ac:dyDescent="0.35">
      <c r="A1532">
        <v>3400</v>
      </c>
      <c r="B1532" t="s">
        <v>28</v>
      </c>
      <c r="C1532">
        <v>2020</v>
      </c>
      <c r="D1532" s="1">
        <v>43831</v>
      </c>
      <c r="E1532">
        <v>58</v>
      </c>
      <c r="F1532">
        <v>100010949</v>
      </c>
      <c r="G1532" t="s">
        <v>101</v>
      </c>
      <c r="H1532">
        <v>40</v>
      </c>
      <c r="I1532">
        <v>71105120</v>
      </c>
      <c r="J1532">
        <v>11610030</v>
      </c>
      <c r="K1532" t="s">
        <v>268</v>
      </c>
      <c r="L1532" s="4">
        <v>117.28</v>
      </c>
      <c r="M1532" t="s">
        <v>54</v>
      </c>
      <c r="N1532" s="4">
        <v>2193.92</v>
      </c>
      <c r="O1532" t="s">
        <v>31</v>
      </c>
      <c r="P1532" t="s">
        <v>98</v>
      </c>
      <c r="X1532" t="s">
        <v>35</v>
      </c>
      <c r="Y1532" t="s">
        <v>389</v>
      </c>
      <c r="Z1532">
        <v>20200131</v>
      </c>
      <c r="AA1532">
        <f t="shared" si="42"/>
        <v>117.28</v>
      </c>
      <c r="AC1532"/>
      <c r="AE1532" t="s">
        <v>390</v>
      </c>
      <c r="AF1532"/>
      <c r="AL1532">
        <v>340099350</v>
      </c>
      <c r="AM1532" t="s">
        <v>391</v>
      </c>
    </row>
    <row r="1533" spans="1:39" x14ac:dyDescent="0.35">
      <c r="A1533">
        <v>3400</v>
      </c>
      <c r="B1533" t="s">
        <v>28</v>
      </c>
      <c r="C1533">
        <v>2020</v>
      </c>
      <c r="D1533" s="1">
        <v>43831</v>
      </c>
      <c r="E1533">
        <v>59</v>
      </c>
      <c r="F1533">
        <v>100010949</v>
      </c>
      <c r="G1533" t="s">
        <v>101</v>
      </c>
      <c r="H1533">
        <v>40</v>
      </c>
      <c r="I1533">
        <v>71105120</v>
      </c>
      <c r="J1533">
        <v>11610030</v>
      </c>
      <c r="K1533" t="s">
        <v>268</v>
      </c>
      <c r="L1533" s="4">
        <v>8.3800000000000008</v>
      </c>
      <c r="M1533" t="s">
        <v>54</v>
      </c>
      <c r="N1533" s="4">
        <v>156.76</v>
      </c>
      <c r="O1533" t="s">
        <v>31</v>
      </c>
      <c r="P1533" t="s">
        <v>98</v>
      </c>
      <c r="X1533" t="s">
        <v>35</v>
      </c>
      <c r="Y1533" t="s">
        <v>389</v>
      </c>
      <c r="Z1533">
        <v>20200131</v>
      </c>
      <c r="AA1533">
        <f t="shared" si="42"/>
        <v>8.3800000000000008</v>
      </c>
      <c r="AC1533"/>
      <c r="AE1533" t="s">
        <v>390</v>
      </c>
      <c r="AF1533"/>
      <c r="AL1533">
        <v>340099350</v>
      </c>
      <c r="AM1533" t="s">
        <v>391</v>
      </c>
    </row>
    <row r="1534" spans="1:39" x14ac:dyDescent="0.35">
      <c r="A1534">
        <v>3400</v>
      </c>
      <c r="B1534" t="s">
        <v>28</v>
      </c>
      <c r="C1534">
        <v>2020</v>
      </c>
      <c r="D1534" s="1">
        <v>43831</v>
      </c>
      <c r="E1534">
        <v>60</v>
      </c>
      <c r="F1534">
        <v>100010949</v>
      </c>
      <c r="G1534" t="s">
        <v>101</v>
      </c>
      <c r="H1534">
        <v>40</v>
      </c>
      <c r="I1534">
        <v>71105120</v>
      </c>
      <c r="J1534">
        <v>11610030</v>
      </c>
      <c r="K1534" t="s">
        <v>268</v>
      </c>
      <c r="L1534" s="4">
        <v>184.29</v>
      </c>
      <c r="M1534" t="s">
        <v>54</v>
      </c>
      <c r="N1534" s="4">
        <v>3447.46</v>
      </c>
      <c r="O1534" t="s">
        <v>31</v>
      </c>
      <c r="P1534" t="s">
        <v>98</v>
      </c>
      <c r="X1534" t="s">
        <v>35</v>
      </c>
      <c r="Y1534" t="s">
        <v>389</v>
      </c>
      <c r="Z1534">
        <v>20200131</v>
      </c>
      <c r="AA1534">
        <f t="shared" si="42"/>
        <v>184.29</v>
      </c>
      <c r="AC1534"/>
      <c r="AE1534" t="s">
        <v>390</v>
      </c>
      <c r="AF1534"/>
      <c r="AL1534">
        <v>340099350</v>
      </c>
      <c r="AM1534" t="s">
        <v>391</v>
      </c>
    </row>
    <row r="1535" spans="1:39" x14ac:dyDescent="0.35">
      <c r="A1535">
        <v>3400</v>
      </c>
      <c r="B1535" t="s">
        <v>28</v>
      </c>
      <c r="C1535">
        <v>2020</v>
      </c>
      <c r="D1535" s="1">
        <v>43831</v>
      </c>
      <c r="E1535">
        <v>61</v>
      </c>
      <c r="F1535">
        <v>100010949</v>
      </c>
      <c r="G1535" t="s">
        <v>101</v>
      </c>
      <c r="H1535">
        <v>40</v>
      </c>
      <c r="I1535">
        <v>71105120</v>
      </c>
      <c r="J1535">
        <v>11610030</v>
      </c>
      <c r="K1535" t="s">
        <v>268</v>
      </c>
      <c r="L1535" s="4">
        <v>20.94</v>
      </c>
      <c r="M1535" t="s">
        <v>54</v>
      </c>
      <c r="N1535" s="4">
        <v>391.72</v>
      </c>
      <c r="O1535" t="s">
        <v>31</v>
      </c>
      <c r="P1535" t="s">
        <v>98</v>
      </c>
      <c r="X1535" t="s">
        <v>35</v>
      </c>
      <c r="Y1535" t="s">
        <v>389</v>
      </c>
      <c r="Z1535">
        <v>20200131</v>
      </c>
      <c r="AA1535">
        <f t="shared" si="42"/>
        <v>20.94</v>
      </c>
      <c r="AC1535"/>
      <c r="AE1535" t="s">
        <v>390</v>
      </c>
      <c r="AF1535"/>
      <c r="AL1535">
        <v>340099350</v>
      </c>
      <c r="AM1535" t="s">
        <v>391</v>
      </c>
    </row>
    <row r="1536" spans="1:39" x14ac:dyDescent="0.35">
      <c r="A1536">
        <v>3400</v>
      </c>
      <c r="B1536" t="s">
        <v>28</v>
      </c>
      <c r="C1536">
        <v>2020</v>
      </c>
      <c r="D1536" s="1">
        <v>43831</v>
      </c>
      <c r="E1536">
        <v>62</v>
      </c>
      <c r="F1536">
        <v>100010949</v>
      </c>
      <c r="G1536" t="s">
        <v>101</v>
      </c>
      <c r="H1536">
        <v>40</v>
      </c>
      <c r="I1536">
        <v>71105120</v>
      </c>
      <c r="J1536">
        <v>11610030</v>
      </c>
      <c r="K1536" t="s">
        <v>268</v>
      </c>
      <c r="L1536" s="4">
        <v>46.07</v>
      </c>
      <c r="M1536" t="s">
        <v>54</v>
      </c>
      <c r="N1536" s="4">
        <v>861.82</v>
      </c>
      <c r="O1536" t="s">
        <v>31</v>
      </c>
      <c r="P1536" t="s">
        <v>98</v>
      </c>
      <c r="X1536" t="s">
        <v>35</v>
      </c>
      <c r="Y1536" t="s">
        <v>389</v>
      </c>
      <c r="Z1536">
        <v>20200131</v>
      </c>
      <c r="AA1536">
        <f t="shared" si="42"/>
        <v>46.07</v>
      </c>
      <c r="AC1536"/>
      <c r="AE1536" t="s">
        <v>390</v>
      </c>
      <c r="AF1536"/>
      <c r="AL1536">
        <v>340099350</v>
      </c>
      <c r="AM1536" t="s">
        <v>391</v>
      </c>
    </row>
    <row r="1537" spans="1:39" x14ac:dyDescent="0.35">
      <c r="A1537">
        <v>3400</v>
      </c>
      <c r="B1537" t="s">
        <v>28</v>
      </c>
      <c r="C1537">
        <v>2020</v>
      </c>
      <c r="D1537" s="1">
        <v>43831</v>
      </c>
      <c r="E1537">
        <v>63</v>
      </c>
      <c r="F1537">
        <v>100010949</v>
      </c>
      <c r="G1537" t="s">
        <v>101</v>
      </c>
      <c r="H1537">
        <v>40</v>
      </c>
      <c r="I1537">
        <v>71105120</v>
      </c>
      <c r="J1537">
        <v>11610030</v>
      </c>
      <c r="K1537" t="s">
        <v>268</v>
      </c>
      <c r="L1537" s="4">
        <v>71.2</v>
      </c>
      <c r="M1537" t="s">
        <v>54</v>
      </c>
      <c r="N1537" s="4">
        <v>1331.92</v>
      </c>
      <c r="O1537" t="s">
        <v>31</v>
      </c>
      <c r="P1537" t="s">
        <v>98</v>
      </c>
      <c r="X1537" t="s">
        <v>35</v>
      </c>
      <c r="Y1537" t="s">
        <v>389</v>
      </c>
      <c r="Z1537">
        <v>20200131</v>
      </c>
      <c r="AA1537">
        <f t="shared" si="42"/>
        <v>71.2</v>
      </c>
      <c r="AC1537"/>
      <c r="AE1537" t="s">
        <v>390</v>
      </c>
      <c r="AF1537"/>
      <c r="AL1537">
        <v>340099350</v>
      </c>
      <c r="AM1537" t="s">
        <v>391</v>
      </c>
    </row>
    <row r="1538" spans="1:39" x14ac:dyDescent="0.35">
      <c r="A1538">
        <v>3400</v>
      </c>
      <c r="B1538" t="s">
        <v>28</v>
      </c>
      <c r="C1538">
        <v>2020</v>
      </c>
      <c r="D1538" s="1">
        <v>43831</v>
      </c>
      <c r="E1538">
        <v>64</v>
      </c>
      <c r="F1538">
        <v>100010949</v>
      </c>
      <c r="G1538" t="s">
        <v>101</v>
      </c>
      <c r="H1538">
        <v>40</v>
      </c>
      <c r="I1538">
        <v>71105120</v>
      </c>
      <c r="J1538">
        <v>11610030</v>
      </c>
      <c r="K1538" t="s">
        <v>268</v>
      </c>
      <c r="L1538" s="4">
        <v>54.45</v>
      </c>
      <c r="M1538" t="s">
        <v>54</v>
      </c>
      <c r="N1538" s="4">
        <v>1018.58</v>
      </c>
      <c r="O1538" t="s">
        <v>31</v>
      </c>
      <c r="P1538" t="s">
        <v>98</v>
      </c>
      <c r="X1538" t="s">
        <v>35</v>
      </c>
      <c r="Y1538" t="s">
        <v>389</v>
      </c>
      <c r="Z1538">
        <v>20200131</v>
      </c>
      <c r="AA1538">
        <f t="shared" si="42"/>
        <v>54.45</v>
      </c>
      <c r="AC1538"/>
      <c r="AE1538" t="s">
        <v>390</v>
      </c>
      <c r="AF1538"/>
      <c r="AL1538">
        <v>340099350</v>
      </c>
      <c r="AM1538" t="s">
        <v>391</v>
      </c>
    </row>
    <row r="1539" spans="1:39" x14ac:dyDescent="0.35">
      <c r="A1539">
        <v>3400</v>
      </c>
      <c r="B1539" t="s">
        <v>28</v>
      </c>
      <c r="C1539">
        <v>2020</v>
      </c>
      <c r="D1539" s="1">
        <v>43831</v>
      </c>
      <c r="E1539">
        <v>65</v>
      </c>
      <c r="F1539">
        <v>100010949</v>
      </c>
      <c r="G1539" t="s">
        <v>101</v>
      </c>
      <c r="H1539">
        <v>40</v>
      </c>
      <c r="I1539">
        <v>71105120</v>
      </c>
      <c r="J1539">
        <v>11610030</v>
      </c>
      <c r="K1539" t="s">
        <v>268</v>
      </c>
      <c r="L1539" s="4">
        <v>71.2</v>
      </c>
      <c r="M1539" t="s">
        <v>54</v>
      </c>
      <c r="N1539" s="4">
        <v>1331.92</v>
      </c>
      <c r="O1539" t="s">
        <v>31</v>
      </c>
      <c r="P1539" t="s">
        <v>98</v>
      </c>
      <c r="X1539" t="s">
        <v>35</v>
      </c>
      <c r="Y1539" t="s">
        <v>389</v>
      </c>
      <c r="Z1539">
        <v>20200131</v>
      </c>
      <c r="AA1539">
        <f t="shared" si="42"/>
        <v>71.2</v>
      </c>
      <c r="AC1539"/>
      <c r="AE1539" t="s">
        <v>390</v>
      </c>
      <c r="AF1539"/>
      <c r="AL1539">
        <v>340099350</v>
      </c>
      <c r="AM1539" t="s">
        <v>391</v>
      </c>
    </row>
    <row r="1540" spans="1:39" x14ac:dyDescent="0.35">
      <c r="A1540">
        <v>3400</v>
      </c>
      <c r="B1540" t="s">
        <v>28</v>
      </c>
      <c r="C1540">
        <v>2020</v>
      </c>
      <c r="D1540" s="1">
        <v>43831</v>
      </c>
      <c r="E1540">
        <v>66</v>
      </c>
      <c r="F1540">
        <v>100010949</v>
      </c>
      <c r="G1540" t="s">
        <v>101</v>
      </c>
      <c r="H1540">
        <v>40</v>
      </c>
      <c r="I1540">
        <v>71105120</v>
      </c>
      <c r="J1540">
        <v>11610030</v>
      </c>
      <c r="K1540" t="s">
        <v>268</v>
      </c>
      <c r="L1540" s="4">
        <v>37.700000000000003</v>
      </c>
      <c r="M1540" t="s">
        <v>54</v>
      </c>
      <c r="N1540" s="4">
        <v>705.24</v>
      </c>
      <c r="O1540" t="s">
        <v>31</v>
      </c>
      <c r="P1540" t="s">
        <v>98</v>
      </c>
      <c r="X1540" t="s">
        <v>35</v>
      </c>
      <c r="Y1540" t="s">
        <v>389</v>
      </c>
      <c r="Z1540">
        <v>20200131</v>
      </c>
      <c r="AA1540">
        <f t="shared" si="42"/>
        <v>37.700000000000003</v>
      </c>
      <c r="AC1540"/>
      <c r="AE1540" t="s">
        <v>390</v>
      </c>
      <c r="AF1540"/>
      <c r="AL1540">
        <v>340099350</v>
      </c>
      <c r="AM1540" t="s">
        <v>391</v>
      </c>
    </row>
    <row r="1541" spans="1:39" x14ac:dyDescent="0.35">
      <c r="A1541">
        <v>3400</v>
      </c>
      <c r="B1541" t="s">
        <v>28</v>
      </c>
      <c r="C1541">
        <v>2020</v>
      </c>
      <c r="D1541" s="1">
        <v>43831</v>
      </c>
      <c r="E1541">
        <v>67</v>
      </c>
      <c r="F1541">
        <v>100010949</v>
      </c>
      <c r="G1541" t="s">
        <v>101</v>
      </c>
      <c r="H1541">
        <v>40</v>
      </c>
      <c r="I1541">
        <v>71105120</v>
      </c>
      <c r="J1541">
        <v>11610030</v>
      </c>
      <c r="K1541" t="s">
        <v>268</v>
      </c>
      <c r="L1541" s="4">
        <v>25.13</v>
      </c>
      <c r="M1541" t="s">
        <v>54</v>
      </c>
      <c r="N1541" s="4">
        <v>470.1</v>
      </c>
      <c r="O1541" t="s">
        <v>31</v>
      </c>
      <c r="P1541" t="s">
        <v>98</v>
      </c>
      <c r="X1541" t="s">
        <v>35</v>
      </c>
      <c r="Y1541" t="s">
        <v>389</v>
      </c>
      <c r="Z1541">
        <v>20200131</v>
      </c>
      <c r="AA1541">
        <f t="shared" si="42"/>
        <v>25.13</v>
      </c>
      <c r="AC1541"/>
      <c r="AE1541" t="s">
        <v>390</v>
      </c>
      <c r="AF1541"/>
      <c r="AL1541">
        <v>340099350</v>
      </c>
      <c r="AM1541" t="s">
        <v>391</v>
      </c>
    </row>
    <row r="1542" spans="1:39" x14ac:dyDescent="0.35">
      <c r="A1542">
        <v>3400</v>
      </c>
      <c r="B1542" t="s">
        <v>28</v>
      </c>
      <c r="C1542">
        <v>2020</v>
      </c>
      <c r="D1542" s="1">
        <v>43831</v>
      </c>
      <c r="E1542">
        <v>68</v>
      </c>
      <c r="F1542">
        <v>100010949</v>
      </c>
      <c r="G1542" t="s">
        <v>101</v>
      </c>
      <c r="H1542">
        <v>40</v>
      </c>
      <c r="I1542">
        <v>71105120</v>
      </c>
      <c r="J1542">
        <v>11610030</v>
      </c>
      <c r="K1542" t="s">
        <v>268</v>
      </c>
      <c r="L1542" s="4">
        <v>75.39</v>
      </c>
      <c r="M1542" t="s">
        <v>54</v>
      </c>
      <c r="N1542" s="4">
        <v>1410.3</v>
      </c>
      <c r="O1542" t="s">
        <v>31</v>
      </c>
      <c r="P1542" t="s">
        <v>98</v>
      </c>
      <c r="X1542" t="s">
        <v>35</v>
      </c>
      <c r="Y1542" t="s">
        <v>389</v>
      </c>
      <c r="Z1542">
        <v>20200131</v>
      </c>
      <c r="AA1542">
        <f t="shared" si="42"/>
        <v>75.39</v>
      </c>
      <c r="AC1542"/>
      <c r="AE1542" t="s">
        <v>390</v>
      </c>
      <c r="AF1542"/>
      <c r="AL1542">
        <v>340098950</v>
      </c>
      <c r="AM1542" t="s">
        <v>391</v>
      </c>
    </row>
    <row r="1543" spans="1:39" x14ac:dyDescent="0.35">
      <c r="A1543">
        <v>3400</v>
      </c>
      <c r="B1543" t="s">
        <v>28</v>
      </c>
      <c r="C1543">
        <v>2020</v>
      </c>
      <c r="D1543" s="1">
        <v>43831</v>
      </c>
      <c r="E1543">
        <v>69</v>
      </c>
      <c r="F1543">
        <v>100010949</v>
      </c>
      <c r="G1543" t="s">
        <v>101</v>
      </c>
      <c r="H1543">
        <v>40</v>
      </c>
      <c r="I1543">
        <v>71105120</v>
      </c>
      <c r="J1543">
        <v>11610030</v>
      </c>
      <c r="K1543" t="s">
        <v>268</v>
      </c>
      <c r="L1543" s="4">
        <v>67.02</v>
      </c>
      <c r="M1543" t="s">
        <v>54</v>
      </c>
      <c r="N1543" s="4">
        <v>1253.72</v>
      </c>
      <c r="O1543" t="s">
        <v>31</v>
      </c>
      <c r="P1543" t="s">
        <v>98</v>
      </c>
      <c r="X1543" t="s">
        <v>35</v>
      </c>
      <c r="Y1543" t="s">
        <v>389</v>
      </c>
      <c r="Z1543">
        <v>20200131</v>
      </c>
      <c r="AA1543">
        <f t="shared" si="42"/>
        <v>67.02</v>
      </c>
      <c r="AC1543"/>
      <c r="AE1543" t="s">
        <v>390</v>
      </c>
      <c r="AF1543"/>
      <c r="AL1543">
        <v>340099350</v>
      </c>
      <c r="AM1543" t="s">
        <v>391</v>
      </c>
    </row>
    <row r="1544" spans="1:39" x14ac:dyDescent="0.35">
      <c r="A1544">
        <v>3400</v>
      </c>
      <c r="B1544" t="s">
        <v>28</v>
      </c>
      <c r="C1544">
        <v>2020</v>
      </c>
      <c r="D1544" s="1">
        <v>43831</v>
      </c>
      <c r="E1544">
        <v>70</v>
      </c>
      <c r="F1544">
        <v>100010949</v>
      </c>
      <c r="G1544" t="s">
        <v>101</v>
      </c>
      <c r="H1544">
        <v>40</v>
      </c>
      <c r="I1544">
        <v>71105120</v>
      </c>
      <c r="J1544">
        <v>11610030</v>
      </c>
      <c r="K1544" t="s">
        <v>268</v>
      </c>
      <c r="L1544" s="4">
        <v>8.3800000000000008</v>
      </c>
      <c r="M1544" t="s">
        <v>54</v>
      </c>
      <c r="N1544" s="4">
        <v>156.76</v>
      </c>
      <c r="O1544" t="s">
        <v>31</v>
      </c>
      <c r="P1544" t="s">
        <v>98</v>
      </c>
      <c r="X1544" t="s">
        <v>35</v>
      </c>
      <c r="Y1544" t="s">
        <v>389</v>
      </c>
      <c r="Z1544">
        <v>20200131</v>
      </c>
      <c r="AA1544">
        <f t="shared" si="42"/>
        <v>8.3800000000000008</v>
      </c>
      <c r="AC1544"/>
      <c r="AE1544" t="s">
        <v>390</v>
      </c>
      <c r="AF1544"/>
      <c r="AL1544">
        <v>340099350</v>
      </c>
      <c r="AM1544" t="s">
        <v>391</v>
      </c>
    </row>
    <row r="1545" spans="1:39" x14ac:dyDescent="0.35">
      <c r="A1545">
        <v>3400</v>
      </c>
      <c r="B1545" t="s">
        <v>28</v>
      </c>
      <c r="C1545">
        <v>2020</v>
      </c>
      <c r="D1545" s="1">
        <v>43831</v>
      </c>
      <c r="E1545">
        <v>71</v>
      </c>
      <c r="F1545">
        <v>100010949</v>
      </c>
      <c r="G1545" t="s">
        <v>101</v>
      </c>
      <c r="H1545">
        <v>40</v>
      </c>
      <c r="I1545">
        <v>71105120</v>
      </c>
      <c r="J1545">
        <v>11610030</v>
      </c>
      <c r="K1545" t="s">
        <v>268</v>
      </c>
      <c r="L1545" s="4">
        <v>4.1900000000000004</v>
      </c>
      <c r="M1545" t="s">
        <v>54</v>
      </c>
      <c r="N1545" s="4">
        <v>78.38</v>
      </c>
      <c r="O1545" t="s">
        <v>31</v>
      </c>
      <c r="P1545" t="s">
        <v>98</v>
      </c>
      <c r="X1545" t="s">
        <v>35</v>
      </c>
      <c r="Y1545" t="s">
        <v>389</v>
      </c>
      <c r="Z1545">
        <v>20200131</v>
      </c>
      <c r="AA1545">
        <f t="shared" si="42"/>
        <v>4.1900000000000004</v>
      </c>
      <c r="AC1545"/>
      <c r="AE1545" t="s">
        <v>390</v>
      </c>
      <c r="AF1545"/>
      <c r="AL1545">
        <v>340099350</v>
      </c>
      <c r="AM1545" t="s">
        <v>391</v>
      </c>
    </row>
    <row r="1546" spans="1:39" x14ac:dyDescent="0.35">
      <c r="A1546">
        <v>3400</v>
      </c>
      <c r="B1546" t="s">
        <v>28</v>
      </c>
      <c r="C1546">
        <v>2020</v>
      </c>
      <c r="D1546" s="1">
        <v>43831</v>
      </c>
      <c r="E1546">
        <v>72</v>
      </c>
      <c r="F1546">
        <v>100010949</v>
      </c>
      <c r="G1546" t="s">
        <v>101</v>
      </c>
      <c r="H1546">
        <v>40</v>
      </c>
      <c r="I1546">
        <v>71105120</v>
      </c>
      <c r="J1546">
        <v>11610030</v>
      </c>
      <c r="K1546" t="s">
        <v>268</v>
      </c>
      <c r="L1546" s="4">
        <v>25.13</v>
      </c>
      <c r="M1546" t="s">
        <v>54</v>
      </c>
      <c r="N1546" s="4">
        <v>470.1</v>
      </c>
      <c r="O1546" t="s">
        <v>31</v>
      </c>
      <c r="P1546" t="s">
        <v>98</v>
      </c>
      <c r="X1546" t="s">
        <v>35</v>
      </c>
      <c r="Y1546" t="s">
        <v>389</v>
      </c>
      <c r="Z1546">
        <v>20200131</v>
      </c>
      <c r="AA1546">
        <f t="shared" si="42"/>
        <v>25.13</v>
      </c>
      <c r="AC1546"/>
      <c r="AE1546" t="s">
        <v>390</v>
      </c>
      <c r="AF1546"/>
      <c r="AL1546">
        <v>340099350</v>
      </c>
      <c r="AM1546" t="s">
        <v>391</v>
      </c>
    </row>
    <row r="1547" spans="1:39" x14ac:dyDescent="0.35">
      <c r="A1547">
        <v>3400</v>
      </c>
      <c r="B1547" t="s">
        <v>28</v>
      </c>
      <c r="C1547">
        <v>2020</v>
      </c>
      <c r="D1547" s="1">
        <v>43831</v>
      </c>
      <c r="E1547">
        <v>73</v>
      </c>
      <c r="F1547">
        <v>100010949</v>
      </c>
      <c r="G1547" t="s">
        <v>101</v>
      </c>
      <c r="H1547">
        <v>40</v>
      </c>
      <c r="I1547">
        <v>71105120</v>
      </c>
      <c r="J1547">
        <v>11610030</v>
      </c>
      <c r="K1547" t="s">
        <v>268</v>
      </c>
      <c r="L1547" s="4">
        <v>62.83</v>
      </c>
      <c r="M1547" t="s">
        <v>54</v>
      </c>
      <c r="N1547" s="4">
        <v>1175.3399999999999</v>
      </c>
      <c r="O1547" t="s">
        <v>31</v>
      </c>
      <c r="P1547" t="s">
        <v>98</v>
      </c>
      <c r="X1547" t="s">
        <v>35</v>
      </c>
      <c r="Y1547" t="s">
        <v>389</v>
      </c>
      <c r="Z1547">
        <v>20200131</v>
      </c>
      <c r="AA1547">
        <f t="shared" si="42"/>
        <v>62.83</v>
      </c>
      <c r="AC1547"/>
      <c r="AE1547" t="s">
        <v>390</v>
      </c>
      <c r="AF1547"/>
      <c r="AL1547">
        <v>340099350</v>
      </c>
      <c r="AM1547" t="s">
        <v>391</v>
      </c>
    </row>
    <row r="1548" spans="1:39" x14ac:dyDescent="0.35">
      <c r="A1548">
        <v>3400</v>
      </c>
      <c r="B1548" t="s">
        <v>28</v>
      </c>
      <c r="C1548">
        <v>2020</v>
      </c>
      <c r="D1548" s="1">
        <v>43831</v>
      </c>
      <c r="E1548">
        <v>74</v>
      </c>
      <c r="F1548">
        <v>100010949</v>
      </c>
      <c r="G1548" t="s">
        <v>101</v>
      </c>
      <c r="H1548">
        <v>40</v>
      </c>
      <c r="I1548">
        <v>71105120</v>
      </c>
      <c r="J1548">
        <v>11610030</v>
      </c>
      <c r="K1548" t="s">
        <v>268</v>
      </c>
      <c r="L1548" s="4">
        <v>251.31</v>
      </c>
      <c r="M1548" t="s">
        <v>54</v>
      </c>
      <c r="N1548" s="4">
        <v>4701.18</v>
      </c>
      <c r="O1548" t="s">
        <v>31</v>
      </c>
      <c r="P1548" t="s">
        <v>98</v>
      </c>
      <c r="X1548" t="s">
        <v>35</v>
      </c>
      <c r="Y1548" t="s">
        <v>389</v>
      </c>
      <c r="Z1548">
        <v>20200131</v>
      </c>
      <c r="AA1548">
        <f t="shared" si="42"/>
        <v>251.31</v>
      </c>
      <c r="AC1548"/>
      <c r="AE1548" t="s">
        <v>390</v>
      </c>
      <c r="AF1548"/>
      <c r="AL1548">
        <v>340099350</v>
      </c>
      <c r="AM1548" t="s">
        <v>391</v>
      </c>
    </row>
    <row r="1549" spans="1:39" x14ac:dyDescent="0.35">
      <c r="A1549">
        <v>3400</v>
      </c>
      <c r="B1549" t="s">
        <v>28</v>
      </c>
      <c r="C1549">
        <v>2020</v>
      </c>
      <c r="D1549" s="1">
        <v>43831</v>
      </c>
      <c r="E1549">
        <v>75</v>
      </c>
      <c r="F1549">
        <v>100010949</v>
      </c>
      <c r="G1549" t="s">
        <v>101</v>
      </c>
      <c r="H1549">
        <v>40</v>
      </c>
      <c r="I1549">
        <v>71105120</v>
      </c>
      <c r="J1549">
        <v>11610030</v>
      </c>
      <c r="K1549" t="s">
        <v>268</v>
      </c>
      <c r="L1549" s="4">
        <v>8.3800000000000008</v>
      </c>
      <c r="M1549" t="s">
        <v>54</v>
      </c>
      <c r="N1549" s="4">
        <v>156.76</v>
      </c>
      <c r="O1549" t="s">
        <v>31</v>
      </c>
      <c r="P1549" t="s">
        <v>98</v>
      </c>
      <c r="X1549" t="s">
        <v>35</v>
      </c>
      <c r="Y1549" t="s">
        <v>389</v>
      </c>
      <c r="Z1549">
        <v>20200131</v>
      </c>
      <c r="AA1549">
        <f t="shared" si="42"/>
        <v>8.3800000000000008</v>
      </c>
      <c r="AC1549"/>
      <c r="AE1549" t="s">
        <v>390</v>
      </c>
      <c r="AF1549"/>
      <c r="AL1549">
        <v>340099350</v>
      </c>
      <c r="AM1549" t="s">
        <v>391</v>
      </c>
    </row>
    <row r="1550" spans="1:39" x14ac:dyDescent="0.35">
      <c r="A1550">
        <v>3400</v>
      </c>
      <c r="B1550" t="s">
        <v>28</v>
      </c>
      <c r="C1550">
        <v>2020</v>
      </c>
      <c r="D1550" s="1">
        <v>43831</v>
      </c>
      <c r="E1550">
        <v>76</v>
      </c>
      <c r="F1550">
        <v>100010949</v>
      </c>
      <c r="G1550" t="s">
        <v>101</v>
      </c>
      <c r="H1550">
        <v>40</v>
      </c>
      <c r="I1550">
        <v>71105120</v>
      </c>
      <c r="J1550">
        <v>11610030</v>
      </c>
      <c r="K1550" t="s">
        <v>268</v>
      </c>
      <c r="L1550" s="4">
        <v>16.75</v>
      </c>
      <c r="M1550" t="s">
        <v>54</v>
      </c>
      <c r="N1550" s="4">
        <v>313.33999999999997</v>
      </c>
      <c r="O1550" t="s">
        <v>31</v>
      </c>
      <c r="P1550" t="s">
        <v>98</v>
      </c>
      <c r="X1550" t="s">
        <v>35</v>
      </c>
      <c r="Y1550" t="s">
        <v>389</v>
      </c>
      <c r="Z1550">
        <v>20200131</v>
      </c>
      <c r="AA1550">
        <f t="shared" si="42"/>
        <v>16.75</v>
      </c>
      <c r="AC1550"/>
      <c r="AE1550" t="s">
        <v>390</v>
      </c>
      <c r="AF1550"/>
      <c r="AL1550">
        <v>340099350</v>
      </c>
      <c r="AM1550" t="s">
        <v>391</v>
      </c>
    </row>
    <row r="1551" spans="1:39" x14ac:dyDescent="0.35">
      <c r="A1551">
        <v>3400</v>
      </c>
      <c r="B1551" t="s">
        <v>28</v>
      </c>
      <c r="C1551">
        <v>2020</v>
      </c>
      <c r="D1551" s="1">
        <v>43831</v>
      </c>
      <c r="E1551">
        <v>77</v>
      </c>
      <c r="F1551">
        <v>100010949</v>
      </c>
      <c r="G1551" t="s">
        <v>101</v>
      </c>
      <c r="H1551">
        <v>40</v>
      </c>
      <c r="I1551">
        <v>71105120</v>
      </c>
      <c r="J1551">
        <v>11610030</v>
      </c>
      <c r="K1551" t="s">
        <v>268</v>
      </c>
      <c r="L1551" s="4">
        <v>8.3800000000000008</v>
      </c>
      <c r="M1551" t="s">
        <v>54</v>
      </c>
      <c r="N1551" s="4">
        <v>156.76</v>
      </c>
      <c r="O1551" t="s">
        <v>31</v>
      </c>
      <c r="P1551" t="s">
        <v>98</v>
      </c>
      <c r="X1551" t="s">
        <v>35</v>
      </c>
      <c r="Y1551" t="s">
        <v>389</v>
      </c>
      <c r="Z1551">
        <v>20200131</v>
      </c>
      <c r="AA1551">
        <f t="shared" si="42"/>
        <v>8.3800000000000008</v>
      </c>
      <c r="AC1551"/>
      <c r="AE1551" t="s">
        <v>390</v>
      </c>
      <c r="AF1551"/>
      <c r="AL1551">
        <v>340099350</v>
      </c>
      <c r="AM1551" t="s">
        <v>391</v>
      </c>
    </row>
    <row r="1552" spans="1:39" x14ac:dyDescent="0.35">
      <c r="A1552">
        <v>3400</v>
      </c>
      <c r="B1552" t="s">
        <v>28</v>
      </c>
      <c r="C1552">
        <v>2020</v>
      </c>
      <c r="D1552" s="1">
        <v>43831</v>
      </c>
      <c r="E1552">
        <v>78</v>
      </c>
      <c r="F1552">
        <v>100010949</v>
      </c>
      <c r="G1552" t="s">
        <v>101</v>
      </c>
      <c r="H1552">
        <v>40</v>
      </c>
      <c r="I1552">
        <v>71105120</v>
      </c>
      <c r="J1552">
        <v>11610030</v>
      </c>
      <c r="K1552" t="s">
        <v>268</v>
      </c>
      <c r="L1552" s="4">
        <v>87.96</v>
      </c>
      <c r="M1552" t="s">
        <v>54</v>
      </c>
      <c r="N1552" s="4">
        <v>1645.44</v>
      </c>
      <c r="O1552" t="s">
        <v>31</v>
      </c>
      <c r="P1552" t="s">
        <v>98</v>
      </c>
      <c r="X1552" t="s">
        <v>35</v>
      </c>
      <c r="Y1552" t="s">
        <v>389</v>
      </c>
      <c r="Z1552">
        <v>20200131</v>
      </c>
      <c r="AA1552">
        <f t="shared" si="42"/>
        <v>87.96</v>
      </c>
      <c r="AC1552"/>
      <c r="AE1552" t="s">
        <v>390</v>
      </c>
      <c r="AF1552"/>
      <c r="AL1552">
        <v>340099350</v>
      </c>
      <c r="AM1552" t="s">
        <v>391</v>
      </c>
    </row>
    <row r="1553" spans="1:39" x14ac:dyDescent="0.35">
      <c r="A1553">
        <v>3400</v>
      </c>
      <c r="B1553" t="s">
        <v>28</v>
      </c>
      <c r="C1553">
        <v>2020</v>
      </c>
      <c r="D1553" s="1">
        <v>43831</v>
      </c>
      <c r="E1553">
        <v>79</v>
      </c>
      <c r="F1553">
        <v>100010949</v>
      </c>
      <c r="G1553" t="s">
        <v>101</v>
      </c>
      <c r="H1553">
        <v>40</v>
      </c>
      <c r="I1553">
        <v>71105120</v>
      </c>
      <c r="J1553">
        <v>11610030</v>
      </c>
      <c r="K1553" t="s">
        <v>268</v>
      </c>
      <c r="L1553" s="4">
        <v>46.07</v>
      </c>
      <c r="M1553" t="s">
        <v>54</v>
      </c>
      <c r="N1553" s="4">
        <v>861.82</v>
      </c>
      <c r="O1553" t="s">
        <v>31</v>
      </c>
      <c r="P1553" t="s">
        <v>98</v>
      </c>
      <c r="X1553" t="s">
        <v>35</v>
      </c>
      <c r="Y1553" t="s">
        <v>389</v>
      </c>
      <c r="Z1553">
        <v>20200131</v>
      </c>
      <c r="AA1553">
        <f t="shared" si="42"/>
        <v>46.07</v>
      </c>
      <c r="AC1553"/>
      <c r="AE1553" t="s">
        <v>390</v>
      </c>
      <c r="AF1553"/>
      <c r="AL1553">
        <v>340099350</v>
      </c>
      <c r="AM1553" t="s">
        <v>391</v>
      </c>
    </row>
    <row r="1554" spans="1:39" x14ac:dyDescent="0.35">
      <c r="A1554">
        <v>3400</v>
      </c>
      <c r="B1554" t="s">
        <v>28</v>
      </c>
      <c r="C1554">
        <v>2020</v>
      </c>
      <c r="D1554" s="1">
        <v>43831</v>
      </c>
      <c r="E1554">
        <v>80</v>
      </c>
      <c r="F1554">
        <v>100010949</v>
      </c>
      <c r="G1554" t="s">
        <v>101</v>
      </c>
      <c r="H1554">
        <v>40</v>
      </c>
      <c r="I1554">
        <v>71105120</v>
      </c>
      <c r="J1554">
        <v>11610030</v>
      </c>
      <c r="K1554" t="s">
        <v>268</v>
      </c>
      <c r="L1554" s="4">
        <v>41.89</v>
      </c>
      <c r="M1554" t="s">
        <v>54</v>
      </c>
      <c r="N1554" s="4">
        <v>783.62</v>
      </c>
      <c r="O1554" t="s">
        <v>31</v>
      </c>
      <c r="P1554" t="s">
        <v>98</v>
      </c>
      <c r="X1554" t="s">
        <v>35</v>
      </c>
      <c r="Y1554" t="s">
        <v>389</v>
      </c>
      <c r="Z1554">
        <v>20200131</v>
      </c>
      <c r="AA1554">
        <f t="shared" ref="AA1554:AA1617" si="43">L1554</f>
        <v>41.89</v>
      </c>
      <c r="AC1554"/>
      <c r="AE1554" t="s">
        <v>390</v>
      </c>
      <c r="AF1554"/>
      <c r="AL1554">
        <v>340099350</v>
      </c>
      <c r="AM1554" t="s">
        <v>391</v>
      </c>
    </row>
    <row r="1555" spans="1:39" x14ac:dyDescent="0.35">
      <c r="A1555">
        <v>3400</v>
      </c>
      <c r="B1555" t="s">
        <v>28</v>
      </c>
      <c r="C1555">
        <v>2020</v>
      </c>
      <c r="D1555" s="1">
        <v>43831</v>
      </c>
      <c r="E1555">
        <v>81</v>
      </c>
      <c r="F1555">
        <v>100010949</v>
      </c>
      <c r="G1555" t="s">
        <v>101</v>
      </c>
      <c r="H1555">
        <v>40</v>
      </c>
      <c r="I1555">
        <v>71105120</v>
      </c>
      <c r="J1555">
        <v>11610030</v>
      </c>
      <c r="K1555" t="s">
        <v>268</v>
      </c>
      <c r="L1555" s="4">
        <v>29.32</v>
      </c>
      <c r="M1555" t="s">
        <v>54</v>
      </c>
      <c r="N1555" s="4">
        <v>548.48</v>
      </c>
      <c r="O1555" t="s">
        <v>31</v>
      </c>
      <c r="P1555" t="s">
        <v>98</v>
      </c>
      <c r="X1555" t="s">
        <v>35</v>
      </c>
      <c r="Y1555" t="s">
        <v>389</v>
      </c>
      <c r="Z1555">
        <v>20200131</v>
      </c>
      <c r="AA1555">
        <f t="shared" si="43"/>
        <v>29.32</v>
      </c>
      <c r="AC1555"/>
      <c r="AE1555" t="s">
        <v>390</v>
      </c>
      <c r="AF1555"/>
      <c r="AL1555">
        <v>340099350</v>
      </c>
      <c r="AM1555" t="s">
        <v>391</v>
      </c>
    </row>
    <row r="1556" spans="1:39" x14ac:dyDescent="0.35">
      <c r="A1556">
        <v>3400</v>
      </c>
      <c r="B1556" t="s">
        <v>28</v>
      </c>
      <c r="C1556">
        <v>2020</v>
      </c>
      <c r="D1556" s="1">
        <v>43831</v>
      </c>
      <c r="E1556">
        <v>82</v>
      </c>
      <c r="F1556">
        <v>100010949</v>
      </c>
      <c r="G1556" t="s">
        <v>101</v>
      </c>
      <c r="H1556">
        <v>40</v>
      </c>
      <c r="I1556">
        <v>71105120</v>
      </c>
      <c r="J1556">
        <v>11610030</v>
      </c>
      <c r="K1556" t="s">
        <v>268</v>
      </c>
      <c r="L1556" s="4">
        <v>171.73</v>
      </c>
      <c r="M1556" t="s">
        <v>54</v>
      </c>
      <c r="N1556" s="4">
        <v>3212.5</v>
      </c>
      <c r="O1556" t="s">
        <v>31</v>
      </c>
      <c r="P1556" t="s">
        <v>98</v>
      </c>
      <c r="X1556" t="s">
        <v>35</v>
      </c>
      <c r="Y1556" t="s">
        <v>389</v>
      </c>
      <c r="Z1556">
        <v>20200131</v>
      </c>
      <c r="AA1556">
        <f t="shared" si="43"/>
        <v>171.73</v>
      </c>
      <c r="AC1556"/>
      <c r="AE1556" t="s">
        <v>390</v>
      </c>
      <c r="AF1556"/>
      <c r="AL1556">
        <v>340099350</v>
      </c>
      <c r="AM1556" t="s">
        <v>391</v>
      </c>
    </row>
    <row r="1557" spans="1:39" x14ac:dyDescent="0.35">
      <c r="A1557">
        <v>3400</v>
      </c>
      <c r="B1557" t="s">
        <v>28</v>
      </c>
      <c r="C1557">
        <v>2020</v>
      </c>
      <c r="D1557" s="1">
        <v>43831</v>
      </c>
      <c r="E1557">
        <v>83</v>
      </c>
      <c r="F1557">
        <v>100010949</v>
      </c>
      <c r="G1557" t="s">
        <v>101</v>
      </c>
      <c r="H1557">
        <v>40</v>
      </c>
      <c r="I1557">
        <v>71105120</v>
      </c>
      <c r="J1557">
        <v>11610030</v>
      </c>
      <c r="K1557" t="s">
        <v>268</v>
      </c>
      <c r="L1557" s="4">
        <v>20.94</v>
      </c>
      <c r="M1557" t="s">
        <v>54</v>
      </c>
      <c r="N1557" s="4">
        <v>391.72</v>
      </c>
      <c r="O1557" t="s">
        <v>31</v>
      </c>
      <c r="P1557" t="s">
        <v>98</v>
      </c>
      <c r="X1557" t="s">
        <v>35</v>
      </c>
      <c r="Y1557" t="s">
        <v>389</v>
      </c>
      <c r="Z1557">
        <v>20200131</v>
      </c>
      <c r="AA1557">
        <f t="shared" si="43"/>
        <v>20.94</v>
      </c>
      <c r="AC1557"/>
      <c r="AE1557" t="s">
        <v>390</v>
      </c>
      <c r="AF1557"/>
      <c r="AL1557">
        <v>340099350</v>
      </c>
      <c r="AM1557" t="s">
        <v>391</v>
      </c>
    </row>
    <row r="1558" spans="1:39" x14ac:dyDescent="0.35">
      <c r="A1558">
        <v>3400</v>
      </c>
      <c r="B1558" t="s">
        <v>28</v>
      </c>
      <c r="C1558">
        <v>2020</v>
      </c>
      <c r="D1558" s="1">
        <v>43831</v>
      </c>
      <c r="E1558">
        <v>84</v>
      </c>
      <c r="F1558">
        <v>100010949</v>
      </c>
      <c r="G1558" t="s">
        <v>101</v>
      </c>
      <c r="H1558">
        <v>40</v>
      </c>
      <c r="I1558">
        <v>71105120</v>
      </c>
      <c r="J1558">
        <v>11610030</v>
      </c>
      <c r="K1558" t="s">
        <v>268</v>
      </c>
      <c r="L1558" s="4">
        <v>4.1900000000000004</v>
      </c>
      <c r="M1558" t="s">
        <v>54</v>
      </c>
      <c r="N1558" s="4">
        <v>78.38</v>
      </c>
      <c r="O1558" t="s">
        <v>31</v>
      </c>
      <c r="P1558" t="s">
        <v>98</v>
      </c>
      <c r="X1558" t="s">
        <v>35</v>
      </c>
      <c r="Y1558" t="s">
        <v>389</v>
      </c>
      <c r="Z1558">
        <v>20200131</v>
      </c>
      <c r="AA1558">
        <f t="shared" si="43"/>
        <v>4.1900000000000004</v>
      </c>
      <c r="AC1558"/>
      <c r="AE1558" t="s">
        <v>390</v>
      </c>
      <c r="AF1558"/>
      <c r="AL1558">
        <v>340099350</v>
      </c>
      <c r="AM1558" t="s">
        <v>391</v>
      </c>
    </row>
    <row r="1559" spans="1:39" x14ac:dyDescent="0.35">
      <c r="A1559">
        <v>3400</v>
      </c>
      <c r="B1559" t="s">
        <v>28</v>
      </c>
      <c r="C1559">
        <v>2020</v>
      </c>
      <c r="D1559" s="1">
        <v>43831</v>
      </c>
      <c r="E1559">
        <v>85</v>
      </c>
      <c r="F1559">
        <v>100010949</v>
      </c>
      <c r="G1559" t="s">
        <v>101</v>
      </c>
      <c r="H1559">
        <v>40</v>
      </c>
      <c r="I1559">
        <v>71105120</v>
      </c>
      <c r="J1559">
        <v>11610030</v>
      </c>
      <c r="K1559" t="s">
        <v>268</v>
      </c>
      <c r="L1559" s="4">
        <v>4.1900000000000004</v>
      </c>
      <c r="M1559" t="s">
        <v>54</v>
      </c>
      <c r="N1559" s="4">
        <v>78.38</v>
      </c>
      <c r="O1559" t="s">
        <v>31</v>
      </c>
      <c r="P1559" t="s">
        <v>98</v>
      </c>
      <c r="X1559" t="s">
        <v>35</v>
      </c>
      <c r="Y1559" t="s">
        <v>389</v>
      </c>
      <c r="Z1559">
        <v>20200131</v>
      </c>
      <c r="AA1559">
        <f t="shared" si="43"/>
        <v>4.1900000000000004</v>
      </c>
      <c r="AC1559"/>
      <c r="AE1559" t="s">
        <v>390</v>
      </c>
      <c r="AF1559"/>
      <c r="AL1559">
        <v>340099350</v>
      </c>
      <c r="AM1559" t="s">
        <v>391</v>
      </c>
    </row>
    <row r="1560" spans="1:39" x14ac:dyDescent="0.35">
      <c r="A1560">
        <v>3400</v>
      </c>
      <c r="B1560" t="s">
        <v>28</v>
      </c>
      <c r="C1560">
        <v>2020</v>
      </c>
      <c r="D1560" s="1">
        <v>43831</v>
      </c>
      <c r="E1560">
        <v>86</v>
      </c>
      <c r="F1560">
        <v>100010949</v>
      </c>
      <c r="G1560" t="s">
        <v>101</v>
      </c>
      <c r="H1560">
        <v>40</v>
      </c>
      <c r="I1560">
        <v>71105120</v>
      </c>
      <c r="J1560">
        <v>11610030</v>
      </c>
      <c r="K1560" t="s">
        <v>268</v>
      </c>
      <c r="L1560" s="4">
        <v>4.1900000000000004</v>
      </c>
      <c r="M1560" t="s">
        <v>54</v>
      </c>
      <c r="N1560" s="4">
        <v>78.38</v>
      </c>
      <c r="O1560" t="s">
        <v>31</v>
      </c>
      <c r="P1560" t="s">
        <v>98</v>
      </c>
      <c r="X1560" t="s">
        <v>35</v>
      </c>
      <c r="Y1560" t="s">
        <v>389</v>
      </c>
      <c r="Z1560">
        <v>20200131</v>
      </c>
      <c r="AA1560">
        <f t="shared" si="43"/>
        <v>4.1900000000000004</v>
      </c>
      <c r="AC1560"/>
      <c r="AE1560" t="s">
        <v>390</v>
      </c>
      <c r="AF1560"/>
      <c r="AL1560">
        <v>340099350</v>
      </c>
      <c r="AM1560" t="s">
        <v>391</v>
      </c>
    </row>
    <row r="1561" spans="1:39" x14ac:dyDescent="0.35">
      <c r="A1561">
        <v>3400</v>
      </c>
      <c r="B1561" t="s">
        <v>28</v>
      </c>
      <c r="C1561">
        <v>2020</v>
      </c>
      <c r="D1561" s="1">
        <v>43831</v>
      </c>
      <c r="E1561">
        <v>87</v>
      </c>
      <c r="F1561">
        <v>100010949</v>
      </c>
      <c r="G1561" t="s">
        <v>101</v>
      </c>
      <c r="H1561">
        <v>40</v>
      </c>
      <c r="I1561">
        <v>71105120</v>
      </c>
      <c r="J1561">
        <v>11610030</v>
      </c>
      <c r="K1561" t="s">
        <v>268</v>
      </c>
      <c r="L1561" s="4">
        <v>4.1900000000000004</v>
      </c>
      <c r="M1561" t="s">
        <v>54</v>
      </c>
      <c r="N1561" s="4">
        <v>78.38</v>
      </c>
      <c r="O1561" t="s">
        <v>31</v>
      </c>
      <c r="P1561" t="s">
        <v>98</v>
      </c>
      <c r="X1561" t="s">
        <v>35</v>
      </c>
      <c r="Y1561" t="s">
        <v>389</v>
      </c>
      <c r="Z1561">
        <v>20200131</v>
      </c>
      <c r="AA1561">
        <f t="shared" si="43"/>
        <v>4.1900000000000004</v>
      </c>
      <c r="AC1561"/>
      <c r="AE1561" t="s">
        <v>390</v>
      </c>
      <c r="AF1561"/>
      <c r="AL1561">
        <v>340099350</v>
      </c>
      <c r="AM1561" t="s">
        <v>391</v>
      </c>
    </row>
    <row r="1562" spans="1:39" x14ac:dyDescent="0.35">
      <c r="A1562">
        <v>3400</v>
      </c>
      <c r="B1562" t="s">
        <v>28</v>
      </c>
      <c r="C1562">
        <v>2020</v>
      </c>
      <c r="D1562" s="1">
        <v>43831</v>
      </c>
      <c r="E1562">
        <v>88</v>
      </c>
      <c r="F1562">
        <v>100010949</v>
      </c>
      <c r="G1562" t="s">
        <v>101</v>
      </c>
      <c r="H1562">
        <v>40</v>
      </c>
      <c r="I1562">
        <v>71105120</v>
      </c>
      <c r="J1562">
        <v>11610030</v>
      </c>
      <c r="K1562" t="s">
        <v>268</v>
      </c>
      <c r="L1562" s="4">
        <v>4.1900000000000004</v>
      </c>
      <c r="M1562" t="s">
        <v>54</v>
      </c>
      <c r="N1562" s="4">
        <v>78.38</v>
      </c>
      <c r="O1562" t="s">
        <v>31</v>
      </c>
      <c r="P1562" t="s">
        <v>98</v>
      </c>
      <c r="X1562" t="s">
        <v>35</v>
      </c>
      <c r="Y1562" t="s">
        <v>389</v>
      </c>
      <c r="Z1562">
        <v>20200131</v>
      </c>
      <c r="AA1562">
        <f t="shared" si="43"/>
        <v>4.1900000000000004</v>
      </c>
      <c r="AC1562"/>
      <c r="AE1562" t="s">
        <v>390</v>
      </c>
      <c r="AF1562"/>
      <c r="AL1562">
        <v>340040950</v>
      </c>
      <c r="AM1562" t="s">
        <v>391</v>
      </c>
    </row>
    <row r="1563" spans="1:39" x14ac:dyDescent="0.35">
      <c r="A1563">
        <v>3400</v>
      </c>
      <c r="B1563" t="s">
        <v>28</v>
      </c>
      <c r="C1563">
        <v>2020</v>
      </c>
      <c r="D1563" s="1">
        <v>43831</v>
      </c>
      <c r="E1563">
        <v>89</v>
      </c>
      <c r="F1563">
        <v>100010949</v>
      </c>
      <c r="G1563" t="s">
        <v>101</v>
      </c>
      <c r="H1563">
        <v>40</v>
      </c>
      <c r="I1563">
        <v>71105120</v>
      </c>
      <c r="J1563">
        <v>11610030</v>
      </c>
      <c r="K1563" t="s">
        <v>268</v>
      </c>
      <c r="L1563" s="4">
        <v>62.83</v>
      </c>
      <c r="M1563" t="s">
        <v>54</v>
      </c>
      <c r="N1563" s="4">
        <v>1175.3399999999999</v>
      </c>
      <c r="O1563" t="s">
        <v>31</v>
      </c>
      <c r="P1563" t="s">
        <v>98</v>
      </c>
      <c r="X1563" t="s">
        <v>35</v>
      </c>
      <c r="Y1563" t="s">
        <v>389</v>
      </c>
      <c r="Z1563">
        <v>20200131</v>
      </c>
      <c r="AA1563">
        <f t="shared" si="43"/>
        <v>62.83</v>
      </c>
      <c r="AC1563"/>
      <c r="AE1563" t="s">
        <v>390</v>
      </c>
      <c r="AF1563"/>
      <c r="AL1563">
        <v>340098950</v>
      </c>
      <c r="AM1563" t="s">
        <v>391</v>
      </c>
    </row>
    <row r="1564" spans="1:39" x14ac:dyDescent="0.35">
      <c r="A1564">
        <v>3400</v>
      </c>
      <c r="B1564" t="s">
        <v>28</v>
      </c>
      <c r="C1564">
        <v>2020</v>
      </c>
      <c r="D1564" s="1">
        <v>43831</v>
      </c>
      <c r="E1564">
        <v>90</v>
      </c>
      <c r="F1564">
        <v>100010949</v>
      </c>
      <c r="G1564" t="s">
        <v>101</v>
      </c>
      <c r="H1564">
        <v>40</v>
      </c>
      <c r="I1564">
        <v>71105120</v>
      </c>
      <c r="J1564">
        <v>11610030</v>
      </c>
      <c r="K1564" t="s">
        <v>268</v>
      </c>
      <c r="L1564" s="4">
        <v>62.83</v>
      </c>
      <c r="M1564" t="s">
        <v>54</v>
      </c>
      <c r="N1564" s="4">
        <v>1175.3399999999999</v>
      </c>
      <c r="O1564" t="s">
        <v>31</v>
      </c>
      <c r="P1564" t="s">
        <v>98</v>
      </c>
      <c r="X1564" t="s">
        <v>35</v>
      </c>
      <c r="Y1564" t="s">
        <v>389</v>
      </c>
      <c r="Z1564">
        <v>20200131</v>
      </c>
      <c r="AA1564">
        <f t="shared" si="43"/>
        <v>62.83</v>
      </c>
      <c r="AC1564"/>
      <c r="AE1564" t="s">
        <v>390</v>
      </c>
      <c r="AF1564"/>
      <c r="AL1564">
        <v>340098950</v>
      </c>
      <c r="AM1564" t="s">
        <v>391</v>
      </c>
    </row>
    <row r="1565" spans="1:39" x14ac:dyDescent="0.35">
      <c r="A1565">
        <v>3400</v>
      </c>
      <c r="B1565" t="s">
        <v>28</v>
      </c>
      <c r="C1565">
        <v>2020</v>
      </c>
      <c r="D1565" s="1">
        <v>43831</v>
      </c>
      <c r="E1565">
        <v>91</v>
      </c>
      <c r="F1565">
        <v>100010949</v>
      </c>
      <c r="G1565" t="s">
        <v>101</v>
      </c>
      <c r="H1565">
        <v>40</v>
      </c>
      <c r="I1565">
        <v>71105120</v>
      </c>
      <c r="J1565">
        <v>11610030</v>
      </c>
      <c r="K1565" t="s">
        <v>268</v>
      </c>
      <c r="L1565" s="4">
        <v>25.13</v>
      </c>
      <c r="M1565" t="s">
        <v>54</v>
      </c>
      <c r="N1565" s="4">
        <v>470.1</v>
      </c>
      <c r="O1565" t="s">
        <v>31</v>
      </c>
      <c r="P1565" t="s">
        <v>98</v>
      </c>
      <c r="X1565" t="s">
        <v>35</v>
      </c>
      <c r="Y1565" t="s">
        <v>389</v>
      </c>
      <c r="Z1565">
        <v>20200131</v>
      </c>
      <c r="AA1565">
        <f t="shared" si="43"/>
        <v>25.13</v>
      </c>
      <c r="AC1565"/>
      <c r="AE1565" t="s">
        <v>390</v>
      </c>
      <c r="AF1565"/>
      <c r="AL1565">
        <v>340098950</v>
      </c>
      <c r="AM1565" t="s">
        <v>391</v>
      </c>
    </row>
    <row r="1566" spans="1:39" x14ac:dyDescent="0.35">
      <c r="A1566">
        <v>3400</v>
      </c>
      <c r="B1566" t="s">
        <v>28</v>
      </c>
      <c r="C1566">
        <v>2020</v>
      </c>
      <c r="D1566" s="1">
        <v>43831</v>
      </c>
      <c r="E1566">
        <v>92</v>
      </c>
      <c r="F1566">
        <v>100010949</v>
      </c>
      <c r="G1566" t="s">
        <v>101</v>
      </c>
      <c r="H1566">
        <v>40</v>
      </c>
      <c r="I1566">
        <v>71105120</v>
      </c>
      <c r="J1566">
        <v>11610030</v>
      </c>
      <c r="K1566" t="s">
        <v>268</v>
      </c>
      <c r="L1566" s="4">
        <v>50.26</v>
      </c>
      <c r="M1566" t="s">
        <v>54</v>
      </c>
      <c r="N1566" s="4">
        <v>940.2</v>
      </c>
      <c r="O1566" t="s">
        <v>31</v>
      </c>
      <c r="P1566" t="s">
        <v>98</v>
      </c>
      <c r="X1566" t="s">
        <v>35</v>
      </c>
      <c r="Y1566" t="s">
        <v>389</v>
      </c>
      <c r="Z1566">
        <v>20200131</v>
      </c>
      <c r="AA1566">
        <f t="shared" si="43"/>
        <v>50.26</v>
      </c>
      <c r="AC1566"/>
      <c r="AE1566" t="s">
        <v>390</v>
      </c>
      <c r="AF1566"/>
      <c r="AL1566">
        <v>340098950</v>
      </c>
      <c r="AM1566" t="s">
        <v>391</v>
      </c>
    </row>
    <row r="1567" spans="1:39" x14ac:dyDescent="0.35">
      <c r="A1567">
        <v>3400</v>
      </c>
      <c r="B1567" t="s">
        <v>28</v>
      </c>
      <c r="C1567">
        <v>2020</v>
      </c>
      <c r="D1567" s="1">
        <v>43831</v>
      </c>
      <c r="E1567">
        <v>93</v>
      </c>
      <c r="F1567">
        <v>100010949</v>
      </c>
      <c r="G1567" t="s">
        <v>101</v>
      </c>
      <c r="H1567">
        <v>40</v>
      </c>
      <c r="I1567">
        <v>71105120</v>
      </c>
      <c r="J1567">
        <v>11610030</v>
      </c>
      <c r="K1567" t="s">
        <v>268</v>
      </c>
      <c r="L1567" s="4">
        <v>16.75</v>
      </c>
      <c r="M1567" t="s">
        <v>54</v>
      </c>
      <c r="N1567" s="4">
        <v>313.33999999999997</v>
      </c>
      <c r="O1567" t="s">
        <v>31</v>
      </c>
      <c r="P1567" t="s">
        <v>98</v>
      </c>
      <c r="X1567" t="s">
        <v>35</v>
      </c>
      <c r="Y1567" t="s">
        <v>389</v>
      </c>
      <c r="Z1567">
        <v>20200131</v>
      </c>
      <c r="AA1567">
        <f t="shared" si="43"/>
        <v>16.75</v>
      </c>
      <c r="AC1567"/>
      <c r="AE1567" t="s">
        <v>390</v>
      </c>
      <c r="AF1567"/>
      <c r="AL1567">
        <v>340098950</v>
      </c>
      <c r="AM1567" t="s">
        <v>391</v>
      </c>
    </row>
    <row r="1568" spans="1:39" x14ac:dyDescent="0.35">
      <c r="A1568">
        <v>3400</v>
      </c>
      <c r="B1568" t="s">
        <v>28</v>
      </c>
      <c r="C1568">
        <v>2020</v>
      </c>
      <c r="D1568" s="1">
        <v>43831</v>
      </c>
      <c r="E1568">
        <v>94</v>
      </c>
      <c r="F1568">
        <v>100010949</v>
      </c>
      <c r="G1568" t="s">
        <v>101</v>
      </c>
      <c r="H1568">
        <v>40</v>
      </c>
      <c r="I1568">
        <v>71105120</v>
      </c>
      <c r="J1568">
        <v>11610030</v>
      </c>
      <c r="K1568" t="s">
        <v>268</v>
      </c>
      <c r="L1568" s="4">
        <v>29.32</v>
      </c>
      <c r="M1568" t="s">
        <v>54</v>
      </c>
      <c r="N1568" s="4">
        <v>548.48</v>
      </c>
      <c r="O1568" t="s">
        <v>31</v>
      </c>
      <c r="P1568" t="s">
        <v>98</v>
      </c>
      <c r="X1568" t="s">
        <v>35</v>
      </c>
      <c r="Y1568" t="s">
        <v>389</v>
      </c>
      <c r="Z1568">
        <v>20200131</v>
      </c>
      <c r="AA1568">
        <f t="shared" si="43"/>
        <v>29.32</v>
      </c>
      <c r="AC1568"/>
      <c r="AE1568" t="s">
        <v>390</v>
      </c>
      <c r="AF1568"/>
      <c r="AL1568">
        <v>340098950</v>
      </c>
      <c r="AM1568" t="s">
        <v>391</v>
      </c>
    </row>
    <row r="1569" spans="1:39" x14ac:dyDescent="0.35">
      <c r="A1569">
        <v>3400</v>
      </c>
      <c r="B1569" t="s">
        <v>28</v>
      </c>
      <c r="C1569">
        <v>2020</v>
      </c>
      <c r="D1569" s="1">
        <v>43831</v>
      </c>
      <c r="E1569">
        <v>95</v>
      </c>
      <c r="F1569">
        <v>100010949</v>
      </c>
      <c r="G1569" t="s">
        <v>101</v>
      </c>
      <c r="H1569">
        <v>40</v>
      </c>
      <c r="I1569">
        <v>71105120</v>
      </c>
      <c r="J1569">
        <v>11610030</v>
      </c>
      <c r="K1569" t="s">
        <v>268</v>
      </c>
      <c r="L1569" s="4">
        <v>62.83</v>
      </c>
      <c r="M1569" t="s">
        <v>54</v>
      </c>
      <c r="N1569" s="4">
        <v>1175.3399999999999</v>
      </c>
      <c r="O1569" t="s">
        <v>31</v>
      </c>
      <c r="P1569" t="s">
        <v>98</v>
      </c>
      <c r="X1569" t="s">
        <v>35</v>
      </c>
      <c r="Y1569" t="s">
        <v>389</v>
      </c>
      <c r="Z1569">
        <v>20200131</v>
      </c>
      <c r="AA1569">
        <f t="shared" si="43"/>
        <v>62.83</v>
      </c>
      <c r="AC1569"/>
      <c r="AE1569" t="s">
        <v>390</v>
      </c>
      <c r="AF1569"/>
      <c r="AL1569">
        <v>340098950</v>
      </c>
      <c r="AM1569" t="s">
        <v>391</v>
      </c>
    </row>
    <row r="1570" spans="1:39" x14ac:dyDescent="0.35">
      <c r="A1570">
        <v>3400</v>
      </c>
      <c r="B1570" t="s">
        <v>28</v>
      </c>
      <c r="C1570">
        <v>2020</v>
      </c>
      <c r="D1570" s="1">
        <v>43831</v>
      </c>
      <c r="E1570">
        <v>96</v>
      </c>
      <c r="F1570">
        <v>100010949</v>
      </c>
      <c r="G1570" t="s">
        <v>101</v>
      </c>
      <c r="H1570">
        <v>40</v>
      </c>
      <c r="I1570">
        <v>71105120</v>
      </c>
      <c r="J1570">
        <v>11610030</v>
      </c>
      <c r="K1570" t="s">
        <v>268</v>
      </c>
      <c r="L1570" s="4">
        <v>16.75</v>
      </c>
      <c r="M1570" t="s">
        <v>54</v>
      </c>
      <c r="N1570" s="4">
        <v>313.33999999999997</v>
      </c>
      <c r="O1570" t="s">
        <v>31</v>
      </c>
      <c r="P1570" t="s">
        <v>98</v>
      </c>
      <c r="X1570" t="s">
        <v>35</v>
      </c>
      <c r="Y1570" t="s">
        <v>389</v>
      </c>
      <c r="Z1570">
        <v>20200131</v>
      </c>
      <c r="AA1570">
        <f t="shared" si="43"/>
        <v>16.75</v>
      </c>
      <c r="AC1570"/>
      <c r="AE1570" t="s">
        <v>390</v>
      </c>
      <c r="AF1570"/>
      <c r="AL1570">
        <v>340098950</v>
      </c>
      <c r="AM1570" t="s">
        <v>391</v>
      </c>
    </row>
    <row r="1571" spans="1:39" x14ac:dyDescent="0.35">
      <c r="A1571">
        <v>3400</v>
      </c>
      <c r="B1571" t="s">
        <v>28</v>
      </c>
      <c r="C1571">
        <v>2020</v>
      </c>
      <c r="D1571" s="1">
        <v>43831</v>
      </c>
      <c r="E1571">
        <v>97</v>
      </c>
      <c r="F1571">
        <v>100010949</v>
      </c>
      <c r="G1571" t="s">
        <v>101</v>
      </c>
      <c r="H1571">
        <v>40</v>
      </c>
      <c r="I1571">
        <v>71105120</v>
      </c>
      <c r="J1571">
        <v>11610030</v>
      </c>
      <c r="K1571" t="s">
        <v>268</v>
      </c>
      <c r="L1571" s="4">
        <v>8.3800000000000008</v>
      </c>
      <c r="M1571" t="s">
        <v>54</v>
      </c>
      <c r="N1571" s="4">
        <v>156.76</v>
      </c>
      <c r="O1571" t="s">
        <v>31</v>
      </c>
      <c r="P1571" t="s">
        <v>98</v>
      </c>
      <c r="X1571" t="s">
        <v>35</v>
      </c>
      <c r="Y1571" t="s">
        <v>389</v>
      </c>
      <c r="Z1571">
        <v>20200131</v>
      </c>
      <c r="AA1571">
        <f t="shared" si="43"/>
        <v>8.3800000000000008</v>
      </c>
      <c r="AC1571"/>
      <c r="AE1571" t="s">
        <v>390</v>
      </c>
      <c r="AF1571"/>
      <c r="AL1571">
        <v>340098950</v>
      </c>
      <c r="AM1571" t="s">
        <v>391</v>
      </c>
    </row>
    <row r="1572" spans="1:39" x14ac:dyDescent="0.35">
      <c r="A1572">
        <v>3400</v>
      </c>
      <c r="B1572" t="s">
        <v>28</v>
      </c>
      <c r="C1572">
        <v>2020</v>
      </c>
      <c r="D1572" s="1">
        <v>43831</v>
      </c>
      <c r="E1572">
        <v>98</v>
      </c>
      <c r="F1572">
        <v>100010949</v>
      </c>
      <c r="G1572" t="s">
        <v>101</v>
      </c>
      <c r="H1572">
        <v>40</v>
      </c>
      <c r="I1572">
        <v>71105120</v>
      </c>
      <c r="J1572">
        <v>11610030</v>
      </c>
      <c r="K1572" t="s">
        <v>268</v>
      </c>
      <c r="L1572" s="4">
        <v>16.75</v>
      </c>
      <c r="M1572" t="s">
        <v>54</v>
      </c>
      <c r="N1572" s="4">
        <v>313.33999999999997</v>
      </c>
      <c r="O1572" t="s">
        <v>31</v>
      </c>
      <c r="P1572" t="s">
        <v>98</v>
      </c>
      <c r="X1572" t="s">
        <v>35</v>
      </c>
      <c r="Y1572" t="s">
        <v>389</v>
      </c>
      <c r="Z1572">
        <v>20200131</v>
      </c>
      <c r="AA1572">
        <f t="shared" si="43"/>
        <v>16.75</v>
      </c>
      <c r="AC1572"/>
      <c r="AE1572" t="s">
        <v>390</v>
      </c>
      <c r="AF1572"/>
      <c r="AL1572">
        <v>340098950</v>
      </c>
      <c r="AM1572" t="s">
        <v>391</v>
      </c>
    </row>
    <row r="1573" spans="1:39" x14ac:dyDescent="0.35">
      <c r="A1573">
        <v>3400</v>
      </c>
      <c r="B1573" t="s">
        <v>28</v>
      </c>
      <c r="C1573">
        <v>2020</v>
      </c>
      <c r="D1573" s="1">
        <v>43831</v>
      </c>
      <c r="E1573">
        <v>99</v>
      </c>
      <c r="F1573">
        <v>100010949</v>
      </c>
      <c r="G1573" t="s">
        <v>101</v>
      </c>
      <c r="H1573">
        <v>40</v>
      </c>
      <c r="I1573">
        <v>71105120</v>
      </c>
      <c r="J1573">
        <v>11610030</v>
      </c>
      <c r="K1573" t="s">
        <v>268</v>
      </c>
      <c r="L1573" s="4">
        <v>25.13</v>
      </c>
      <c r="M1573" t="s">
        <v>54</v>
      </c>
      <c r="N1573" s="4">
        <v>470.1</v>
      </c>
      <c r="O1573" t="s">
        <v>31</v>
      </c>
      <c r="P1573" t="s">
        <v>98</v>
      </c>
      <c r="X1573" t="s">
        <v>35</v>
      </c>
      <c r="Y1573" t="s">
        <v>389</v>
      </c>
      <c r="Z1573">
        <v>20200131</v>
      </c>
      <c r="AA1573">
        <f t="shared" si="43"/>
        <v>25.13</v>
      </c>
      <c r="AC1573"/>
      <c r="AE1573" t="s">
        <v>390</v>
      </c>
      <c r="AF1573"/>
      <c r="AL1573">
        <v>340098950</v>
      </c>
      <c r="AM1573" t="s">
        <v>391</v>
      </c>
    </row>
    <row r="1574" spans="1:39" x14ac:dyDescent="0.35">
      <c r="A1574">
        <v>3400</v>
      </c>
      <c r="B1574" t="s">
        <v>28</v>
      </c>
      <c r="C1574">
        <v>2020</v>
      </c>
      <c r="D1574" s="1">
        <v>43831</v>
      </c>
      <c r="E1574">
        <v>100</v>
      </c>
      <c r="F1574">
        <v>100010949</v>
      </c>
      <c r="G1574" t="s">
        <v>101</v>
      </c>
      <c r="H1574">
        <v>40</v>
      </c>
      <c r="I1574">
        <v>71105120</v>
      </c>
      <c r="J1574">
        <v>11610030</v>
      </c>
      <c r="K1574" t="s">
        <v>268</v>
      </c>
      <c r="L1574" s="4">
        <v>4.1900000000000004</v>
      </c>
      <c r="M1574" t="s">
        <v>54</v>
      </c>
      <c r="N1574" s="4">
        <v>78.38</v>
      </c>
      <c r="O1574" t="s">
        <v>31</v>
      </c>
      <c r="P1574" t="s">
        <v>98</v>
      </c>
      <c r="X1574" t="s">
        <v>35</v>
      </c>
      <c r="Y1574" t="s">
        <v>389</v>
      </c>
      <c r="Z1574">
        <v>20200131</v>
      </c>
      <c r="AA1574">
        <f t="shared" si="43"/>
        <v>4.1900000000000004</v>
      </c>
      <c r="AC1574"/>
      <c r="AE1574" t="s">
        <v>390</v>
      </c>
      <c r="AF1574"/>
      <c r="AL1574">
        <v>340098950</v>
      </c>
      <c r="AM1574" t="s">
        <v>391</v>
      </c>
    </row>
    <row r="1575" spans="1:39" x14ac:dyDescent="0.35">
      <c r="A1575">
        <v>3400</v>
      </c>
      <c r="B1575" t="s">
        <v>28</v>
      </c>
      <c r="C1575">
        <v>2020</v>
      </c>
      <c r="D1575" s="1">
        <v>43831</v>
      </c>
      <c r="E1575">
        <v>101</v>
      </c>
      <c r="F1575">
        <v>100010949</v>
      </c>
      <c r="G1575" t="s">
        <v>101</v>
      </c>
      <c r="H1575">
        <v>40</v>
      </c>
      <c r="I1575">
        <v>71105120</v>
      </c>
      <c r="J1575">
        <v>11610030</v>
      </c>
      <c r="K1575" t="s">
        <v>268</v>
      </c>
      <c r="L1575" s="4">
        <v>29.32</v>
      </c>
      <c r="M1575" t="s">
        <v>54</v>
      </c>
      <c r="N1575" s="4">
        <v>548.48</v>
      </c>
      <c r="O1575" t="s">
        <v>31</v>
      </c>
      <c r="P1575" t="s">
        <v>98</v>
      </c>
      <c r="X1575" t="s">
        <v>35</v>
      </c>
      <c r="Y1575" t="s">
        <v>389</v>
      </c>
      <c r="Z1575">
        <v>20200131</v>
      </c>
      <c r="AA1575">
        <f t="shared" si="43"/>
        <v>29.32</v>
      </c>
      <c r="AC1575"/>
      <c r="AE1575" t="s">
        <v>390</v>
      </c>
      <c r="AF1575"/>
      <c r="AL1575">
        <v>340098950</v>
      </c>
      <c r="AM1575" t="s">
        <v>391</v>
      </c>
    </row>
    <row r="1576" spans="1:39" x14ac:dyDescent="0.35">
      <c r="A1576">
        <v>3400</v>
      </c>
      <c r="B1576" t="s">
        <v>28</v>
      </c>
      <c r="C1576">
        <v>2020</v>
      </c>
      <c r="D1576" s="1">
        <v>43831</v>
      </c>
      <c r="E1576">
        <v>102</v>
      </c>
      <c r="F1576">
        <v>100010949</v>
      </c>
      <c r="G1576" t="s">
        <v>101</v>
      </c>
      <c r="H1576">
        <v>40</v>
      </c>
      <c r="I1576">
        <v>71105120</v>
      </c>
      <c r="J1576">
        <v>11610030</v>
      </c>
      <c r="K1576" t="s">
        <v>268</v>
      </c>
      <c r="L1576" s="4">
        <v>12.57</v>
      </c>
      <c r="M1576" t="s">
        <v>54</v>
      </c>
      <c r="N1576" s="4">
        <v>235.14</v>
      </c>
      <c r="O1576" t="s">
        <v>31</v>
      </c>
      <c r="P1576" t="s">
        <v>98</v>
      </c>
      <c r="X1576" t="s">
        <v>35</v>
      </c>
      <c r="Y1576" t="s">
        <v>389</v>
      </c>
      <c r="Z1576">
        <v>20200131</v>
      </c>
      <c r="AA1576">
        <f t="shared" si="43"/>
        <v>12.57</v>
      </c>
      <c r="AC1576"/>
      <c r="AE1576" t="s">
        <v>390</v>
      </c>
      <c r="AF1576"/>
      <c r="AL1576">
        <v>340098950</v>
      </c>
      <c r="AM1576" t="s">
        <v>391</v>
      </c>
    </row>
    <row r="1577" spans="1:39" x14ac:dyDescent="0.35">
      <c r="A1577">
        <v>3400</v>
      </c>
      <c r="B1577" t="s">
        <v>28</v>
      </c>
      <c r="C1577">
        <v>2020</v>
      </c>
      <c r="D1577" s="1">
        <v>43831</v>
      </c>
      <c r="E1577">
        <v>103</v>
      </c>
      <c r="F1577">
        <v>100010949</v>
      </c>
      <c r="G1577" t="s">
        <v>101</v>
      </c>
      <c r="H1577">
        <v>40</v>
      </c>
      <c r="I1577">
        <v>71105120</v>
      </c>
      <c r="J1577">
        <v>11610030</v>
      </c>
      <c r="K1577" t="s">
        <v>268</v>
      </c>
      <c r="L1577" s="4">
        <v>20.94</v>
      </c>
      <c r="M1577" t="s">
        <v>54</v>
      </c>
      <c r="N1577" s="4">
        <v>391.72</v>
      </c>
      <c r="O1577" t="s">
        <v>31</v>
      </c>
      <c r="P1577" t="s">
        <v>98</v>
      </c>
      <c r="X1577" t="s">
        <v>35</v>
      </c>
      <c r="Y1577" t="s">
        <v>389</v>
      </c>
      <c r="Z1577">
        <v>20200131</v>
      </c>
      <c r="AA1577">
        <f t="shared" si="43"/>
        <v>20.94</v>
      </c>
      <c r="AC1577"/>
      <c r="AE1577" t="s">
        <v>390</v>
      </c>
      <c r="AF1577"/>
      <c r="AL1577">
        <v>340098950</v>
      </c>
      <c r="AM1577" t="s">
        <v>391</v>
      </c>
    </row>
    <row r="1578" spans="1:39" x14ac:dyDescent="0.35">
      <c r="A1578">
        <v>3400</v>
      </c>
      <c r="B1578" t="s">
        <v>28</v>
      </c>
      <c r="C1578">
        <v>2020</v>
      </c>
      <c r="D1578" s="1">
        <v>43831</v>
      </c>
      <c r="E1578">
        <v>104</v>
      </c>
      <c r="F1578">
        <v>100010949</v>
      </c>
      <c r="G1578" t="s">
        <v>101</v>
      </c>
      <c r="H1578">
        <v>40</v>
      </c>
      <c r="I1578">
        <v>71105120</v>
      </c>
      <c r="J1578">
        <v>11610030</v>
      </c>
      <c r="K1578" t="s">
        <v>268</v>
      </c>
      <c r="L1578" s="4">
        <v>4.1900000000000004</v>
      </c>
      <c r="M1578" t="s">
        <v>54</v>
      </c>
      <c r="N1578" s="4">
        <v>78.38</v>
      </c>
      <c r="O1578" t="s">
        <v>31</v>
      </c>
      <c r="P1578" t="s">
        <v>98</v>
      </c>
      <c r="X1578" t="s">
        <v>35</v>
      </c>
      <c r="Y1578" t="s">
        <v>389</v>
      </c>
      <c r="Z1578">
        <v>20200131</v>
      </c>
      <c r="AA1578">
        <f t="shared" si="43"/>
        <v>4.1900000000000004</v>
      </c>
      <c r="AC1578"/>
      <c r="AE1578" t="s">
        <v>390</v>
      </c>
      <c r="AF1578"/>
      <c r="AL1578">
        <v>340098950</v>
      </c>
      <c r="AM1578" t="s">
        <v>391</v>
      </c>
    </row>
    <row r="1579" spans="1:39" x14ac:dyDescent="0.35">
      <c r="A1579">
        <v>3400</v>
      </c>
      <c r="B1579" t="s">
        <v>28</v>
      </c>
      <c r="C1579">
        <v>2020</v>
      </c>
      <c r="D1579" s="1">
        <v>43831</v>
      </c>
      <c r="E1579">
        <v>105</v>
      </c>
      <c r="F1579">
        <v>100010949</v>
      </c>
      <c r="G1579" t="s">
        <v>101</v>
      </c>
      <c r="H1579">
        <v>40</v>
      </c>
      <c r="I1579">
        <v>71105120</v>
      </c>
      <c r="J1579">
        <v>11610030</v>
      </c>
      <c r="K1579" t="s">
        <v>268</v>
      </c>
      <c r="L1579" s="4">
        <v>25.13</v>
      </c>
      <c r="M1579" t="s">
        <v>54</v>
      </c>
      <c r="N1579" s="4">
        <v>470.1</v>
      </c>
      <c r="O1579" t="s">
        <v>31</v>
      </c>
      <c r="P1579" t="s">
        <v>98</v>
      </c>
      <c r="X1579" t="s">
        <v>35</v>
      </c>
      <c r="Y1579" t="s">
        <v>389</v>
      </c>
      <c r="Z1579">
        <v>20200131</v>
      </c>
      <c r="AA1579">
        <f t="shared" si="43"/>
        <v>25.13</v>
      </c>
      <c r="AC1579"/>
      <c r="AE1579" t="s">
        <v>390</v>
      </c>
      <c r="AF1579"/>
      <c r="AL1579">
        <v>340098950</v>
      </c>
      <c r="AM1579" t="s">
        <v>391</v>
      </c>
    </row>
    <row r="1580" spans="1:39" x14ac:dyDescent="0.35">
      <c r="A1580">
        <v>3400</v>
      </c>
      <c r="B1580" t="s">
        <v>28</v>
      </c>
      <c r="C1580">
        <v>2020</v>
      </c>
      <c r="D1580" s="1">
        <v>43831</v>
      </c>
      <c r="E1580">
        <v>106</v>
      </c>
      <c r="F1580">
        <v>100010949</v>
      </c>
      <c r="G1580" t="s">
        <v>101</v>
      </c>
      <c r="H1580">
        <v>40</v>
      </c>
      <c r="I1580">
        <v>71105120</v>
      </c>
      <c r="J1580">
        <v>11610030</v>
      </c>
      <c r="K1580" t="s">
        <v>268</v>
      </c>
      <c r="L1580" s="4">
        <v>12.57</v>
      </c>
      <c r="M1580" t="s">
        <v>54</v>
      </c>
      <c r="N1580" s="4">
        <v>235.14</v>
      </c>
      <c r="O1580" t="s">
        <v>31</v>
      </c>
      <c r="P1580" t="s">
        <v>98</v>
      </c>
      <c r="X1580" t="s">
        <v>35</v>
      </c>
      <c r="Y1580" t="s">
        <v>389</v>
      </c>
      <c r="Z1580">
        <v>20200131</v>
      </c>
      <c r="AA1580">
        <f t="shared" si="43"/>
        <v>12.57</v>
      </c>
      <c r="AC1580"/>
      <c r="AE1580" t="s">
        <v>390</v>
      </c>
      <c r="AF1580"/>
      <c r="AL1580">
        <v>340098950</v>
      </c>
      <c r="AM1580" t="s">
        <v>391</v>
      </c>
    </row>
    <row r="1581" spans="1:39" x14ac:dyDescent="0.35">
      <c r="A1581">
        <v>3400</v>
      </c>
      <c r="B1581" t="s">
        <v>28</v>
      </c>
      <c r="C1581">
        <v>2020</v>
      </c>
      <c r="D1581" s="1">
        <v>43831</v>
      </c>
      <c r="E1581">
        <v>107</v>
      </c>
      <c r="F1581">
        <v>100010949</v>
      </c>
      <c r="G1581" t="s">
        <v>101</v>
      </c>
      <c r="H1581">
        <v>40</v>
      </c>
      <c r="I1581">
        <v>71105120</v>
      </c>
      <c r="J1581">
        <v>11610030</v>
      </c>
      <c r="K1581" t="s">
        <v>268</v>
      </c>
      <c r="L1581" s="4">
        <v>4.1900000000000004</v>
      </c>
      <c r="M1581" t="s">
        <v>54</v>
      </c>
      <c r="N1581" s="4">
        <v>78.38</v>
      </c>
      <c r="O1581" t="s">
        <v>31</v>
      </c>
      <c r="P1581" t="s">
        <v>98</v>
      </c>
      <c r="X1581" t="s">
        <v>35</v>
      </c>
      <c r="Y1581" t="s">
        <v>389</v>
      </c>
      <c r="Z1581">
        <v>20200131</v>
      </c>
      <c r="AA1581">
        <f t="shared" si="43"/>
        <v>4.1900000000000004</v>
      </c>
      <c r="AC1581"/>
      <c r="AE1581" t="s">
        <v>390</v>
      </c>
      <c r="AF1581"/>
      <c r="AL1581">
        <v>340098950</v>
      </c>
      <c r="AM1581" t="s">
        <v>391</v>
      </c>
    </row>
    <row r="1582" spans="1:39" x14ac:dyDescent="0.35">
      <c r="A1582">
        <v>3400</v>
      </c>
      <c r="B1582" t="s">
        <v>28</v>
      </c>
      <c r="C1582">
        <v>2020</v>
      </c>
      <c r="D1582" s="1">
        <v>43831</v>
      </c>
      <c r="E1582">
        <v>108</v>
      </c>
      <c r="F1582">
        <v>100010949</v>
      </c>
      <c r="G1582" t="s">
        <v>101</v>
      </c>
      <c r="H1582">
        <v>40</v>
      </c>
      <c r="I1582">
        <v>71105120</v>
      </c>
      <c r="J1582">
        <v>11610030</v>
      </c>
      <c r="K1582" t="s">
        <v>268</v>
      </c>
      <c r="L1582" s="4">
        <v>37.700000000000003</v>
      </c>
      <c r="M1582" t="s">
        <v>54</v>
      </c>
      <c r="N1582" s="4">
        <v>705.24</v>
      </c>
      <c r="O1582" t="s">
        <v>31</v>
      </c>
      <c r="P1582" t="s">
        <v>98</v>
      </c>
      <c r="X1582" t="s">
        <v>35</v>
      </c>
      <c r="Y1582" t="s">
        <v>389</v>
      </c>
      <c r="Z1582">
        <v>20200131</v>
      </c>
      <c r="AA1582">
        <f t="shared" si="43"/>
        <v>37.700000000000003</v>
      </c>
      <c r="AC1582"/>
      <c r="AE1582" t="s">
        <v>390</v>
      </c>
      <c r="AF1582"/>
      <c r="AL1582">
        <v>340025050</v>
      </c>
      <c r="AM1582" t="s">
        <v>391</v>
      </c>
    </row>
    <row r="1583" spans="1:39" x14ac:dyDescent="0.35">
      <c r="A1583">
        <v>3400</v>
      </c>
      <c r="B1583" t="s">
        <v>28</v>
      </c>
      <c r="C1583">
        <v>2020</v>
      </c>
      <c r="D1583" s="1">
        <v>43831</v>
      </c>
      <c r="E1583">
        <v>109</v>
      </c>
      <c r="F1583">
        <v>100010949</v>
      </c>
      <c r="G1583" t="s">
        <v>101</v>
      </c>
      <c r="H1583">
        <v>40</v>
      </c>
      <c r="I1583">
        <v>71105120</v>
      </c>
      <c r="J1583">
        <v>11610030</v>
      </c>
      <c r="K1583" t="s">
        <v>268</v>
      </c>
      <c r="L1583" s="4">
        <v>35.409999999999997</v>
      </c>
      <c r="M1583" t="s">
        <v>54</v>
      </c>
      <c r="N1583" s="4">
        <v>662.4</v>
      </c>
      <c r="O1583" t="s">
        <v>31</v>
      </c>
      <c r="P1583" t="s">
        <v>98</v>
      </c>
      <c r="X1583" t="s">
        <v>35</v>
      </c>
      <c r="Y1583" t="s">
        <v>389</v>
      </c>
      <c r="Z1583">
        <v>20200131</v>
      </c>
      <c r="AA1583">
        <f t="shared" si="43"/>
        <v>35.409999999999997</v>
      </c>
      <c r="AC1583"/>
      <c r="AE1583" t="s">
        <v>390</v>
      </c>
      <c r="AF1583"/>
      <c r="AL1583">
        <v>340041650</v>
      </c>
      <c r="AM1583" t="s">
        <v>391</v>
      </c>
    </row>
    <row r="1584" spans="1:39" x14ac:dyDescent="0.35">
      <c r="A1584">
        <v>3402</v>
      </c>
      <c r="B1584" t="s">
        <v>39</v>
      </c>
      <c r="C1584">
        <v>2020</v>
      </c>
      <c r="D1584" s="1">
        <v>43831</v>
      </c>
      <c r="E1584">
        <v>1</v>
      </c>
      <c r="F1584">
        <v>200041145</v>
      </c>
      <c r="G1584" t="s">
        <v>120</v>
      </c>
      <c r="H1584">
        <v>81</v>
      </c>
      <c r="I1584">
        <v>71105060</v>
      </c>
      <c r="J1584">
        <v>21021040</v>
      </c>
      <c r="K1584" t="s">
        <v>238</v>
      </c>
      <c r="L1584" s="4">
        <v>49700</v>
      </c>
      <c r="M1584" t="s">
        <v>31</v>
      </c>
      <c r="N1584" s="4">
        <v>49700</v>
      </c>
      <c r="O1584" t="s">
        <v>31</v>
      </c>
      <c r="R1584" t="s">
        <v>392</v>
      </c>
      <c r="S1584" t="s">
        <v>1154</v>
      </c>
      <c r="T1584">
        <v>606552</v>
      </c>
      <c r="U1584" t="s">
        <v>393</v>
      </c>
      <c r="X1584" t="s">
        <v>39</v>
      </c>
      <c r="Y1584" s="8" t="s">
        <v>394</v>
      </c>
      <c r="Z1584">
        <v>20200115</v>
      </c>
      <c r="AA1584">
        <f t="shared" si="43"/>
        <v>49700</v>
      </c>
      <c r="AB1584">
        <f>AA1584*0.16</f>
        <v>7952</v>
      </c>
      <c r="AC1584">
        <f>AA1584+AB1584</f>
        <v>57652</v>
      </c>
      <c r="AD1584">
        <v>200041365</v>
      </c>
      <c r="AE1584" t="s">
        <v>395</v>
      </c>
      <c r="AF1584" s="4">
        <f>AC1584</f>
        <v>57652</v>
      </c>
      <c r="AG1584" t="s">
        <v>1155</v>
      </c>
      <c r="AH1584" t="s">
        <v>1123</v>
      </c>
      <c r="AJ1584" t="s">
        <v>1130</v>
      </c>
      <c r="AK1584" t="s">
        <v>1129</v>
      </c>
      <c r="AL1584">
        <v>340225490</v>
      </c>
      <c r="AM1584" t="s">
        <v>135</v>
      </c>
    </row>
    <row r="1585" spans="1:39" x14ac:dyDescent="0.35">
      <c r="A1585">
        <v>3401</v>
      </c>
      <c r="B1585" t="s">
        <v>39</v>
      </c>
      <c r="C1585">
        <v>2020</v>
      </c>
      <c r="D1585" s="1">
        <v>43831</v>
      </c>
      <c r="E1585">
        <v>1</v>
      </c>
      <c r="F1585">
        <v>100014881</v>
      </c>
      <c r="G1585" t="s">
        <v>120</v>
      </c>
      <c r="H1585">
        <v>81</v>
      </c>
      <c r="I1585">
        <v>71104010</v>
      </c>
      <c r="J1585">
        <v>21021040</v>
      </c>
      <c r="K1585" t="s">
        <v>121</v>
      </c>
      <c r="L1585" s="4">
        <v>52892</v>
      </c>
      <c r="M1585" t="s">
        <v>31</v>
      </c>
      <c r="N1585" s="4">
        <v>52892</v>
      </c>
      <c r="O1585" t="s">
        <v>31</v>
      </c>
      <c r="R1585" t="s">
        <v>122</v>
      </c>
      <c r="S1585" t="s">
        <v>1131</v>
      </c>
      <c r="T1585">
        <v>107211</v>
      </c>
      <c r="U1585" t="s">
        <v>123</v>
      </c>
      <c r="X1585" t="s">
        <v>39</v>
      </c>
      <c r="Y1585" s="8">
        <v>4501216248</v>
      </c>
      <c r="Z1585" t="s">
        <v>1127</v>
      </c>
      <c r="AA1585">
        <f t="shared" si="43"/>
        <v>52892</v>
      </c>
      <c r="AC1585"/>
      <c r="AD1585">
        <v>100036889</v>
      </c>
      <c r="AE1585" t="s">
        <v>1128</v>
      </c>
      <c r="AG1585" t="s">
        <v>51</v>
      </c>
      <c r="AH1585" t="s">
        <v>1123</v>
      </c>
      <c r="AJ1585" t="s">
        <v>1148</v>
      </c>
      <c r="AK1585" t="s">
        <v>1129</v>
      </c>
      <c r="AL1585">
        <v>340118590</v>
      </c>
      <c r="AM1585" t="s">
        <v>124</v>
      </c>
    </row>
    <row r="1586" spans="1:39" x14ac:dyDescent="0.35">
      <c r="A1586">
        <v>3400</v>
      </c>
      <c r="B1586" t="s">
        <v>39</v>
      </c>
      <c r="C1586">
        <v>2020</v>
      </c>
      <c r="D1586" s="1">
        <v>43831</v>
      </c>
      <c r="E1586">
        <v>1</v>
      </c>
      <c r="F1586">
        <v>100004363</v>
      </c>
      <c r="G1586" t="s">
        <v>120</v>
      </c>
      <c r="H1586">
        <v>81</v>
      </c>
      <c r="I1586">
        <v>71104010</v>
      </c>
      <c r="J1586">
        <v>21021040</v>
      </c>
      <c r="K1586" t="s">
        <v>121</v>
      </c>
      <c r="L1586" s="4">
        <v>18276.38</v>
      </c>
      <c r="M1586" t="s">
        <v>31</v>
      </c>
      <c r="N1586" s="4">
        <v>18276.38</v>
      </c>
      <c r="O1586" t="s">
        <v>31</v>
      </c>
      <c r="R1586" t="s">
        <v>396</v>
      </c>
      <c r="S1586" t="s">
        <v>1131</v>
      </c>
      <c r="T1586">
        <v>107211</v>
      </c>
      <c r="U1586" t="s">
        <v>123</v>
      </c>
      <c r="X1586" t="s">
        <v>39</v>
      </c>
      <c r="Y1586" s="11">
        <v>-780130403722</v>
      </c>
      <c r="Z1586">
        <v>20200115</v>
      </c>
      <c r="AA1586">
        <f t="shared" si="43"/>
        <v>18276.38</v>
      </c>
      <c r="AB1586">
        <f>AA1586*0.16</f>
        <v>2924.2208000000001</v>
      </c>
      <c r="AC1586" s="4">
        <f>AA1586+AB1586</f>
        <v>21200.6008</v>
      </c>
      <c r="AD1586">
        <v>100004526</v>
      </c>
      <c r="AE1586" t="s">
        <v>397</v>
      </c>
      <c r="AF1586" s="4">
        <f>AC1586</f>
        <v>21200.6008</v>
      </c>
      <c r="AG1586" t="s">
        <v>81</v>
      </c>
      <c r="AH1586" t="s">
        <v>1123</v>
      </c>
      <c r="AJ1586" t="s">
        <v>1148</v>
      </c>
      <c r="AK1586" t="s">
        <v>1129</v>
      </c>
      <c r="AL1586">
        <v>340041450</v>
      </c>
      <c r="AM1586" t="s">
        <v>398</v>
      </c>
    </row>
    <row r="1587" spans="1:39" x14ac:dyDescent="0.35">
      <c r="A1587">
        <v>3400</v>
      </c>
      <c r="B1587" t="s">
        <v>39</v>
      </c>
      <c r="C1587">
        <v>2020</v>
      </c>
      <c r="D1587" s="1">
        <v>43831</v>
      </c>
      <c r="E1587">
        <v>1</v>
      </c>
      <c r="F1587">
        <v>100004367</v>
      </c>
      <c r="G1587" t="s">
        <v>120</v>
      </c>
      <c r="H1587">
        <v>81</v>
      </c>
      <c r="I1587">
        <v>71104010</v>
      </c>
      <c r="J1587">
        <v>21021040</v>
      </c>
      <c r="K1587" t="s">
        <v>121</v>
      </c>
      <c r="L1587" s="4">
        <v>913.81</v>
      </c>
      <c r="M1587" t="s">
        <v>31</v>
      </c>
      <c r="N1587" s="4">
        <v>913.81</v>
      </c>
      <c r="O1587" t="s">
        <v>31</v>
      </c>
      <c r="R1587" t="s">
        <v>396</v>
      </c>
      <c r="S1587" t="s">
        <v>1131</v>
      </c>
      <c r="T1587">
        <v>107211</v>
      </c>
      <c r="U1587" t="s">
        <v>123</v>
      </c>
      <c r="X1587" t="s">
        <v>39</v>
      </c>
      <c r="Y1587" s="11">
        <v>-780130403722</v>
      </c>
      <c r="Z1587">
        <v>20200115</v>
      </c>
      <c r="AA1587">
        <f t="shared" si="43"/>
        <v>913.81</v>
      </c>
      <c r="AB1587">
        <v>0</v>
      </c>
      <c r="AC1587" s="4">
        <f t="shared" ref="AC1587:AC1595" si="44">AA1587+AB1587</f>
        <v>913.81</v>
      </c>
      <c r="AD1587">
        <v>100004526</v>
      </c>
      <c r="AE1587" t="s">
        <v>399</v>
      </c>
      <c r="AF1587" s="4">
        <f t="shared" ref="AF1587:AF1595" si="45">AC1587</f>
        <v>913.81</v>
      </c>
      <c r="AG1587" t="s">
        <v>81</v>
      </c>
      <c r="AH1587" t="s">
        <v>1123</v>
      </c>
      <c r="AJ1587" t="s">
        <v>1148</v>
      </c>
      <c r="AK1587" t="s">
        <v>1129</v>
      </c>
      <c r="AL1587">
        <v>340041450</v>
      </c>
      <c r="AM1587" t="s">
        <v>398</v>
      </c>
    </row>
    <row r="1588" spans="1:39" x14ac:dyDescent="0.35">
      <c r="A1588">
        <v>3400</v>
      </c>
      <c r="B1588" t="s">
        <v>39</v>
      </c>
      <c r="C1588">
        <v>2020</v>
      </c>
      <c r="D1588" s="1">
        <v>43831</v>
      </c>
      <c r="E1588">
        <v>1</v>
      </c>
      <c r="F1588">
        <v>100004368</v>
      </c>
      <c r="G1588" t="s">
        <v>120</v>
      </c>
      <c r="H1588">
        <v>81</v>
      </c>
      <c r="I1588">
        <v>71104010</v>
      </c>
      <c r="J1588">
        <v>21021040</v>
      </c>
      <c r="K1588" t="s">
        <v>121</v>
      </c>
      <c r="L1588" s="4">
        <v>9811.6299999999992</v>
      </c>
      <c r="M1588" t="s">
        <v>31</v>
      </c>
      <c r="N1588" s="4">
        <v>9811.6299999999992</v>
      </c>
      <c r="O1588" t="s">
        <v>31</v>
      </c>
      <c r="R1588" t="s">
        <v>1160</v>
      </c>
      <c r="S1588" t="s">
        <v>1131</v>
      </c>
      <c r="T1588">
        <v>107211</v>
      </c>
      <c r="U1588" t="s">
        <v>123</v>
      </c>
      <c r="X1588" t="s">
        <v>39</v>
      </c>
      <c r="Y1588" s="11">
        <v>-780180102898</v>
      </c>
      <c r="Z1588">
        <v>20200115</v>
      </c>
      <c r="AA1588">
        <f t="shared" si="43"/>
        <v>9811.6299999999992</v>
      </c>
      <c r="AB1588">
        <f t="shared" ref="AB1588" si="46">AA1588*0.16</f>
        <v>1569.8607999999999</v>
      </c>
      <c r="AC1588" s="4">
        <f t="shared" si="44"/>
        <v>11381.4908</v>
      </c>
      <c r="AD1588">
        <v>100004524</v>
      </c>
      <c r="AE1588" t="s">
        <v>400</v>
      </c>
      <c r="AF1588" s="4">
        <f t="shared" si="45"/>
        <v>11381.4908</v>
      </c>
      <c r="AG1588" t="s">
        <v>81</v>
      </c>
      <c r="AH1588" t="s">
        <v>1123</v>
      </c>
      <c r="AJ1588" t="s">
        <v>1148</v>
      </c>
      <c r="AK1588" t="s">
        <v>1129</v>
      </c>
      <c r="AL1588">
        <v>340041450</v>
      </c>
      <c r="AM1588" t="s">
        <v>398</v>
      </c>
    </row>
    <row r="1589" spans="1:39" x14ac:dyDescent="0.35">
      <c r="A1589">
        <v>3400</v>
      </c>
      <c r="B1589" t="s">
        <v>39</v>
      </c>
      <c r="C1589">
        <v>2020</v>
      </c>
      <c r="D1589" s="1">
        <v>43831</v>
      </c>
      <c r="E1589">
        <v>1</v>
      </c>
      <c r="F1589">
        <v>100004369</v>
      </c>
      <c r="G1589" t="s">
        <v>120</v>
      </c>
      <c r="H1589">
        <v>81</v>
      </c>
      <c r="I1589">
        <v>71104010</v>
      </c>
      <c r="J1589">
        <v>21021040</v>
      </c>
      <c r="K1589" t="s">
        <v>121</v>
      </c>
      <c r="L1589" s="4">
        <v>490.58</v>
      </c>
      <c r="M1589" t="s">
        <v>31</v>
      </c>
      <c r="N1589" s="4">
        <v>490.58</v>
      </c>
      <c r="O1589" t="s">
        <v>31</v>
      </c>
      <c r="R1589" t="s">
        <v>1160</v>
      </c>
      <c r="S1589" t="s">
        <v>1131</v>
      </c>
      <c r="T1589">
        <v>107211</v>
      </c>
      <c r="U1589" t="s">
        <v>123</v>
      </c>
      <c r="X1589" t="s">
        <v>39</v>
      </c>
      <c r="Y1589" s="11">
        <v>-780180102898</v>
      </c>
      <c r="Z1589">
        <v>20200115</v>
      </c>
      <c r="AA1589">
        <f t="shared" si="43"/>
        <v>490.58</v>
      </c>
      <c r="AB1589">
        <v>0</v>
      </c>
      <c r="AC1589" s="4">
        <f t="shared" si="44"/>
        <v>490.58</v>
      </c>
      <c r="AD1589">
        <v>100004524</v>
      </c>
      <c r="AE1589" t="s">
        <v>399</v>
      </c>
      <c r="AF1589" s="4">
        <f t="shared" si="45"/>
        <v>490.58</v>
      </c>
      <c r="AG1589" t="s">
        <v>81</v>
      </c>
      <c r="AH1589" t="s">
        <v>1123</v>
      </c>
      <c r="AJ1589" t="s">
        <v>1148</v>
      </c>
      <c r="AK1589" t="s">
        <v>1129</v>
      </c>
      <c r="AL1589">
        <v>340041450</v>
      </c>
      <c r="AM1589" t="s">
        <v>398</v>
      </c>
    </row>
    <row r="1590" spans="1:39" x14ac:dyDescent="0.35">
      <c r="A1590">
        <v>3400</v>
      </c>
      <c r="B1590" t="s">
        <v>39</v>
      </c>
      <c r="C1590">
        <v>2020</v>
      </c>
      <c r="D1590" s="1">
        <v>43831</v>
      </c>
      <c r="E1590">
        <v>1</v>
      </c>
      <c r="F1590">
        <v>100004370</v>
      </c>
      <c r="G1590" t="s">
        <v>120</v>
      </c>
      <c r="H1590">
        <v>81</v>
      </c>
      <c r="I1590">
        <v>71104010</v>
      </c>
      <c r="J1590">
        <v>21021040</v>
      </c>
      <c r="K1590" t="s">
        <v>121</v>
      </c>
      <c r="L1590" s="4">
        <v>9507.9500000000007</v>
      </c>
      <c r="M1590" t="s">
        <v>31</v>
      </c>
      <c r="N1590" s="4">
        <v>9507.9500000000007</v>
      </c>
      <c r="O1590" t="s">
        <v>31</v>
      </c>
      <c r="R1590" t="s">
        <v>1161</v>
      </c>
      <c r="S1590" t="s">
        <v>1131</v>
      </c>
      <c r="T1590">
        <v>107211</v>
      </c>
      <c r="U1590" t="s">
        <v>123</v>
      </c>
      <c r="X1590" t="s">
        <v>39</v>
      </c>
      <c r="Y1590" s="11">
        <v>-780180102880</v>
      </c>
      <c r="Z1590">
        <v>20200115</v>
      </c>
      <c r="AA1590">
        <f t="shared" si="43"/>
        <v>9507.9500000000007</v>
      </c>
      <c r="AB1590">
        <f t="shared" ref="AB1590" si="47">AA1590*0.16</f>
        <v>1521.2720000000002</v>
      </c>
      <c r="AC1590" s="4">
        <f t="shared" si="44"/>
        <v>11029.222000000002</v>
      </c>
      <c r="AD1590">
        <v>100004525</v>
      </c>
      <c r="AE1590" t="s">
        <v>401</v>
      </c>
      <c r="AF1590" s="4">
        <f t="shared" si="45"/>
        <v>11029.222000000002</v>
      </c>
      <c r="AG1590" t="s">
        <v>81</v>
      </c>
      <c r="AH1590" t="s">
        <v>1123</v>
      </c>
      <c r="AJ1590" t="s">
        <v>1148</v>
      </c>
      <c r="AK1590" t="s">
        <v>1129</v>
      </c>
      <c r="AL1590">
        <v>340041450</v>
      </c>
      <c r="AM1590" t="s">
        <v>398</v>
      </c>
    </row>
    <row r="1591" spans="1:39" x14ac:dyDescent="0.35">
      <c r="A1591">
        <v>3400</v>
      </c>
      <c r="B1591" t="s">
        <v>39</v>
      </c>
      <c r="C1591">
        <v>2020</v>
      </c>
      <c r="D1591" s="1">
        <v>43831</v>
      </c>
      <c r="E1591">
        <v>1</v>
      </c>
      <c r="F1591">
        <v>100004374</v>
      </c>
      <c r="G1591" t="s">
        <v>120</v>
      </c>
      <c r="H1591">
        <v>81</v>
      </c>
      <c r="I1591">
        <v>71104010</v>
      </c>
      <c r="J1591">
        <v>21021040</v>
      </c>
      <c r="K1591" t="s">
        <v>121</v>
      </c>
      <c r="L1591" s="4">
        <v>475.39</v>
      </c>
      <c r="M1591" t="s">
        <v>31</v>
      </c>
      <c r="N1591" s="4">
        <v>475.39</v>
      </c>
      <c r="O1591" t="s">
        <v>31</v>
      </c>
      <c r="R1591" t="s">
        <v>1161</v>
      </c>
      <c r="S1591" t="s">
        <v>1131</v>
      </c>
      <c r="T1591">
        <v>107211</v>
      </c>
      <c r="U1591" t="s">
        <v>123</v>
      </c>
      <c r="X1591" t="s">
        <v>39</v>
      </c>
      <c r="Y1591" s="11">
        <v>-780180102880</v>
      </c>
      <c r="Z1591">
        <v>20200115</v>
      </c>
      <c r="AA1591">
        <f t="shared" si="43"/>
        <v>475.39</v>
      </c>
      <c r="AB1591">
        <v>0</v>
      </c>
      <c r="AC1591" s="4">
        <f t="shared" si="44"/>
        <v>475.39</v>
      </c>
      <c r="AD1591">
        <v>100004525</v>
      </c>
      <c r="AE1591" t="s">
        <v>399</v>
      </c>
      <c r="AF1591" s="4">
        <f t="shared" si="45"/>
        <v>475.39</v>
      </c>
      <c r="AG1591" t="s">
        <v>81</v>
      </c>
      <c r="AH1591" t="s">
        <v>1123</v>
      </c>
      <c r="AJ1591" t="s">
        <v>1148</v>
      </c>
      <c r="AK1591" t="s">
        <v>1129</v>
      </c>
      <c r="AL1591">
        <v>340041450</v>
      </c>
      <c r="AM1591" t="s">
        <v>398</v>
      </c>
    </row>
    <row r="1592" spans="1:39" x14ac:dyDescent="0.35">
      <c r="A1592">
        <v>3400</v>
      </c>
      <c r="B1592" t="s">
        <v>39</v>
      </c>
      <c r="C1592">
        <v>2020</v>
      </c>
      <c r="D1592" s="1">
        <v>43831</v>
      </c>
      <c r="E1592">
        <v>1</v>
      </c>
      <c r="F1592">
        <v>100004390</v>
      </c>
      <c r="G1592" t="s">
        <v>120</v>
      </c>
      <c r="H1592">
        <v>81</v>
      </c>
      <c r="I1592">
        <v>71104010</v>
      </c>
      <c r="J1592">
        <v>21021040</v>
      </c>
      <c r="K1592" t="s">
        <v>121</v>
      </c>
      <c r="L1592" s="4">
        <v>5698.94</v>
      </c>
      <c r="M1592" t="s">
        <v>31</v>
      </c>
      <c r="N1592" s="4">
        <v>5698.94</v>
      </c>
      <c r="O1592" t="s">
        <v>31</v>
      </c>
      <c r="R1592" t="s">
        <v>1158</v>
      </c>
      <c r="S1592" t="s">
        <v>1131</v>
      </c>
      <c r="T1592">
        <v>107211</v>
      </c>
      <c r="U1592" t="s">
        <v>123</v>
      </c>
      <c r="X1592" t="s">
        <v>39</v>
      </c>
      <c r="Y1592" s="11">
        <v>-780180102863</v>
      </c>
      <c r="Z1592">
        <v>20200115</v>
      </c>
      <c r="AA1592">
        <f t="shared" si="43"/>
        <v>5698.94</v>
      </c>
      <c r="AB1592">
        <f t="shared" ref="AB1592" si="48">AA1592*0.16</f>
        <v>911.83039999999994</v>
      </c>
      <c r="AC1592" s="4">
        <f t="shared" si="44"/>
        <v>6610.7703999999994</v>
      </c>
      <c r="AD1592">
        <v>100004526</v>
      </c>
      <c r="AE1592" t="s">
        <v>402</v>
      </c>
      <c r="AF1592" s="4">
        <f t="shared" si="45"/>
        <v>6610.7703999999994</v>
      </c>
      <c r="AG1592" t="s">
        <v>81</v>
      </c>
      <c r="AH1592" t="s">
        <v>1123</v>
      </c>
      <c r="AJ1592" t="s">
        <v>1148</v>
      </c>
      <c r="AK1592" t="s">
        <v>1129</v>
      </c>
      <c r="AL1592">
        <v>340041450</v>
      </c>
      <c r="AM1592" t="s">
        <v>398</v>
      </c>
    </row>
    <row r="1593" spans="1:39" x14ac:dyDescent="0.35">
      <c r="A1593">
        <v>3400</v>
      </c>
      <c r="B1593" t="s">
        <v>39</v>
      </c>
      <c r="C1593">
        <v>2020</v>
      </c>
      <c r="D1593" s="1">
        <v>43831</v>
      </c>
      <c r="E1593">
        <v>1</v>
      </c>
      <c r="F1593">
        <v>100004396</v>
      </c>
      <c r="G1593" t="s">
        <v>120</v>
      </c>
      <c r="H1593">
        <v>81</v>
      </c>
      <c r="I1593">
        <v>71104010</v>
      </c>
      <c r="J1593">
        <v>21021040</v>
      </c>
      <c r="K1593" t="s">
        <v>121</v>
      </c>
      <c r="L1593" s="4">
        <v>284.94</v>
      </c>
      <c r="M1593" t="s">
        <v>31</v>
      </c>
      <c r="N1593" s="4">
        <v>284.94</v>
      </c>
      <c r="O1593" t="s">
        <v>31</v>
      </c>
      <c r="R1593" t="s">
        <v>1158</v>
      </c>
      <c r="S1593" t="s">
        <v>1131</v>
      </c>
      <c r="T1593">
        <v>107211</v>
      </c>
      <c r="U1593" t="s">
        <v>123</v>
      </c>
      <c r="X1593" t="s">
        <v>39</v>
      </c>
      <c r="Y1593" s="11">
        <v>-780180102863</v>
      </c>
      <c r="Z1593">
        <v>20200115</v>
      </c>
      <c r="AA1593">
        <f t="shared" si="43"/>
        <v>284.94</v>
      </c>
      <c r="AB1593">
        <v>0</v>
      </c>
      <c r="AC1593" s="4">
        <f t="shared" si="44"/>
        <v>284.94</v>
      </c>
      <c r="AD1593">
        <v>100004526</v>
      </c>
      <c r="AE1593" t="s">
        <v>399</v>
      </c>
      <c r="AF1593" s="4">
        <f t="shared" si="45"/>
        <v>284.94</v>
      </c>
      <c r="AG1593" t="s">
        <v>81</v>
      </c>
      <c r="AH1593" t="s">
        <v>1123</v>
      </c>
      <c r="AJ1593" t="s">
        <v>1148</v>
      </c>
      <c r="AK1593" t="s">
        <v>1129</v>
      </c>
      <c r="AL1593">
        <v>340041450</v>
      </c>
      <c r="AM1593" t="s">
        <v>398</v>
      </c>
    </row>
    <row r="1594" spans="1:39" x14ac:dyDescent="0.35">
      <c r="A1594">
        <v>3400</v>
      </c>
      <c r="B1594" t="s">
        <v>39</v>
      </c>
      <c r="C1594">
        <v>2020</v>
      </c>
      <c r="D1594" s="1">
        <v>43831</v>
      </c>
      <c r="E1594">
        <v>1</v>
      </c>
      <c r="F1594">
        <v>100004513</v>
      </c>
      <c r="G1594" t="s">
        <v>120</v>
      </c>
      <c r="H1594">
        <v>81</v>
      </c>
      <c r="I1594">
        <v>71104010</v>
      </c>
      <c r="J1594">
        <v>21021040</v>
      </c>
      <c r="K1594" t="s">
        <v>121</v>
      </c>
      <c r="L1594" s="4">
        <v>9858.7999999999993</v>
      </c>
      <c r="M1594" t="s">
        <v>31</v>
      </c>
      <c r="N1594" s="4">
        <v>9858.7999999999993</v>
      </c>
      <c r="O1594" t="s">
        <v>31</v>
      </c>
      <c r="R1594" t="s">
        <v>1159</v>
      </c>
      <c r="S1594" t="s">
        <v>1131</v>
      </c>
      <c r="T1594">
        <v>107211</v>
      </c>
      <c r="U1594" t="s">
        <v>123</v>
      </c>
      <c r="X1594" t="s">
        <v>39</v>
      </c>
      <c r="Y1594" s="11">
        <v>-780120800944</v>
      </c>
      <c r="Z1594">
        <v>20200115</v>
      </c>
      <c r="AA1594">
        <f t="shared" si="43"/>
        <v>9858.7999999999993</v>
      </c>
      <c r="AB1594">
        <f t="shared" ref="AB1594" si="49">AA1594*0.16</f>
        <v>1577.4079999999999</v>
      </c>
      <c r="AC1594" s="4">
        <f t="shared" si="44"/>
        <v>11436.207999999999</v>
      </c>
      <c r="AD1594">
        <v>100004523</v>
      </c>
      <c r="AE1594" t="s">
        <v>403</v>
      </c>
      <c r="AF1594" s="4">
        <f t="shared" si="45"/>
        <v>11436.207999999999</v>
      </c>
      <c r="AG1594" t="s">
        <v>81</v>
      </c>
      <c r="AH1594" t="s">
        <v>1123</v>
      </c>
      <c r="AJ1594" t="s">
        <v>1148</v>
      </c>
      <c r="AK1594" t="s">
        <v>1129</v>
      </c>
      <c r="AL1594">
        <v>340041450</v>
      </c>
      <c r="AM1594" t="s">
        <v>398</v>
      </c>
    </row>
    <row r="1595" spans="1:39" x14ac:dyDescent="0.35">
      <c r="A1595">
        <v>3400</v>
      </c>
      <c r="B1595" t="s">
        <v>39</v>
      </c>
      <c r="C1595">
        <v>2020</v>
      </c>
      <c r="D1595" s="1">
        <v>43831</v>
      </c>
      <c r="E1595">
        <v>1</v>
      </c>
      <c r="F1595">
        <v>100004519</v>
      </c>
      <c r="G1595" t="s">
        <v>120</v>
      </c>
      <c r="H1595">
        <v>81</v>
      </c>
      <c r="I1595">
        <v>71104010</v>
      </c>
      <c r="J1595">
        <v>21021040</v>
      </c>
      <c r="K1595" t="s">
        <v>121</v>
      </c>
      <c r="L1595" s="4">
        <v>492.94</v>
      </c>
      <c r="M1595" t="s">
        <v>31</v>
      </c>
      <c r="N1595" s="4">
        <v>492.94</v>
      </c>
      <c r="O1595" t="s">
        <v>31</v>
      </c>
      <c r="R1595" t="s">
        <v>1159</v>
      </c>
      <c r="S1595" t="s">
        <v>1131</v>
      </c>
      <c r="T1595">
        <v>107211</v>
      </c>
      <c r="U1595" t="s">
        <v>123</v>
      </c>
      <c r="X1595" t="s">
        <v>39</v>
      </c>
      <c r="Y1595" s="11">
        <v>-780120800944</v>
      </c>
      <c r="Z1595">
        <v>20200115</v>
      </c>
      <c r="AA1595">
        <f t="shared" si="43"/>
        <v>492.94</v>
      </c>
      <c r="AB1595">
        <v>0</v>
      </c>
      <c r="AC1595" s="4">
        <f t="shared" si="44"/>
        <v>492.94</v>
      </c>
      <c r="AD1595">
        <v>100004523</v>
      </c>
      <c r="AE1595" t="s">
        <v>399</v>
      </c>
      <c r="AF1595" s="4">
        <f t="shared" si="45"/>
        <v>492.94</v>
      </c>
      <c r="AG1595" t="s">
        <v>81</v>
      </c>
      <c r="AH1595" t="s">
        <v>1123</v>
      </c>
      <c r="AJ1595" t="s">
        <v>1148</v>
      </c>
      <c r="AK1595" t="s">
        <v>1129</v>
      </c>
      <c r="AL1595">
        <v>340041450</v>
      </c>
      <c r="AM1595" t="s">
        <v>398</v>
      </c>
    </row>
    <row r="1596" spans="1:39" x14ac:dyDescent="0.35">
      <c r="A1596">
        <v>3407</v>
      </c>
      <c r="B1596" t="s">
        <v>258</v>
      </c>
      <c r="C1596">
        <v>2020</v>
      </c>
      <c r="D1596" s="1">
        <v>43831</v>
      </c>
      <c r="E1596">
        <v>1</v>
      </c>
      <c r="F1596">
        <v>700025779</v>
      </c>
      <c r="G1596" t="s">
        <v>120</v>
      </c>
      <c r="H1596">
        <v>81</v>
      </c>
      <c r="I1596">
        <v>71106040</v>
      </c>
      <c r="J1596">
        <v>21021040</v>
      </c>
      <c r="K1596" t="s">
        <v>125</v>
      </c>
      <c r="L1596" s="4">
        <v>9260.5499999999993</v>
      </c>
      <c r="M1596" t="s">
        <v>54</v>
      </c>
      <c r="N1596" s="4">
        <v>173178.77</v>
      </c>
      <c r="O1596" t="s">
        <v>31</v>
      </c>
      <c r="R1596" t="s">
        <v>1121</v>
      </c>
      <c r="S1596">
        <v>752738581</v>
      </c>
      <c r="T1596">
        <v>602358</v>
      </c>
      <c r="U1596" t="s">
        <v>130</v>
      </c>
      <c r="X1596" t="s">
        <v>258</v>
      </c>
      <c r="Y1596" s="8">
        <v>2282584</v>
      </c>
      <c r="Z1596">
        <v>20200123</v>
      </c>
      <c r="AA1596">
        <f t="shared" si="43"/>
        <v>9260.5499999999993</v>
      </c>
      <c r="AB1596">
        <v>0</v>
      </c>
      <c r="AC1596">
        <f>AA1596</f>
        <v>9260.5499999999993</v>
      </c>
      <c r="AD1596">
        <v>700025941</v>
      </c>
      <c r="AE1596" t="s">
        <v>404</v>
      </c>
      <c r="AF1596" s="4">
        <f>AC1596</f>
        <v>9260.5499999999993</v>
      </c>
      <c r="AG1596" t="s">
        <v>62</v>
      </c>
      <c r="AH1596" t="s">
        <v>1123</v>
      </c>
      <c r="AI1596">
        <v>700034623</v>
      </c>
      <c r="AJ1596" t="s">
        <v>1125</v>
      </c>
      <c r="AK1596" t="s">
        <v>1124</v>
      </c>
      <c r="AL1596">
        <v>340721790</v>
      </c>
      <c r="AM1596" t="s">
        <v>244</v>
      </c>
    </row>
    <row r="1597" spans="1:39" x14ac:dyDescent="0.35">
      <c r="A1597">
        <v>3407</v>
      </c>
      <c r="B1597" t="s">
        <v>258</v>
      </c>
      <c r="C1597">
        <v>2020</v>
      </c>
      <c r="D1597" s="1">
        <v>43831</v>
      </c>
      <c r="E1597">
        <v>1</v>
      </c>
      <c r="F1597">
        <v>700025856</v>
      </c>
      <c r="G1597" t="s">
        <v>120</v>
      </c>
      <c r="H1597">
        <v>81</v>
      </c>
      <c r="I1597">
        <v>71106040</v>
      </c>
      <c r="J1597">
        <v>21021040</v>
      </c>
      <c r="K1597" t="s">
        <v>125</v>
      </c>
      <c r="L1597" s="4">
        <v>11819.49</v>
      </c>
      <c r="M1597" t="s">
        <v>54</v>
      </c>
      <c r="N1597" s="4">
        <v>221032.74</v>
      </c>
      <c r="O1597" t="s">
        <v>31</v>
      </c>
      <c r="R1597" t="s">
        <v>1121</v>
      </c>
      <c r="S1597">
        <v>593383972</v>
      </c>
      <c r="T1597">
        <v>600226</v>
      </c>
      <c r="U1597" t="s">
        <v>126</v>
      </c>
      <c r="X1597" t="s">
        <v>258</v>
      </c>
      <c r="Y1597">
        <v>5001219</v>
      </c>
      <c r="Z1597">
        <v>20200123</v>
      </c>
      <c r="AB1597">
        <v>0</v>
      </c>
      <c r="AC1597"/>
      <c r="AE1597" t="s">
        <v>405</v>
      </c>
      <c r="AF1597"/>
      <c r="AJ1597" t="s">
        <v>1125</v>
      </c>
      <c r="AK1597" t="s">
        <v>1124</v>
      </c>
      <c r="AL1597">
        <v>340721790</v>
      </c>
      <c r="AM1597" t="s">
        <v>244</v>
      </c>
    </row>
    <row r="1598" spans="1:39" x14ac:dyDescent="0.35">
      <c r="A1598">
        <v>3402</v>
      </c>
      <c r="B1598" t="s">
        <v>93</v>
      </c>
      <c r="C1598">
        <v>2020</v>
      </c>
      <c r="D1598" s="1">
        <v>43831</v>
      </c>
      <c r="E1598">
        <v>1</v>
      </c>
      <c r="F1598">
        <v>200071729</v>
      </c>
      <c r="G1598" t="s">
        <v>120</v>
      </c>
      <c r="H1598">
        <v>81</v>
      </c>
      <c r="I1598">
        <v>71105060</v>
      </c>
      <c r="J1598">
        <v>21021040</v>
      </c>
      <c r="K1598" t="s">
        <v>238</v>
      </c>
      <c r="L1598" s="4">
        <v>317800</v>
      </c>
      <c r="M1598" t="s">
        <v>31</v>
      </c>
      <c r="N1598" s="4">
        <v>317800</v>
      </c>
      <c r="O1598" t="s">
        <v>31</v>
      </c>
      <c r="S1598" t="s">
        <v>1151</v>
      </c>
      <c r="T1598">
        <v>109766</v>
      </c>
      <c r="U1598" t="s">
        <v>406</v>
      </c>
      <c r="X1598" t="s">
        <v>93</v>
      </c>
      <c r="Y1598" s="8">
        <v>5227</v>
      </c>
      <c r="Z1598">
        <v>20200124</v>
      </c>
      <c r="AA1598">
        <f t="shared" si="43"/>
        <v>317800</v>
      </c>
      <c r="AB1598">
        <f>AA1598*0.16</f>
        <v>50848</v>
      </c>
      <c r="AC1598">
        <f>AA1598+AB1598</f>
        <v>368648</v>
      </c>
      <c r="AD1598">
        <v>200071850</v>
      </c>
      <c r="AE1598" t="s">
        <v>407</v>
      </c>
      <c r="AF1598" s="4">
        <f>AC1598</f>
        <v>368648</v>
      </c>
      <c r="AG1598" t="s">
        <v>28</v>
      </c>
      <c r="AH1598" t="s">
        <v>1123</v>
      </c>
      <c r="AJ1598" t="s">
        <v>1136</v>
      </c>
      <c r="AK1598" t="s">
        <v>1135</v>
      </c>
      <c r="AL1598">
        <v>340225290</v>
      </c>
      <c r="AM1598" t="s">
        <v>135</v>
      </c>
    </row>
    <row r="1599" spans="1:39" x14ac:dyDescent="0.35">
      <c r="A1599">
        <v>3402</v>
      </c>
      <c r="B1599" t="s">
        <v>93</v>
      </c>
      <c r="C1599">
        <v>2020</v>
      </c>
      <c r="D1599" s="1">
        <v>43831</v>
      </c>
      <c r="E1599">
        <v>1</v>
      </c>
      <c r="F1599">
        <v>200071875</v>
      </c>
      <c r="G1599" t="s">
        <v>120</v>
      </c>
      <c r="H1599">
        <v>81</v>
      </c>
      <c r="I1599">
        <v>71106040</v>
      </c>
      <c r="J1599">
        <v>21021040</v>
      </c>
      <c r="K1599" t="s">
        <v>125</v>
      </c>
      <c r="L1599" s="4">
        <v>14743.58</v>
      </c>
      <c r="M1599" t="s">
        <v>54</v>
      </c>
      <c r="N1599" s="4">
        <v>275532.45</v>
      </c>
      <c r="O1599" t="s">
        <v>31</v>
      </c>
      <c r="R1599" t="s">
        <v>1121</v>
      </c>
      <c r="S1599">
        <v>593383972</v>
      </c>
      <c r="T1599">
        <v>600226</v>
      </c>
      <c r="U1599" t="s">
        <v>126</v>
      </c>
      <c r="X1599" t="s">
        <v>93</v>
      </c>
      <c r="Y1599" s="8" t="s">
        <v>408</v>
      </c>
      <c r="Z1599">
        <v>20200124</v>
      </c>
      <c r="AA1599">
        <f t="shared" si="43"/>
        <v>14743.58</v>
      </c>
      <c r="AB1599">
        <v>0</v>
      </c>
      <c r="AC1599">
        <f>AA1599</f>
        <v>14743.58</v>
      </c>
      <c r="AD1599">
        <v>200071893</v>
      </c>
      <c r="AE1599" t="s">
        <v>409</v>
      </c>
      <c r="AF1599" s="4">
        <f>AC1599/1.1</f>
        <v>13403.254545454543</v>
      </c>
      <c r="AG1599" t="s">
        <v>212</v>
      </c>
      <c r="AH1599" t="s">
        <v>1123</v>
      </c>
      <c r="AI1599">
        <v>200126182</v>
      </c>
      <c r="AJ1599" t="s">
        <v>1125</v>
      </c>
      <c r="AK1599" t="s">
        <v>1124</v>
      </c>
      <c r="AL1599">
        <v>340210190</v>
      </c>
      <c r="AM1599" t="s">
        <v>362</v>
      </c>
    </row>
    <row r="1600" spans="1:39" x14ac:dyDescent="0.35">
      <c r="A1600">
        <v>3401</v>
      </c>
      <c r="B1600" t="s">
        <v>93</v>
      </c>
      <c r="C1600">
        <v>2020</v>
      </c>
      <c r="D1600" s="1">
        <v>43831</v>
      </c>
      <c r="E1600">
        <v>1</v>
      </c>
      <c r="F1600">
        <v>100024208</v>
      </c>
      <c r="G1600" t="s">
        <v>120</v>
      </c>
      <c r="H1600">
        <v>81</v>
      </c>
      <c r="I1600">
        <v>71104010</v>
      </c>
      <c r="J1600">
        <v>21021040</v>
      </c>
      <c r="K1600" t="s">
        <v>121</v>
      </c>
      <c r="L1600" s="4">
        <v>44856</v>
      </c>
      <c r="M1600" t="s">
        <v>31</v>
      </c>
      <c r="N1600" s="4">
        <v>44856</v>
      </c>
      <c r="O1600" t="s">
        <v>31</v>
      </c>
      <c r="R1600" t="s">
        <v>122</v>
      </c>
      <c r="S1600" t="s">
        <v>1131</v>
      </c>
      <c r="T1600">
        <v>107211</v>
      </c>
      <c r="U1600" t="s">
        <v>123</v>
      </c>
      <c r="X1600" t="s">
        <v>93</v>
      </c>
      <c r="Y1600" s="8">
        <v>4501216248</v>
      </c>
      <c r="Z1600" t="s">
        <v>1127</v>
      </c>
      <c r="AA1600">
        <f t="shared" si="43"/>
        <v>44856</v>
      </c>
      <c r="AC1600"/>
      <c r="AD1600">
        <v>100036889</v>
      </c>
      <c r="AE1600" t="s">
        <v>1128</v>
      </c>
      <c r="AG1600" t="s">
        <v>51</v>
      </c>
      <c r="AH1600" t="s">
        <v>1123</v>
      </c>
      <c r="AJ1600" t="s">
        <v>1148</v>
      </c>
      <c r="AK1600" t="s">
        <v>1129</v>
      </c>
      <c r="AL1600">
        <v>340118590</v>
      </c>
      <c r="AM1600" t="s">
        <v>124</v>
      </c>
    </row>
    <row r="1601" spans="1:39" x14ac:dyDescent="0.35">
      <c r="A1601">
        <v>3401</v>
      </c>
      <c r="B1601" t="s">
        <v>93</v>
      </c>
      <c r="C1601">
        <v>2020</v>
      </c>
      <c r="D1601" s="1">
        <v>43831</v>
      </c>
      <c r="E1601">
        <v>1</v>
      </c>
      <c r="F1601">
        <v>100024209</v>
      </c>
      <c r="G1601" t="s">
        <v>120</v>
      </c>
      <c r="H1601">
        <v>81</v>
      </c>
      <c r="I1601">
        <v>71104010</v>
      </c>
      <c r="J1601">
        <v>21021040</v>
      </c>
      <c r="K1601" t="s">
        <v>121</v>
      </c>
      <c r="L1601" s="4">
        <v>50484</v>
      </c>
      <c r="M1601" t="s">
        <v>31</v>
      </c>
      <c r="N1601" s="4">
        <v>50484</v>
      </c>
      <c r="O1601" t="s">
        <v>31</v>
      </c>
      <c r="R1601" t="s">
        <v>122</v>
      </c>
      <c r="S1601" t="s">
        <v>1131</v>
      </c>
      <c r="T1601">
        <v>107211</v>
      </c>
      <c r="U1601" t="s">
        <v>123</v>
      </c>
      <c r="X1601" t="s">
        <v>93</v>
      </c>
      <c r="Y1601" s="8">
        <v>4501216248</v>
      </c>
      <c r="Z1601" t="s">
        <v>1127</v>
      </c>
      <c r="AA1601">
        <f t="shared" si="43"/>
        <v>50484</v>
      </c>
      <c r="AC1601"/>
      <c r="AD1601">
        <v>100036889</v>
      </c>
      <c r="AE1601" t="s">
        <v>1128</v>
      </c>
      <c r="AG1601" t="s">
        <v>51</v>
      </c>
      <c r="AH1601" t="s">
        <v>1123</v>
      </c>
      <c r="AJ1601" t="s">
        <v>1148</v>
      </c>
      <c r="AK1601" t="s">
        <v>1129</v>
      </c>
      <c r="AL1601">
        <v>340118590</v>
      </c>
      <c r="AM1601" t="s">
        <v>124</v>
      </c>
    </row>
    <row r="1602" spans="1:39" x14ac:dyDescent="0.35">
      <c r="A1602">
        <v>3407</v>
      </c>
      <c r="B1602" t="s">
        <v>93</v>
      </c>
      <c r="C1602">
        <v>2020</v>
      </c>
      <c r="D1602" s="1">
        <v>43831</v>
      </c>
      <c r="E1602">
        <v>1</v>
      </c>
      <c r="F1602">
        <v>700027500</v>
      </c>
      <c r="G1602" t="s">
        <v>120</v>
      </c>
      <c r="H1602">
        <v>81</v>
      </c>
      <c r="I1602">
        <v>71105060</v>
      </c>
      <c r="J1602">
        <v>21021040</v>
      </c>
      <c r="K1602" t="s">
        <v>238</v>
      </c>
      <c r="L1602" s="4">
        <v>2430</v>
      </c>
      <c r="M1602" t="s">
        <v>54</v>
      </c>
      <c r="N1602" s="4">
        <v>45412.57</v>
      </c>
      <c r="O1602" t="s">
        <v>31</v>
      </c>
      <c r="R1602" t="s">
        <v>1121</v>
      </c>
      <c r="S1602" t="s">
        <v>1122</v>
      </c>
      <c r="T1602">
        <v>101128</v>
      </c>
      <c r="U1602" t="s">
        <v>410</v>
      </c>
      <c r="X1602" t="s">
        <v>93</v>
      </c>
      <c r="Y1602" s="8" t="s">
        <v>411</v>
      </c>
      <c r="Z1602">
        <v>20200124</v>
      </c>
      <c r="AA1602">
        <f t="shared" si="43"/>
        <v>2430</v>
      </c>
      <c r="AB1602">
        <v>0</v>
      </c>
      <c r="AC1602">
        <f t="shared" ref="AC1602" si="50">AA1602</f>
        <v>2430</v>
      </c>
      <c r="AD1602">
        <v>700028121</v>
      </c>
      <c r="AE1602" t="s">
        <v>412</v>
      </c>
      <c r="AF1602" s="4">
        <f>AC1602</f>
        <v>2430</v>
      </c>
      <c r="AG1602" t="s">
        <v>212</v>
      </c>
      <c r="AH1602" t="s">
        <v>1123</v>
      </c>
      <c r="AJ1602" t="s">
        <v>1125</v>
      </c>
      <c r="AK1602" t="s">
        <v>1124</v>
      </c>
      <c r="AL1602">
        <v>340712290</v>
      </c>
      <c r="AM1602" t="s">
        <v>217</v>
      </c>
    </row>
    <row r="1603" spans="1:39" x14ac:dyDescent="0.35">
      <c r="A1603">
        <v>3401</v>
      </c>
      <c r="B1603" t="s">
        <v>81</v>
      </c>
      <c r="C1603">
        <v>2020</v>
      </c>
      <c r="D1603" s="1">
        <v>43831</v>
      </c>
      <c r="E1603">
        <v>1</v>
      </c>
      <c r="F1603">
        <v>100020665</v>
      </c>
      <c r="G1603" t="s">
        <v>120</v>
      </c>
      <c r="H1603">
        <v>81</v>
      </c>
      <c r="I1603">
        <v>71106150</v>
      </c>
      <c r="J1603">
        <v>21021040</v>
      </c>
      <c r="K1603" t="s">
        <v>102</v>
      </c>
      <c r="L1603" s="4">
        <v>168589.96</v>
      </c>
      <c r="M1603" t="s">
        <v>54</v>
      </c>
      <c r="N1603" s="4">
        <v>3159173.54</v>
      </c>
      <c r="O1603" t="s">
        <v>31</v>
      </c>
      <c r="R1603" t="s">
        <v>1121</v>
      </c>
      <c r="S1603" t="s">
        <v>1122</v>
      </c>
      <c r="T1603">
        <v>101128</v>
      </c>
      <c r="U1603" t="s">
        <v>410</v>
      </c>
      <c r="X1603" t="s">
        <v>43</v>
      </c>
      <c r="Y1603" s="8" t="s">
        <v>1050</v>
      </c>
      <c r="Z1603" t="s">
        <v>1050</v>
      </c>
      <c r="AA1603">
        <f t="shared" si="43"/>
        <v>168589.96</v>
      </c>
      <c r="AB1603">
        <v>0</v>
      </c>
      <c r="AC1603">
        <f>AA1603</f>
        <v>168589.96</v>
      </c>
      <c r="AD1603">
        <v>100020671</v>
      </c>
      <c r="AE1603" t="s">
        <v>413</v>
      </c>
      <c r="AF1603" s="4">
        <f>AC1603/1.25</f>
        <v>134871.96799999999</v>
      </c>
      <c r="AG1603" t="s">
        <v>212</v>
      </c>
      <c r="AH1603" t="s">
        <v>1123</v>
      </c>
      <c r="AJ1603" t="s">
        <v>1125</v>
      </c>
      <c r="AK1603" t="s">
        <v>1124</v>
      </c>
      <c r="AL1603">
        <v>340121790</v>
      </c>
      <c r="AM1603" t="s">
        <v>414</v>
      </c>
    </row>
    <row r="1604" spans="1:39" x14ac:dyDescent="0.35">
      <c r="A1604">
        <v>3401</v>
      </c>
      <c r="B1604" t="s">
        <v>81</v>
      </c>
      <c r="C1604">
        <v>2020</v>
      </c>
      <c r="D1604" s="1">
        <v>43831</v>
      </c>
      <c r="E1604">
        <v>1</v>
      </c>
      <c r="F1604">
        <v>100020666</v>
      </c>
      <c r="G1604" t="s">
        <v>120</v>
      </c>
      <c r="H1604">
        <v>81</v>
      </c>
      <c r="I1604">
        <v>71106150</v>
      </c>
      <c r="J1604">
        <v>21021040</v>
      </c>
      <c r="K1604" t="s">
        <v>102</v>
      </c>
      <c r="L1604" s="4">
        <v>8295.15</v>
      </c>
      <c r="M1604" t="s">
        <v>54</v>
      </c>
      <c r="N1604" s="4">
        <v>155441.16</v>
      </c>
      <c r="O1604" t="s">
        <v>31</v>
      </c>
      <c r="R1604" t="s">
        <v>1121</v>
      </c>
      <c r="S1604" t="s">
        <v>1122</v>
      </c>
      <c r="T1604">
        <v>101128</v>
      </c>
      <c r="U1604" t="s">
        <v>410</v>
      </c>
      <c r="X1604" t="s">
        <v>43</v>
      </c>
      <c r="Y1604" s="8" t="s">
        <v>1050</v>
      </c>
      <c r="Z1604" t="s">
        <v>1050</v>
      </c>
      <c r="AA1604">
        <f t="shared" si="43"/>
        <v>8295.15</v>
      </c>
      <c r="AB1604">
        <v>0</v>
      </c>
      <c r="AC1604">
        <f t="shared" ref="AC1604" si="51">AA1604</f>
        <v>8295.15</v>
      </c>
      <c r="AD1604">
        <v>100020671</v>
      </c>
      <c r="AE1604" t="s">
        <v>415</v>
      </c>
      <c r="AF1604" s="4">
        <f>AC1604/1.25</f>
        <v>6636.12</v>
      </c>
      <c r="AG1604" t="s">
        <v>212</v>
      </c>
      <c r="AH1604" t="s">
        <v>1123</v>
      </c>
      <c r="AJ1604" t="s">
        <v>1125</v>
      </c>
      <c r="AK1604" t="s">
        <v>1124</v>
      </c>
      <c r="AL1604">
        <v>340170123</v>
      </c>
      <c r="AM1604" t="s">
        <v>414</v>
      </c>
    </row>
    <row r="1605" spans="1:39" x14ac:dyDescent="0.35">
      <c r="A1605">
        <v>3401</v>
      </c>
      <c r="B1605" t="s">
        <v>81</v>
      </c>
      <c r="C1605">
        <v>2020</v>
      </c>
      <c r="D1605" s="1">
        <v>43831</v>
      </c>
      <c r="E1605">
        <v>1</v>
      </c>
      <c r="F1605">
        <v>100020854</v>
      </c>
      <c r="G1605" t="s">
        <v>120</v>
      </c>
      <c r="H1605">
        <v>81</v>
      </c>
      <c r="I1605">
        <v>71104010</v>
      </c>
      <c r="J1605">
        <v>21021040</v>
      </c>
      <c r="K1605" t="s">
        <v>121</v>
      </c>
      <c r="L1605" s="4">
        <v>50484</v>
      </c>
      <c r="M1605" t="s">
        <v>31</v>
      </c>
      <c r="N1605" s="4">
        <v>50484</v>
      </c>
      <c r="O1605" t="s">
        <v>31</v>
      </c>
      <c r="R1605" t="s">
        <v>122</v>
      </c>
      <c r="S1605" t="s">
        <v>1131</v>
      </c>
      <c r="T1605">
        <v>107211</v>
      </c>
      <c r="U1605" t="s">
        <v>123</v>
      </c>
      <c r="X1605" t="s">
        <v>81</v>
      </c>
      <c r="Y1605" s="8">
        <v>4501216248</v>
      </c>
      <c r="Z1605" t="s">
        <v>1127</v>
      </c>
      <c r="AA1605">
        <f t="shared" si="43"/>
        <v>50484</v>
      </c>
      <c r="AC1605"/>
      <c r="AD1605">
        <v>100036889</v>
      </c>
      <c r="AE1605" t="s">
        <v>1128</v>
      </c>
      <c r="AG1605" t="s">
        <v>51</v>
      </c>
      <c r="AH1605" t="s">
        <v>1123</v>
      </c>
      <c r="AJ1605" t="s">
        <v>1148</v>
      </c>
      <c r="AK1605" t="s">
        <v>1129</v>
      </c>
      <c r="AL1605">
        <v>340118590</v>
      </c>
      <c r="AM1605" t="s">
        <v>124</v>
      </c>
    </row>
    <row r="1606" spans="1:39" x14ac:dyDescent="0.35">
      <c r="A1606">
        <v>3409</v>
      </c>
      <c r="B1606" t="s">
        <v>81</v>
      </c>
      <c r="C1606">
        <v>2020</v>
      </c>
      <c r="D1606" s="1">
        <v>43831</v>
      </c>
      <c r="E1606">
        <v>1</v>
      </c>
      <c r="F1606">
        <v>900007290</v>
      </c>
      <c r="G1606" t="s">
        <v>120</v>
      </c>
      <c r="H1606">
        <v>81</v>
      </c>
      <c r="I1606">
        <v>71106040</v>
      </c>
      <c r="J1606">
        <v>21021040</v>
      </c>
      <c r="K1606" t="s">
        <v>125</v>
      </c>
      <c r="L1606" s="4">
        <v>1952.64</v>
      </c>
      <c r="M1606" t="s">
        <v>31</v>
      </c>
      <c r="N1606" s="4">
        <v>1952.64</v>
      </c>
      <c r="O1606" t="s">
        <v>31</v>
      </c>
      <c r="R1606" t="s">
        <v>416</v>
      </c>
      <c r="S1606" t="s">
        <v>1185</v>
      </c>
      <c r="T1606">
        <v>801037</v>
      </c>
      <c r="U1606" t="s">
        <v>417</v>
      </c>
      <c r="X1606" t="s">
        <v>81</v>
      </c>
      <c r="Y1606" s="8" t="s">
        <v>418</v>
      </c>
      <c r="Z1606">
        <v>20200121</v>
      </c>
      <c r="AA1606">
        <f t="shared" si="43"/>
        <v>1952.64</v>
      </c>
      <c r="AB1606">
        <f>AA1606*0.16</f>
        <v>312.42240000000004</v>
      </c>
      <c r="AC1606">
        <f>AA1606+AB1606</f>
        <v>2265.0624000000003</v>
      </c>
      <c r="AD1606">
        <v>900008158</v>
      </c>
      <c r="AE1606" t="s">
        <v>419</v>
      </c>
      <c r="AF1606" s="4">
        <f>AC1606</f>
        <v>2265.0624000000003</v>
      </c>
      <c r="AG1606" t="s">
        <v>62</v>
      </c>
      <c r="AH1606" t="s">
        <v>1123</v>
      </c>
      <c r="AI1606">
        <v>900009857</v>
      </c>
      <c r="AJ1606" t="s">
        <v>1136</v>
      </c>
      <c r="AK1606" t="s">
        <v>1135</v>
      </c>
      <c r="AL1606">
        <v>340921790</v>
      </c>
      <c r="AM1606" t="s">
        <v>185</v>
      </c>
    </row>
    <row r="1607" spans="1:39" x14ac:dyDescent="0.35">
      <c r="A1607">
        <v>3409</v>
      </c>
      <c r="B1607" t="s">
        <v>81</v>
      </c>
      <c r="C1607">
        <v>2020</v>
      </c>
      <c r="D1607" s="1">
        <v>43831</v>
      </c>
      <c r="E1607">
        <v>1</v>
      </c>
      <c r="F1607">
        <v>900007291</v>
      </c>
      <c r="G1607" t="s">
        <v>120</v>
      </c>
      <c r="H1607">
        <v>91</v>
      </c>
      <c r="I1607">
        <v>71106040</v>
      </c>
      <c r="J1607">
        <v>21021040</v>
      </c>
      <c r="K1607" t="s">
        <v>125</v>
      </c>
      <c r="L1607" s="4">
        <v>1952.64</v>
      </c>
      <c r="M1607" t="s">
        <v>31</v>
      </c>
      <c r="N1607" s="4">
        <v>1952.64</v>
      </c>
      <c r="O1607" t="s">
        <v>31</v>
      </c>
      <c r="R1607" t="s">
        <v>416</v>
      </c>
      <c r="S1607" t="s">
        <v>1185</v>
      </c>
      <c r="T1607">
        <v>801037</v>
      </c>
      <c r="U1607" t="s">
        <v>417</v>
      </c>
      <c r="X1607" t="s">
        <v>81</v>
      </c>
      <c r="Y1607" t="s">
        <v>418</v>
      </c>
      <c r="Z1607">
        <v>20200121</v>
      </c>
      <c r="AA1607">
        <f t="shared" si="43"/>
        <v>1952.64</v>
      </c>
      <c r="AC1607"/>
      <c r="AE1607" t="s">
        <v>419</v>
      </c>
      <c r="AF1607"/>
      <c r="AL1607">
        <v>340921790</v>
      </c>
      <c r="AM1607" t="s">
        <v>185</v>
      </c>
    </row>
    <row r="1608" spans="1:39" x14ac:dyDescent="0.35">
      <c r="A1608">
        <v>3409</v>
      </c>
      <c r="B1608" t="s">
        <v>81</v>
      </c>
      <c r="C1608">
        <v>2020</v>
      </c>
      <c r="D1608" s="1">
        <v>43831</v>
      </c>
      <c r="E1608">
        <v>1</v>
      </c>
      <c r="F1608">
        <v>900007293</v>
      </c>
      <c r="G1608" t="s">
        <v>120</v>
      </c>
      <c r="H1608">
        <v>81</v>
      </c>
      <c r="I1608">
        <v>71106040</v>
      </c>
      <c r="J1608">
        <v>21021040</v>
      </c>
      <c r="K1608" t="s">
        <v>125</v>
      </c>
      <c r="L1608" s="4">
        <v>1952.64</v>
      </c>
      <c r="M1608" t="s">
        <v>31</v>
      </c>
      <c r="N1608" s="4">
        <v>1952.64</v>
      </c>
      <c r="O1608" t="s">
        <v>31</v>
      </c>
      <c r="R1608" t="s">
        <v>416</v>
      </c>
      <c r="S1608" t="s">
        <v>1185</v>
      </c>
      <c r="T1608">
        <v>801037</v>
      </c>
      <c r="U1608" t="s">
        <v>417</v>
      </c>
      <c r="X1608" t="s">
        <v>81</v>
      </c>
      <c r="Y1608" t="s">
        <v>418</v>
      </c>
      <c r="Z1608">
        <v>20200121</v>
      </c>
      <c r="AA1608">
        <f t="shared" si="43"/>
        <v>1952.64</v>
      </c>
      <c r="AC1608"/>
      <c r="AE1608" t="s">
        <v>419</v>
      </c>
      <c r="AF1608"/>
      <c r="AL1608">
        <v>340921790</v>
      </c>
      <c r="AM1608" t="s">
        <v>185</v>
      </c>
    </row>
    <row r="1609" spans="1:39" x14ac:dyDescent="0.35">
      <c r="A1609">
        <v>3400</v>
      </c>
      <c r="B1609" t="s">
        <v>253</v>
      </c>
      <c r="C1609">
        <v>2020</v>
      </c>
      <c r="D1609" s="1">
        <v>43831</v>
      </c>
      <c r="E1609">
        <v>1</v>
      </c>
      <c r="F1609">
        <v>100004801</v>
      </c>
      <c r="G1609" t="s">
        <v>96</v>
      </c>
      <c r="H1609">
        <v>40</v>
      </c>
      <c r="I1609">
        <v>71106040</v>
      </c>
      <c r="J1609">
        <v>21021040</v>
      </c>
      <c r="K1609" t="s">
        <v>125</v>
      </c>
      <c r="L1609" s="4">
        <v>53123.199999999997</v>
      </c>
      <c r="M1609" t="s">
        <v>54</v>
      </c>
      <c r="N1609" s="4">
        <v>1003056.33</v>
      </c>
      <c r="O1609" t="s">
        <v>31</v>
      </c>
      <c r="P1609" t="s">
        <v>98</v>
      </c>
      <c r="X1609" t="s">
        <v>43</v>
      </c>
      <c r="Y1609"/>
      <c r="Z1609" t="s">
        <v>420</v>
      </c>
      <c r="AA1609">
        <f t="shared" si="43"/>
        <v>53123.199999999997</v>
      </c>
      <c r="AC1609"/>
      <c r="AE1609" t="s">
        <v>421</v>
      </c>
      <c r="AF1609"/>
      <c r="AL1609">
        <v>340099350</v>
      </c>
      <c r="AM1609" t="s">
        <v>271</v>
      </c>
    </row>
    <row r="1610" spans="1:39" x14ac:dyDescent="0.35">
      <c r="A1610">
        <v>3400</v>
      </c>
      <c r="B1610" t="s">
        <v>253</v>
      </c>
      <c r="C1610">
        <v>2020</v>
      </c>
      <c r="D1610" s="1">
        <v>43831</v>
      </c>
      <c r="E1610">
        <v>2</v>
      </c>
      <c r="F1610">
        <v>100007165</v>
      </c>
      <c r="G1610" t="s">
        <v>422</v>
      </c>
      <c r="H1610">
        <v>50</v>
      </c>
      <c r="I1610">
        <v>71106040</v>
      </c>
      <c r="J1610">
        <v>21021040</v>
      </c>
      <c r="K1610" t="s">
        <v>125</v>
      </c>
      <c r="L1610" s="4">
        <v>3000.5</v>
      </c>
      <c r="M1610" t="s">
        <v>54</v>
      </c>
      <c r="N1610" s="4">
        <v>56654.54</v>
      </c>
      <c r="O1610" t="s">
        <v>31</v>
      </c>
      <c r="P1610" t="s">
        <v>98</v>
      </c>
      <c r="X1610" t="s">
        <v>258</v>
      </c>
      <c r="Y1610"/>
      <c r="Z1610" t="s">
        <v>423</v>
      </c>
      <c r="AA1610">
        <f t="shared" si="43"/>
        <v>3000.5</v>
      </c>
      <c r="AC1610"/>
      <c r="AE1610" t="s">
        <v>421</v>
      </c>
      <c r="AF1610"/>
      <c r="AL1610">
        <v>340099350</v>
      </c>
      <c r="AM1610" t="s">
        <v>214</v>
      </c>
    </row>
    <row r="1611" spans="1:39" x14ac:dyDescent="0.35">
      <c r="A1611">
        <v>3400</v>
      </c>
      <c r="B1611" t="s">
        <v>83</v>
      </c>
      <c r="C1611">
        <v>2020</v>
      </c>
      <c r="D1611" s="1">
        <v>43831</v>
      </c>
      <c r="E1611">
        <v>1</v>
      </c>
      <c r="F1611">
        <v>100009411</v>
      </c>
      <c r="G1611" t="s">
        <v>96</v>
      </c>
      <c r="H1611">
        <v>40</v>
      </c>
      <c r="I1611">
        <v>71105130</v>
      </c>
      <c r="J1611">
        <v>21021040</v>
      </c>
      <c r="K1611" t="s">
        <v>305</v>
      </c>
      <c r="L1611" s="4">
        <v>1625.06</v>
      </c>
      <c r="M1611" t="s">
        <v>54</v>
      </c>
      <c r="N1611" s="4">
        <v>30601.99</v>
      </c>
      <c r="O1611" t="s">
        <v>31</v>
      </c>
      <c r="P1611" t="s">
        <v>98</v>
      </c>
      <c r="X1611" t="s">
        <v>83</v>
      </c>
      <c r="Y1611"/>
      <c r="Z1611" t="s">
        <v>424</v>
      </c>
      <c r="AA1611">
        <f t="shared" si="43"/>
        <v>1625.06</v>
      </c>
      <c r="AC1611"/>
      <c r="AE1611" t="s">
        <v>425</v>
      </c>
      <c r="AF1611"/>
      <c r="AL1611">
        <v>340099350</v>
      </c>
      <c r="AM1611" t="s">
        <v>78</v>
      </c>
    </row>
    <row r="1612" spans="1:39" x14ac:dyDescent="0.35">
      <c r="A1612">
        <v>3400</v>
      </c>
      <c r="B1612" t="s">
        <v>61</v>
      </c>
      <c r="C1612">
        <v>2020</v>
      </c>
      <c r="D1612" s="1">
        <v>43831</v>
      </c>
      <c r="E1612">
        <v>1</v>
      </c>
      <c r="F1612">
        <v>100009704</v>
      </c>
      <c r="G1612" t="s">
        <v>96</v>
      </c>
      <c r="H1612">
        <v>40</v>
      </c>
      <c r="I1612">
        <v>71105130</v>
      </c>
      <c r="J1612">
        <v>21021040</v>
      </c>
      <c r="K1612" t="s">
        <v>305</v>
      </c>
      <c r="L1612" s="4">
        <v>1293.75</v>
      </c>
      <c r="M1612" t="s">
        <v>54</v>
      </c>
      <c r="N1612" s="4">
        <v>24324.83</v>
      </c>
      <c r="O1612" t="s">
        <v>31</v>
      </c>
      <c r="P1612" t="s">
        <v>98</v>
      </c>
      <c r="X1612" t="s">
        <v>62</v>
      </c>
      <c r="Y1612"/>
      <c r="Z1612" t="s">
        <v>426</v>
      </c>
      <c r="AA1612">
        <f t="shared" si="43"/>
        <v>1293.75</v>
      </c>
      <c r="AC1612"/>
      <c r="AE1612" t="s">
        <v>326</v>
      </c>
      <c r="AF1612"/>
      <c r="AL1612">
        <v>340099350</v>
      </c>
      <c r="AM1612" t="s">
        <v>78</v>
      </c>
    </row>
    <row r="1613" spans="1:39" x14ac:dyDescent="0.35">
      <c r="A1613">
        <v>3400</v>
      </c>
      <c r="B1613" t="s">
        <v>427</v>
      </c>
      <c r="C1613">
        <v>2020</v>
      </c>
      <c r="D1613" s="1">
        <v>43831</v>
      </c>
      <c r="E1613">
        <v>1</v>
      </c>
      <c r="F1613">
        <v>100010425</v>
      </c>
      <c r="G1613" t="s">
        <v>101</v>
      </c>
      <c r="H1613">
        <v>50</v>
      </c>
      <c r="I1613">
        <v>71106040</v>
      </c>
      <c r="J1613">
        <v>21021040</v>
      </c>
      <c r="K1613" t="s">
        <v>125</v>
      </c>
      <c r="L1613" s="4">
        <v>551.6</v>
      </c>
      <c r="M1613" t="s">
        <v>54</v>
      </c>
      <c r="N1613" s="4">
        <v>10715.66</v>
      </c>
      <c r="O1613" t="s">
        <v>31</v>
      </c>
      <c r="P1613" t="s">
        <v>98</v>
      </c>
      <c r="X1613" t="s">
        <v>28</v>
      </c>
      <c r="Y1613" t="s">
        <v>428</v>
      </c>
      <c r="Z1613" t="s">
        <v>428</v>
      </c>
      <c r="AA1613">
        <f t="shared" si="43"/>
        <v>551.6</v>
      </c>
      <c r="AC1613"/>
      <c r="AE1613" t="s">
        <v>421</v>
      </c>
      <c r="AF1613"/>
      <c r="AL1613">
        <v>340099350</v>
      </c>
      <c r="AM1613" t="s">
        <v>388</v>
      </c>
    </row>
    <row r="1614" spans="1:39" x14ac:dyDescent="0.35">
      <c r="A1614">
        <v>3400</v>
      </c>
      <c r="B1614" t="s">
        <v>39</v>
      </c>
      <c r="C1614">
        <v>2020</v>
      </c>
      <c r="D1614" s="1">
        <v>43831</v>
      </c>
      <c r="E1614">
        <v>1</v>
      </c>
      <c r="F1614">
        <v>100004520</v>
      </c>
      <c r="G1614" t="s">
        <v>96</v>
      </c>
      <c r="H1614">
        <v>40</v>
      </c>
      <c r="I1614">
        <v>71105060</v>
      </c>
      <c r="J1614">
        <v>21021040</v>
      </c>
      <c r="K1614" t="s">
        <v>238</v>
      </c>
      <c r="L1614" s="4">
        <v>4869.07</v>
      </c>
      <c r="M1614" t="s">
        <v>31</v>
      </c>
      <c r="N1614" s="4">
        <v>4869.07</v>
      </c>
      <c r="O1614" t="s">
        <v>31</v>
      </c>
      <c r="P1614" t="s">
        <v>211</v>
      </c>
      <c r="X1614" t="s">
        <v>39</v>
      </c>
      <c r="Y1614"/>
      <c r="Z1614" t="s">
        <v>429</v>
      </c>
      <c r="AA1614">
        <f t="shared" si="43"/>
        <v>4869.07</v>
      </c>
      <c r="AC1614"/>
      <c r="AE1614" t="s">
        <v>430</v>
      </c>
      <c r="AF1614"/>
      <c r="AL1614">
        <v>340099350</v>
      </c>
      <c r="AM1614" t="s">
        <v>271</v>
      </c>
    </row>
    <row r="1615" spans="1:39" x14ac:dyDescent="0.35">
      <c r="A1615">
        <v>3400</v>
      </c>
      <c r="B1615" t="s">
        <v>53</v>
      </c>
      <c r="C1615">
        <v>2020</v>
      </c>
      <c r="D1615" s="1">
        <v>43831</v>
      </c>
      <c r="E1615">
        <v>1</v>
      </c>
      <c r="F1615">
        <v>100005100</v>
      </c>
      <c r="G1615" t="s">
        <v>96</v>
      </c>
      <c r="H1615">
        <v>40</v>
      </c>
      <c r="I1615">
        <v>71106150</v>
      </c>
      <c r="J1615">
        <v>21021040</v>
      </c>
      <c r="K1615" t="s">
        <v>102</v>
      </c>
      <c r="L1615" s="4">
        <v>14518.51</v>
      </c>
      <c r="M1615" t="s">
        <v>54</v>
      </c>
      <c r="N1615" s="4">
        <v>273059.78000000003</v>
      </c>
      <c r="O1615" t="s">
        <v>31</v>
      </c>
      <c r="P1615" t="s">
        <v>98</v>
      </c>
      <c r="X1615" t="s">
        <v>53</v>
      </c>
      <c r="Y1615"/>
      <c r="Z1615" t="s">
        <v>431</v>
      </c>
      <c r="AA1615">
        <f t="shared" si="43"/>
        <v>14518.51</v>
      </c>
      <c r="AC1615"/>
      <c r="AE1615" t="s">
        <v>432</v>
      </c>
      <c r="AF1615"/>
      <c r="AL1615">
        <v>340099350</v>
      </c>
      <c r="AM1615" t="s">
        <v>78</v>
      </c>
    </row>
    <row r="1616" spans="1:39" x14ac:dyDescent="0.35">
      <c r="A1616">
        <v>3406</v>
      </c>
      <c r="B1616" t="s">
        <v>427</v>
      </c>
      <c r="C1616">
        <v>2020</v>
      </c>
      <c r="D1616" s="1">
        <v>43831</v>
      </c>
      <c r="E1616">
        <v>1</v>
      </c>
      <c r="F1616">
        <v>600010479</v>
      </c>
      <c r="G1616" t="s">
        <v>101</v>
      </c>
      <c r="H1616">
        <v>40</v>
      </c>
      <c r="I1616">
        <v>71105120</v>
      </c>
      <c r="J1616">
        <v>11610080</v>
      </c>
      <c r="K1616" t="s">
        <v>268</v>
      </c>
      <c r="L1616" s="4">
        <v>79.599999999999994</v>
      </c>
      <c r="M1616" t="s">
        <v>54</v>
      </c>
      <c r="N1616" s="4">
        <v>1562.47</v>
      </c>
      <c r="O1616" t="s">
        <v>31</v>
      </c>
      <c r="X1616" t="s">
        <v>57</v>
      </c>
      <c r="Y1616">
        <v>20200101</v>
      </c>
      <c r="Z1616" t="s">
        <v>427</v>
      </c>
      <c r="AA1616">
        <f t="shared" si="43"/>
        <v>79.599999999999994</v>
      </c>
      <c r="AC1616"/>
      <c r="AE1616" t="s">
        <v>433</v>
      </c>
      <c r="AF1616"/>
      <c r="AL1616">
        <v>340612390</v>
      </c>
      <c r="AM1616" t="s">
        <v>112</v>
      </c>
    </row>
    <row r="1617" spans="1:39" x14ac:dyDescent="0.35">
      <c r="A1617">
        <v>3400</v>
      </c>
      <c r="B1617" t="s">
        <v>370</v>
      </c>
      <c r="C1617">
        <v>2020</v>
      </c>
      <c r="D1617" s="1">
        <v>43831</v>
      </c>
      <c r="E1617">
        <v>1</v>
      </c>
      <c r="F1617">
        <v>100003448</v>
      </c>
      <c r="G1617" t="s">
        <v>96</v>
      </c>
      <c r="H1617">
        <v>40</v>
      </c>
      <c r="I1617">
        <v>71106100</v>
      </c>
      <c r="J1617">
        <v>21021040</v>
      </c>
      <c r="K1617" t="s">
        <v>97</v>
      </c>
      <c r="L1617" s="4">
        <v>1625.79</v>
      </c>
      <c r="M1617" t="s">
        <v>54</v>
      </c>
      <c r="N1617" s="4">
        <v>30638.5</v>
      </c>
      <c r="O1617" t="s">
        <v>31</v>
      </c>
      <c r="P1617" t="s">
        <v>98</v>
      </c>
      <c r="X1617" t="s">
        <v>370</v>
      </c>
      <c r="Y1617"/>
      <c r="Z1617" t="s">
        <v>434</v>
      </c>
      <c r="AA1617">
        <f t="shared" si="43"/>
        <v>1625.79</v>
      </c>
      <c r="AC1617"/>
      <c r="AE1617" t="s">
        <v>435</v>
      </c>
      <c r="AF1617"/>
      <c r="AL1617">
        <v>340020050</v>
      </c>
      <c r="AM1617" t="s">
        <v>78</v>
      </c>
    </row>
    <row r="1618" spans="1:39" x14ac:dyDescent="0.35">
      <c r="A1618">
        <v>3400</v>
      </c>
      <c r="B1618" t="s">
        <v>370</v>
      </c>
      <c r="C1618">
        <v>2020</v>
      </c>
      <c r="D1618" s="1">
        <v>43831</v>
      </c>
      <c r="E1618">
        <v>1</v>
      </c>
      <c r="F1618">
        <v>100003450</v>
      </c>
      <c r="G1618" t="s">
        <v>96</v>
      </c>
      <c r="H1618">
        <v>40</v>
      </c>
      <c r="I1618">
        <v>71106100</v>
      </c>
      <c r="J1618">
        <v>21021040</v>
      </c>
      <c r="K1618" t="s">
        <v>97</v>
      </c>
      <c r="L1618" s="4">
        <v>2521.0500000000002</v>
      </c>
      <c r="M1618" t="s">
        <v>54</v>
      </c>
      <c r="N1618" s="4">
        <v>47509.94</v>
      </c>
      <c r="O1618" t="s">
        <v>31</v>
      </c>
      <c r="P1618" t="s">
        <v>98</v>
      </c>
      <c r="X1618" t="s">
        <v>370</v>
      </c>
      <c r="Y1618"/>
      <c r="Z1618" t="s">
        <v>436</v>
      </c>
      <c r="AA1618">
        <f t="shared" ref="AA1618:AA1681" si="52">L1618</f>
        <v>2521.0500000000002</v>
      </c>
      <c r="AC1618"/>
      <c r="AE1618" t="s">
        <v>437</v>
      </c>
      <c r="AF1618"/>
      <c r="AL1618">
        <v>340020050</v>
      </c>
      <c r="AM1618" t="s">
        <v>78</v>
      </c>
    </row>
    <row r="1619" spans="1:39" x14ac:dyDescent="0.35">
      <c r="A1619">
        <v>3400</v>
      </c>
      <c r="B1619" t="s">
        <v>370</v>
      </c>
      <c r="C1619">
        <v>2020</v>
      </c>
      <c r="D1619" s="1">
        <v>43831</v>
      </c>
      <c r="E1619">
        <v>1</v>
      </c>
      <c r="F1619">
        <v>100003451</v>
      </c>
      <c r="G1619" t="s">
        <v>96</v>
      </c>
      <c r="H1619">
        <v>40</v>
      </c>
      <c r="I1619">
        <v>71106100</v>
      </c>
      <c r="J1619">
        <v>21021040</v>
      </c>
      <c r="K1619" t="s">
        <v>97</v>
      </c>
      <c r="L1619" s="4">
        <v>981.18</v>
      </c>
      <c r="M1619" t="s">
        <v>54</v>
      </c>
      <c r="N1619" s="4">
        <v>18490.63</v>
      </c>
      <c r="O1619" t="s">
        <v>31</v>
      </c>
      <c r="P1619" t="s">
        <v>98</v>
      </c>
      <c r="X1619" t="s">
        <v>370</v>
      </c>
      <c r="Y1619"/>
      <c r="Z1619" t="s">
        <v>438</v>
      </c>
      <c r="AA1619">
        <f t="shared" si="52"/>
        <v>981.18</v>
      </c>
      <c r="AC1619"/>
      <c r="AE1619" t="s">
        <v>439</v>
      </c>
      <c r="AF1619"/>
      <c r="AL1619">
        <v>340020050</v>
      </c>
      <c r="AM1619" t="s">
        <v>78</v>
      </c>
    </row>
    <row r="1620" spans="1:39" x14ac:dyDescent="0.35">
      <c r="A1620">
        <v>3400</v>
      </c>
      <c r="B1620" t="s">
        <v>370</v>
      </c>
      <c r="C1620">
        <v>2020</v>
      </c>
      <c r="D1620" s="1">
        <v>43831</v>
      </c>
      <c r="E1620">
        <v>1</v>
      </c>
      <c r="F1620">
        <v>100003452</v>
      </c>
      <c r="G1620" t="s">
        <v>96</v>
      </c>
      <c r="H1620">
        <v>40</v>
      </c>
      <c r="I1620">
        <v>71106100</v>
      </c>
      <c r="J1620">
        <v>21021040</v>
      </c>
      <c r="K1620" t="s">
        <v>97</v>
      </c>
      <c r="L1620" s="4">
        <v>1015.9</v>
      </c>
      <c r="M1620" t="s">
        <v>54</v>
      </c>
      <c r="N1620" s="4">
        <v>19144.939999999999</v>
      </c>
      <c r="O1620" t="s">
        <v>31</v>
      </c>
      <c r="P1620" t="s">
        <v>98</v>
      </c>
      <c r="X1620" t="s">
        <v>370</v>
      </c>
      <c r="Y1620"/>
      <c r="Z1620" t="s">
        <v>440</v>
      </c>
      <c r="AA1620">
        <f t="shared" si="52"/>
        <v>1015.9</v>
      </c>
      <c r="AC1620"/>
      <c r="AE1620" t="s">
        <v>441</v>
      </c>
      <c r="AF1620"/>
      <c r="AL1620">
        <v>340020050</v>
      </c>
      <c r="AM1620" t="s">
        <v>78</v>
      </c>
    </row>
    <row r="1621" spans="1:39" x14ac:dyDescent="0.35">
      <c r="A1621">
        <v>3400</v>
      </c>
      <c r="B1621" t="s">
        <v>370</v>
      </c>
      <c r="C1621">
        <v>2020</v>
      </c>
      <c r="D1621" s="1">
        <v>43831</v>
      </c>
      <c r="E1621">
        <v>1</v>
      </c>
      <c r="F1621">
        <v>100003453</v>
      </c>
      <c r="G1621" t="s">
        <v>96</v>
      </c>
      <c r="H1621">
        <v>40</v>
      </c>
      <c r="I1621">
        <v>71106100</v>
      </c>
      <c r="J1621">
        <v>21021040</v>
      </c>
      <c r="K1621" t="s">
        <v>97</v>
      </c>
      <c r="L1621" s="4">
        <v>4934.2700000000004</v>
      </c>
      <c r="M1621" t="s">
        <v>54</v>
      </c>
      <c r="N1621" s="4">
        <v>92987.8</v>
      </c>
      <c r="O1621" t="s">
        <v>31</v>
      </c>
      <c r="P1621" t="s">
        <v>98</v>
      </c>
      <c r="X1621" t="s">
        <v>370</v>
      </c>
      <c r="Y1621"/>
      <c r="Z1621" t="s">
        <v>442</v>
      </c>
      <c r="AA1621">
        <f t="shared" si="52"/>
        <v>4934.2700000000004</v>
      </c>
      <c r="AC1621"/>
      <c r="AE1621" t="s">
        <v>443</v>
      </c>
      <c r="AF1621"/>
      <c r="AL1621">
        <v>340020050</v>
      </c>
      <c r="AM1621" t="s">
        <v>78</v>
      </c>
    </row>
    <row r="1622" spans="1:39" x14ac:dyDescent="0.35">
      <c r="A1622">
        <v>3400</v>
      </c>
      <c r="B1622" t="s">
        <v>370</v>
      </c>
      <c r="C1622">
        <v>2020</v>
      </c>
      <c r="D1622" s="1">
        <v>43831</v>
      </c>
      <c r="E1622">
        <v>1</v>
      </c>
      <c r="F1622">
        <v>100003454</v>
      </c>
      <c r="G1622" t="s">
        <v>96</v>
      </c>
      <c r="H1622">
        <v>40</v>
      </c>
      <c r="I1622">
        <v>71106100</v>
      </c>
      <c r="J1622">
        <v>21021040</v>
      </c>
      <c r="K1622" t="s">
        <v>97</v>
      </c>
      <c r="L1622" s="4">
        <v>2480.89</v>
      </c>
      <c r="M1622" t="s">
        <v>54</v>
      </c>
      <c r="N1622" s="4">
        <v>46753.120000000003</v>
      </c>
      <c r="O1622" t="s">
        <v>31</v>
      </c>
      <c r="P1622" t="s">
        <v>98</v>
      </c>
      <c r="X1622" t="s">
        <v>370</v>
      </c>
      <c r="Y1622"/>
      <c r="Z1622" t="s">
        <v>444</v>
      </c>
      <c r="AA1622">
        <f t="shared" si="52"/>
        <v>2480.89</v>
      </c>
      <c r="AC1622"/>
      <c r="AE1622" t="s">
        <v>445</v>
      </c>
      <c r="AF1622"/>
      <c r="AL1622">
        <v>340020050</v>
      </c>
      <c r="AM1622" t="s">
        <v>78</v>
      </c>
    </row>
    <row r="1623" spans="1:39" x14ac:dyDescent="0.35">
      <c r="A1623">
        <v>3400</v>
      </c>
      <c r="B1623" t="s">
        <v>370</v>
      </c>
      <c r="C1623">
        <v>2020</v>
      </c>
      <c r="D1623" s="1">
        <v>43831</v>
      </c>
      <c r="E1623">
        <v>1</v>
      </c>
      <c r="F1623">
        <v>100003455</v>
      </c>
      <c r="G1623" t="s">
        <v>96</v>
      </c>
      <c r="H1623">
        <v>40</v>
      </c>
      <c r="I1623">
        <v>71106100</v>
      </c>
      <c r="J1623">
        <v>21021040</v>
      </c>
      <c r="K1623" t="s">
        <v>97</v>
      </c>
      <c r="L1623" s="4">
        <v>880.16</v>
      </c>
      <c r="M1623" t="s">
        <v>54</v>
      </c>
      <c r="N1623" s="4">
        <v>16586.88</v>
      </c>
      <c r="O1623" t="s">
        <v>31</v>
      </c>
      <c r="P1623" t="s">
        <v>98</v>
      </c>
      <c r="X1623" t="s">
        <v>370</v>
      </c>
      <c r="Y1623"/>
      <c r="Z1623" t="s">
        <v>446</v>
      </c>
      <c r="AA1623">
        <f t="shared" si="52"/>
        <v>880.16</v>
      </c>
      <c r="AC1623"/>
      <c r="AE1623" t="s">
        <v>447</v>
      </c>
      <c r="AF1623"/>
      <c r="AL1623">
        <v>340020050</v>
      </c>
      <c r="AM1623" t="s">
        <v>78</v>
      </c>
    </row>
    <row r="1624" spans="1:39" x14ac:dyDescent="0.35">
      <c r="A1624">
        <v>3400</v>
      </c>
      <c r="B1624" t="s">
        <v>370</v>
      </c>
      <c r="C1624">
        <v>2020</v>
      </c>
      <c r="D1624" s="1">
        <v>43831</v>
      </c>
      <c r="E1624">
        <v>1</v>
      </c>
      <c r="F1624">
        <v>100003456</v>
      </c>
      <c r="G1624" t="s">
        <v>96</v>
      </c>
      <c r="H1624">
        <v>40</v>
      </c>
      <c r="I1624">
        <v>71106100</v>
      </c>
      <c r="J1624">
        <v>21021040</v>
      </c>
      <c r="K1624" t="s">
        <v>97</v>
      </c>
      <c r="L1624" s="4">
        <v>925.49</v>
      </c>
      <c r="M1624" t="s">
        <v>54</v>
      </c>
      <c r="N1624" s="4">
        <v>17441.14</v>
      </c>
      <c r="O1624" t="s">
        <v>31</v>
      </c>
      <c r="P1624" t="s">
        <v>98</v>
      </c>
      <c r="X1624" t="s">
        <v>370</v>
      </c>
      <c r="Y1624"/>
      <c r="Z1624" t="s">
        <v>448</v>
      </c>
      <c r="AA1624">
        <f t="shared" si="52"/>
        <v>925.49</v>
      </c>
      <c r="AC1624"/>
      <c r="AE1624" t="s">
        <v>449</v>
      </c>
      <c r="AF1624"/>
      <c r="AL1624">
        <v>340020050</v>
      </c>
      <c r="AM1624" t="s">
        <v>78</v>
      </c>
    </row>
    <row r="1625" spans="1:39" x14ac:dyDescent="0.35">
      <c r="A1625">
        <v>3400</v>
      </c>
      <c r="B1625" t="s">
        <v>370</v>
      </c>
      <c r="C1625">
        <v>2020</v>
      </c>
      <c r="D1625" s="1">
        <v>43831</v>
      </c>
      <c r="E1625">
        <v>1</v>
      </c>
      <c r="F1625">
        <v>100003457</v>
      </c>
      <c r="G1625" t="s">
        <v>96</v>
      </c>
      <c r="H1625">
        <v>40</v>
      </c>
      <c r="I1625">
        <v>71106100</v>
      </c>
      <c r="J1625">
        <v>21021040</v>
      </c>
      <c r="K1625" t="s">
        <v>97</v>
      </c>
      <c r="L1625" s="4">
        <v>1355.74</v>
      </c>
      <c r="M1625" t="s">
        <v>54</v>
      </c>
      <c r="N1625" s="4">
        <v>25549.33</v>
      </c>
      <c r="O1625" t="s">
        <v>31</v>
      </c>
      <c r="P1625" t="s">
        <v>98</v>
      </c>
      <c r="X1625" t="s">
        <v>370</v>
      </c>
      <c r="Y1625"/>
      <c r="Z1625" t="s">
        <v>450</v>
      </c>
      <c r="AA1625">
        <f t="shared" si="52"/>
        <v>1355.74</v>
      </c>
      <c r="AC1625"/>
      <c r="AE1625" t="s">
        <v>451</v>
      </c>
      <c r="AF1625"/>
      <c r="AL1625">
        <v>340020050</v>
      </c>
      <c r="AM1625" t="s">
        <v>78</v>
      </c>
    </row>
    <row r="1626" spans="1:39" x14ac:dyDescent="0.35">
      <c r="A1626">
        <v>3400</v>
      </c>
      <c r="B1626" t="s">
        <v>370</v>
      </c>
      <c r="C1626">
        <v>2020</v>
      </c>
      <c r="D1626" s="1">
        <v>43831</v>
      </c>
      <c r="E1626">
        <v>1</v>
      </c>
      <c r="F1626">
        <v>100003458</v>
      </c>
      <c r="G1626" t="s">
        <v>96</v>
      </c>
      <c r="H1626">
        <v>40</v>
      </c>
      <c r="I1626">
        <v>71106100</v>
      </c>
      <c r="J1626">
        <v>21021040</v>
      </c>
      <c r="K1626" t="s">
        <v>97</v>
      </c>
      <c r="L1626" s="4">
        <v>6977.75</v>
      </c>
      <c r="M1626" t="s">
        <v>54</v>
      </c>
      <c r="N1626" s="4">
        <v>131497.79</v>
      </c>
      <c r="O1626" t="s">
        <v>31</v>
      </c>
      <c r="P1626" t="s">
        <v>98</v>
      </c>
      <c r="X1626" t="s">
        <v>370</v>
      </c>
      <c r="Y1626"/>
      <c r="Z1626" t="s">
        <v>452</v>
      </c>
      <c r="AA1626">
        <f t="shared" si="52"/>
        <v>6977.75</v>
      </c>
      <c r="AC1626"/>
      <c r="AE1626" t="s">
        <v>453</v>
      </c>
      <c r="AF1626"/>
      <c r="AL1626">
        <v>340020050</v>
      </c>
      <c r="AM1626" t="s">
        <v>78</v>
      </c>
    </row>
    <row r="1627" spans="1:39" x14ac:dyDescent="0.35">
      <c r="A1627">
        <v>3400</v>
      </c>
      <c r="B1627" t="s">
        <v>370</v>
      </c>
      <c r="C1627">
        <v>2020</v>
      </c>
      <c r="D1627" s="1">
        <v>43831</v>
      </c>
      <c r="E1627">
        <v>1</v>
      </c>
      <c r="F1627">
        <v>100003459</v>
      </c>
      <c r="G1627" t="s">
        <v>96</v>
      </c>
      <c r="H1627">
        <v>40</v>
      </c>
      <c r="I1627">
        <v>71106100</v>
      </c>
      <c r="J1627">
        <v>21021040</v>
      </c>
      <c r="K1627" t="s">
        <v>97</v>
      </c>
      <c r="L1627" s="4">
        <v>845.74</v>
      </c>
      <c r="M1627" t="s">
        <v>54</v>
      </c>
      <c r="N1627" s="4">
        <v>15938.22</v>
      </c>
      <c r="O1627" t="s">
        <v>31</v>
      </c>
      <c r="P1627" t="s">
        <v>98</v>
      </c>
      <c r="X1627" t="s">
        <v>370</v>
      </c>
      <c r="Y1627"/>
      <c r="Z1627" t="s">
        <v>454</v>
      </c>
      <c r="AA1627">
        <f t="shared" si="52"/>
        <v>845.74</v>
      </c>
      <c r="AC1627"/>
      <c r="AE1627" t="s">
        <v>455</v>
      </c>
      <c r="AF1627"/>
      <c r="AL1627">
        <v>340020050</v>
      </c>
      <c r="AM1627" t="s">
        <v>78</v>
      </c>
    </row>
    <row r="1628" spans="1:39" x14ac:dyDescent="0.35">
      <c r="A1628">
        <v>3400</v>
      </c>
      <c r="B1628" t="s">
        <v>370</v>
      </c>
      <c r="C1628">
        <v>2020</v>
      </c>
      <c r="D1628" s="1">
        <v>43831</v>
      </c>
      <c r="E1628">
        <v>1</v>
      </c>
      <c r="F1628">
        <v>100003460</v>
      </c>
      <c r="G1628" t="s">
        <v>96</v>
      </c>
      <c r="H1628">
        <v>40</v>
      </c>
      <c r="I1628">
        <v>71106100</v>
      </c>
      <c r="J1628">
        <v>21021040</v>
      </c>
      <c r="K1628" t="s">
        <v>97</v>
      </c>
      <c r="L1628" s="4">
        <v>1421.9</v>
      </c>
      <c r="M1628" t="s">
        <v>54</v>
      </c>
      <c r="N1628" s="4">
        <v>26796.13</v>
      </c>
      <c r="O1628" t="s">
        <v>31</v>
      </c>
      <c r="P1628" t="s">
        <v>98</v>
      </c>
      <c r="X1628" t="s">
        <v>370</v>
      </c>
      <c r="Y1628"/>
      <c r="Z1628" t="s">
        <v>456</v>
      </c>
      <c r="AA1628">
        <f t="shared" si="52"/>
        <v>1421.9</v>
      </c>
      <c r="AC1628"/>
      <c r="AE1628" t="s">
        <v>457</v>
      </c>
      <c r="AF1628"/>
      <c r="AL1628">
        <v>340020050</v>
      </c>
      <c r="AM1628" t="s">
        <v>78</v>
      </c>
    </row>
    <row r="1629" spans="1:39" x14ac:dyDescent="0.35">
      <c r="A1629">
        <v>3400</v>
      </c>
      <c r="B1629" t="s">
        <v>370</v>
      </c>
      <c r="C1629">
        <v>2020</v>
      </c>
      <c r="D1629" s="1">
        <v>43831</v>
      </c>
      <c r="E1629">
        <v>1</v>
      </c>
      <c r="F1629">
        <v>100003461</v>
      </c>
      <c r="G1629" t="s">
        <v>96</v>
      </c>
      <c r="H1629">
        <v>40</v>
      </c>
      <c r="I1629">
        <v>71106100</v>
      </c>
      <c r="J1629">
        <v>21021040</v>
      </c>
      <c r="K1629" t="s">
        <v>97</v>
      </c>
      <c r="L1629" s="4">
        <v>4307.57</v>
      </c>
      <c r="M1629" t="s">
        <v>54</v>
      </c>
      <c r="N1629" s="4">
        <v>81177.45</v>
      </c>
      <c r="O1629" t="s">
        <v>31</v>
      </c>
      <c r="P1629" t="s">
        <v>98</v>
      </c>
      <c r="X1629" t="s">
        <v>370</v>
      </c>
      <c r="Y1629"/>
      <c r="Z1629" t="s">
        <v>458</v>
      </c>
      <c r="AA1629">
        <f t="shared" si="52"/>
        <v>4307.57</v>
      </c>
      <c r="AC1629"/>
      <c r="AE1629" t="s">
        <v>459</v>
      </c>
      <c r="AF1629"/>
      <c r="AL1629">
        <v>340020050</v>
      </c>
      <c r="AM1629" t="s">
        <v>78</v>
      </c>
    </row>
    <row r="1630" spans="1:39" x14ac:dyDescent="0.35">
      <c r="A1630">
        <v>3400</v>
      </c>
      <c r="B1630" t="s">
        <v>370</v>
      </c>
      <c r="C1630">
        <v>2020</v>
      </c>
      <c r="D1630" s="1">
        <v>43831</v>
      </c>
      <c r="E1630">
        <v>1</v>
      </c>
      <c r="F1630">
        <v>100003462</v>
      </c>
      <c r="G1630" t="s">
        <v>96</v>
      </c>
      <c r="H1630">
        <v>40</v>
      </c>
      <c r="I1630">
        <v>71106100</v>
      </c>
      <c r="J1630">
        <v>21021040</v>
      </c>
      <c r="K1630" t="s">
        <v>97</v>
      </c>
      <c r="L1630" s="4">
        <v>4705.09</v>
      </c>
      <c r="M1630" t="s">
        <v>54</v>
      </c>
      <c r="N1630" s="4">
        <v>88668.83</v>
      </c>
      <c r="O1630" t="s">
        <v>31</v>
      </c>
      <c r="P1630" t="s">
        <v>98</v>
      </c>
      <c r="X1630" t="s">
        <v>370</v>
      </c>
      <c r="Y1630"/>
      <c r="Z1630" t="s">
        <v>460</v>
      </c>
      <c r="AA1630">
        <f t="shared" si="52"/>
        <v>4705.09</v>
      </c>
      <c r="AC1630"/>
      <c r="AE1630" t="s">
        <v>461</v>
      </c>
      <c r="AF1630"/>
      <c r="AL1630">
        <v>340020050</v>
      </c>
      <c r="AM1630" t="s">
        <v>78</v>
      </c>
    </row>
    <row r="1631" spans="1:39" x14ac:dyDescent="0.35">
      <c r="A1631">
        <v>3400</v>
      </c>
      <c r="B1631" t="s">
        <v>370</v>
      </c>
      <c r="C1631">
        <v>2020</v>
      </c>
      <c r="D1631" s="1">
        <v>43831</v>
      </c>
      <c r="E1631">
        <v>1</v>
      </c>
      <c r="F1631">
        <v>100003463</v>
      </c>
      <c r="G1631" t="s">
        <v>96</v>
      </c>
      <c r="H1631">
        <v>40</v>
      </c>
      <c r="I1631">
        <v>71106100</v>
      </c>
      <c r="J1631">
        <v>21021040</v>
      </c>
      <c r="K1631" t="s">
        <v>97</v>
      </c>
      <c r="L1631" s="4">
        <v>1730.76</v>
      </c>
      <c r="M1631" t="s">
        <v>54</v>
      </c>
      <c r="N1631" s="4">
        <v>32616.69</v>
      </c>
      <c r="O1631" t="s">
        <v>31</v>
      </c>
      <c r="P1631" t="s">
        <v>98</v>
      </c>
      <c r="X1631" t="s">
        <v>370</v>
      </c>
      <c r="Y1631"/>
      <c r="Z1631" t="s">
        <v>462</v>
      </c>
      <c r="AA1631">
        <f t="shared" si="52"/>
        <v>1730.76</v>
      </c>
      <c r="AC1631"/>
      <c r="AE1631" t="s">
        <v>463</v>
      </c>
      <c r="AF1631"/>
      <c r="AL1631">
        <v>340020050</v>
      </c>
      <c r="AM1631" t="s">
        <v>78</v>
      </c>
    </row>
    <row r="1632" spans="1:39" x14ac:dyDescent="0.35">
      <c r="A1632">
        <v>3400</v>
      </c>
      <c r="B1632" t="s">
        <v>370</v>
      </c>
      <c r="C1632">
        <v>2020</v>
      </c>
      <c r="D1632" s="1">
        <v>43831</v>
      </c>
      <c r="E1632">
        <v>1</v>
      </c>
      <c r="F1632">
        <v>100003467</v>
      </c>
      <c r="G1632" t="s">
        <v>96</v>
      </c>
      <c r="H1632">
        <v>40</v>
      </c>
      <c r="I1632">
        <v>71106100</v>
      </c>
      <c r="J1632">
        <v>21021040</v>
      </c>
      <c r="K1632" t="s">
        <v>97</v>
      </c>
      <c r="L1632" s="4">
        <v>33628.120000000003</v>
      </c>
      <c r="M1632" t="s">
        <v>54</v>
      </c>
      <c r="N1632" s="4">
        <v>633732.01</v>
      </c>
      <c r="O1632" t="s">
        <v>31</v>
      </c>
      <c r="P1632" t="s">
        <v>98</v>
      </c>
      <c r="X1632" t="s">
        <v>370</v>
      </c>
      <c r="Y1632"/>
      <c r="Z1632" t="s">
        <v>464</v>
      </c>
      <c r="AA1632">
        <f t="shared" si="52"/>
        <v>33628.120000000003</v>
      </c>
      <c r="AC1632"/>
      <c r="AE1632" t="s">
        <v>465</v>
      </c>
      <c r="AF1632"/>
      <c r="AL1632">
        <v>340020050</v>
      </c>
      <c r="AM1632" t="s">
        <v>78</v>
      </c>
    </row>
    <row r="1633" spans="1:39" x14ac:dyDescent="0.35">
      <c r="A1633">
        <v>3400</v>
      </c>
      <c r="B1633" t="s">
        <v>88</v>
      </c>
      <c r="C1633">
        <v>2020</v>
      </c>
      <c r="D1633" s="1">
        <v>43831</v>
      </c>
      <c r="E1633">
        <v>1</v>
      </c>
      <c r="F1633">
        <v>100001282</v>
      </c>
      <c r="G1633" t="s">
        <v>96</v>
      </c>
      <c r="H1633">
        <v>50</v>
      </c>
      <c r="I1633">
        <v>71106100</v>
      </c>
      <c r="J1633">
        <v>21021040</v>
      </c>
      <c r="K1633" t="s">
        <v>97</v>
      </c>
      <c r="L1633" s="4">
        <v>421.7</v>
      </c>
      <c r="M1633" t="s">
        <v>54</v>
      </c>
      <c r="N1633" s="4">
        <v>7939.35</v>
      </c>
      <c r="O1633" t="s">
        <v>31</v>
      </c>
      <c r="P1633" t="s">
        <v>211</v>
      </c>
      <c r="X1633" t="s">
        <v>88</v>
      </c>
      <c r="Y1633"/>
      <c r="Z1633" t="s">
        <v>466</v>
      </c>
      <c r="AA1633">
        <f t="shared" si="52"/>
        <v>421.7</v>
      </c>
      <c r="AC1633"/>
      <c r="AE1633" t="s">
        <v>467</v>
      </c>
      <c r="AF1633"/>
      <c r="AL1633">
        <v>340020050</v>
      </c>
      <c r="AM1633" t="s">
        <v>78</v>
      </c>
    </row>
    <row r="1634" spans="1:39" x14ac:dyDescent="0.35">
      <c r="A1634">
        <v>3400</v>
      </c>
      <c r="B1634" t="s">
        <v>88</v>
      </c>
      <c r="C1634">
        <v>2020</v>
      </c>
      <c r="D1634" s="1">
        <v>43831</v>
      </c>
      <c r="E1634">
        <v>1</v>
      </c>
      <c r="F1634">
        <v>100001283</v>
      </c>
      <c r="G1634" t="s">
        <v>96</v>
      </c>
      <c r="H1634">
        <v>40</v>
      </c>
      <c r="I1634">
        <v>71106100</v>
      </c>
      <c r="J1634">
        <v>21021040</v>
      </c>
      <c r="K1634" t="s">
        <v>97</v>
      </c>
      <c r="L1634" s="4">
        <v>10632.82</v>
      </c>
      <c r="M1634" t="s">
        <v>54</v>
      </c>
      <c r="N1634" s="4">
        <v>200184.1</v>
      </c>
      <c r="O1634" t="s">
        <v>31</v>
      </c>
      <c r="P1634" t="s">
        <v>211</v>
      </c>
      <c r="X1634" t="s">
        <v>88</v>
      </c>
      <c r="Y1634"/>
      <c r="Z1634" t="s">
        <v>468</v>
      </c>
      <c r="AA1634">
        <f t="shared" si="52"/>
        <v>10632.82</v>
      </c>
      <c r="AC1634"/>
      <c r="AE1634" t="s">
        <v>469</v>
      </c>
      <c r="AF1634"/>
      <c r="AL1634">
        <v>340020050</v>
      </c>
      <c r="AM1634" t="s">
        <v>78</v>
      </c>
    </row>
    <row r="1635" spans="1:39" x14ac:dyDescent="0.35">
      <c r="A1635">
        <v>3400</v>
      </c>
      <c r="B1635" t="s">
        <v>88</v>
      </c>
      <c r="C1635">
        <v>2020</v>
      </c>
      <c r="D1635" s="1">
        <v>43831</v>
      </c>
      <c r="E1635">
        <v>1</v>
      </c>
      <c r="F1635">
        <v>100001284</v>
      </c>
      <c r="G1635" t="s">
        <v>96</v>
      </c>
      <c r="H1635">
        <v>40</v>
      </c>
      <c r="I1635">
        <v>71106100</v>
      </c>
      <c r="J1635">
        <v>21021040</v>
      </c>
      <c r="K1635" t="s">
        <v>97</v>
      </c>
      <c r="L1635" s="4">
        <v>12696.67</v>
      </c>
      <c r="M1635" t="s">
        <v>54</v>
      </c>
      <c r="N1635" s="4">
        <v>239040.21</v>
      </c>
      <c r="O1635" t="s">
        <v>31</v>
      </c>
      <c r="P1635" t="s">
        <v>211</v>
      </c>
      <c r="X1635" t="s">
        <v>88</v>
      </c>
      <c r="Y1635"/>
      <c r="Z1635" t="s">
        <v>470</v>
      </c>
      <c r="AA1635">
        <f t="shared" si="52"/>
        <v>12696.67</v>
      </c>
      <c r="AC1635"/>
      <c r="AE1635" t="s">
        <v>469</v>
      </c>
      <c r="AF1635"/>
      <c r="AL1635">
        <v>340020050</v>
      </c>
      <c r="AM1635" t="s">
        <v>78</v>
      </c>
    </row>
    <row r="1636" spans="1:39" x14ac:dyDescent="0.35">
      <c r="A1636">
        <v>3400</v>
      </c>
      <c r="B1636" t="s">
        <v>88</v>
      </c>
      <c r="C1636">
        <v>2020</v>
      </c>
      <c r="D1636" s="1">
        <v>43831</v>
      </c>
      <c r="E1636">
        <v>1</v>
      </c>
      <c r="F1636">
        <v>100001285</v>
      </c>
      <c r="G1636" t="s">
        <v>96</v>
      </c>
      <c r="H1636">
        <v>50</v>
      </c>
      <c r="I1636">
        <v>71106100</v>
      </c>
      <c r="J1636">
        <v>21021040</v>
      </c>
      <c r="K1636" t="s">
        <v>97</v>
      </c>
      <c r="L1636" s="4">
        <v>78.83</v>
      </c>
      <c r="M1636" t="s">
        <v>54</v>
      </c>
      <c r="N1636" s="4">
        <v>1484.13</v>
      </c>
      <c r="O1636" t="s">
        <v>31</v>
      </c>
      <c r="P1636" t="s">
        <v>211</v>
      </c>
      <c r="X1636" t="s">
        <v>88</v>
      </c>
      <c r="Y1636"/>
      <c r="Z1636" t="s">
        <v>471</v>
      </c>
      <c r="AA1636">
        <f t="shared" si="52"/>
        <v>78.83</v>
      </c>
      <c r="AC1636"/>
      <c r="AE1636" t="s">
        <v>472</v>
      </c>
      <c r="AF1636"/>
      <c r="AL1636">
        <v>340020050</v>
      </c>
      <c r="AM1636" t="s">
        <v>78</v>
      </c>
    </row>
    <row r="1637" spans="1:39" x14ac:dyDescent="0.35">
      <c r="A1637">
        <v>3400</v>
      </c>
      <c r="B1637" t="s">
        <v>88</v>
      </c>
      <c r="C1637">
        <v>2020</v>
      </c>
      <c r="D1637" s="1">
        <v>43831</v>
      </c>
      <c r="E1637">
        <v>1</v>
      </c>
      <c r="F1637">
        <v>100001286</v>
      </c>
      <c r="G1637" t="s">
        <v>96</v>
      </c>
      <c r="H1637">
        <v>50</v>
      </c>
      <c r="I1637">
        <v>71106100</v>
      </c>
      <c r="J1637">
        <v>21021040</v>
      </c>
      <c r="K1637" t="s">
        <v>97</v>
      </c>
      <c r="L1637" s="4">
        <v>173.23</v>
      </c>
      <c r="M1637" t="s">
        <v>54</v>
      </c>
      <c r="N1637" s="4">
        <v>3261.4</v>
      </c>
      <c r="O1637" t="s">
        <v>31</v>
      </c>
      <c r="P1637" t="s">
        <v>211</v>
      </c>
      <c r="X1637" t="s">
        <v>88</v>
      </c>
      <c r="Y1637"/>
      <c r="Z1637" t="s">
        <v>473</v>
      </c>
      <c r="AA1637">
        <f t="shared" si="52"/>
        <v>173.23</v>
      </c>
      <c r="AC1637"/>
      <c r="AE1637" t="s">
        <v>474</v>
      </c>
      <c r="AF1637"/>
      <c r="AL1637">
        <v>340020050</v>
      </c>
      <c r="AM1637" t="s">
        <v>78</v>
      </c>
    </row>
    <row r="1638" spans="1:39" x14ac:dyDescent="0.35">
      <c r="A1638">
        <v>3400</v>
      </c>
      <c r="B1638" t="s">
        <v>88</v>
      </c>
      <c r="C1638">
        <v>2020</v>
      </c>
      <c r="D1638" s="1">
        <v>43831</v>
      </c>
      <c r="E1638">
        <v>1</v>
      </c>
      <c r="F1638">
        <v>100001288</v>
      </c>
      <c r="G1638" t="s">
        <v>96</v>
      </c>
      <c r="H1638">
        <v>40</v>
      </c>
      <c r="I1638">
        <v>71106100</v>
      </c>
      <c r="J1638">
        <v>21021040</v>
      </c>
      <c r="K1638" t="s">
        <v>97</v>
      </c>
      <c r="L1638" s="4">
        <v>93833.77</v>
      </c>
      <c r="M1638" t="s">
        <v>54</v>
      </c>
      <c r="N1638" s="4">
        <v>1766608.39</v>
      </c>
      <c r="O1638" t="s">
        <v>31</v>
      </c>
      <c r="P1638" t="s">
        <v>211</v>
      </c>
      <c r="X1638" t="s">
        <v>88</v>
      </c>
      <c r="Y1638"/>
      <c r="Z1638" t="s">
        <v>475</v>
      </c>
      <c r="AA1638">
        <f t="shared" si="52"/>
        <v>93833.77</v>
      </c>
      <c r="AC1638"/>
      <c r="AE1638" t="s">
        <v>469</v>
      </c>
      <c r="AF1638"/>
      <c r="AL1638">
        <v>340020050</v>
      </c>
      <c r="AM1638" t="s">
        <v>271</v>
      </c>
    </row>
    <row r="1639" spans="1:39" x14ac:dyDescent="0.35">
      <c r="A1639">
        <v>3400</v>
      </c>
      <c r="B1639" t="s">
        <v>88</v>
      </c>
      <c r="C1639">
        <v>2020</v>
      </c>
      <c r="D1639" s="1">
        <v>43831</v>
      </c>
      <c r="E1639">
        <v>1</v>
      </c>
      <c r="F1639">
        <v>100001393</v>
      </c>
      <c r="G1639" t="s">
        <v>96</v>
      </c>
      <c r="H1639">
        <v>40</v>
      </c>
      <c r="I1639">
        <v>71106100</v>
      </c>
      <c r="J1639">
        <v>21021040</v>
      </c>
      <c r="K1639" t="s">
        <v>97</v>
      </c>
      <c r="L1639" s="4">
        <v>613.36</v>
      </c>
      <c r="M1639" t="s">
        <v>54</v>
      </c>
      <c r="N1639" s="4">
        <v>11547.73</v>
      </c>
      <c r="O1639" t="s">
        <v>31</v>
      </c>
      <c r="P1639" t="s">
        <v>211</v>
      </c>
      <c r="X1639" t="s">
        <v>88</v>
      </c>
      <c r="Y1639"/>
      <c r="Z1639" t="s">
        <v>476</v>
      </c>
      <c r="AA1639">
        <f t="shared" si="52"/>
        <v>613.36</v>
      </c>
      <c r="AC1639"/>
      <c r="AE1639" t="s">
        <v>477</v>
      </c>
      <c r="AF1639"/>
      <c r="AL1639">
        <v>340020050</v>
      </c>
      <c r="AM1639" t="s">
        <v>78</v>
      </c>
    </row>
    <row r="1640" spans="1:39" x14ac:dyDescent="0.35">
      <c r="A1640">
        <v>3400</v>
      </c>
      <c r="B1640" t="s">
        <v>88</v>
      </c>
      <c r="C1640">
        <v>2020</v>
      </c>
      <c r="D1640" s="1">
        <v>43831</v>
      </c>
      <c r="E1640">
        <v>1</v>
      </c>
      <c r="F1640">
        <v>100001395</v>
      </c>
      <c r="G1640" t="s">
        <v>96</v>
      </c>
      <c r="H1640">
        <v>40</v>
      </c>
      <c r="I1640">
        <v>71106100</v>
      </c>
      <c r="J1640">
        <v>21021040</v>
      </c>
      <c r="K1640" t="s">
        <v>97</v>
      </c>
      <c r="L1640" s="4">
        <v>1365</v>
      </c>
      <c r="M1640" t="s">
        <v>54</v>
      </c>
      <c r="N1640" s="4">
        <v>25698.86</v>
      </c>
      <c r="O1640" t="s">
        <v>31</v>
      </c>
      <c r="P1640" t="s">
        <v>211</v>
      </c>
      <c r="X1640" t="s">
        <v>88</v>
      </c>
      <c r="Y1640"/>
      <c r="Z1640" t="s">
        <v>478</v>
      </c>
      <c r="AA1640">
        <f t="shared" si="52"/>
        <v>1365</v>
      </c>
      <c r="AC1640"/>
      <c r="AE1640" t="s">
        <v>479</v>
      </c>
      <c r="AF1640"/>
      <c r="AL1640">
        <v>340020050</v>
      </c>
      <c r="AM1640" t="s">
        <v>78</v>
      </c>
    </row>
    <row r="1641" spans="1:39" x14ac:dyDescent="0.35">
      <c r="A1641">
        <v>3400</v>
      </c>
      <c r="B1641" t="s">
        <v>53</v>
      </c>
      <c r="C1641">
        <v>2020</v>
      </c>
      <c r="D1641" s="1">
        <v>43831</v>
      </c>
      <c r="E1641">
        <v>1</v>
      </c>
      <c r="F1641">
        <v>100005015</v>
      </c>
      <c r="G1641" t="s">
        <v>96</v>
      </c>
      <c r="H1641">
        <v>50</v>
      </c>
      <c r="I1641">
        <v>71106100</v>
      </c>
      <c r="J1641">
        <v>21021040</v>
      </c>
      <c r="K1641" t="s">
        <v>97</v>
      </c>
      <c r="L1641" s="4">
        <v>1519.9</v>
      </c>
      <c r="M1641" t="s">
        <v>54</v>
      </c>
      <c r="N1641" s="4">
        <v>28585.82</v>
      </c>
      <c r="O1641" t="s">
        <v>31</v>
      </c>
      <c r="P1641" t="s">
        <v>211</v>
      </c>
      <c r="X1641" t="s">
        <v>53</v>
      </c>
      <c r="Y1641"/>
      <c r="Z1641" t="s">
        <v>480</v>
      </c>
      <c r="AA1641">
        <f t="shared" si="52"/>
        <v>1519.9</v>
      </c>
      <c r="AC1641"/>
      <c r="AE1641" t="s">
        <v>481</v>
      </c>
      <c r="AF1641"/>
      <c r="AL1641">
        <v>340020050</v>
      </c>
      <c r="AM1641" t="s">
        <v>78</v>
      </c>
    </row>
    <row r="1642" spans="1:39" x14ac:dyDescent="0.35">
      <c r="A1642">
        <v>3400</v>
      </c>
      <c r="B1642" t="s">
        <v>53</v>
      </c>
      <c r="C1642">
        <v>2020</v>
      </c>
      <c r="D1642" s="1">
        <v>43831</v>
      </c>
      <c r="E1642">
        <v>1</v>
      </c>
      <c r="F1642">
        <v>100005053</v>
      </c>
      <c r="G1642" t="s">
        <v>96</v>
      </c>
      <c r="H1642">
        <v>40</v>
      </c>
      <c r="I1642">
        <v>71106100</v>
      </c>
      <c r="J1642">
        <v>21021040</v>
      </c>
      <c r="K1642" t="s">
        <v>97</v>
      </c>
      <c r="L1642" s="4">
        <v>18095</v>
      </c>
      <c r="M1642" t="s">
        <v>54</v>
      </c>
      <c r="N1642" s="4">
        <v>340325.33</v>
      </c>
      <c r="O1642" t="s">
        <v>31</v>
      </c>
      <c r="P1642" t="s">
        <v>211</v>
      </c>
      <c r="X1642" t="s">
        <v>53</v>
      </c>
      <c r="Y1642"/>
      <c r="Z1642" t="s">
        <v>482</v>
      </c>
      <c r="AA1642">
        <f t="shared" si="52"/>
        <v>18095</v>
      </c>
      <c r="AC1642"/>
      <c r="AE1642" t="s">
        <v>483</v>
      </c>
      <c r="AF1642"/>
      <c r="AL1642">
        <v>340020050</v>
      </c>
      <c r="AM1642" t="s">
        <v>78</v>
      </c>
    </row>
    <row r="1643" spans="1:39" x14ac:dyDescent="0.35">
      <c r="A1643">
        <v>3400</v>
      </c>
      <c r="B1643" t="s">
        <v>318</v>
      </c>
      <c r="C1643">
        <v>2020</v>
      </c>
      <c r="D1643" s="1">
        <v>43831</v>
      </c>
      <c r="E1643">
        <v>1</v>
      </c>
      <c r="F1643">
        <v>100006989</v>
      </c>
      <c r="G1643" t="s">
        <v>96</v>
      </c>
      <c r="H1643">
        <v>40</v>
      </c>
      <c r="I1643">
        <v>71106100</v>
      </c>
      <c r="J1643">
        <v>21021040</v>
      </c>
      <c r="K1643" t="s">
        <v>97</v>
      </c>
      <c r="L1643" s="4">
        <v>2433.9299999999998</v>
      </c>
      <c r="M1643" t="s">
        <v>54</v>
      </c>
      <c r="N1643" s="4">
        <v>45447.56</v>
      </c>
      <c r="O1643" t="s">
        <v>31</v>
      </c>
      <c r="P1643" t="s">
        <v>98</v>
      </c>
      <c r="X1643" t="s">
        <v>318</v>
      </c>
      <c r="Y1643"/>
      <c r="Z1643" t="s">
        <v>484</v>
      </c>
      <c r="AA1643">
        <f t="shared" si="52"/>
        <v>2433.9299999999998</v>
      </c>
      <c r="AC1643"/>
      <c r="AE1643" t="s">
        <v>485</v>
      </c>
      <c r="AF1643"/>
      <c r="AL1643">
        <v>340020050</v>
      </c>
      <c r="AM1643" t="s">
        <v>78</v>
      </c>
    </row>
    <row r="1644" spans="1:39" x14ac:dyDescent="0.35">
      <c r="A1644">
        <v>3400</v>
      </c>
      <c r="B1644" t="s">
        <v>258</v>
      </c>
      <c r="C1644">
        <v>2020</v>
      </c>
      <c r="D1644" s="1">
        <v>43831</v>
      </c>
      <c r="E1644">
        <v>1</v>
      </c>
      <c r="F1644">
        <v>100007346</v>
      </c>
      <c r="G1644" t="s">
        <v>96</v>
      </c>
      <c r="H1644">
        <v>40</v>
      </c>
      <c r="I1644">
        <v>71106100</v>
      </c>
      <c r="J1644">
        <v>21021040</v>
      </c>
      <c r="K1644" t="s">
        <v>97</v>
      </c>
      <c r="L1644" s="4">
        <v>30907.01</v>
      </c>
      <c r="M1644" t="s">
        <v>54</v>
      </c>
      <c r="N1644" s="4">
        <v>577982.71999999997</v>
      </c>
      <c r="O1644" t="s">
        <v>31</v>
      </c>
      <c r="P1644" t="s">
        <v>98</v>
      </c>
      <c r="X1644" t="s">
        <v>258</v>
      </c>
      <c r="Y1644"/>
      <c r="Z1644" t="s">
        <v>486</v>
      </c>
      <c r="AA1644">
        <f t="shared" si="52"/>
        <v>30907.01</v>
      </c>
      <c r="AC1644"/>
      <c r="AE1644" t="s">
        <v>487</v>
      </c>
      <c r="AF1644"/>
      <c r="AL1644">
        <v>340020050</v>
      </c>
      <c r="AM1644" t="s">
        <v>214</v>
      </c>
    </row>
    <row r="1645" spans="1:39" x14ac:dyDescent="0.35">
      <c r="A1645">
        <v>3400</v>
      </c>
      <c r="B1645" t="s">
        <v>93</v>
      </c>
      <c r="C1645">
        <v>2020</v>
      </c>
      <c r="D1645" s="1">
        <v>43831</v>
      </c>
      <c r="E1645">
        <v>1</v>
      </c>
      <c r="F1645">
        <v>100008994</v>
      </c>
      <c r="G1645" t="s">
        <v>96</v>
      </c>
      <c r="H1645">
        <v>40</v>
      </c>
      <c r="I1645">
        <v>71106100</v>
      </c>
      <c r="J1645">
        <v>21021040</v>
      </c>
      <c r="K1645" t="s">
        <v>97</v>
      </c>
      <c r="L1645" s="4">
        <v>11968</v>
      </c>
      <c r="M1645" t="s">
        <v>54</v>
      </c>
      <c r="N1645" s="4">
        <v>223661.57</v>
      </c>
      <c r="O1645" t="s">
        <v>31</v>
      </c>
      <c r="P1645" t="s">
        <v>98</v>
      </c>
      <c r="X1645" t="s">
        <v>61</v>
      </c>
      <c r="Y1645"/>
      <c r="Z1645" t="s">
        <v>488</v>
      </c>
      <c r="AA1645">
        <f t="shared" si="52"/>
        <v>11968</v>
      </c>
      <c r="AC1645"/>
      <c r="AE1645" t="s">
        <v>489</v>
      </c>
      <c r="AF1645"/>
      <c r="AL1645">
        <v>340020050</v>
      </c>
      <c r="AM1645" t="s">
        <v>271</v>
      </c>
    </row>
    <row r="1646" spans="1:39" x14ac:dyDescent="0.35">
      <c r="A1646">
        <v>3400</v>
      </c>
      <c r="B1646" t="s">
        <v>83</v>
      </c>
      <c r="C1646">
        <v>2020</v>
      </c>
      <c r="D1646" s="1">
        <v>43831</v>
      </c>
      <c r="E1646">
        <v>1</v>
      </c>
      <c r="F1646">
        <v>100009485</v>
      </c>
      <c r="G1646" t="s">
        <v>101</v>
      </c>
      <c r="H1646">
        <v>40</v>
      </c>
      <c r="I1646">
        <v>71106100</v>
      </c>
      <c r="J1646">
        <v>11610010</v>
      </c>
      <c r="K1646" t="s">
        <v>97</v>
      </c>
      <c r="L1646" s="4">
        <v>1491.67</v>
      </c>
      <c r="M1646" t="s">
        <v>54</v>
      </c>
      <c r="N1646" s="4">
        <v>28090.09</v>
      </c>
      <c r="O1646" t="s">
        <v>31</v>
      </c>
      <c r="P1646" t="s">
        <v>98</v>
      </c>
      <c r="X1646" t="s">
        <v>83</v>
      </c>
      <c r="Y1646" t="s">
        <v>269</v>
      </c>
      <c r="Z1646" t="s">
        <v>490</v>
      </c>
      <c r="AA1646">
        <f t="shared" si="52"/>
        <v>1491.67</v>
      </c>
      <c r="AC1646"/>
      <c r="AE1646" t="s">
        <v>491</v>
      </c>
      <c r="AF1646"/>
      <c r="AL1646">
        <v>340020050</v>
      </c>
      <c r="AM1646" t="s">
        <v>271</v>
      </c>
    </row>
    <row r="1647" spans="1:39" x14ac:dyDescent="0.35">
      <c r="A1647">
        <v>3400</v>
      </c>
      <c r="B1647" t="s">
        <v>83</v>
      </c>
      <c r="C1647">
        <v>2020</v>
      </c>
      <c r="D1647" s="1">
        <v>43831</v>
      </c>
      <c r="E1647">
        <v>2</v>
      </c>
      <c r="F1647">
        <v>100009485</v>
      </c>
      <c r="G1647" t="s">
        <v>101</v>
      </c>
      <c r="H1647">
        <v>40</v>
      </c>
      <c r="I1647">
        <v>71106100</v>
      </c>
      <c r="J1647">
        <v>11610010</v>
      </c>
      <c r="K1647" t="s">
        <v>97</v>
      </c>
      <c r="L1647" s="4">
        <v>901.67</v>
      </c>
      <c r="M1647" t="s">
        <v>54</v>
      </c>
      <c r="N1647" s="4">
        <v>16979.62</v>
      </c>
      <c r="O1647" t="s">
        <v>31</v>
      </c>
      <c r="P1647" t="s">
        <v>98</v>
      </c>
      <c r="X1647" t="s">
        <v>83</v>
      </c>
      <c r="Y1647" t="s">
        <v>269</v>
      </c>
      <c r="Z1647" t="s">
        <v>490</v>
      </c>
      <c r="AA1647">
        <f t="shared" si="52"/>
        <v>901.67</v>
      </c>
      <c r="AC1647"/>
      <c r="AE1647" t="s">
        <v>491</v>
      </c>
      <c r="AF1647"/>
      <c r="AL1647">
        <v>340020050</v>
      </c>
      <c r="AM1647" t="s">
        <v>271</v>
      </c>
    </row>
    <row r="1648" spans="1:39" x14ac:dyDescent="0.35">
      <c r="A1648">
        <v>3400</v>
      </c>
      <c r="B1648" t="s">
        <v>62</v>
      </c>
      <c r="C1648">
        <v>2020</v>
      </c>
      <c r="D1648" s="1">
        <v>43831</v>
      </c>
      <c r="E1648">
        <v>1</v>
      </c>
      <c r="F1648">
        <v>100009699</v>
      </c>
      <c r="G1648" t="s">
        <v>96</v>
      </c>
      <c r="H1648">
        <v>40</v>
      </c>
      <c r="I1648">
        <v>71106100</v>
      </c>
      <c r="J1648">
        <v>21021040</v>
      </c>
      <c r="K1648" t="s">
        <v>97</v>
      </c>
      <c r="L1648" s="4">
        <v>942.85</v>
      </c>
      <c r="M1648" t="s">
        <v>54</v>
      </c>
      <c r="N1648" s="4">
        <v>17858.240000000002</v>
      </c>
      <c r="O1648" t="s">
        <v>31</v>
      </c>
      <c r="P1648" t="s">
        <v>98</v>
      </c>
      <c r="X1648" t="s">
        <v>62</v>
      </c>
      <c r="Y1648"/>
      <c r="Z1648" t="s">
        <v>492</v>
      </c>
      <c r="AA1648">
        <f t="shared" si="52"/>
        <v>942.85</v>
      </c>
      <c r="AC1648"/>
      <c r="AE1648" t="s">
        <v>493</v>
      </c>
      <c r="AF1648"/>
      <c r="AL1648">
        <v>340020050</v>
      </c>
      <c r="AM1648" t="s">
        <v>78</v>
      </c>
    </row>
    <row r="1649" spans="1:39" x14ac:dyDescent="0.35">
      <c r="A1649">
        <v>3400</v>
      </c>
      <c r="B1649" t="s">
        <v>62</v>
      </c>
      <c r="C1649">
        <v>2020</v>
      </c>
      <c r="D1649" s="1">
        <v>43831</v>
      </c>
      <c r="E1649">
        <v>1</v>
      </c>
      <c r="F1649">
        <v>100009700</v>
      </c>
      <c r="G1649" t="s">
        <v>96</v>
      </c>
      <c r="H1649">
        <v>40</v>
      </c>
      <c r="I1649">
        <v>71106100</v>
      </c>
      <c r="J1649">
        <v>21021040</v>
      </c>
      <c r="K1649" t="s">
        <v>97</v>
      </c>
      <c r="L1649" s="4">
        <v>1462.89</v>
      </c>
      <c r="M1649" t="s">
        <v>54</v>
      </c>
      <c r="N1649" s="4">
        <v>27708.16</v>
      </c>
      <c r="O1649" t="s">
        <v>31</v>
      </c>
      <c r="P1649" t="s">
        <v>98</v>
      </c>
      <c r="X1649" t="s">
        <v>62</v>
      </c>
      <c r="Y1649"/>
      <c r="Z1649" t="s">
        <v>494</v>
      </c>
      <c r="AA1649">
        <f t="shared" si="52"/>
        <v>1462.89</v>
      </c>
      <c r="AC1649"/>
      <c r="AE1649" t="s">
        <v>495</v>
      </c>
      <c r="AF1649"/>
      <c r="AL1649">
        <v>340020050</v>
      </c>
      <c r="AM1649" t="s">
        <v>78</v>
      </c>
    </row>
    <row r="1650" spans="1:39" x14ac:dyDescent="0.35">
      <c r="A1650">
        <v>3400</v>
      </c>
      <c r="B1650" t="s">
        <v>62</v>
      </c>
      <c r="C1650">
        <v>2020</v>
      </c>
      <c r="D1650" s="1">
        <v>43831</v>
      </c>
      <c r="E1650">
        <v>1</v>
      </c>
      <c r="F1650">
        <v>100009787</v>
      </c>
      <c r="G1650" t="s">
        <v>96</v>
      </c>
      <c r="H1650">
        <v>40</v>
      </c>
      <c r="I1650">
        <v>71106100</v>
      </c>
      <c r="J1650">
        <v>21021040</v>
      </c>
      <c r="K1650" t="s">
        <v>97</v>
      </c>
      <c r="L1650" s="4">
        <v>5202.01</v>
      </c>
      <c r="M1650" t="s">
        <v>54</v>
      </c>
      <c r="N1650" s="4">
        <v>98529.71</v>
      </c>
      <c r="O1650" t="s">
        <v>31</v>
      </c>
      <c r="P1650" t="s">
        <v>98</v>
      </c>
      <c r="X1650" t="s">
        <v>62</v>
      </c>
      <c r="Y1650"/>
      <c r="Z1650" t="s">
        <v>496</v>
      </c>
      <c r="AA1650">
        <f t="shared" si="52"/>
        <v>5202.01</v>
      </c>
      <c r="AC1650"/>
      <c r="AE1650" t="s">
        <v>497</v>
      </c>
      <c r="AF1650"/>
      <c r="AL1650">
        <v>340020050</v>
      </c>
      <c r="AM1650" t="s">
        <v>78</v>
      </c>
    </row>
    <row r="1651" spans="1:39" x14ac:dyDescent="0.35">
      <c r="A1651">
        <v>3400</v>
      </c>
      <c r="B1651" t="s">
        <v>28</v>
      </c>
      <c r="C1651">
        <v>2020</v>
      </c>
      <c r="D1651" s="1">
        <v>43831</v>
      </c>
      <c r="E1651">
        <v>1</v>
      </c>
      <c r="F1651">
        <v>100010624</v>
      </c>
      <c r="G1651" t="s">
        <v>96</v>
      </c>
      <c r="H1651">
        <v>40</v>
      </c>
      <c r="I1651">
        <v>71106100</v>
      </c>
      <c r="J1651">
        <v>21021040</v>
      </c>
      <c r="K1651" t="s">
        <v>97</v>
      </c>
      <c r="L1651" s="4">
        <v>22780.23</v>
      </c>
      <c r="M1651" t="s">
        <v>54</v>
      </c>
      <c r="N1651" s="4">
        <v>426142.93</v>
      </c>
      <c r="O1651" t="s">
        <v>31</v>
      </c>
      <c r="P1651" t="s">
        <v>98</v>
      </c>
      <c r="X1651" t="s">
        <v>28</v>
      </c>
      <c r="Y1651"/>
      <c r="Z1651" t="s">
        <v>498</v>
      </c>
      <c r="AA1651">
        <f t="shared" si="52"/>
        <v>22780.23</v>
      </c>
      <c r="AC1651"/>
      <c r="AE1651" t="s">
        <v>499</v>
      </c>
      <c r="AF1651"/>
      <c r="AL1651">
        <v>340020050</v>
      </c>
      <c r="AM1651" t="s">
        <v>78</v>
      </c>
    </row>
    <row r="1652" spans="1:39" x14ac:dyDescent="0.35">
      <c r="A1652">
        <v>3400</v>
      </c>
      <c r="B1652" t="s">
        <v>28</v>
      </c>
      <c r="C1652">
        <v>2020</v>
      </c>
      <c r="D1652" s="1">
        <v>43831</v>
      </c>
      <c r="E1652">
        <v>1</v>
      </c>
      <c r="F1652">
        <v>100010629</v>
      </c>
      <c r="G1652" t="s">
        <v>96</v>
      </c>
      <c r="H1652">
        <v>40</v>
      </c>
      <c r="I1652">
        <v>71106100</v>
      </c>
      <c r="J1652">
        <v>21021040</v>
      </c>
      <c r="K1652" t="s">
        <v>97</v>
      </c>
      <c r="L1652" s="4">
        <v>15431.06</v>
      </c>
      <c r="M1652" t="s">
        <v>54</v>
      </c>
      <c r="N1652" s="4">
        <v>288664.21000000002</v>
      </c>
      <c r="O1652" t="s">
        <v>31</v>
      </c>
      <c r="P1652" t="s">
        <v>98</v>
      </c>
      <c r="X1652" t="s">
        <v>28</v>
      </c>
      <c r="Y1652"/>
      <c r="Z1652" t="s">
        <v>500</v>
      </c>
      <c r="AA1652">
        <f t="shared" si="52"/>
        <v>15431.06</v>
      </c>
      <c r="AC1652"/>
      <c r="AE1652" t="s">
        <v>499</v>
      </c>
      <c r="AF1652"/>
      <c r="AL1652">
        <v>340020050</v>
      </c>
      <c r="AM1652" t="s">
        <v>78</v>
      </c>
    </row>
    <row r="1653" spans="1:39" x14ac:dyDescent="0.35">
      <c r="A1653">
        <v>3401</v>
      </c>
      <c r="B1653" t="s">
        <v>427</v>
      </c>
      <c r="C1653">
        <v>2020</v>
      </c>
      <c r="D1653" s="1">
        <v>43831</v>
      </c>
      <c r="E1653">
        <v>1</v>
      </c>
      <c r="F1653">
        <v>100033750</v>
      </c>
      <c r="G1653" t="s">
        <v>226</v>
      </c>
      <c r="H1653">
        <v>50</v>
      </c>
      <c r="I1653">
        <v>71106150</v>
      </c>
      <c r="J1653">
        <v>21230140</v>
      </c>
      <c r="K1653" t="s">
        <v>102</v>
      </c>
      <c r="L1653">
        <v>169474</v>
      </c>
      <c r="M1653" t="s">
        <v>54</v>
      </c>
      <c r="N1653">
        <v>3193771.42</v>
      </c>
      <c r="O1653" t="s">
        <v>31</v>
      </c>
      <c r="W1653">
        <v>100435950</v>
      </c>
      <c r="X1653" t="s">
        <v>32</v>
      </c>
      <c r="Y1653" t="s">
        <v>501</v>
      </c>
      <c r="Z1653">
        <v>20191231</v>
      </c>
      <c r="AA1653">
        <f t="shared" si="52"/>
        <v>169474</v>
      </c>
      <c r="AC1653"/>
      <c r="AE1653" t="s">
        <v>502</v>
      </c>
      <c r="AF1653"/>
      <c r="AL1653">
        <v>340121790</v>
      </c>
      <c r="AM1653" t="s">
        <v>503</v>
      </c>
    </row>
    <row r="1654" spans="1:39" x14ac:dyDescent="0.35">
      <c r="A1654">
        <v>3401</v>
      </c>
      <c r="B1654" t="s">
        <v>427</v>
      </c>
      <c r="C1654">
        <v>2020</v>
      </c>
      <c r="D1654" s="1">
        <v>43831</v>
      </c>
      <c r="E1654">
        <v>3</v>
      </c>
      <c r="F1654">
        <v>100033750</v>
      </c>
      <c r="G1654" t="s">
        <v>226</v>
      </c>
      <c r="H1654">
        <v>50</v>
      </c>
      <c r="I1654">
        <v>71106150</v>
      </c>
      <c r="J1654">
        <v>21230140</v>
      </c>
      <c r="K1654" t="s">
        <v>102</v>
      </c>
      <c r="L1654">
        <v>56491</v>
      </c>
      <c r="M1654" t="s">
        <v>54</v>
      </c>
      <c r="N1654">
        <v>1064584.19</v>
      </c>
      <c r="O1654" t="s">
        <v>31</v>
      </c>
      <c r="W1654">
        <v>100435950</v>
      </c>
      <c r="X1654" t="s">
        <v>32</v>
      </c>
      <c r="Y1654" t="s">
        <v>501</v>
      </c>
      <c r="Z1654">
        <v>20191231</v>
      </c>
      <c r="AA1654">
        <f t="shared" si="52"/>
        <v>56491</v>
      </c>
      <c r="AC1654"/>
      <c r="AE1654" t="s">
        <v>504</v>
      </c>
      <c r="AF1654"/>
      <c r="AL1654">
        <v>340121790</v>
      </c>
      <c r="AM1654" t="s">
        <v>503</v>
      </c>
    </row>
    <row r="1655" spans="1:39" x14ac:dyDescent="0.35">
      <c r="A1655">
        <v>3401</v>
      </c>
      <c r="B1655" t="s">
        <v>427</v>
      </c>
      <c r="C1655">
        <v>2020</v>
      </c>
      <c r="D1655" s="1">
        <v>43831</v>
      </c>
      <c r="E1655">
        <v>5</v>
      </c>
      <c r="F1655">
        <v>100033750</v>
      </c>
      <c r="G1655" t="s">
        <v>226</v>
      </c>
      <c r="H1655">
        <v>50</v>
      </c>
      <c r="I1655">
        <v>71106150</v>
      </c>
      <c r="J1655">
        <v>21230140</v>
      </c>
      <c r="K1655" t="s">
        <v>102</v>
      </c>
      <c r="L1655">
        <v>8295</v>
      </c>
      <c r="M1655" t="s">
        <v>54</v>
      </c>
      <c r="N1655">
        <v>156320.93</v>
      </c>
      <c r="O1655" t="s">
        <v>31</v>
      </c>
      <c r="W1655">
        <v>100435950</v>
      </c>
      <c r="X1655" t="s">
        <v>32</v>
      </c>
      <c r="Y1655" t="s">
        <v>501</v>
      </c>
      <c r="Z1655">
        <v>20191231</v>
      </c>
      <c r="AA1655">
        <f t="shared" si="52"/>
        <v>8295</v>
      </c>
      <c r="AC1655"/>
      <c r="AE1655" t="s">
        <v>505</v>
      </c>
      <c r="AF1655"/>
      <c r="AL1655">
        <v>340170123</v>
      </c>
      <c r="AM1655" t="s">
        <v>503</v>
      </c>
    </row>
    <row r="1656" spans="1:39" x14ac:dyDescent="0.35">
      <c r="A1656">
        <v>3402</v>
      </c>
      <c r="B1656" t="s">
        <v>28</v>
      </c>
      <c r="C1656">
        <v>2020</v>
      </c>
      <c r="D1656" s="1">
        <v>43831</v>
      </c>
      <c r="E1656">
        <v>1</v>
      </c>
      <c r="F1656">
        <v>200120047</v>
      </c>
      <c r="G1656" t="s">
        <v>101</v>
      </c>
      <c r="H1656">
        <v>50</v>
      </c>
      <c r="I1656">
        <v>71106150</v>
      </c>
      <c r="J1656">
        <v>21230140</v>
      </c>
      <c r="K1656" t="s">
        <v>102</v>
      </c>
      <c r="L1656" s="4">
        <v>51255</v>
      </c>
      <c r="M1656" t="s">
        <v>54</v>
      </c>
      <c r="N1656" s="4">
        <v>965910.73</v>
      </c>
      <c r="O1656" t="s">
        <v>31</v>
      </c>
      <c r="X1656" t="s">
        <v>32</v>
      </c>
      <c r="Y1656"/>
      <c r="Z1656">
        <v>20191231</v>
      </c>
      <c r="AA1656">
        <f t="shared" si="52"/>
        <v>51255</v>
      </c>
      <c r="AC1656"/>
      <c r="AE1656" t="s">
        <v>506</v>
      </c>
      <c r="AF1656"/>
      <c r="AL1656">
        <v>340221790</v>
      </c>
      <c r="AM1656" t="s">
        <v>105</v>
      </c>
    </row>
    <row r="1657" spans="1:39" x14ac:dyDescent="0.35">
      <c r="A1657">
        <v>3402</v>
      </c>
      <c r="B1657" t="s">
        <v>28</v>
      </c>
      <c r="C1657">
        <v>2020</v>
      </c>
      <c r="D1657" s="1">
        <v>43831</v>
      </c>
      <c r="E1657">
        <v>3</v>
      </c>
      <c r="F1657">
        <v>200120047</v>
      </c>
      <c r="G1657" t="s">
        <v>101</v>
      </c>
      <c r="H1657">
        <v>50</v>
      </c>
      <c r="I1657">
        <v>71106150</v>
      </c>
      <c r="J1657">
        <v>21230140</v>
      </c>
      <c r="K1657" t="s">
        <v>102</v>
      </c>
      <c r="L1657" s="4">
        <v>160577</v>
      </c>
      <c r="M1657" t="s">
        <v>54</v>
      </c>
      <c r="N1657" s="4">
        <v>3026105.68</v>
      </c>
      <c r="O1657" t="s">
        <v>31</v>
      </c>
      <c r="X1657" t="s">
        <v>32</v>
      </c>
      <c r="Y1657"/>
      <c r="Z1657">
        <v>20191231</v>
      </c>
      <c r="AA1657">
        <f t="shared" si="52"/>
        <v>160577</v>
      </c>
      <c r="AC1657"/>
      <c r="AE1657" t="s">
        <v>507</v>
      </c>
      <c r="AF1657"/>
      <c r="AL1657">
        <v>340221790</v>
      </c>
      <c r="AM1657" t="s">
        <v>105</v>
      </c>
    </row>
    <row r="1658" spans="1:39" x14ac:dyDescent="0.35">
      <c r="A1658">
        <v>3402</v>
      </c>
      <c r="B1658" t="s">
        <v>28</v>
      </c>
      <c r="C1658">
        <v>2020</v>
      </c>
      <c r="D1658" s="1">
        <v>43831</v>
      </c>
      <c r="E1658">
        <v>5</v>
      </c>
      <c r="F1658">
        <v>200120047</v>
      </c>
      <c r="G1658" t="s">
        <v>101</v>
      </c>
      <c r="H1658">
        <v>50</v>
      </c>
      <c r="I1658">
        <v>71106150</v>
      </c>
      <c r="J1658">
        <v>21230140</v>
      </c>
      <c r="K1658" t="s">
        <v>102</v>
      </c>
      <c r="L1658" s="4">
        <v>12021</v>
      </c>
      <c r="M1658" t="s">
        <v>54</v>
      </c>
      <c r="N1658" s="4">
        <v>226538.15</v>
      </c>
      <c r="O1658" t="s">
        <v>31</v>
      </c>
      <c r="X1658" t="s">
        <v>32</v>
      </c>
      <c r="Y1658"/>
      <c r="Z1658">
        <v>20191231</v>
      </c>
      <c r="AA1658">
        <f t="shared" si="52"/>
        <v>12021</v>
      </c>
      <c r="AC1658"/>
      <c r="AE1658" t="s">
        <v>508</v>
      </c>
      <c r="AF1658"/>
      <c r="AL1658">
        <v>340268190</v>
      </c>
      <c r="AM1658" t="s">
        <v>105</v>
      </c>
    </row>
    <row r="1659" spans="1:39" x14ac:dyDescent="0.35">
      <c r="A1659">
        <v>3402</v>
      </c>
      <c r="B1659" t="s">
        <v>28</v>
      </c>
      <c r="C1659">
        <v>2020</v>
      </c>
      <c r="D1659" s="1">
        <v>43831</v>
      </c>
      <c r="E1659">
        <v>1</v>
      </c>
      <c r="F1659">
        <v>200120057</v>
      </c>
      <c r="G1659" t="s">
        <v>101</v>
      </c>
      <c r="H1659">
        <v>50</v>
      </c>
      <c r="I1659">
        <v>71106150</v>
      </c>
      <c r="J1659">
        <v>21230140</v>
      </c>
      <c r="K1659" t="s">
        <v>102</v>
      </c>
      <c r="L1659" s="4">
        <v>11084.6</v>
      </c>
      <c r="M1659" t="s">
        <v>54</v>
      </c>
      <c r="N1659" s="4">
        <v>208891.5</v>
      </c>
      <c r="O1659" t="s">
        <v>31</v>
      </c>
      <c r="X1659" t="s">
        <v>32</v>
      </c>
      <c r="Y1659" t="s">
        <v>509</v>
      </c>
      <c r="Z1659">
        <v>20191231</v>
      </c>
      <c r="AA1659">
        <f t="shared" si="52"/>
        <v>11084.6</v>
      </c>
      <c r="AC1659"/>
      <c r="AE1659" t="s">
        <v>510</v>
      </c>
      <c r="AF1659"/>
      <c r="AL1659">
        <v>340275190</v>
      </c>
      <c r="AM1659" t="s">
        <v>105</v>
      </c>
    </row>
    <row r="1660" spans="1:39" x14ac:dyDescent="0.35">
      <c r="A1660">
        <v>3402</v>
      </c>
      <c r="B1660" t="s">
        <v>28</v>
      </c>
      <c r="C1660">
        <v>2020</v>
      </c>
      <c r="D1660" s="1">
        <v>43831</v>
      </c>
      <c r="E1660">
        <v>1</v>
      </c>
      <c r="F1660">
        <v>200126192</v>
      </c>
      <c r="G1660" t="s">
        <v>101</v>
      </c>
      <c r="H1660">
        <v>50</v>
      </c>
      <c r="I1660">
        <v>71101060</v>
      </c>
      <c r="J1660">
        <v>21220030</v>
      </c>
      <c r="K1660" t="s">
        <v>30</v>
      </c>
      <c r="L1660" s="4">
        <v>20000</v>
      </c>
      <c r="M1660" t="s">
        <v>31</v>
      </c>
      <c r="N1660" s="4">
        <v>20000</v>
      </c>
      <c r="O1660" t="s">
        <v>31</v>
      </c>
      <c r="X1660" t="s">
        <v>212</v>
      </c>
      <c r="Y1660"/>
      <c r="Z1660">
        <v>20191231</v>
      </c>
      <c r="AA1660">
        <f t="shared" si="52"/>
        <v>20000</v>
      </c>
      <c r="AC1660"/>
      <c r="AE1660" t="s">
        <v>511</v>
      </c>
      <c r="AF1660"/>
      <c r="AL1660">
        <v>340210490</v>
      </c>
      <c r="AM1660" t="s">
        <v>105</v>
      </c>
    </row>
    <row r="1661" spans="1:39" x14ac:dyDescent="0.35">
      <c r="A1661">
        <v>3402</v>
      </c>
      <c r="B1661" t="s">
        <v>28</v>
      </c>
      <c r="C1661">
        <v>2020</v>
      </c>
      <c r="D1661" s="1">
        <v>43831</v>
      </c>
      <c r="E1661">
        <v>1</v>
      </c>
      <c r="F1661">
        <v>200126194</v>
      </c>
      <c r="G1661" t="s">
        <v>101</v>
      </c>
      <c r="H1661">
        <v>50</v>
      </c>
      <c r="I1661">
        <v>71101060</v>
      </c>
      <c r="J1661">
        <v>21220030</v>
      </c>
      <c r="K1661" t="s">
        <v>30</v>
      </c>
      <c r="L1661" s="4">
        <v>33700</v>
      </c>
      <c r="M1661" t="s">
        <v>31</v>
      </c>
      <c r="N1661" s="4">
        <v>33700</v>
      </c>
      <c r="O1661" t="s">
        <v>31</v>
      </c>
      <c r="X1661" t="s">
        <v>212</v>
      </c>
      <c r="Y1661"/>
      <c r="Z1661">
        <v>20191231</v>
      </c>
      <c r="AA1661">
        <f t="shared" si="52"/>
        <v>33700</v>
      </c>
      <c r="AC1661"/>
      <c r="AE1661" t="s">
        <v>512</v>
      </c>
      <c r="AF1661"/>
      <c r="AL1661">
        <v>340210490</v>
      </c>
      <c r="AM1661" t="s">
        <v>105</v>
      </c>
    </row>
    <row r="1662" spans="1:39" x14ac:dyDescent="0.35">
      <c r="A1662">
        <v>3401</v>
      </c>
      <c r="B1662" t="s">
        <v>83</v>
      </c>
      <c r="C1662">
        <v>2020</v>
      </c>
      <c r="D1662" s="1">
        <v>43831</v>
      </c>
      <c r="E1662">
        <v>1</v>
      </c>
      <c r="F1662">
        <v>100027969</v>
      </c>
      <c r="G1662" t="s">
        <v>120</v>
      </c>
      <c r="H1662">
        <v>81</v>
      </c>
      <c r="I1662">
        <v>71104010</v>
      </c>
      <c r="J1662">
        <v>21021040</v>
      </c>
      <c r="K1662" t="s">
        <v>121</v>
      </c>
      <c r="L1662" s="4">
        <v>50484</v>
      </c>
      <c r="M1662" t="s">
        <v>31</v>
      </c>
      <c r="N1662" s="4">
        <v>50484</v>
      </c>
      <c r="O1662" t="s">
        <v>31</v>
      </c>
      <c r="R1662" t="s">
        <v>122</v>
      </c>
      <c r="S1662" t="s">
        <v>1131</v>
      </c>
      <c r="T1662">
        <v>107211</v>
      </c>
      <c r="U1662" t="s">
        <v>123</v>
      </c>
      <c r="X1662" t="s">
        <v>83</v>
      </c>
      <c r="Y1662" s="8">
        <v>4501216248</v>
      </c>
      <c r="Z1662" t="s">
        <v>1127</v>
      </c>
      <c r="AA1662">
        <f t="shared" si="52"/>
        <v>50484</v>
      </c>
      <c r="AC1662"/>
      <c r="AD1662">
        <v>100036889</v>
      </c>
      <c r="AE1662" t="s">
        <v>1128</v>
      </c>
      <c r="AF1662" s="4">
        <f>AC1662</f>
        <v>0</v>
      </c>
      <c r="AG1662" t="s">
        <v>1197</v>
      </c>
      <c r="AH1662" t="s">
        <v>1123</v>
      </c>
      <c r="AJ1662" t="s">
        <v>1148</v>
      </c>
      <c r="AK1662" t="s">
        <v>1129</v>
      </c>
      <c r="AL1662">
        <v>340118590</v>
      </c>
      <c r="AM1662" t="s">
        <v>124</v>
      </c>
    </row>
    <row r="1663" spans="1:39" x14ac:dyDescent="0.35">
      <c r="A1663">
        <v>3403</v>
      </c>
      <c r="B1663" t="s">
        <v>83</v>
      </c>
      <c r="C1663">
        <v>2020</v>
      </c>
      <c r="D1663" s="1">
        <v>43831</v>
      </c>
      <c r="E1663">
        <v>1</v>
      </c>
      <c r="F1663">
        <v>300015540</v>
      </c>
      <c r="G1663" t="s">
        <v>120</v>
      </c>
      <c r="H1663">
        <v>81</v>
      </c>
      <c r="I1663">
        <v>71101060</v>
      </c>
      <c r="J1663">
        <v>21021040</v>
      </c>
      <c r="K1663" t="s">
        <v>30</v>
      </c>
      <c r="L1663" s="4">
        <v>6100.02</v>
      </c>
      <c r="M1663" t="s">
        <v>31</v>
      </c>
      <c r="N1663" s="4">
        <v>6100.02</v>
      </c>
      <c r="O1663" t="s">
        <v>31</v>
      </c>
      <c r="R1663" t="s">
        <v>513</v>
      </c>
      <c r="S1663" t="s">
        <v>1172</v>
      </c>
      <c r="T1663">
        <v>109624</v>
      </c>
      <c r="U1663" t="s">
        <v>514</v>
      </c>
      <c r="X1663" t="s">
        <v>83</v>
      </c>
      <c r="Y1663" s="8">
        <v>476</v>
      </c>
      <c r="Z1663">
        <v>4501226973</v>
      </c>
      <c r="AA1663">
        <f t="shared" si="52"/>
        <v>6100.02</v>
      </c>
      <c r="AB1663">
        <f>AA1663*0.16</f>
        <v>976.00320000000011</v>
      </c>
      <c r="AC1663">
        <f>AA1663+AB1663</f>
        <v>7076.0232000000005</v>
      </c>
      <c r="AD1663">
        <v>300016348</v>
      </c>
      <c r="AE1663" t="s">
        <v>515</v>
      </c>
      <c r="AF1663" s="4">
        <f>AC1663</f>
        <v>7076.0232000000005</v>
      </c>
      <c r="AG1663" t="s">
        <v>1171</v>
      </c>
      <c r="AH1663" t="s">
        <v>1123</v>
      </c>
      <c r="AJ1663" t="s">
        <v>1148</v>
      </c>
      <c r="AK1663" t="s">
        <v>1129</v>
      </c>
      <c r="AL1663">
        <v>340312890</v>
      </c>
      <c r="AM1663" t="s">
        <v>222</v>
      </c>
    </row>
    <row r="1664" spans="1:39" x14ac:dyDescent="0.35">
      <c r="A1664">
        <v>3402</v>
      </c>
      <c r="B1664" t="s">
        <v>83</v>
      </c>
      <c r="C1664">
        <v>2020</v>
      </c>
      <c r="D1664" s="1">
        <v>43831</v>
      </c>
      <c r="E1664">
        <v>1</v>
      </c>
      <c r="F1664">
        <v>200091776</v>
      </c>
      <c r="G1664" t="s">
        <v>120</v>
      </c>
      <c r="H1664">
        <v>81</v>
      </c>
      <c r="I1664">
        <v>71105060</v>
      </c>
      <c r="J1664">
        <v>21021040</v>
      </c>
      <c r="K1664" t="s">
        <v>238</v>
      </c>
      <c r="L1664" s="4">
        <v>30524.48</v>
      </c>
      <c r="M1664" t="s">
        <v>31</v>
      </c>
      <c r="N1664" s="4">
        <v>30524.48</v>
      </c>
      <c r="O1664" t="s">
        <v>31</v>
      </c>
      <c r="R1664" t="s">
        <v>239</v>
      </c>
      <c r="S1664" t="s">
        <v>1153</v>
      </c>
      <c r="T1664">
        <v>606476</v>
      </c>
      <c r="U1664" t="s">
        <v>240</v>
      </c>
      <c r="X1664" t="s">
        <v>83</v>
      </c>
      <c r="Y1664" s="8" t="s">
        <v>241</v>
      </c>
      <c r="Z1664">
        <v>20200128</v>
      </c>
      <c r="AA1664">
        <f t="shared" si="52"/>
        <v>30524.48</v>
      </c>
      <c r="AB1664">
        <f>AA1664*0.16</f>
        <v>4883.9168</v>
      </c>
      <c r="AC1664">
        <f>AA1664+AB1664</f>
        <v>35408.396800000002</v>
      </c>
      <c r="AD1664">
        <v>200124279</v>
      </c>
      <c r="AE1664" t="s">
        <v>516</v>
      </c>
      <c r="AF1664" s="4">
        <f>AC1664</f>
        <v>35408.396800000002</v>
      </c>
      <c r="AG1664" t="s">
        <v>1147</v>
      </c>
      <c r="AH1664" t="s">
        <v>1123</v>
      </c>
      <c r="AJ1664" t="s">
        <v>1136</v>
      </c>
      <c r="AK1664" t="s">
        <v>1135</v>
      </c>
      <c r="AL1664">
        <v>340225490</v>
      </c>
      <c r="AM1664" t="s">
        <v>135</v>
      </c>
    </row>
    <row r="1665" spans="1:39" x14ac:dyDescent="0.35">
      <c r="A1665">
        <v>3400</v>
      </c>
      <c r="B1665" t="s">
        <v>83</v>
      </c>
      <c r="C1665">
        <v>2020</v>
      </c>
      <c r="D1665" s="1">
        <v>43831</v>
      </c>
      <c r="E1665">
        <v>1</v>
      </c>
      <c r="F1665">
        <v>100009481</v>
      </c>
      <c r="G1665" t="s">
        <v>101</v>
      </c>
      <c r="H1665">
        <v>40</v>
      </c>
      <c r="I1665">
        <v>71105120</v>
      </c>
      <c r="J1665">
        <v>11610090</v>
      </c>
      <c r="K1665" t="s">
        <v>268</v>
      </c>
      <c r="L1665" s="4">
        <v>13529.19</v>
      </c>
      <c r="M1665" t="s">
        <v>54</v>
      </c>
      <c r="N1665" s="4">
        <v>254772.24</v>
      </c>
      <c r="O1665" t="s">
        <v>31</v>
      </c>
      <c r="P1665" t="s">
        <v>98</v>
      </c>
      <c r="X1665" t="s">
        <v>83</v>
      </c>
      <c r="Y1665" t="s">
        <v>269</v>
      </c>
      <c r="Z1665">
        <v>20200128</v>
      </c>
      <c r="AA1665">
        <f t="shared" si="52"/>
        <v>13529.19</v>
      </c>
      <c r="AC1665"/>
      <c r="AE1665" t="s">
        <v>517</v>
      </c>
      <c r="AF1665"/>
      <c r="AL1665">
        <v>340046150</v>
      </c>
      <c r="AM1665" t="s">
        <v>271</v>
      </c>
    </row>
    <row r="1666" spans="1:39" x14ac:dyDescent="0.35">
      <c r="A1666">
        <v>3400</v>
      </c>
      <c r="B1666" t="s">
        <v>83</v>
      </c>
      <c r="C1666">
        <v>2020</v>
      </c>
      <c r="D1666" s="1">
        <v>43831</v>
      </c>
      <c r="E1666">
        <v>2</v>
      </c>
      <c r="F1666">
        <v>100009481</v>
      </c>
      <c r="G1666" t="s">
        <v>101</v>
      </c>
      <c r="H1666">
        <v>40</v>
      </c>
      <c r="I1666">
        <v>71105120</v>
      </c>
      <c r="J1666">
        <v>11610090</v>
      </c>
      <c r="K1666" t="s">
        <v>268</v>
      </c>
      <c r="L1666" s="4">
        <v>9675.9500000000007</v>
      </c>
      <c r="M1666" t="s">
        <v>54</v>
      </c>
      <c r="N1666" s="4">
        <v>182210.72</v>
      </c>
      <c r="O1666" t="s">
        <v>31</v>
      </c>
      <c r="P1666" t="s">
        <v>98</v>
      </c>
      <c r="X1666" t="s">
        <v>83</v>
      </c>
      <c r="Y1666" t="s">
        <v>269</v>
      </c>
      <c r="Z1666">
        <v>20200128</v>
      </c>
      <c r="AA1666">
        <f t="shared" si="52"/>
        <v>9675.9500000000007</v>
      </c>
      <c r="AC1666"/>
      <c r="AE1666" t="s">
        <v>517</v>
      </c>
      <c r="AF1666"/>
      <c r="AL1666">
        <v>340046150</v>
      </c>
      <c r="AM1666" t="s">
        <v>271</v>
      </c>
    </row>
    <row r="1667" spans="1:39" x14ac:dyDescent="0.35">
      <c r="A1667">
        <v>3400</v>
      </c>
      <c r="B1667" t="s">
        <v>83</v>
      </c>
      <c r="C1667">
        <v>2020</v>
      </c>
      <c r="D1667" s="1">
        <v>43831</v>
      </c>
      <c r="E1667">
        <v>3</v>
      </c>
      <c r="F1667">
        <v>100009481</v>
      </c>
      <c r="G1667" t="s">
        <v>101</v>
      </c>
      <c r="H1667">
        <v>40</v>
      </c>
      <c r="I1667">
        <v>71105120</v>
      </c>
      <c r="J1667">
        <v>11610090</v>
      </c>
      <c r="K1667" t="s">
        <v>268</v>
      </c>
      <c r="L1667" s="4">
        <v>754.4</v>
      </c>
      <c r="M1667" t="s">
        <v>54</v>
      </c>
      <c r="N1667" s="4">
        <v>14206.33</v>
      </c>
      <c r="O1667" t="s">
        <v>31</v>
      </c>
      <c r="P1667" t="s">
        <v>98</v>
      </c>
      <c r="X1667" t="s">
        <v>83</v>
      </c>
      <c r="Y1667" t="s">
        <v>269</v>
      </c>
      <c r="Z1667">
        <v>20200128</v>
      </c>
      <c r="AA1667">
        <f t="shared" si="52"/>
        <v>754.4</v>
      </c>
      <c r="AC1667"/>
      <c r="AE1667" t="s">
        <v>518</v>
      </c>
      <c r="AF1667"/>
      <c r="AL1667">
        <v>340099350</v>
      </c>
      <c r="AM1667" t="s">
        <v>271</v>
      </c>
    </row>
    <row r="1668" spans="1:39" x14ac:dyDescent="0.35">
      <c r="A1668">
        <v>3400</v>
      </c>
      <c r="B1668" t="s">
        <v>83</v>
      </c>
      <c r="C1668">
        <v>2020</v>
      </c>
      <c r="D1668" s="1">
        <v>43831</v>
      </c>
      <c r="E1668">
        <v>4</v>
      </c>
      <c r="F1668">
        <v>100009481</v>
      </c>
      <c r="G1668" t="s">
        <v>101</v>
      </c>
      <c r="H1668">
        <v>40</v>
      </c>
      <c r="I1668">
        <v>71105120</v>
      </c>
      <c r="J1668">
        <v>11610090</v>
      </c>
      <c r="K1668" t="s">
        <v>268</v>
      </c>
      <c r="L1668" s="4">
        <v>10253.83</v>
      </c>
      <c r="M1668" t="s">
        <v>54</v>
      </c>
      <c r="N1668" s="4">
        <v>193092.95</v>
      </c>
      <c r="O1668" t="s">
        <v>31</v>
      </c>
      <c r="P1668" t="s">
        <v>98</v>
      </c>
      <c r="X1668" t="s">
        <v>83</v>
      </c>
      <c r="Y1668" t="s">
        <v>269</v>
      </c>
      <c r="Z1668">
        <v>20200128</v>
      </c>
      <c r="AA1668">
        <f t="shared" si="52"/>
        <v>10253.83</v>
      </c>
      <c r="AC1668"/>
      <c r="AE1668" t="s">
        <v>519</v>
      </c>
      <c r="AF1668"/>
      <c r="AL1668">
        <v>340046150</v>
      </c>
      <c r="AM1668" t="s">
        <v>271</v>
      </c>
    </row>
    <row r="1669" spans="1:39" x14ac:dyDescent="0.35">
      <c r="A1669">
        <v>3400</v>
      </c>
      <c r="B1669" t="s">
        <v>83</v>
      </c>
      <c r="C1669">
        <v>2020</v>
      </c>
      <c r="D1669" s="1">
        <v>43831</v>
      </c>
      <c r="E1669">
        <v>5</v>
      </c>
      <c r="F1669">
        <v>100009481</v>
      </c>
      <c r="G1669" t="s">
        <v>101</v>
      </c>
      <c r="H1669">
        <v>40</v>
      </c>
      <c r="I1669">
        <v>71105120</v>
      </c>
      <c r="J1669">
        <v>11610090</v>
      </c>
      <c r="K1669" t="s">
        <v>268</v>
      </c>
      <c r="L1669" s="4">
        <v>5565.18</v>
      </c>
      <c r="M1669" t="s">
        <v>54</v>
      </c>
      <c r="N1669" s="4">
        <v>104799.57</v>
      </c>
      <c r="O1669" t="s">
        <v>31</v>
      </c>
      <c r="P1669" t="s">
        <v>98</v>
      </c>
      <c r="X1669" t="s">
        <v>83</v>
      </c>
      <c r="Y1669" t="s">
        <v>269</v>
      </c>
      <c r="Z1669">
        <v>20200128</v>
      </c>
      <c r="AA1669">
        <f t="shared" si="52"/>
        <v>5565.18</v>
      </c>
      <c r="AC1669"/>
      <c r="AE1669" t="s">
        <v>520</v>
      </c>
      <c r="AF1669"/>
      <c r="AL1669">
        <v>340046150</v>
      </c>
      <c r="AM1669" t="s">
        <v>271</v>
      </c>
    </row>
    <row r="1670" spans="1:39" x14ac:dyDescent="0.35">
      <c r="A1670">
        <v>3400</v>
      </c>
      <c r="B1670" t="s">
        <v>83</v>
      </c>
      <c r="C1670">
        <v>2020</v>
      </c>
      <c r="D1670" s="1">
        <v>43831</v>
      </c>
      <c r="E1670">
        <v>6</v>
      </c>
      <c r="F1670">
        <v>100009481</v>
      </c>
      <c r="G1670" t="s">
        <v>101</v>
      </c>
      <c r="H1670">
        <v>40</v>
      </c>
      <c r="I1670">
        <v>71105120</v>
      </c>
      <c r="J1670">
        <v>11610090</v>
      </c>
      <c r="K1670" t="s">
        <v>268</v>
      </c>
      <c r="L1670" s="4">
        <v>2483.33</v>
      </c>
      <c r="M1670" t="s">
        <v>54</v>
      </c>
      <c r="N1670" s="4">
        <v>46764.33</v>
      </c>
      <c r="O1670" t="s">
        <v>31</v>
      </c>
      <c r="P1670" t="s">
        <v>98</v>
      </c>
      <c r="X1670" t="s">
        <v>83</v>
      </c>
      <c r="Y1670" t="s">
        <v>269</v>
      </c>
      <c r="Z1670">
        <v>20200128</v>
      </c>
      <c r="AA1670">
        <f t="shared" si="52"/>
        <v>2483.33</v>
      </c>
      <c r="AC1670"/>
      <c r="AE1670" t="s">
        <v>521</v>
      </c>
      <c r="AF1670"/>
      <c r="AL1670">
        <v>340049150</v>
      </c>
      <c r="AM1670" t="s">
        <v>271</v>
      </c>
    </row>
    <row r="1671" spans="1:39" x14ac:dyDescent="0.35">
      <c r="A1671">
        <v>3400</v>
      </c>
      <c r="B1671" t="s">
        <v>83</v>
      </c>
      <c r="C1671">
        <v>2020</v>
      </c>
      <c r="D1671" s="1">
        <v>43831</v>
      </c>
      <c r="E1671">
        <v>8</v>
      </c>
      <c r="F1671">
        <v>100009481</v>
      </c>
      <c r="G1671" t="s">
        <v>101</v>
      </c>
      <c r="H1671">
        <v>40</v>
      </c>
      <c r="I1671">
        <v>71105120</v>
      </c>
      <c r="J1671">
        <v>11610090</v>
      </c>
      <c r="K1671" t="s">
        <v>268</v>
      </c>
      <c r="L1671" s="4">
        <v>226.28</v>
      </c>
      <c r="M1671" t="s">
        <v>54</v>
      </c>
      <c r="N1671" s="4">
        <v>4261.1499999999996</v>
      </c>
      <c r="O1671" t="s">
        <v>31</v>
      </c>
      <c r="P1671" t="s">
        <v>98</v>
      </c>
      <c r="X1671" t="s">
        <v>83</v>
      </c>
      <c r="Y1671" t="s">
        <v>269</v>
      </c>
      <c r="Z1671">
        <v>20200128</v>
      </c>
      <c r="AA1671">
        <f t="shared" si="52"/>
        <v>226.28</v>
      </c>
      <c r="AC1671"/>
      <c r="AE1671" t="s">
        <v>522</v>
      </c>
      <c r="AF1671"/>
      <c r="AL1671">
        <v>340046150</v>
      </c>
      <c r="AM1671" t="s">
        <v>271</v>
      </c>
    </row>
    <row r="1672" spans="1:39" x14ac:dyDescent="0.35">
      <c r="A1672">
        <v>3400</v>
      </c>
      <c r="B1672" t="s">
        <v>83</v>
      </c>
      <c r="C1672">
        <v>2020</v>
      </c>
      <c r="D1672" s="1">
        <v>43831</v>
      </c>
      <c r="E1672">
        <v>9</v>
      </c>
      <c r="F1672">
        <v>100009481</v>
      </c>
      <c r="G1672" t="s">
        <v>101</v>
      </c>
      <c r="H1672">
        <v>40</v>
      </c>
      <c r="I1672">
        <v>71105120</v>
      </c>
      <c r="J1672">
        <v>11610090</v>
      </c>
      <c r="K1672" t="s">
        <v>268</v>
      </c>
      <c r="L1672" s="4">
        <v>2451.0500000000002</v>
      </c>
      <c r="M1672" t="s">
        <v>54</v>
      </c>
      <c r="N1672" s="4">
        <v>46156.46</v>
      </c>
      <c r="O1672" t="s">
        <v>31</v>
      </c>
      <c r="P1672" t="s">
        <v>98</v>
      </c>
      <c r="X1672" t="s">
        <v>83</v>
      </c>
      <c r="Y1672" t="s">
        <v>269</v>
      </c>
      <c r="Z1672">
        <v>20200128</v>
      </c>
      <c r="AA1672">
        <f t="shared" si="52"/>
        <v>2451.0500000000002</v>
      </c>
      <c r="AC1672"/>
      <c r="AE1672" t="s">
        <v>523</v>
      </c>
      <c r="AF1672"/>
      <c r="AL1672">
        <v>340046150</v>
      </c>
      <c r="AM1672" t="s">
        <v>271</v>
      </c>
    </row>
    <row r="1673" spans="1:39" x14ac:dyDescent="0.35">
      <c r="A1673">
        <v>3400</v>
      </c>
      <c r="B1673" t="s">
        <v>83</v>
      </c>
      <c r="C1673">
        <v>2020</v>
      </c>
      <c r="D1673" s="1">
        <v>43831</v>
      </c>
      <c r="E1673">
        <v>10</v>
      </c>
      <c r="F1673">
        <v>100009481</v>
      </c>
      <c r="G1673" t="s">
        <v>101</v>
      </c>
      <c r="H1673">
        <v>40</v>
      </c>
      <c r="I1673">
        <v>71105120</v>
      </c>
      <c r="J1673">
        <v>11610090</v>
      </c>
      <c r="K1673" t="s">
        <v>268</v>
      </c>
      <c r="L1673" s="4">
        <v>20809.88</v>
      </c>
      <c r="M1673" t="s">
        <v>54</v>
      </c>
      <c r="N1673" s="4">
        <v>391877.09</v>
      </c>
      <c r="O1673" t="s">
        <v>31</v>
      </c>
      <c r="P1673" t="s">
        <v>98</v>
      </c>
      <c r="X1673" t="s">
        <v>83</v>
      </c>
      <c r="Y1673" t="s">
        <v>269</v>
      </c>
      <c r="Z1673">
        <v>20200128</v>
      </c>
      <c r="AA1673">
        <f t="shared" si="52"/>
        <v>20809.88</v>
      </c>
      <c r="AC1673"/>
      <c r="AE1673" t="s">
        <v>524</v>
      </c>
      <c r="AF1673"/>
      <c r="AL1673">
        <v>340046150</v>
      </c>
      <c r="AM1673" t="s">
        <v>271</v>
      </c>
    </row>
    <row r="1674" spans="1:39" x14ac:dyDescent="0.35">
      <c r="A1674">
        <v>3400</v>
      </c>
      <c r="B1674" t="s">
        <v>83</v>
      </c>
      <c r="C1674">
        <v>2020</v>
      </c>
      <c r="D1674" s="1">
        <v>43831</v>
      </c>
      <c r="E1674">
        <v>11</v>
      </c>
      <c r="F1674">
        <v>100009481</v>
      </c>
      <c r="G1674" t="s">
        <v>101</v>
      </c>
      <c r="H1674">
        <v>40</v>
      </c>
      <c r="I1674">
        <v>71105120</v>
      </c>
      <c r="J1674">
        <v>11610090</v>
      </c>
      <c r="K1674" t="s">
        <v>268</v>
      </c>
      <c r="L1674" s="4">
        <v>625</v>
      </c>
      <c r="M1674" t="s">
        <v>54</v>
      </c>
      <c r="N1674" s="4">
        <v>11769.56</v>
      </c>
      <c r="O1674" t="s">
        <v>31</v>
      </c>
      <c r="P1674" t="s">
        <v>98</v>
      </c>
      <c r="X1674" t="s">
        <v>83</v>
      </c>
      <c r="Y1674" t="s">
        <v>269</v>
      </c>
      <c r="Z1674">
        <v>20200128</v>
      </c>
      <c r="AA1674">
        <f t="shared" si="52"/>
        <v>625</v>
      </c>
      <c r="AC1674"/>
      <c r="AE1674" t="s">
        <v>525</v>
      </c>
      <c r="AF1674"/>
      <c r="AL1674">
        <v>340046150</v>
      </c>
      <c r="AM1674" t="s">
        <v>271</v>
      </c>
    </row>
    <row r="1675" spans="1:39" x14ac:dyDescent="0.35">
      <c r="A1675">
        <v>3400</v>
      </c>
      <c r="B1675" t="s">
        <v>83</v>
      </c>
      <c r="C1675">
        <v>2020</v>
      </c>
      <c r="D1675" s="1">
        <v>43831</v>
      </c>
      <c r="E1675">
        <v>14</v>
      </c>
      <c r="F1675">
        <v>100009481</v>
      </c>
      <c r="G1675" t="s">
        <v>101</v>
      </c>
      <c r="H1675">
        <v>40</v>
      </c>
      <c r="I1675">
        <v>71105130</v>
      </c>
      <c r="J1675">
        <v>11610090</v>
      </c>
      <c r="K1675" t="s">
        <v>305</v>
      </c>
      <c r="L1675" s="4">
        <v>2896</v>
      </c>
      <c r="M1675" t="s">
        <v>54</v>
      </c>
      <c r="N1675" s="4">
        <v>54535.44</v>
      </c>
      <c r="O1675" t="s">
        <v>31</v>
      </c>
      <c r="P1675" t="s">
        <v>98</v>
      </c>
      <c r="X1675" t="s">
        <v>83</v>
      </c>
      <c r="Y1675" t="s">
        <v>269</v>
      </c>
      <c r="Z1675">
        <v>20200128</v>
      </c>
      <c r="AA1675">
        <f t="shared" si="52"/>
        <v>2896</v>
      </c>
      <c r="AC1675"/>
      <c r="AE1675" t="s">
        <v>526</v>
      </c>
      <c r="AF1675"/>
      <c r="AL1675">
        <v>340019850</v>
      </c>
      <c r="AM1675" t="s">
        <v>271</v>
      </c>
    </row>
    <row r="1676" spans="1:39" x14ac:dyDescent="0.35">
      <c r="A1676">
        <v>3400</v>
      </c>
      <c r="B1676" t="s">
        <v>83</v>
      </c>
      <c r="C1676">
        <v>2020</v>
      </c>
      <c r="D1676" s="1">
        <v>43831</v>
      </c>
      <c r="E1676">
        <v>15</v>
      </c>
      <c r="F1676">
        <v>100009481</v>
      </c>
      <c r="G1676" t="s">
        <v>101</v>
      </c>
      <c r="H1676">
        <v>40</v>
      </c>
      <c r="I1676">
        <v>71105130</v>
      </c>
      <c r="J1676">
        <v>11610090</v>
      </c>
      <c r="K1676" t="s">
        <v>305</v>
      </c>
      <c r="L1676" s="4">
        <v>10112</v>
      </c>
      <c r="M1676" t="s">
        <v>54</v>
      </c>
      <c r="N1676" s="4">
        <v>190422.11</v>
      </c>
      <c r="O1676" t="s">
        <v>31</v>
      </c>
      <c r="P1676" t="s">
        <v>98</v>
      </c>
      <c r="X1676" t="s">
        <v>83</v>
      </c>
      <c r="Y1676" t="s">
        <v>269</v>
      </c>
      <c r="Z1676">
        <v>20200128</v>
      </c>
      <c r="AA1676">
        <f t="shared" si="52"/>
        <v>10112</v>
      </c>
      <c r="AC1676"/>
      <c r="AE1676" t="s">
        <v>526</v>
      </c>
      <c r="AF1676"/>
      <c r="AL1676">
        <v>340019850</v>
      </c>
      <c r="AM1676" t="s">
        <v>271</v>
      </c>
    </row>
    <row r="1677" spans="1:39" x14ac:dyDescent="0.35">
      <c r="A1677">
        <v>3400</v>
      </c>
      <c r="B1677" t="s">
        <v>83</v>
      </c>
      <c r="C1677">
        <v>2020</v>
      </c>
      <c r="D1677" s="1">
        <v>43831</v>
      </c>
      <c r="E1677">
        <v>16</v>
      </c>
      <c r="F1677">
        <v>100009481</v>
      </c>
      <c r="G1677" t="s">
        <v>101</v>
      </c>
      <c r="H1677">
        <v>40</v>
      </c>
      <c r="I1677">
        <v>71105130</v>
      </c>
      <c r="J1677">
        <v>11610090</v>
      </c>
      <c r="K1677" t="s">
        <v>305</v>
      </c>
      <c r="L1677" s="4">
        <v>14200</v>
      </c>
      <c r="M1677" t="s">
        <v>54</v>
      </c>
      <c r="N1677" s="4">
        <v>267404.46000000002</v>
      </c>
      <c r="O1677" t="s">
        <v>31</v>
      </c>
      <c r="P1677" t="s">
        <v>98</v>
      </c>
      <c r="X1677" t="s">
        <v>83</v>
      </c>
      <c r="Y1677" t="s">
        <v>269</v>
      </c>
      <c r="Z1677">
        <v>20200128</v>
      </c>
      <c r="AA1677">
        <f t="shared" si="52"/>
        <v>14200</v>
      </c>
      <c r="AC1677"/>
      <c r="AE1677" t="s">
        <v>526</v>
      </c>
      <c r="AF1677"/>
      <c r="AL1677">
        <v>340019850</v>
      </c>
      <c r="AM1677" t="s">
        <v>271</v>
      </c>
    </row>
    <row r="1678" spans="1:39" x14ac:dyDescent="0.35">
      <c r="A1678">
        <v>3400</v>
      </c>
      <c r="B1678" t="s">
        <v>83</v>
      </c>
      <c r="C1678">
        <v>2020</v>
      </c>
      <c r="D1678" s="1">
        <v>43831</v>
      </c>
      <c r="E1678">
        <v>18</v>
      </c>
      <c r="F1678">
        <v>100009481</v>
      </c>
      <c r="G1678" t="s">
        <v>101</v>
      </c>
      <c r="H1678">
        <v>40</v>
      </c>
      <c r="I1678">
        <v>71105120</v>
      </c>
      <c r="J1678">
        <v>11610090</v>
      </c>
      <c r="K1678" t="s">
        <v>268</v>
      </c>
      <c r="L1678" s="4">
        <v>11004</v>
      </c>
      <c r="M1678" t="s">
        <v>54</v>
      </c>
      <c r="N1678" s="4">
        <v>207219.63</v>
      </c>
      <c r="O1678" t="s">
        <v>31</v>
      </c>
      <c r="P1678" t="s">
        <v>98</v>
      </c>
      <c r="X1678" t="s">
        <v>83</v>
      </c>
      <c r="Y1678" t="s">
        <v>269</v>
      </c>
      <c r="Z1678">
        <v>20200128</v>
      </c>
      <c r="AA1678">
        <f t="shared" si="52"/>
        <v>11004</v>
      </c>
      <c r="AC1678"/>
      <c r="AE1678" t="s">
        <v>527</v>
      </c>
      <c r="AF1678"/>
      <c r="AL1678">
        <v>340041850</v>
      </c>
      <c r="AM1678" t="s">
        <v>271</v>
      </c>
    </row>
    <row r="1679" spans="1:39" x14ac:dyDescent="0.35">
      <c r="A1679">
        <v>3400</v>
      </c>
      <c r="B1679" t="s">
        <v>83</v>
      </c>
      <c r="C1679">
        <v>2020</v>
      </c>
      <c r="D1679" s="1">
        <v>43831</v>
      </c>
      <c r="E1679">
        <v>19</v>
      </c>
      <c r="F1679">
        <v>100009481</v>
      </c>
      <c r="G1679" t="s">
        <v>101</v>
      </c>
      <c r="H1679">
        <v>40</v>
      </c>
      <c r="I1679">
        <v>71105120</v>
      </c>
      <c r="J1679">
        <v>11610090</v>
      </c>
      <c r="K1679" t="s">
        <v>268</v>
      </c>
      <c r="L1679" s="4">
        <v>408.33</v>
      </c>
      <c r="M1679" t="s">
        <v>54</v>
      </c>
      <c r="N1679" s="4">
        <v>7689.38</v>
      </c>
      <c r="O1679" t="s">
        <v>31</v>
      </c>
      <c r="P1679" t="s">
        <v>98</v>
      </c>
      <c r="X1679" t="s">
        <v>83</v>
      </c>
      <c r="Y1679" t="s">
        <v>269</v>
      </c>
      <c r="Z1679">
        <v>20200128</v>
      </c>
      <c r="AA1679">
        <f t="shared" si="52"/>
        <v>408.33</v>
      </c>
      <c r="AC1679"/>
      <c r="AE1679" t="s">
        <v>528</v>
      </c>
      <c r="AF1679"/>
      <c r="AL1679">
        <v>340046150</v>
      </c>
      <c r="AM1679" t="s">
        <v>271</v>
      </c>
    </row>
    <row r="1680" spans="1:39" x14ac:dyDescent="0.35">
      <c r="A1680">
        <v>3400</v>
      </c>
      <c r="B1680" t="s">
        <v>83</v>
      </c>
      <c r="C1680">
        <v>2020</v>
      </c>
      <c r="D1680" s="1">
        <v>43831</v>
      </c>
      <c r="E1680">
        <v>20</v>
      </c>
      <c r="F1680">
        <v>100009481</v>
      </c>
      <c r="G1680" t="s">
        <v>101</v>
      </c>
      <c r="H1680">
        <v>40</v>
      </c>
      <c r="I1680">
        <v>71105120</v>
      </c>
      <c r="J1680">
        <v>11610090</v>
      </c>
      <c r="K1680" t="s">
        <v>268</v>
      </c>
      <c r="L1680" s="4">
        <v>1786.4</v>
      </c>
      <c r="M1680" t="s">
        <v>54</v>
      </c>
      <c r="N1680" s="4">
        <v>33640.230000000003</v>
      </c>
      <c r="O1680" t="s">
        <v>31</v>
      </c>
      <c r="P1680" t="s">
        <v>98</v>
      </c>
      <c r="X1680" t="s">
        <v>83</v>
      </c>
      <c r="Y1680" t="s">
        <v>269</v>
      </c>
      <c r="Z1680">
        <v>20200128</v>
      </c>
      <c r="AA1680">
        <f t="shared" si="52"/>
        <v>1786.4</v>
      </c>
      <c r="AC1680"/>
      <c r="AE1680" t="s">
        <v>529</v>
      </c>
      <c r="AF1680"/>
      <c r="AL1680">
        <v>340046150</v>
      </c>
      <c r="AM1680" t="s">
        <v>271</v>
      </c>
    </row>
    <row r="1681" spans="1:39" x14ac:dyDescent="0.35">
      <c r="A1681">
        <v>3400</v>
      </c>
      <c r="B1681" t="s">
        <v>83</v>
      </c>
      <c r="C1681">
        <v>2020</v>
      </c>
      <c r="D1681" s="1">
        <v>43831</v>
      </c>
      <c r="E1681">
        <v>21</v>
      </c>
      <c r="F1681">
        <v>100009481</v>
      </c>
      <c r="G1681" t="s">
        <v>101</v>
      </c>
      <c r="H1681">
        <v>40</v>
      </c>
      <c r="I1681">
        <v>71105120</v>
      </c>
      <c r="J1681">
        <v>11610090</v>
      </c>
      <c r="K1681" t="s">
        <v>268</v>
      </c>
      <c r="L1681" s="4">
        <v>1786.4</v>
      </c>
      <c r="M1681" t="s">
        <v>54</v>
      </c>
      <c r="N1681" s="4">
        <v>33640.230000000003</v>
      </c>
      <c r="O1681" t="s">
        <v>31</v>
      </c>
      <c r="P1681" t="s">
        <v>98</v>
      </c>
      <c r="X1681" t="s">
        <v>83</v>
      </c>
      <c r="Y1681" t="s">
        <v>269</v>
      </c>
      <c r="Z1681">
        <v>20200128</v>
      </c>
      <c r="AA1681">
        <f t="shared" si="52"/>
        <v>1786.4</v>
      </c>
      <c r="AC1681"/>
      <c r="AE1681" t="s">
        <v>529</v>
      </c>
      <c r="AF1681"/>
      <c r="AL1681">
        <v>340046150</v>
      </c>
      <c r="AM1681" t="s">
        <v>271</v>
      </c>
    </row>
    <row r="1682" spans="1:39" x14ac:dyDescent="0.35">
      <c r="A1682">
        <v>3400</v>
      </c>
      <c r="B1682" t="s">
        <v>83</v>
      </c>
      <c r="C1682">
        <v>2020</v>
      </c>
      <c r="D1682" s="1">
        <v>43831</v>
      </c>
      <c r="E1682">
        <v>22</v>
      </c>
      <c r="F1682">
        <v>100009481</v>
      </c>
      <c r="G1682" t="s">
        <v>101</v>
      </c>
      <c r="H1682">
        <v>40</v>
      </c>
      <c r="I1682">
        <v>71105120</v>
      </c>
      <c r="J1682">
        <v>11610090</v>
      </c>
      <c r="K1682" t="s">
        <v>268</v>
      </c>
      <c r="L1682" s="4">
        <v>1476.56</v>
      </c>
      <c r="M1682" t="s">
        <v>54</v>
      </c>
      <c r="N1682" s="4">
        <v>27805.54</v>
      </c>
      <c r="O1682" t="s">
        <v>31</v>
      </c>
      <c r="P1682" t="s">
        <v>98</v>
      </c>
      <c r="X1682" t="s">
        <v>83</v>
      </c>
      <c r="Y1682" t="s">
        <v>269</v>
      </c>
      <c r="Z1682">
        <v>20200128</v>
      </c>
      <c r="AA1682">
        <f t="shared" ref="AA1682:AA1745" si="53">L1682</f>
        <v>1476.56</v>
      </c>
      <c r="AC1682"/>
      <c r="AE1682" t="s">
        <v>529</v>
      </c>
      <c r="AF1682"/>
      <c r="AL1682">
        <v>340046150</v>
      </c>
      <c r="AM1682" t="s">
        <v>271</v>
      </c>
    </row>
    <row r="1683" spans="1:39" x14ac:dyDescent="0.35">
      <c r="A1683">
        <v>3400</v>
      </c>
      <c r="B1683" t="s">
        <v>83</v>
      </c>
      <c r="C1683">
        <v>2020</v>
      </c>
      <c r="D1683" s="1">
        <v>43831</v>
      </c>
      <c r="E1683">
        <v>23</v>
      </c>
      <c r="F1683">
        <v>100009481</v>
      </c>
      <c r="G1683" t="s">
        <v>101</v>
      </c>
      <c r="H1683">
        <v>40</v>
      </c>
      <c r="I1683">
        <v>71105120</v>
      </c>
      <c r="J1683">
        <v>11610090</v>
      </c>
      <c r="K1683" t="s">
        <v>268</v>
      </c>
      <c r="L1683" s="4">
        <v>1476.56</v>
      </c>
      <c r="M1683" t="s">
        <v>54</v>
      </c>
      <c r="N1683" s="4">
        <v>27805.54</v>
      </c>
      <c r="O1683" t="s">
        <v>31</v>
      </c>
      <c r="P1683" t="s">
        <v>98</v>
      </c>
      <c r="X1683" t="s">
        <v>83</v>
      </c>
      <c r="Y1683" t="s">
        <v>269</v>
      </c>
      <c r="Z1683">
        <v>20200128</v>
      </c>
      <c r="AA1683">
        <f t="shared" si="53"/>
        <v>1476.56</v>
      </c>
      <c r="AC1683"/>
      <c r="AE1683" t="s">
        <v>529</v>
      </c>
      <c r="AF1683"/>
      <c r="AL1683">
        <v>340046150</v>
      </c>
      <c r="AM1683" t="s">
        <v>271</v>
      </c>
    </row>
    <row r="1684" spans="1:39" x14ac:dyDescent="0.35">
      <c r="A1684">
        <v>3400</v>
      </c>
      <c r="B1684" t="s">
        <v>83</v>
      </c>
      <c r="C1684">
        <v>2020</v>
      </c>
      <c r="D1684" s="1">
        <v>43831</v>
      </c>
      <c r="E1684">
        <v>1</v>
      </c>
      <c r="F1684">
        <v>100010073</v>
      </c>
      <c r="G1684" t="s">
        <v>101</v>
      </c>
      <c r="H1684">
        <v>40</v>
      </c>
      <c r="I1684">
        <v>71105120</v>
      </c>
      <c r="J1684">
        <v>11610090</v>
      </c>
      <c r="K1684" t="s">
        <v>268</v>
      </c>
      <c r="L1684" s="4">
        <v>15943.4</v>
      </c>
      <c r="M1684" t="s">
        <v>31</v>
      </c>
      <c r="N1684" s="4">
        <v>15943.4</v>
      </c>
      <c r="O1684" t="s">
        <v>31</v>
      </c>
      <c r="P1684" t="s">
        <v>98</v>
      </c>
      <c r="X1684" t="s">
        <v>47</v>
      </c>
      <c r="Y1684" t="s">
        <v>269</v>
      </c>
      <c r="Z1684">
        <v>20200128</v>
      </c>
      <c r="AA1684">
        <f t="shared" si="53"/>
        <v>15943.4</v>
      </c>
      <c r="AC1684"/>
      <c r="AE1684" t="s">
        <v>530</v>
      </c>
      <c r="AF1684"/>
      <c r="AL1684">
        <v>340019550</v>
      </c>
      <c r="AM1684" t="s">
        <v>271</v>
      </c>
    </row>
    <row r="1685" spans="1:39" x14ac:dyDescent="0.35">
      <c r="A1685">
        <v>3400</v>
      </c>
      <c r="B1685" t="s">
        <v>83</v>
      </c>
      <c r="C1685">
        <v>2020</v>
      </c>
      <c r="D1685" s="1">
        <v>43831</v>
      </c>
      <c r="E1685">
        <v>2</v>
      </c>
      <c r="F1685">
        <v>100010073</v>
      </c>
      <c r="G1685" t="s">
        <v>101</v>
      </c>
      <c r="H1685">
        <v>40</v>
      </c>
      <c r="I1685">
        <v>71105120</v>
      </c>
      <c r="J1685">
        <v>11610090</v>
      </c>
      <c r="K1685" t="s">
        <v>268</v>
      </c>
      <c r="L1685" s="4">
        <v>813.75</v>
      </c>
      <c r="M1685" t="s">
        <v>31</v>
      </c>
      <c r="N1685" s="4">
        <v>813.75</v>
      </c>
      <c r="O1685" t="s">
        <v>31</v>
      </c>
      <c r="P1685" t="s">
        <v>98</v>
      </c>
      <c r="X1685" t="s">
        <v>47</v>
      </c>
      <c r="Y1685" t="s">
        <v>269</v>
      </c>
      <c r="Z1685">
        <v>20200128</v>
      </c>
      <c r="AA1685">
        <f t="shared" si="53"/>
        <v>813.75</v>
      </c>
      <c r="AC1685"/>
      <c r="AE1685" t="s">
        <v>531</v>
      </c>
      <c r="AF1685"/>
      <c r="AL1685">
        <v>340046150</v>
      </c>
      <c r="AM1685" t="s">
        <v>271</v>
      </c>
    </row>
    <row r="1686" spans="1:39" x14ac:dyDescent="0.35">
      <c r="A1686">
        <v>3400</v>
      </c>
      <c r="B1686" t="s">
        <v>83</v>
      </c>
      <c r="C1686">
        <v>2020</v>
      </c>
      <c r="D1686" s="1">
        <v>43831</v>
      </c>
      <c r="E1686">
        <v>4</v>
      </c>
      <c r="F1686">
        <v>100010073</v>
      </c>
      <c r="G1686" t="s">
        <v>101</v>
      </c>
      <c r="H1686">
        <v>40</v>
      </c>
      <c r="I1686">
        <v>71105120</v>
      </c>
      <c r="J1686">
        <v>11610090</v>
      </c>
      <c r="K1686" t="s">
        <v>268</v>
      </c>
      <c r="L1686" s="4">
        <v>14630</v>
      </c>
      <c r="M1686" t="s">
        <v>31</v>
      </c>
      <c r="N1686" s="4">
        <v>14630</v>
      </c>
      <c r="O1686" t="s">
        <v>31</v>
      </c>
      <c r="P1686" t="s">
        <v>98</v>
      </c>
      <c r="X1686" t="s">
        <v>47</v>
      </c>
      <c r="Y1686" t="s">
        <v>269</v>
      </c>
      <c r="Z1686">
        <v>20200128</v>
      </c>
      <c r="AA1686">
        <f t="shared" si="53"/>
        <v>14630</v>
      </c>
      <c r="AC1686"/>
      <c r="AE1686" t="s">
        <v>532</v>
      </c>
      <c r="AF1686"/>
      <c r="AL1686">
        <v>340046550</v>
      </c>
      <c r="AM1686" t="s">
        <v>271</v>
      </c>
    </row>
    <row r="1687" spans="1:39" x14ac:dyDescent="0.35">
      <c r="A1687">
        <v>3400</v>
      </c>
      <c r="B1687" t="s">
        <v>83</v>
      </c>
      <c r="C1687">
        <v>2020</v>
      </c>
      <c r="D1687" s="1">
        <v>43831</v>
      </c>
      <c r="E1687">
        <v>1</v>
      </c>
      <c r="F1687">
        <v>100010076</v>
      </c>
      <c r="G1687" t="s">
        <v>101</v>
      </c>
      <c r="H1687">
        <v>40</v>
      </c>
      <c r="I1687">
        <v>71105120</v>
      </c>
      <c r="J1687">
        <v>11610030</v>
      </c>
      <c r="K1687" t="s">
        <v>268</v>
      </c>
      <c r="L1687">
        <v>19396.48</v>
      </c>
      <c r="M1687" t="s">
        <v>31</v>
      </c>
      <c r="N1687">
        <v>19396.48</v>
      </c>
      <c r="O1687" t="s">
        <v>31</v>
      </c>
      <c r="P1687" t="s">
        <v>98</v>
      </c>
      <c r="W1687">
        <v>100010077</v>
      </c>
      <c r="X1687" t="s">
        <v>47</v>
      </c>
      <c r="Y1687" t="s">
        <v>269</v>
      </c>
      <c r="Z1687">
        <v>20200128</v>
      </c>
      <c r="AA1687">
        <f t="shared" si="53"/>
        <v>19396.48</v>
      </c>
      <c r="AC1687"/>
      <c r="AE1687" t="s">
        <v>533</v>
      </c>
      <c r="AF1687"/>
      <c r="AL1687">
        <v>340046550</v>
      </c>
      <c r="AM1687" t="s">
        <v>271</v>
      </c>
    </row>
    <row r="1688" spans="1:39" x14ac:dyDescent="0.35">
      <c r="A1688">
        <v>3400</v>
      </c>
      <c r="B1688" t="s">
        <v>83</v>
      </c>
      <c r="C1688">
        <v>2020</v>
      </c>
      <c r="D1688" s="1">
        <v>43831</v>
      </c>
      <c r="E1688">
        <v>1</v>
      </c>
      <c r="F1688">
        <v>100010077</v>
      </c>
      <c r="G1688" t="s">
        <v>226</v>
      </c>
      <c r="H1688">
        <v>50</v>
      </c>
      <c r="I1688">
        <v>71105120</v>
      </c>
      <c r="J1688">
        <v>11610030</v>
      </c>
      <c r="K1688" t="s">
        <v>268</v>
      </c>
      <c r="L1688">
        <v>19396.48</v>
      </c>
      <c r="M1688" t="s">
        <v>31</v>
      </c>
      <c r="N1688">
        <v>19396.48</v>
      </c>
      <c r="O1688" t="s">
        <v>31</v>
      </c>
      <c r="P1688" t="s">
        <v>98</v>
      </c>
      <c r="W1688">
        <v>100010076</v>
      </c>
      <c r="X1688" t="s">
        <v>47</v>
      </c>
      <c r="Y1688" t="s">
        <v>269</v>
      </c>
      <c r="Z1688">
        <v>20200128</v>
      </c>
      <c r="AA1688">
        <f t="shared" si="53"/>
        <v>19396.48</v>
      </c>
      <c r="AC1688"/>
      <c r="AE1688" t="s">
        <v>533</v>
      </c>
      <c r="AF1688"/>
      <c r="AL1688">
        <v>340046550</v>
      </c>
      <c r="AM1688" t="s">
        <v>271</v>
      </c>
    </row>
    <row r="1689" spans="1:39" x14ac:dyDescent="0.35">
      <c r="A1689">
        <v>3400</v>
      </c>
      <c r="B1689" t="s">
        <v>83</v>
      </c>
      <c r="C1689">
        <v>2020</v>
      </c>
      <c r="D1689" s="1">
        <v>43831</v>
      </c>
      <c r="E1689">
        <v>1</v>
      </c>
      <c r="F1689">
        <v>100010111</v>
      </c>
      <c r="G1689" t="s">
        <v>101</v>
      </c>
      <c r="H1689">
        <v>40</v>
      </c>
      <c r="I1689">
        <v>71105120</v>
      </c>
      <c r="J1689">
        <v>11610030</v>
      </c>
      <c r="K1689" t="s">
        <v>268</v>
      </c>
      <c r="L1689" s="4">
        <v>19396.48</v>
      </c>
      <c r="M1689" t="s">
        <v>54</v>
      </c>
      <c r="N1689" s="4">
        <v>365260.93</v>
      </c>
      <c r="O1689" t="s">
        <v>31</v>
      </c>
      <c r="P1689" t="s">
        <v>98</v>
      </c>
      <c r="X1689" t="s">
        <v>47</v>
      </c>
      <c r="Y1689" t="s">
        <v>269</v>
      </c>
      <c r="Z1689">
        <v>20200128</v>
      </c>
      <c r="AA1689">
        <f t="shared" si="53"/>
        <v>19396.48</v>
      </c>
      <c r="AC1689"/>
      <c r="AE1689" t="s">
        <v>533</v>
      </c>
      <c r="AF1689"/>
      <c r="AL1689">
        <v>340046550</v>
      </c>
      <c r="AM1689" t="s">
        <v>271</v>
      </c>
    </row>
    <row r="1690" spans="1:39" x14ac:dyDescent="0.35">
      <c r="A1690">
        <v>3403</v>
      </c>
      <c r="B1690" t="s">
        <v>83</v>
      </c>
      <c r="C1690">
        <v>2020</v>
      </c>
      <c r="D1690" s="1">
        <v>43831</v>
      </c>
      <c r="E1690">
        <v>2</v>
      </c>
      <c r="F1690">
        <v>300021502</v>
      </c>
      <c r="G1690" t="s">
        <v>101</v>
      </c>
      <c r="H1690">
        <v>50</v>
      </c>
      <c r="I1690">
        <v>71101060</v>
      </c>
      <c r="J1690">
        <v>71106080</v>
      </c>
      <c r="K1690" t="s">
        <v>30</v>
      </c>
      <c r="L1690" s="4">
        <v>6100.02</v>
      </c>
      <c r="M1690" t="s">
        <v>31</v>
      </c>
      <c r="N1690" s="4">
        <v>6100.02</v>
      </c>
      <c r="O1690" t="s">
        <v>31</v>
      </c>
      <c r="X1690" t="s">
        <v>51</v>
      </c>
      <c r="Y1690"/>
      <c r="Z1690">
        <v>20200128</v>
      </c>
      <c r="AA1690">
        <f t="shared" si="53"/>
        <v>6100.02</v>
      </c>
      <c r="AC1690"/>
      <c r="AE1690" t="s">
        <v>515</v>
      </c>
      <c r="AF1690"/>
      <c r="AL1690">
        <v>340312890</v>
      </c>
      <c r="AM1690" t="s">
        <v>534</v>
      </c>
    </row>
    <row r="1691" spans="1:39" x14ac:dyDescent="0.35">
      <c r="A1691">
        <v>3400</v>
      </c>
      <c r="B1691" t="s">
        <v>83</v>
      </c>
      <c r="C1691">
        <v>2020</v>
      </c>
      <c r="D1691" s="1">
        <v>43831</v>
      </c>
      <c r="E1691">
        <v>13</v>
      </c>
      <c r="F1691">
        <v>100009481</v>
      </c>
      <c r="G1691" t="s">
        <v>101</v>
      </c>
      <c r="H1691">
        <v>40</v>
      </c>
      <c r="I1691">
        <v>71105120</v>
      </c>
      <c r="J1691">
        <v>11610090</v>
      </c>
      <c r="K1691" t="s">
        <v>268</v>
      </c>
      <c r="L1691" s="4">
        <v>1529.16</v>
      </c>
      <c r="M1691" t="s">
        <v>54</v>
      </c>
      <c r="N1691" s="4">
        <v>28796.07</v>
      </c>
      <c r="O1691" t="s">
        <v>31</v>
      </c>
      <c r="P1691" t="s">
        <v>98</v>
      </c>
      <c r="X1691" t="s">
        <v>83</v>
      </c>
      <c r="Y1691" t="s">
        <v>269</v>
      </c>
      <c r="Z1691">
        <v>20200128</v>
      </c>
      <c r="AA1691">
        <f t="shared" si="53"/>
        <v>1529.16</v>
      </c>
      <c r="AC1691"/>
      <c r="AE1691" t="s">
        <v>535</v>
      </c>
      <c r="AF1691"/>
      <c r="AL1691">
        <v>340019850</v>
      </c>
      <c r="AM1691" t="s">
        <v>271</v>
      </c>
    </row>
    <row r="1692" spans="1:39" x14ac:dyDescent="0.35">
      <c r="A1692">
        <v>3400</v>
      </c>
      <c r="B1692" t="s">
        <v>83</v>
      </c>
      <c r="C1692">
        <v>2020</v>
      </c>
      <c r="D1692" s="1">
        <v>43831</v>
      </c>
      <c r="E1692">
        <v>12</v>
      </c>
      <c r="F1692">
        <v>100009481</v>
      </c>
      <c r="G1692" t="s">
        <v>101</v>
      </c>
      <c r="H1692">
        <v>40</v>
      </c>
      <c r="I1692">
        <v>71105120</v>
      </c>
      <c r="J1692">
        <v>11610090</v>
      </c>
      <c r="K1692" t="s">
        <v>268</v>
      </c>
      <c r="L1692" s="4">
        <v>6449.76</v>
      </c>
      <c r="M1692" t="s">
        <v>54</v>
      </c>
      <c r="N1692" s="4">
        <v>121457.37</v>
      </c>
      <c r="O1692" t="s">
        <v>31</v>
      </c>
      <c r="P1692" t="s">
        <v>98</v>
      </c>
      <c r="X1692" t="s">
        <v>83</v>
      </c>
      <c r="Y1692" t="s">
        <v>269</v>
      </c>
      <c r="Z1692">
        <v>20200128</v>
      </c>
      <c r="AA1692">
        <f t="shared" si="53"/>
        <v>6449.76</v>
      </c>
      <c r="AC1692"/>
      <c r="AE1692" t="s">
        <v>536</v>
      </c>
      <c r="AF1692"/>
      <c r="AL1692">
        <v>340046150</v>
      </c>
      <c r="AM1692" t="s">
        <v>271</v>
      </c>
    </row>
    <row r="1693" spans="1:39" x14ac:dyDescent="0.35">
      <c r="A1693">
        <v>3407</v>
      </c>
      <c r="B1693" t="s">
        <v>83</v>
      </c>
      <c r="C1693">
        <v>2020</v>
      </c>
      <c r="D1693" s="1">
        <v>43831</v>
      </c>
      <c r="E1693">
        <v>1</v>
      </c>
      <c r="F1693">
        <v>700032933</v>
      </c>
      <c r="G1693" t="s">
        <v>120</v>
      </c>
      <c r="H1693">
        <v>81</v>
      </c>
      <c r="I1693">
        <v>71104010</v>
      </c>
      <c r="J1693">
        <v>21021040</v>
      </c>
      <c r="K1693" t="s">
        <v>121</v>
      </c>
      <c r="L1693" s="4">
        <v>3557319.57</v>
      </c>
      <c r="M1693" t="s">
        <v>31</v>
      </c>
      <c r="N1693" s="4">
        <v>3557319.57</v>
      </c>
      <c r="O1693" t="s">
        <v>31</v>
      </c>
      <c r="R1693" t="s">
        <v>537</v>
      </c>
      <c r="S1693" t="s">
        <v>1131</v>
      </c>
      <c r="T1693">
        <v>107211</v>
      </c>
      <c r="U1693" t="s">
        <v>123</v>
      </c>
      <c r="X1693" t="s">
        <v>83</v>
      </c>
      <c r="Y1693" s="8" t="s">
        <v>1162</v>
      </c>
      <c r="Z1693">
        <v>20200128</v>
      </c>
      <c r="AA1693">
        <f t="shared" si="53"/>
        <v>3557319.57</v>
      </c>
      <c r="AB1693">
        <f>AA1693*0.16</f>
        <v>569171.13119999995</v>
      </c>
      <c r="AC1693" s="3">
        <v>4082382</v>
      </c>
      <c r="AD1693">
        <v>700042411</v>
      </c>
      <c r="AE1693" t="s">
        <v>538</v>
      </c>
      <c r="AF1693" s="4">
        <f>AC1693</f>
        <v>4082382</v>
      </c>
      <c r="AG1693" t="s">
        <v>51</v>
      </c>
      <c r="AH1693" t="s">
        <v>1123</v>
      </c>
      <c r="AJ1693" t="s">
        <v>1148</v>
      </c>
      <c r="AK1693" t="s">
        <v>1129</v>
      </c>
      <c r="AL1693">
        <v>340718590</v>
      </c>
      <c r="AM1693" t="s">
        <v>244</v>
      </c>
    </row>
    <row r="1694" spans="1:39" x14ac:dyDescent="0.35">
      <c r="A1694">
        <v>3409</v>
      </c>
      <c r="B1694" t="s">
        <v>83</v>
      </c>
      <c r="C1694">
        <v>2020</v>
      </c>
      <c r="D1694" s="1">
        <v>43831</v>
      </c>
      <c r="E1694">
        <v>1</v>
      </c>
      <c r="F1694">
        <v>900009856</v>
      </c>
      <c r="G1694" t="s">
        <v>120</v>
      </c>
      <c r="H1694">
        <v>81</v>
      </c>
      <c r="I1694">
        <v>71106040</v>
      </c>
      <c r="J1694">
        <v>21021040</v>
      </c>
      <c r="K1694" t="s">
        <v>125</v>
      </c>
      <c r="L1694" s="4">
        <v>43860</v>
      </c>
      <c r="M1694" t="s">
        <v>31</v>
      </c>
      <c r="N1694" s="4">
        <v>43860</v>
      </c>
      <c r="O1694" t="s">
        <v>31</v>
      </c>
      <c r="T1694">
        <v>500006</v>
      </c>
      <c r="U1694" t="s">
        <v>539</v>
      </c>
      <c r="X1694" t="s">
        <v>83</v>
      </c>
      <c r="Y1694"/>
      <c r="Z1694">
        <v>20200128</v>
      </c>
      <c r="AA1694">
        <f t="shared" si="53"/>
        <v>43860</v>
      </c>
      <c r="AC1694"/>
      <c r="AE1694" t="s">
        <v>540</v>
      </c>
      <c r="AF1694"/>
      <c r="AL1694">
        <v>340921790</v>
      </c>
      <c r="AM1694" t="s">
        <v>185</v>
      </c>
    </row>
    <row r="1695" spans="1:39" x14ac:dyDescent="0.35">
      <c r="A1695">
        <v>3407</v>
      </c>
      <c r="B1695" t="s">
        <v>83</v>
      </c>
      <c r="C1695">
        <v>2020</v>
      </c>
      <c r="D1695" s="1">
        <v>43831</v>
      </c>
      <c r="E1695">
        <v>1</v>
      </c>
      <c r="F1695">
        <v>700042289</v>
      </c>
      <c r="G1695" t="s">
        <v>120</v>
      </c>
      <c r="H1695">
        <v>91</v>
      </c>
      <c r="I1695">
        <v>71104010</v>
      </c>
      <c r="J1695">
        <v>21021040</v>
      </c>
      <c r="K1695" t="s">
        <v>121</v>
      </c>
      <c r="L1695" s="4">
        <v>3557319.57</v>
      </c>
      <c r="M1695" t="s">
        <v>31</v>
      </c>
      <c r="N1695" s="4">
        <v>3557319.57</v>
      </c>
      <c r="O1695" t="s">
        <v>31</v>
      </c>
      <c r="R1695" t="s">
        <v>537</v>
      </c>
      <c r="S1695" t="s">
        <v>1131</v>
      </c>
      <c r="T1695">
        <v>107211</v>
      </c>
      <c r="U1695" t="s">
        <v>123</v>
      </c>
      <c r="X1695" t="s">
        <v>65</v>
      </c>
      <c r="Y1695">
        <v>1012020</v>
      </c>
      <c r="Z1695" t="s">
        <v>1163</v>
      </c>
      <c r="AA1695">
        <f t="shared" si="53"/>
        <v>3557319.57</v>
      </c>
      <c r="AC1695"/>
      <c r="AE1695" t="s">
        <v>538</v>
      </c>
      <c r="AF1695"/>
      <c r="AH1695" t="s">
        <v>1123</v>
      </c>
      <c r="AJ1695" t="s">
        <v>1148</v>
      </c>
      <c r="AK1695" t="s">
        <v>1129</v>
      </c>
      <c r="AL1695">
        <v>340718590</v>
      </c>
      <c r="AM1695" t="s">
        <v>541</v>
      </c>
    </row>
    <row r="1696" spans="1:39" x14ac:dyDescent="0.35">
      <c r="A1696">
        <v>3403</v>
      </c>
      <c r="B1696" t="s">
        <v>352</v>
      </c>
      <c r="C1696">
        <v>2020</v>
      </c>
      <c r="D1696" s="1">
        <v>43831</v>
      </c>
      <c r="E1696">
        <v>1</v>
      </c>
      <c r="F1696">
        <v>300017003</v>
      </c>
      <c r="G1696" t="s">
        <v>120</v>
      </c>
      <c r="H1696">
        <v>81</v>
      </c>
      <c r="I1696">
        <v>71104010</v>
      </c>
      <c r="J1696">
        <v>21021040</v>
      </c>
      <c r="K1696" t="s">
        <v>121</v>
      </c>
      <c r="L1696" s="4">
        <v>38384.019999999997</v>
      </c>
      <c r="M1696" t="s">
        <v>31</v>
      </c>
      <c r="N1696" s="4">
        <v>38384.019999999997</v>
      </c>
      <c r="O1696" t="s">
        <v>31</v>
      </c>
      <c r="R1696" t="s">
        <v>542</v>
      </c>
      <c r="S1696" t="s">
        <v>1131</v>
      </c>
      <c r="T1696">
        <v>107211</v>
      </c>
      <c r="U1696" t="s">
        <v>123</v>
      </c>
      <c r="X1696" t="s">
        <v>47</v>
      </c>
      <c r="Y1696" s="8">
        <v>4501228713</v>
      </c>
      <c r="Z1696">
        <v>20200102</v>
      </c>
      <c r="AA1696">
        <f t="shared" si="53"/>
        <v>38384.019999999997</v>
      </c>
      <c r="AB1696">
        <f>AA1696*0.16</f>
        <v>6141.4431999999997</v>
      </c>
      <c r="AC1696">
        <f>AB1696+AA1696</f>
        <v>44525.463199999998</v>
      </c>
      <c r="AD1696">
        <v>300021003</v>
      </c>
      <c r="AE1696" t="s">
        <v>543</v>
      </c>
      <c r="AF1696" s="4">
        <f>AC1696</f>
        <v>44525.463199999998</v>
      </c>
      <c r="AG1696" t="s">
        <v>51</v>
      </c>
      <c r="AH1696" t="s">
        <v>1123</v>
      </c>
      <c r="AJ1696" t="s">
        <v>1148</v>
      </c>
      <c r="AK1696" t="s">
        <v>1129</v>
      </c>
      <c r="AL1696">
        <v>340318590</v>
      </c>
      <c r="AM1696" t="s">
        <v>222</v>
      </c>
    </row>
    <row r="1697" spans="1:39" x14ac:dyDescent="0.35">
      <c r="A1697">
        <v>3403</v>
      </c>
      <c r="B1697" t="s">
        <v>352</v>
      </c>
      <c r="C1697">
        <v>2020</v>
      </c>
      <c r="D1697" s="1">
        <v>43831</v>
      </c>
      <c r="E1697">
        <v>3</v>
      </c>
      <c r="F1697">
        <v>300017003</v>
      </c>
      <c r="G1697" t="s">
        <v>120</v>
      </c>
      <c r="H1697">
        <v>81</v>
      </c>
      <c r="I1697">
        <v>71104010</v>
      </c>
      <c r="J1697">
        <v>21021040</v>
      </c>
      <c r="K1697" t="s">
        <v>121</v>
      </c>
      <c r="L1697" s="4">
        <v>45342</v>
      </c>
      <c r="M1697" t="s">
        <v>31</v>
      </c>
      <c r="N1697" s="4">
        <v>45342</v>
      </c>
      <c r="O1697" t="s">
        <v>31</v>
      </c>
      <c r="R1697" t="s">
        <v>542</v>
      </c>
      <c r="S1697" t="s">
        <v>1131</v>
      </c>
      <c r="T1697">
        <v>107211</v>
      </c>
      <c r="U1697" t="s">
        <v>123</v>
      </c>
      <c r="X1697" t="s">
        <v>47</v>
      </c>
      <c r="Y1697" s="8">
        <v>4501228713</v>
      </c>
      <c r="Z1697">
        <v>20200102</v>
      </c>
      <c r="AA1697">
        <f t="shared" si="53"/>
        <v>45342</v>
      </c>
      <c r="AB1697">
        <f t="shared" ref="AB1697:AB1724" si="54">AA1697*0.16</f>
        <v>7254.72</v>
      </c>
      <c r="AC1697">
        <f t="shared" ref="AC1697:AC1724" si="55">AB1697+AA1697</f>
        <v>52596.72</v>
      </c>
      <c r="AD1697">
        <v>300021003</v>
      </c>
      <c r="AE1697" t="s">
        <v>544</v>
      </c>
      <c r="AF1697" s="4">
        <f t="shared" ref="AF1697:AF1724" si="56">AC1697</f>
        <v>52596.72</v>
      </c>
      <c r="AG1697" t="s">
        <v>51</v>
      </c>
      <c r="AH1697" t="s">
        <v>1123</v>
      </c>
      <c r="AJ1697" t="s">
        <v>1148</v>
      </c>
      <c r="AK1697" t="s">
        <v>1129</v>
      </c>
      <c r="AL1697">
        <v>340318590</v>
      </c>
      <c r="AM1697" t="s">
        <v>222</v>
      </c>
    </row>
    <row r="1698" spans="1:39" x14ac:dyDescent="0.35">
      <c r="A1698">
        <v>3403</v>
      </c>
      <c r="B1698" t="s">
        <v>352</v>
      </c>
      <c r="C1698">
        <v>2020</v>
      </c>
      <c r="D1698" s="1">
        <v>43831</v>
      </c>
      <c r="E1698">
        <v>5</v>
      </c>
      <c r="F1698">
        <v>300017003</v>
      </c>
      <c r="G1698" t="s">
        <v>120</v>
      </c>
      <c r="H1698">
        <v>81</v>
      </c>
      <c r="I1698">
        <v>71104010</v>
      </c>
      <c r="J1698">
        <v>21021040</v>
      </c>
      <c r="K1698" t="s">
        <v>121</v>
      </c>
      <c r="L1698" s="4">
        <v>44719</v>
      </c>
      <c r="M1698" t="s">
        <v>31</v>
      </c>
      <c r="N1698" s="4">
        <v>44719</v>
      </c>
      <c r="O1698" t="s">
        <v>31</v>
      </c>
      <c r="R1698" t="s">
        <v>542</v>
      </c>
      <c r="S1698" t="s">
        <v>1131</v>
      </c>
      <c r="T1698">
        <v>107211</v>
      </c>
      <c r="U1698" t="s">
        <v>123</v>
      </c>
      <c r="X1698" t="s">
        <v>47</v>
      </c>
      <c r="Y1698" s="8">
        <v>4501228713</v>
      </c>
      <c r="Z1698">
        <v>20200102</v>
      </c>
      <c r="AA1698">
        <f t="shared" si="53"/>
        <v>44719</v>
      </c>
      <c r="AB1698">
        <f t="shared" si="54"/>
        <v>7155.04</v>
      </c>
      <c r="AC1698">
        <f t="shared" si="55"/>
        <v>51874.04</v>
      </c>
      <c r="AD1698">
        <v>300021003</v>
      </c>
      <c r="AE1698" t="s">
        <v>545</v>
      </c>
      <c r="AF1698" s="4">
        <f t="shared" si="56"/>
        <v>51874.04</v>
      </c>
      <c r="AG1698" t="s">
        <v>51</v>
      </c>
      <c r="AH1698" t="s">
        <v>1123</v>
      </c>
      <c r="AJ1698" t="s">
        <v>1148</v>
      </c>
      <c r="AK1698" t="s">
        <v>1129</v>
      </c>
      <c r="AL1698">
        <v>340318590</v>
      </c>
      <c r="AM1698" t="s">
        <v>222</v>
      </c>
    </row>
    <row r="1699" spans="1:39" x14ac:dyDescent="0.35">
      <c r="A1699">
        <v>3403</v>
      </c>
      <c r="B1699" t="s">
        <v>352</v>
      </c>
      <c r="C1699">
        <v>2020</v>
      </c>
      <c r="D1699" s="1">
        <v>43831</v>
      </c>
      <c r="E1699">
        <v>7</v>
      </c>
      <c r="F1699">
        <v>300017003</v>
      </c>
      <c r="G1699" t="s">
        <v>120</v>
      </c>
      <c r="H1699">
        <v>81</v>
      </c>
      <c r="I1699">
        <v>71104010</v>
      </c>
      <c r="J1699">
        <v>21021040</v>
      </c>
      <c r="K1699" t="s">
        <v>121</v>
      </c>
      <c r="L1699" s="4">
        <v>43732</v>
      </c>
      <c r="M1699" t="s">
        <v>31</v>
      </c>
      <c r="N1699" s="4">
        <v>43732</v>
      </c>
      <c r="O1699" t="s">
        <v>31</v>
      </c>
      <c r="R1699" t="s">
        <v>542</v>
      </c>
      <c r="S1699" t="s">
        <v>1131</v>
      </c>
      <c r="T1699">
        <v>107211</v>
      </c>
      <c r="U1699" t="s">
        <v>123</v>
      </c>
      <c r="X1699" t="s">
        <v>47</v>
      </c>
      <c r="Y1699" s="8">
        <v>4501228713</v>
      </c>
      <c r="Z1699">
        <v>20200102</v>
      </c>
      <c r="AA1699">
        <f t="shared" si="53"/>
        <v>43732</v>
      </c>
      <c r="AB1699">
        <f t="shared" si="54"/>
        <v>6997.12</v>
      </c>
      <c r="AC1699">
        <f t="shared" si="55"/>
        <v>50729.120000000003</v>
      </c>
      <c r="AD1699">
        <v>300021003</v>
      </c>
      <c r="AE1699" t="s">
        <v>546</v>
      </c>
      <c r="AF1699" s="4">
        <f t="shared" si="56"/>
        <v>50729.120000000003</v>
      </c>
      <c r="AG1699" t="s">
        <v>51</v>
      </c>
      <c r="AH1699" t="s">
        <v>1123</v>
      </c>
      <c r="AJ1699" t="s">
        <v>1148</v>
      </c>
      <c r="AK1699" t="s">
        <v>1129</v>
      </c>
      <c r="AL1699">
        <v>340318590</v>
      </c>
      <c r="AM1699" t="s">
        <v>222</v>
      </c>
    </row>
    <row r="1700" spans="1:39" x14ac:dyDescent="0.35">
      <c r="A1700">
        <v>3403</v>
      </c>
      <c r="B1700" t="s">
        <v>352</v>
      </c>
      <c r="C1700">
        <v>2020</v>
      </c>
      <c r="D1700" s="1">
        <v>43831</v>
      </c>
      <c r="E1700">
        <v>9</v>
      </c>
      <c r="F1700">
        <v>300017003</v>
      </c>
      <c r="G1700" t="s">
        <v>120</v>
      </c>
      <c r="H1700">
        <v>81</v>
      </c>
      <c r="I1700">
        <v>71104010</v>
      </c>
      <c r="J1700">
        <v>21021040</v>
      </c>
      <c r="K1700" t="s">
        <v>121</v>
      </c>
      <c r="L1700" s="4">
        <v>37985.019999999997</v>
      </c>
      <c r="M1700" t="s">
        <v>31</v>
      </c>
      <c r="N1700" s="4">
        <v>37985.019999999997</v>
      </c>
      <c r="O1700" t="s">
        <v>31</v>
      </c>
      <c r="R1700" t="s">
        <v>542</v>
      </c>
      <c r="S1700" t="s">
        <v>1131</v>
      </c>
      <c r="T1700">
        <v>107211</v>
      </c>
      <c r="U1700" t="s">
        <v>123</v>
      </c>
      <c r="X1700" t="s">
        <v>47</v>
      </c>
      <c r="Y1700" s="8">
        <v>4501228713</v>
      </c>
      <c r="Z1700">
        <v>20200102</v>
      </c>
      <c r="AA1700">
        <f t="shared" si="53"/>
        <v>37985.019999999997</v>
      </c>
      <c r="AB1700">
        <f t="shared" si="54"/>
        <v>6077.6031999999996</v>
      </c>
      <c r="AC1700">
        <f t="shared" si="55"/>
        <v>44062.623199999995</v>
      </c>
      <c r="AD1700">
        <v>300021003</v>
      </c>
      <c r="AE1700" t="s">
        <v>547</v>
      </c>
      <c r="AF1700" s="4">
        <f t="shared" si="56"/>
        <v>44062.623199999995</v>
      </c>
      <c r="AG1700" t="s">
        <v>51</v>
      </c>
      <c r="AH1700" t="s">
        <v>1123</v>
      </c>
      <c r="AJ1700" t="s">
        <v>1148</v>
      </c>
      <c r="AK1700" t="s">
        <v>1129</v>
      </c>
      <c r="AL1700">
        <v>340318590</v>
      </c>
      <c r="AM1700" t="s">
        <v>222</v>
      </c>
    </row>
    <row r="1701" spans="1:39" x14ac:dyDescent="0.35">
      <c r="A1701">
        <v>3403</v>
      </c>
      <c r="B1701" t="s">
        <v>352</v>
      </c>
      <c r="C1701">
        <v>2020</v>
      </c>
      <c r="D1701" s="1">
        <v>43831</v>
      </c>
      <c r="E1701">
        <v>11</v>
      </c>
      <c r="F1701">
        <v>300017003</v>
      </c>
      <c r="G1701" t="s">
        <v>120</v>
      </c>
      <c r="H1701">
        <v>81</v>
      </c>
      <c r="I1701">
        <v>71104010</v>
      </c>
      <c r="J1701">
        <v>21021040</v>
      </c>
      <c r="K1701" t="s">
        <v>121</v>
      </c>
      <c r="L1701" s="4">
        <v>45013</v>
      </c>
      <c r="M1701" t="s">
        <v>31</v>
      </c>
      <c r="N1701" s="4">
        <v>45013</v>
      </c>
      <c r="O1701" t="s">
        <v>31</v>
      </c>
      <c r="R1701" t="s">
        <v>542</v>
      </c>
      <c r="S1701" t="s">
        <v>1131</v>
      </c>
      <c r="T1701">
        <v>107211</v>
      </c>
      <c r="U1701" t="s">
        <v>123</v>
      </c>
      <c r="X1701" t="s">
        <v>47</v>
      </c>
      <c r="Y1701" s="8">
        <v>4501228713</v>
      </c>
      <c r="Z1701">
        <v>20200102</v>
      </c>
      <c r="AA1701">
        <f t="shared" si="53"/>
        <v>45013</v>
      </c>
      <c r="AB1701">
        <f t="shared" si="54"/>
        <v>7202.08</v>
      </c>
      <c r="AC1701">
        <f t="shared" si="55"/>
        <v>52215.08</v>
      </c>
      <c r="AD1701">
        <v>300021003</v>
      </c>
      <c r="AE1701" t="s">
        <v>548</v>
      </c>
      <c r="AF1701" s="4">
        <f t="shared" si="56"/>
        <v>52215.08</v>
      </c>
      <c r="AG1701" t="s">
        <v>51</v>
      </c>
      <c r="AH1701" t="s">
        <v>1123</v>
      </c>
      <c r="AJ1701" t="s">
        <v>1148</v>
      </c>
      <c r="AK1701" t="s">
        <v>1129</v>
      </c>
      <c r="AL1701">
        <v>340318590</v>
      </c>
      <c r="AM1701" t="s">
        <v>222</v>
      </c>
    </row>
    <row r="1702" spans="1:39" x14ac:dyDescent="0.35">
      <c r="A1702">
        <v>3403</v>
      </c>
      <c r="B1702" t="s">
        <v>352</v>
      </c>
      <c r="C1702">
        <v>2020</v>
      </c>
      <c r="D1702" s="1">
        <v>43831</v>
      </c>
      <c r="E1702">
        <v>13</v>
      </c>
      <c r="F1702">
        <v>300017003</v>
      </c>
      <c r="G1702" t="s">
        <v>120</v>
      </c>
      <c r="H1702">
        <v>81</v>
      </c>
      <c r="I1702">
        <v>71104010</v>
      </c>
      <c r="J1702">
        <v>21021040</v>
      </c>
      <c r="K1702" t="s">
        <v>121</v>
      </c>
      <c r="L1702" s="4">
        <v>46504</v>
      </c>
      <c r="M1702" t="s">
        <v>31</v>
      </c>
      <c r="N1702" s="4">
        <v>46504</v>
      </c>
      <c r="O1702" t="s">
        <v>31</v>
      </c>
      <c r="R1702" t="s">
        <v>542</v>
      </c>
      <c r="S1702" t="s">
        <v>1131</v>
      </c>
      <c r="T1702">
        <v>107211</v>
      </c>
      <c r="U1702" t="s">
        <v>123</v>
      </c>
      <c r="X1702" t="s">
        <v>47</v>
      </c>
      <c r="Y1702" s="8">
        <v>4501228713</v>
      </c>
      <c r="Z1702">
        <v>20200102</v>
      </c>
      <c r="AA1702">
        <f t="shared" si="53"/>
        <v>46504</v>
      </c>
      <c r="AB1702">
        <f t="shared" si="54"/>
        <v>7440.64</v>
      </c>
      <c r="AC1702">
        <f t="shared" si="55"/>
        <v>53944.639999999999</v>
      </c>
      <c r="AD1702">
        <v>300021003</v>
      </c>
      <c r="AE1702" t="s">
        <v>549</v>
      </c>
      <c r="AF1702" s="4">
        <f t="shared" si="56"/>
        <v>53944.639999999999</v>
      </c>
      <c r="AG1702" t="s">
        <v>51</v>
      </c>
      <c r="AH1702" t="s">
        <v>1123</v>
      </c>
      <c r="AJ1702" t="s">
        <v>1148</v>
      </c>
      <c r="AK1702" t="s">
        <v>1129</v>
      </c>
      <c r="AL1702">
        <v>340318590</v>
      </c>
      <c r="AM1702" t="s">
        <v>222</v>
      </c>
    </row>
    <row r="1703" spans="1:39" x14ac:dyDescent="0.35">
      <c r="A1703">
        <v>3403</v>
      </c>
      <c r="B1703" t="s">
        <v>352</v>
      </c>
      <c r="C1703">
        <v>2020</v>
      </c>
      <c r="D1703" s="1">
        <v>43831</v>
      </c>
      <c r="E1703">
        <v>15</v>
      </c>
      <c r="F1703">
        <v>300017003</v>
      </c>
      <c r="G1703" t="s">
        <v>120</v>
      </c>
      <c r="H1703">
        <v>81</v>
      </c>
      <c r="I1703">
        <v>71104010</v>
      </c>
      <c r="J1703">
        <v>21021040</v>
      </c>
      <c r="K1703" t="s">
        <v>121</v>
      </c>
      <c r="L1703" s="4">
        <v>47358</v>
      </c>
      <c r="M1703" t="s">
        <v>31</v>
      </c>
      <c r="N1703" s="4">
        <v>47358</v>
      </c>
      <c r="O1703" t="s">
        <v>31</v>
      </c>
      <c r="R1703" t="s">
        <v>542</v>
      </c>
      <c r="S1703" t="s">
        <v>1131</v>
      </c>
      <c r="T1703">
        <v>107211</v>
      </c>
      <c r="U1703" t="s">
        <v>123</v>
      </c>
      <c r="X1703" t="s">
        <v>47</v>
      </c>
      <c r="Y1703" s="8">
        <v>4501228713</v>
      </c>
      <c r="Z1703">
        <v>20200102</v>
      </c>
      <c r="AA1703">
        <f t="shared" si="53"/>
        <v>47358</v>
      </c>
      <c r="AB1703">
        <f t="shared" si="54"/>
        <v>7577.28</v>
      </c>
      <c r="AC1703">
        <f t="shared" si="55"/>
        <v>54935.28</v>
      </c>
      <c r="AD1703">
        <v>300021003</v>
      </c>
      <c r="AE1703" t="s">
        <v>550</v>
      </c>
      <c r="AF1703" s="4">
        <f t="shared" si="56"/>
        <v>54935.28</v>
      </c>
      <c r="AG1703" t="s">
        <v>51</v>
      </c>
      <c r="AH1703" t="s">
        <v>1123</v>
      </c>
      <c r="AJ1703" t="s">
        <v>1148</v>
      </c>
      <c r="AK1703" t="s">
        <v>1129</v>
      </c>
      <c r="AL1703">
        <v>340318590</v>
      </c>
      <c r="AM1703" t="s">
        <v>222</v>
      </c>
    </row>
    <row r="1704" spans="1:39" x14ac:dyDescent="0.35">
      <c r="A1704">
        <v>3403</v>
      </c>
      <c r="B1704" t="s">
        <v>352</v>
      </c>
      <c r="C1704">
        <v>2020</v>
      </c>
      <c r="D1704" s="1">
        <v>43831</v>
      </c>
      <c r="E1704">
        <v>17</v>
      </c>
      <c r="F1704">
        <v>300017003</v>
      </c>
      <c r="G1704" t="s">
        <v>120</v>
      </c>
      <c r="H1704">
        <v>81</v>
      </c>
      <c r="I1704">
        <v>71104010</v>
      </c>
      <c r="J1704">
        <v>21021040</v>
      </c>
      <c r="K1704" t="s">
        <v>121</v>
      </c>
      <c r="L1704" s="4">
        <v>47372</v>
      </c>
      <c r="M1704" t="s">
        <v>31</v>
      </c>
      <c r="N1704" s="4">
        <v>47372</v>
      </c>
      <c r="O1704" t="s">
        <v>31</v>
      </c>
      <c r="R1704" t="s">
        <v>542</v>
      </c>
      <c r="S1704" t="s">
        <v>1131</v>
      </c>
      <c r="T1704">
        <v>107211</v>
      </c>
      <c r="U1704" t="s">
        <v>123</v>
      </c>
      <c r="X1704" t="s">
        <v>47</v>
      </c>
      <c r="Y1704" s="8">
        <v>4501228713</v>
      </c>
      <c r="Z1704">
        <v>20200102</v>
      </c>
      <c r="AA1704">
        <f t="shared" si="53"/>
        <v>47372</v>
      </c>
      <c r="AB1704">
        <f t="shared" si="54"/>
        <v>7579.52</v>
      </c>
      <c r="AC1704">
        <f t="shared" si="55"/>
        <v>54951.520000000004</v>
      </c>
      <c r="AD1704">
        <v>300021003</v>
      </c>
      <c r="AE1704" t="s">
        <v>551</v>
      </c>
      <c r="AF1704" s="4">
        <f t="shared" si="56"/>
        <v>54951.520000000004</v>
      </c>
      <c r="AG1704" t="s">
        <v>51</v>
      </c>
      <c r="AH1704" t="s">
        <v>1123</v>
      </c>
      <c r="AJ1704" t="s">
        <v>1148</v>
      </c>
      <c r="AK1704" t="s">
        <v>1129</v>
      </c>
      <c r="AL1704">
        <v>340318590</v>
      </c>
      <c r="AM1704" t="s">
        <v>222</v>
      </c>
    </row>
    <row r="1705" spans="1:39" x14ac:dyDescent="0.35">
      <c r="A1705">
        <v>3403</v>
      </c>
      <c r="B1705" t="s">
        <v>352</v>
      </c>
      <c r="C1705">
        <v>2020</v>
      </c>
      <c r="D1705" s="1">
        <v>43831</v>
      </c>
      <c r="E1705">
        <v>19</v>
      </c>
      <c r="F1705">
        <v>300017003</v>
      </c>
      <c r="G1705" t="s">
        <v>120</v>
      </c>
      <c r="H1705">
        <v>81</v>
      </c>
      <c r="I1705">
        <v>71104010</v>
      </c>
      <c r="J1705">
        <v>21021040</v>
      </c>
      <c r="K1705" t="s">
        <v>121</v>
      </c>
      <c r="L1705" s="4">
        <v>47421</v>
      </c>
      <c r="M1705" t="s">
        <v>31</v>
      </c>
      <c r="N1705" s="4">
        <v>47421</v>
      </c>
      <c r="O1705" t="s">
        <v>31</v>
      </c>
      <c r="R1705" t="s">
        <v>542</v>
      </c>
      <c r="S1705" t="s">
        <v>1131</v>
      </c>
      <c r="T1705">
        <v>107211</v>
      </c>
      <c r="U1705" t="s">
        <v>123</v>
      </c>
      <c r="X1705" t="s">
        <v>47</v>
      </c>
      <c r="Y1705" s="8">
        <v>4501228713</v>
      </c>
      <c r="Z1705">
        <v>20200102</v>
      </c>
      <c r="AA1705">
        <f t="shared" si="53"/>
        <v>47421</v>
      </c>
      <c r="AB1705">
        <f t="shared" si="54"/>
        <v>7587.3600000000006</v>
      </c>
      <c r="AC1705">
        <f t="shared" si="55"/>
        <v>55008.36</v>
      </c>
      <c r="AD1705">
        <v>300021003</v>
      </c>
      <c r="AE1705" t="s">
        <v>552</v>
      </c>
      <c r="AF1705" s="4">
        <f t="shared" si="56"/>
        <v>55008.36</v>
      </c>
      <c r="AG1705" t="s">
        <v>51</v>
      </c>
      <c r="AH1705" t="s">
        <v>1123</v>
      </c>
      <c r="AJ1705" t="s">
        <v>1148</v>
      </c>
      <c r="AK1705" t="s">
        <v>1129</v>
      </c>
      <c r="AL1705">
        <v>340318590</v>
      </c>
      <c r="AM1705" t="s">
        <v>222</v>
      </c>
    </row>
    <row r="1706" spans="1:39" x14ac:dyDescent="0.35">
      <c r="A1706">
        <v>3403</v>
      </c>
      <c r="B1706" t="s">
        <v>352</v>
      </c>
      <c r="C1706">
        <v>2020</v>
      </c>
      <c r="D1706" s="1">
        <v>43831</v>
      </c>
      <c r="E1706">
        <v>21</v>
      </c>
      <c r="F1706">
        <v>300017003</v>
      </c>
      <c r="G1706" t="s">
        <v>120</v>
      </c>
      <c r="H1706">
        <v>81</v>
      </c>
      <c r="I1706">
        <v>71104010</v>
      </c>
      <c r="J1706">
        <v>21021040</v>
      </c>
      <c r="K1706" t="s">
        <v>121</v>
      </c>
      <c r="L1706" s="4">
        <v>49864</v>
      </c>
      <c r="M1706" t="s">
        <v>31</v>
      </c>
      <c r="N1706" s="4">
        <v>49864</v>
      </c>
      <c r="O1706" t="s">
        <v>31</v>
      </c>
      <c r="R1706" t="s">
        <v>542</v>
      </c>
      <c r="S1706" t="s">
        <v>1131</v>
      </c>
      <c r="T1706">
        <v>107211</v>
      </c>
      <c r="U1706" t="s">
        <v>123</v>
      </c>
      <c r="X1706" t="s">
        <v>47</v>
      </c>
      <c r="Y1706" s="8">
        <v>4501228713</v>
      </c>
      <c r="Z1706">
        <v>20200102</v>
      </c>
      <c r="AA1706">
        <f t="shared" si="53"/>
        <v>49864</v>
      </c>
      <c r="AB1706">
        <f t="shared" si="54"/>
        <v>7978.24</v>
      </c>
      <c r="AC1706">
        <f t="shared" si="55"/>
        <v>57842.239999999998</v>
      </c>
      <c r="AD1706">
        <v>300021003</v>
      </c>
      <c r="AE1706" t="s">
        <v>553</v>
      </c>
      <c r="AF1706" s="4">
        <f t="shared" si="56"/>
        <v>57842.239999999998</v>
      </c>
      <c r="AG1706" t="s">
        <v>51</v>
      </c>
      <c r="AH1706" t="s">
        <v>1123</v>
      </c>
      <c r="AJ1706" t="s">
        <v>1148</v>
      </c>
      <c r="AK1706" t="s">
        <v>1129</v>
      </c>
      <c r="AL1706">
        <v>340318590</v>
      </c>
      <c r="AM1706" t="s">
        <v>222</v>
      </c>
    </row>
    <row r="1707" spans="1:39" x14ac:dyDescent="0.35">
      <c r="A1707">
        <v>3403</v>
      </c>
      <c r="B1707" t="s">
        <v>352</v>
      </c>
      <c r="C1707">
        <v>2020</v>
      </c>
      <c r="D1707" s="1">
        <v>43831</v>
      </c>
      <c r="E1707">
        <v>23</v>
      </c>
      <c r="F1707">
        <v>300017003</v>
      </c>
      <c r="G1707" t="s">
        <v>120</v>
      </c>
      <c r="H1707">
        <v>81</v>
      </c>
      <c r="I1707">
        <v>71104010</v>
      </c>
      <c r="J1707">
        <v>21021040</v>
      </c>
      <c r="K1707" t="s">
        <v>121</v>
      </c>
      <c r="L1707" s="4">
        <v>35549.019999999997</v>
      </c>
      <c r="M1707" t="s">
        <v>31</v>
      </c>
      <c r="N1707" s="4">
        <v>35549.019999999997</v>
      </c>
      <c r="O1707" t="s">
        <v>31</v>
      </c>
      <c r="R1707" t="s">
        <v>542</v>
      </c>
      <c r="S1707" t="s">
        <v>1131</v>
      </c>
      <c r="T1707">
        <v>107211</v>
      </c>
      <c r="U1707" t="s">
        <v>123</v>
      </c>
      <c r="X1707" t="s">
        <v>47</v>
      </c>
      <c r="Y1707" s="8">
        <v>4501228713</v>
      </c>
      <c r="Z1707">
        <v>20200102</v>
      </c>
      <c r="AA1707">
        <f t="shared" si="53"/>
        <v>35549.019999999997</v>
      </c>
      <c r="AB1707">
        <f t="shared" si="54"/>
        <v>5687.8431999999993</v>
      </c>
      <c r="AC1707">
        <f t="shared" si="55"/>
        <v>41236.863199999993</v>
      </c>
      <c r="AD1707">
        <v>300021003</v>
      </c>
      <c r="AE1707" t="s">
        <v>554</v>
      </c>
      <c r="AF1707" s="4">
        <f t="shared" si="56"/>
        <v>41236.863199999993</v>
      </c>
      <c r="AG1707" t="s">
        <v>51</v>
      </c>
      <c r="AH1707" t="s">
        <v>1123</v>
      </c>
      <c r="AJ1707" t="s">
        <v>1148</v>
      </c>
      <c r="AK1707" t="s">
        <v>1129</v>
      </c>
      <c r="AL1707">
        <v>340318590</v>
      </c>
      <c r="AM1707" t="s">
        <v>222</v>
      </c>
    </row>
    <row r="1708" spans="1:39" x14ac:dyDescent="0.35">
      <c r="A1708">
        <v>3403</v>
      </c>
      <c r="B1708" t="s">
        <v>352</v>
      </c>
      <c r="C1708">
        <v>2020</v>
      </c>
      <c r="D1708" s="1">
        <v>43831</v>
      </c>
      <c r="E1708">
        <v>25</v>
      </c>
      <c r="F1708">
        <v>300017003</v>
      </c>
      <c r="G1708" t="s">
        <v>120</v>
      </c>
      <c r="H1708">
        <v>81</v>
      </c>
      <c r="I1708">
        <v>71104010</v>
      </c>
      <c r="J1708">
        <v>21021040</v>
      </c>
      <c r="K1708" t="s">
        <v>121</v>
      </c>
      <c r="L1708" s="4">
        <v>48471</v>
      </c>
      <c r="M1708" t="s">
        <v>31</v>
      </c>
      <c r="N1708" s="4">
        <v>48471</v>
      </c>
      <c r="O1708" t="s">
        <v>31</v>
      </c>
      <c r="R1708" t="s">
        <v>542</v>
      </c>
      <c r="S1708" t="s">
        <v>1131</v>
      </c>
      <c r="T1708">
        <v>107211</v>
      </c>
      <c r="U1708" t="s">
        <v>123</v>
      </c>
      <c r="X1708" t="s">
        <v>47</v>
      </c>
      <c r="Y1708" s="8">
        <v>4501228713</v>
      </c>
      <c r="Z1708">
        <v>20200102</v>
      </c>
      <c r="AA1708">
        <f t="shared" si="53"/>
        <v>48471</v>
      </c>
      <c r="AB1708">
        <f t="shared" si="54"/>
        <v>7755.3600000000006</v>
      </c>
      <c r="AC1708">
        <f t="shared" si="55"/>
        <v>56226.36</v>
      </c>
      <c r="AD1708">
        <v>300021003</v>
      </c>
      <c r="AE1708" t="s">
        <v>555</v>
      </c>
      <c r="AF1708" s="4">
        <f t="shared" si="56"/>
        <v>56226.36</v>
      </c>
      <c r="AG1708" t="s">
        <v>51</v>
      </c>
      <c r="AH1708" t="s">
        <v>1123</v>
      </c>
      <c r="AJ1708" t="s">
        <v>1148</v>
      </c>
      <c r="AK1708" t="s">
        <v>1129</v>
      </c>
      <c r="AL1708">
        <v>340318590</v>
      </c>
      <c r="AM1708" t="s">
        <v>222</v>
      </c>
    </row>
    <row r="1709" spans="1:39" x14ac:dyDescent="0.35">
      <c r="A1709">
        <v>3403</v>
      </c>
      <c r="B1709" t="s">
        <v>352</v>
      </c>
      <c r="C1709">
        <v>2020</v>
      </c>
      <c r="D1709" s="1">
        <v>43831</v>
      </c>
      <c r="E1709">
        <v>27</v>
      </c>
      <c r="F1709">
        <v>300017003</v>
      </c>
      <c r="G1709" t="s">
        <v>120</v>
      </c>
      <c r="H1709">
        <v>81</v>
      </c>
      <c r="I1709">
        <v>71104010</v>
      </c>
      <c r="J1709">
        <v>21021040</v>
      </c>
      <c r="K1709" t="s">
        <v>121</v>
      </c>
      <c r="L1709" s="4">
        <v>47799</v>
      </c>
      <c r="M1709" t="s">
        <v>31</v>
      </c>
      <c r="N1709" s="4">
        <v>47799</v>
      </c>
      <c r="O1709" t="s">
        <v>31</v>
      </c>
      <c r="R1709" t="s">
        <v>542</v>
      </c>
      <c r="S1709" t="s">
        <v>1131</v>
      </c>
      <c r="T1709">
        <v>107211</v>
      </c>
      <c r="U1709" t="s">
        <v>123</v>
      </c>
      <c r="X1709" t="s">
        <v>47</v>
      </c>
      <c r="Y1709" s="8">
        <v>4501228713</v>
      </c>
      <c r="Z1709">
        <v>20200102</v>
      </c>
      <c r="AA1709">
        <f t="shared" si="53"/>
        <v>47799</v>
      </c>
      <c r="AB1709">
        <f t="shared" si="54"/>
        <v>7647.84</v>
      </c>
      <c r="AC1709">
        <f t="shared" si="55"/>
        <v>55446.84</v>
      </c>
      <c r="AD1709">
        <v>300021003</v>
      </c>
      <c r="AE1709" t="s">
        <v>556</v>
      </c>
      <c r="AF1709" s="4">
        <f t="shared" si="56"/>
        <v>55446.84</v>
      </c>
      <c r="AG1709" t="s">
        <v>51</v>
      </c>
      <c r="AH1709" t="s">
        <v>1123</v>
      </c>
      <c r="AJ1709" t="s">
        <v>1148</v>
      </c>
      <c r="AK1709" t="s">
        <v>1129</v>
      </c>
      <c r="AL1709">
        <v>340318590</v>
      </c>
      <c r="AM1709" t="s">
        <v>222</v>
      </c>
    </row>
    <row r="1710" spans="1:39" x14ac:dyDescent="0.35">
      <c r="A1710">
        <v>3403</v>
      </c>
      <c r="B1710" t="s">
        <v>352</v>
      </c>
      <c r="C1710">
        <v>2020</v>
      </c>
      <c r="D1710" s="1">
        <v>43831</v>
      </c>
      <c r="E1710">
        <v>29</v>
      </c>
      <c r="F1710">
        <v>300017003</v>
      </c>
      <c r="G1710" t="s">
        <v>120</v>
      </c>
      <c r="H1710">
        <v>81</v>
      </c>
      <c r="I1710">
        <v>71104010</v>
      </c>
      <c r="J1710">
        <v>21021040</v>
      </c>
      <c r="K1710" t="s">
        <v>121</v>
      </c>
      <c r="L1710" s="4">
        <v>49528</v>
      </c>
      <c r="M1710" t="s">
        <v>31</v>
      </c>
      <c r="N1710" s="4">
        <v>49528</v>
      </c>
      <c r="O1710" t="s">
        <v>31</v>
      </c>
      <c r="R1710" t="s">
        <v>542</v>
      </c>
      <c r="S1710" t="s">
        <v>1131</v>
      </c>
      <c r="T1710">
        <v>107211</v>
      </c>
      <c r="U1710" t="s">
        <v>123</v>
      </c>
      <c r="X1710" t="s">
        <v>47</v>
      </c>
      <c r="Y1710" s="8">
        <v>4501228713</v>
      </c>
      <c r="Z1710">
        <v>20200102</v>
      </c>
      <c r="AA1710">
        <f t="shared" si="53"/>
        <v>49528</v>
      </c>
      <c r="AB1710">
        <f t="shared" si="54"/>
        <v>7924.4800000000005</v>
      </c>
      <c r="AC1710">
        <f t="shared" si="55"/>
        <v>57452.480000000003</v>
      </c>
      <c r="AD1710">
        <v>300021003</v>
      </c>
      <c r="AE1710" t="s">
        <v>557</v>
      </c>
      <c r="AF1710" s="4">
        <f t="shared" si="56"/>
        <v>57452.480000000003</v>
      </c>
      <c r="AG1710" t="s">
        <v>51</v>
      </c>
      <c r="AH1710" t="s">
        <v>1123</v>
      </c>
      <c r="AJ1710" t="s">
        <v>1148</v>
      </c>
      <c r="AK1710" t="s">
        <v>1129</v>
      </c>
      <c r="AL1710">
        <v>340318590</v>
      </c>
      <c r="AM1710" t="s">
        <v>222</v>
      </c>
    </row>
    <row r="1711" spans="1:39" x14ac:dyDescent="0.35">
      <c r="A1711">
        <v>3403</v>
      </c>
      <c r="B1711" t="s">
        <v>352</v>
      </c>
      <c r="C1711">
        <v>2020</v>
      </c>
      <c r="D1711" s="1">
        <v>43831</v>
      </c>
      <c r="E1711">
        <v>31</v>
      </c>
      <c r="F1711">
        <v>300017003</v>
      </c>
      <c r="G1711" t="s">
        <v>120</v>
      </c>
      <c r="H1711">
        <v>81</v>
      </c>
      <c r="I1711">
        <v>71104010</v>
      </c>
      <c r="J1711">
        <v>21021040</v>
      </c>
      <c r="K1711" t="s">
        <v>121</v>
      </c>
      <c r="L1711" s="4">
        <v>48478</v>
      </c>
      <c r="M1711" t="s">
        <v>31</v>
      </c>
      <c r="N1711" s="4">
        <v>48478</v>
      </c>
      <c r="O1711" t="s">
        <v>31</v>
      </c>
      <c r="R1711" t="s">
        <v>542</v>
      </c>
      <c r="S1711" t="s">
        <v>1131</v>
      </c>
      <c r="T1711">
        <v>107211</v>
      </c>
      <c r="U1711" t="s">
        <v>123</v>
      </c>
      <c r="X1711" t="s">
        <v>47</v>
      </c>
      <c r="Y1711" s="8">
        <v>4501228713</v>
      </c>
      <c r="Z1711">
        <v>20200102</v>
      </c>
      <c r="AA1711">
        <f t="shared" si="53"/>
        <v>48478</v>
      </c>
      <c r="AB1711">
        <f t="shared" si="54"/>
        <v>7756.4800000000005</v>
      </c>
      <c r="AC1711">
        <f t="shared" si="55"/>
        <v>56234.48</v>
      </c>
      <c r="AD1711">
        <v>300021003</v>
      </c>
      <c r="AE1711" t="s">
        <v>558</v>
      </c>
      <c r="AF1711" s="4">
        <f t="shared" si="56"/>
        <v>56234.48</v>
      </c>
      <c r="AG1711" t="s">
        <v>51</v>
      </c>
      <c r="AH1711" t="s">
        <v>1123</v>
      </c>
      <c r="AJ1711" t="s">
        <v>1148</v>
      </c>
      <c r="AK1711" t="s">
        <v>1129</v>
      </c>
      <c r="AL1711">
        <v>340318590</v>
      </c>
      <c r="AM1711" t="s">
        <v>222</v>
      </c>
    </row>
    <row r="1712" spans="1:39" x14ac:dyDescent="0.35">
      <c r="A1712">
        <v>3403</v>
      </c>
      <c r="B1712" t="s">
        <v>352</v>
      </c>
      <c r="C1712">
        <v>2020</v>
      </c>
      <c r="D1712" s="1">
        <v>43831</v>
      </c>
      <c r="E1712">
        <v>33</v>
      </c>
      <c r="F1712">
        <v>300017003</v>
      </c>
      <c r="G1712" t="s">
        <v>120</v>
      </c>
      <c r="H1712">
        <v>81</v>
      </c>
      <c r="I1712">
        <v>71104010</v>
      </c>
      <c r="J1712">
        <v>21021040</v>
      </c>
      <c r="K1712" t="s">
        <v>121</v>
      </c>
      <c r="L1712" s="4">
        <v>50529</v>
      </c>
      <c r="M1712" t="s">
        <v>31</v>
      </c>
      <c r="N1712" s="4">
        <v>50529</v>
      </c>
      <c r="O1712" t="s">
        <v>31</v>
      </c>
      <c r="R1712" t="s">
        <v>542</v>
      </c>
      <c r="S1712" t="s">
        <v>1131</v>
      </c>
      <c r="T1712">
        <v>107211</v>
      </c>
      <c r="U1712" t="s">
        <v>123</v>
      </c>
      <c r="X1712" t="s">
        <v>47</v>
      </c>
      <c r="Y1712" s="8">
        <v>4501228713</v>
      </c>
      <c r="Z1712">
        <v>20200102</v>
      </c>
      <c r="AA1712">
        <f t="shared" si="53"/>
        <v>50529</v>
      </c>
      <c r="AB1712">
        <f t="shared" si="54"/>
        <v>8084.64</v>
      </c>
      <c r="AC1712">
        <f t="shared" si="55"/>
        <v>58613.64</v>
      </c>
      <c r="AD1712">
        <v>300021003</v>
      </c>
      <c r="AE1712" t="s">
        <v>559</v>
      </c>
      <c r="AF1712" s="4">
        <f t="shared" si="56"/>
        <v>58613.64</v>
      </c>
      <c r="AG1712" t="s">
        <v>51</v>
      </c>
      <c r="AH1712" t="s">
        <v>1123</v>
      </c>
      <c r="AJ1712" t="s">
        <v>1148</v>
      </c>
      <c r="AK1712" t="s">
        <v>1129</v>
      </c>
      <c r="AL1712">
        <v>340318590</v>
      </c>
      <c r="AM1712" t="s">
        <v>222</v>
      </c>
    </row>
    <row r="1713" spans="1:39" x14ac:dyDescent="0.35">
      <c r="A1713">
        <v>3403</v>
      </c>
      <c r="B1713" t="s">
        <v>352</v>
      </c>
      <c r="C1713">
        <v>2020</v>
      </c>
      <c r="D1713" s="1">
        <v>43831</v>
      </c>
      <c r="E1713">
        <v>35</v>
      </c>
      <c r="F1713">
        <v>300017003</v>
      </c>
      <c r="G1713" t="s">
        <v>120</v>
      </c>
      <c r="H1713">
        <v>81</v>
      </c>
      <c r="I1713">
        <v>71104010</v>
      </c>
      <c r="J1713">
        <v>21021040</v>
      </c>
      <c r="K1713" t="s">
        <v>121</v>
      </c>
      <c r="L1713" s="4">
        <v>48639</v>
      </c>
      <c r="M1713" t="s">
        <v>31</v>
      </c>
      <c r="N1713" s="4">
        <v>48639</v>
      </c>
      <c r="O1713" t="s">
        <v>31</v>
      </c>
      <c r="R1713" t="s">
        <v>542</v>
      </c>
      <c r="S1713" t="s">
        <v>1131</v>
      </c>
      <c r="T1713">
        <v>107211</v>
      </c>
      <c r="U1713" t="s">
        <v>123</v>
      </c>
      <c r="X1713" t="s">
        <v>47</v>
      </c>
      <c r="Y1713" s="8">
        <v>4501228713</v>
      </c>
      <c r="Z1713">
        <v>20200102</v>
      </c>
      <c r="AA1713">
        <f t="shared" si="53"/>
        <v>48639</v>
      </c>
      <c r="AB1713">
        <f t="shared" si="54"/>
        <v>7782.24</v>
      </c>
      <c r="AC1713">
        <f t="shared" si="55"/>
        <v>56421.24</v>
      </c>
      <c r="AD1713">
        <v>300021003</v>
      </c>
      <c r="AE1713" t="s">
        <v>560</v>
      </c>
      <c r="AF1713" s="4">
        <f t="shared" si="56"/>
        <v>56421.24</v>
      </c>
      <c r="AG1713" t="s">
        <v>51</v>
      </c>
      <c r="AH1713" t="s">
        <v>1123</v>
      </c>
      <c r="AJ1713" t="s">
        <v>1148</v>
      </c>
      <c r="AK1713" t="s">
        <v>1129</v>
      </c>
      <c r="AL1713">
        <v>340318590</v>
      </c>
      <c r="AM1713" t="s">
        <v>222</v>
      </c>
    </row>
    <row r="1714" spans="1:39" x14ac:dyDescent="0.35">
      <c r="A1714">
        <v>3403</v>
      </c>
      <c r="B1714" t="s">
        <v>352</v>
      </c>
      <c r="C1714">
        <v>2020</v>
      </c>
      <c r="D1714" s="1">
        <v>43831</v>
      </c>
      <c r="E1714">
        <v>37</v>
      </c>
      <c r="F1714">
        <v>300017003</v>
      </c>
      <c r="G1714" t="s">
        <v>120</v>
      </c>
      <c r="H1714">
        <v>81</v>
      </c>
      <c r="I1714">
        <v>71104010</v>
      </c>
      <c r="J1714">
        <v>21021040</v>
      </c>
      <c r="K1714" t="s">
        <v>121</v>
      </c>
      <c r="L1714" s="4">
        <v>41415.18</v>
      </c>
      <c r="M1714" t="s">
        <v>31</v>
      </c>
      <c r="N1714" s="4">
        <v>41415.18</v>
      </c>
      <c r="O1714" t="s">
        <v>31</v>
      </c>
      <c r="R1714" t="s">
        <v>542</v>
      </c>
      <c r="S1714" t="s">
        <v>1131</v>
      </c>
      <c r="T1714">
        <v>107211</v>
      </c>
      <c r="U1714" t="s">
        <v>123</v>
      </c>
      <c r="X1714" t="s">
        <v>47</v>
      </c>
      <c r="Y1714" s="8">
        <v>4501228713</v>
      </c>
      <c r="Z1714">
        <v>20200102</v>
      </c>
      <c r="AA1714">
        <f t="shared" si="53"/>
        <v>41415.18</v>
      </c>
      <c r="AB1714">
        <f t="shared" si="54"/>
        <v>6626.4288000000006</v>
      </c>
      <c r="AC1714">
        <f t="shared" si="55"/>
        <v>48041.608800000002</v>
      </c>
      <c r="AD1714">
        <v>300021003</v>
      </c>
      <c r="AE1714" t="s">
        <v>561</v>
      </c>
      <c r="AF1714" s="4">
        <f t="shared" si="56"/>
        <v>48041.608800000002</v>
      </c>
      <c r="AG1714" t="s">
        <v>51</v>
      </c>
      <c r="AH1714" t="s">
        <v>1123</v>
      </c>
      <c r="AJ1714" t="s">
        <v>1148</v>
      </c>
      <c r="AK1714" t="s">
        <v>1129</v>
      </c>
      <c r="AL1714">
        <v>340318590</v>
      </c>
      <c r="AM1714" t="s">
        <v>222</v>
      </c>
    </row>
    <row r="1715" spans="1:39" x14ac:dyDescent="0.35">
      <c r="A1715">
        <v>3403</v>
      </c>
      <c r="B1715" t="s">
        <v>352</v>
      </c>
      <c r="C1715">
        <v>2020</v>
      </c>
      <c r="D1715" s="1">
        <v>43831</v>
      </c>
      <c r="E1715">
        <v>39</v>
      </c>
      <c r="F1715">
        <v>300017003</v>
      </c>
      <c r="G1715" t="s">
        <v>120</v>
      </c>
      <c r="H1715">
        <v>81</v>
      </c>
      <c r="I1715">
        <v>71104010</v>
      </c>
      <c r="J1715">
        <v>21021040</v>
      </c>
      <c r="K1715" t="s">
        <v>121</v>
      </c>
      <c r="L1715" s="4">
        <v>51467</v>
      </c>
      <c r="M1715" t="s">
        <v>31</v>
      </c>
      <c r="N1715" s="4">
        <v>51467</v>
      </c>
      <c r="O1715" t="s">
        <v>31</v>
      </c>
      <c r="R1715" t="s">
        <v>542</v>
      </c>
      <c r="S1715" t="s">
        <v>1131</v>
      </c>
      <c r="T1715">
        <v>107211</v>
      </c>
      <c r="U1715" t="s">
        <v>123</v>
      </c>
      <c r="X1715" t="s">
        <v>47</v>
      </c>
      <c r="Y1715" s="8">
        <v>4501228713</v>
      </c>
      <c r="Z1715">
        <v>20200102</v>
      </c>
      <c r="AA1715">
        <f t="shared" si="53"/>
        <v>51467</v>
      </c>
      <c r="AB1715">
        <f t="shared" si="54"/>
        <v>8234.7199999999993</v>
      </c>
      <c r="AC1715">
        <f t="shared" si="55"/>
        <v>59701.72</v>
      </c>
      <c r="AD1715">
        <v>300021003</v>
      </c>
      <c r="AE1715" t="s">
        <v>562</v>
      </c>
      <c r="AF1715" s="4">
        <f t="shared" si="56"/>
        <v>59701.72</v>
      </c>
      <c r="AG1715" t="s">
        <v>51</v>
      </c>
      <c r="AH1715" t="s">
        <v>1123</v>
      </c>
      <c r="AJ1715" t="s">
        <v>1148</v>
      </c>
      <c r="AK1715" t="s">
        <v>1129</v>
      </c>
      <c r="AL1715">
        <v>340318590</v>
      </c>
      <c r="AM1715" t="s">
        <v>222</v>
      </c>
    </row>
    <row r="1716" spans="1:39" x14ac:dyDescent="0.35">
      <c r="A1716">
        <v>3403</v>
      </c>
      <c r="B1716" t="s">
        <v>352</v>
      </c>
      <c r="C1716">
        <v>2020</v>
      </c>
      <c r="D1716" s="1">
        <v>43831</v>
      </c>
      <c r="E1716">
        <v>41</v>
      </c>
      <c r="F1716">
        <v>300017003</v>
      </c>
      <c r="G1716" t="s">
        <v>120</v>
      </c>
      <c r="H1716">
        <v>81</v>
      </c>
      <c r="I1716">
        <v>71104010</v>
      </c>
      <c r="J1716">
        <v>21021040</v>
      </c>
      <c r="K1716" t="s">
        <v>121</v>
      </c>
      <c r="L1716" s="4">
        <v>50536</v>
      </c>
      <c r="M1716" t="s">
        <v>31</v>
      </c>
      <c r="N1716" s="4">
        <v>50536</v>
      </c>
      <c r="O1716" t="s">
        <v>31</v>
      </c>
      <c r="R1716" t="s">
        <v>542</v>
      </c>
      <c r="S1716" t="s">
        <v>1131</v>
      </c>
      <c r="T1716">
        <v>107211</v>
      </c>
      <c r="U1716" t="s">
        <v>123</v>
      </c>
      <c r="X1716" t="s">
        <v>47</v>
      </c>
      <c r="Y1716" s="8">
        <v>4501228713</v>
      </c>
      <c r="Z1716">
        <v>20200102</v>
      </c>
      <c r="AA1716">
        <f t="shared" si="53"/>
        <v>50536</v>
      </c>
      <c r="AB1716">
        <f t="shared" si="54"/>
        <v>8085.76</v>
      </c>
      <c r="AC1716">
        <f t="shared" si="55"/>
        <v>58621.760000000002</v>
      </c>
      <c r="AD1716">
        <v>300021003</v>
      </c>
      <c r="AE1716" t="s">
        <v>563</v>
      </c>
      <c r="AF1716" s="4">
        <f t="shared" si="56"/>
        <v>58621.760000000002</v>
      </c>
      <c r="AG1716" t="s">
        <v>51</v>
      </c>
      <c r="AH1716" t="s">
        <v>1123</v>
      </c>
      <c r="AJ1716" t="s">
        <v>1148</v>
      </c>
      <c r="AK1716" t="s">
        <v>1129</v>
      </c>
      <c r="AL1716">
        <v>340318590</v>
      </c>
      <c r="AM1716" t="s">
        <v>222</v>
      </c>
    </row>
    <row r="1717" spans="1:39" x14ac:dyDescent="0.35">
      <c r="A1717">
        <v>3403</v>
      </c>
      <c r="B1717" t="s">
        <v>352</v>
      </c>
      <c r="C1717">
        <v>2020</v>
      </c>
      <c r="D1717" s="1">
        <v>43831</v>
      </c>
      <c r="E1717">
        <v>43</v>
      </c>
      <c r="F1717">
        <v>300017003</v>
      </c>
      <c r="G1717" t="s">
        <v>120</v>
      </c>
      <c r="H1717">
        <v>81</v>
      </c>
      <c r="I1717">
        <v>71104010</v>
      </c>
      <c r="J1717">
        <v>21021040</v>
      </c>
      <c r="K1717" t="s">
        <v>121</v>
      </c>
      <c r="L1717" s="4">
        <v>52013</v>
      </c>
      <c r="M1717" t="s">
        <v>31</v>
      </c>
      <c r="N1717" s="4">
        <v>52013</v>
      </c>
      <c r="O1717" t="s">
        <v>31</v>
      </c>
      <c r="R1717" t="s">
        <v>542</v>
      </c>
      <c r="S1717" t="s">
        <v>1131</v>
      </c>
      <c r="T1717">
        <v>107211</v>
      </c>
      <c r="U1717" t="s">
        <v>123</v>
      </c>
      <c r="X1717" t="s">
        <v>47</v>
      </c>
      <c r="Y1717" s="8">
        <v>4501228713</v>
      </c>
      <c r="Z1717">
        <v>20200102</v>
      </c>
      <c r="AA1717">
        <f t="shared" si="53"/>
        <v>52013</v>
      </c>
      <c r="AB1717">
        <f t="shared" si="54"/>
        <v>8322.08</v>
      </c>
      <c r="AC1717">
        <f t="shared" si="55"/>
        <v>60335.08</v>
      </c>
      <c r="AD1717">
        <v>300021003</v>
      </c>
      <c r="AE1717" t="s">
        <v>564</v>
      </c>
      <c r="AF1717" s="4">
        <f t="shared" si="56"/>
        <v>60335.08</v>
      </c>
      <c r="AG1717" t="s">
        <v>51</v>
      </c>
      <c r="AH1717" t="s">
        <v>1123</v>
      </c>
      <c r="AJ1717" t="s">
        <v>1148</v>
      </c>
      <c r="AK1717" t="s">
        <v>1129</v>
      </c>
      <c r="AL1717">
        <v>340318590</v>
      </c>
      <c r="AM1717" t="s">
        <v>222</v>
      </c>
    </row>
    <row r="1718" spans="1:39" x14ac:dyDescent="0.35">
      <c r="A1718">
        <v>3403</v>
      </c>
      <c r="B1718" t="s">
        <v>352</v>
      </c>
      <c r="C1718">
        <v>2020</v>
      </c>
      <c r="D1718" s="1">
        <v>43831</v>
      </c>
      <c r="E1718">
        <v>45</v>
      </c>
      <c r="F1718">
        <v>300017003</v>
      </c>
      <c r="G1718" t="s">
        <v>120</v>
      </c>
      <c r="H1718">
        <v>81</v>
      </c>
      <c r="I1718">
        <v>71104010</v>
      </c>
      <c r="J1718">
        <v>21021040</v>
      </c>
      <c r="K1718" t="s">
        <v>121</v>
      </c>
      <c r="L1718" s="4">
        <v>50907</v>
      </c>
      <c r="M1718" t="s">
        <v>31</v>
      </c>
      <c r="N1718" s="4">
        <v>50907</v>
      </c>
      <c r="O1718" t="s">
        <v>31</v>
      </c>
      <c r="R1718" t="s">
        <v>542</v>
      </c>
      <c r="S1718" t="s">
        <v>1131</v>
      </c>
      <c r="T1718">
        <v>107211</v>
      </c>
      <c r="U1718" t="s">
        <v>123</v>
      </c>
      <c r="X1718" t="s">
        <v>47</v>
      </c>
      <c r="Y1718" s="8">
        <v>4501228713</v>
      </c>
      <c r="Z1718">
        <v>20200102</v>
      </c>
      <c r="AA1718">
        <f t="shared" si="53"/>
        <v>50907</v>
      </c>
      <c r="AB1718">
        <f t="shared" si="54"/>
        <v>8145.12</v>
      </c>
      <c r="AC1718">
        <f t="shared" si="55"/>
        <v>59052.12</v>
      </c>
      <c r="AD1718">
        <v>300021003</v>
      </c>
      <c r="AE1718" t="s">
        <v>565</v>
      </c>
      <c r="AF1718" s="4">
        <f t="shared" si="56"/>
        <v>59052.12</v>
      </c>
      <c r="AG1718" t="s">
        <v>51</v>
      </c>
      <c r="AH1718" t="s">
        <v>1123</v>
      </c>
      <c r="AJ1718" t="s">
        <v>1148</v>
      </c>
      <c r="AK1718" t="s">
        <v>1129</v>
      </c>
      <c r="AL1718">
        <v>340318590</v>
      </c>
      <c r="AM1718" t="s">
        <v>222</v>
      </c>
    </row>
    <row r="1719" spans="1:39" x14ac:dyDescent="0.35">
      <c r="A1719">
        <v>3403</v>
      </c>
      <c r="B1719" t="s">
        <v>352</v>
      </c>
      <c r="C1719">
        <v>2020</v>
      </c>
      <c r="D1719" s="1">
        <v>43831</v>
      </c>
      <c r="E1719">
        <v>47</v>
      </c>
      <c r="F1719">
        <v>300017003</v>
      </c>
      <c r="G1719" t="s">
        <v>120</v>
      </c>
      <c r="H1719">
        <v>81</v>
      </c>
      <c r="I1719">
        <v>71104010</v>
      </c>
      <c r="J1719">
        <v>21021040</v>
      </c>
      <c r="K1719" t="s">
        <v>121</v>
      </c>
      <c r="L1719" s="4">
        <v>49682</v>
      </c>
      <c r="M1719" t="s">
        <v>31</v>
      </c>
      <c r="N1719" s="4">
        <v>49682</v>
      </c>
      <c r="O1719" t="s">
        <v>31</v>
      </c>
      <c r="R1719" t="s">
        <v>542</v>
      </c>
      <c r="S1719" t="s">
        <v>1131</v>
      </c>
      <c r="T1719">
        <v>107211</v>
      </c>
      <c r="U1719" t="s">
        <v>123</v>
      </c>
      <c r="X1719" t="s">
        <v>47</v>
      </c>
      <c r="Y1719" s="8">
        <v>4501228713</v>
      </c>
      <c r="Z1719">
        <v>20200102</v>
      </c>
      <c r="AA1719">
        <f t="shared" si="53"/>
        <v>49682</v>
      </c>
      <c r="AB1719">
        <f t="shared" si="54"/>
        <v>7949.12</v>
      </c>
      <c r="AC1719">
        <f t="shared" si="55"/>
        <v>57631.12</v>
      </c>
      <c r="AD1719">
        <v>300021003</v>
      </c>
      <c r="AE1719" t="s">
        <v>566</v>
      </c>
      <c r="AF1719" s="4">
        <f t="shared" si="56"/>
        <v>57631.12</v>
      </c>
      <c r="AG1719" t="s">
        <v>51</v>
      </c>
      <c r="AH1719" t="s">
        <v>1123</v>
      </c>
      <c r="AJ1719" t="s">
        <v>1148</v>
      </c>
      <c r="AK1719" t="s">
        <v>1129</v>
      </c>
      <c r="AL1719">
        <v>340318590</v>
      </c>
      <c r="AM1719" t="s">
        <v>222</v>
      </c>
    </row>
    <row r="1720" spans="1:39" x14ac:dyDescent="0.35">
      <c r="A1720">
        <v>3403</v>
      </c>
      <c r="B1720" t="s">
        <v>352</v>
      </c>
      <c r="C1720">
        <v>2020</v>
      </c>
      <c r="D1720" s="1">
        <v>43831</v>
      </c>
      <c r="E1720">
        <v>49</v>
      </c>
      <c r="F1720">
        <v>300017003</v>
      </c>
      <c r="G1720" t="s">
        <v>120</v>
      </c>
      <c r="H1720">
        <v>81</v>
      </c>
      <c r="I1720">
        <v>71104010</v>
      </c>
      <c r="J1720">
        <v>21021040</v>
      </c>
      <c r="K1720" t="s">
        <v>121</v>
      </c>
      <c r="L1720" s="4">
        <v>48859</v>
      </c>
      <c r="M1720" t="s">
        <v>31</v>
      </c>
      <c r="N1720" s="4">
        <v>48859</v>
      </c>
      <c r="O1720" t="s">
        <v>31</v>
      </c>
      <c r="R1720" t="s">
        <v>542</v>
      </c>
      <c r="S1720" t="s">
        <v>1131</v>
      </c>
      <c r="T1720">
        <v>107211</v>
      </c>
      <c r="U1720" t="s">
        <v>123</v>
      </c>
      <c r="X1720" t="s">
        <v>47</v>
      </c>
      <c r="Y1720" s="8">
        <v>4501228713</v>
      </c>
      <c r="Z1720">
        <v>20200102</v>
      </c>
      <c r="AA1720">
        <f t="shared" si="53"/>
        <v>48859</v>
      </c>
      <c r="AB1720">
        <f t="shared" si="54"/>
        <v>7817.4400000000005</v>
      </c>
      <c r="AC1720">
        <f t="shared" si="55"/>
        <v>56676.44</v>
      </c>
      <c r="AD1720">
        <v>300021003</v>
      </c>
      <c r="AE1720" t="s">
        <v>567</v>
      </c>
      <c r="AF1720" s="4">
        <f t="shared" si="56"/>
        <v>56676.44</v>
      </c>
      <c r="AG1720" t="s">
        <v>51</v>
      </c>
      <c r="AH1720" t="s">
        <v>1123</v>
      </c>
      <c r="AJ1720" t="s">
        <v>1148</v>
      </c>
      <c r="AK1720" t="s">
        <v>1129</v>
      </c>
      <c r="AL1720">
        <v>340318590</v>
      </c>
      <c r="AM1720" t="s">
        <v>222</v>
      </c>
    </row>
    <row r="1721" spans="1:39" x14ac:dyDescent="0.35">
      <c r="A1721">
        <v>3403</v>
      </c>
      <c r="B1721" t="s">
        <v>352</v>
      </c>
      <c r="C1721">
        <v>2020</v>
      </c>
      <c r="D1721" s="1">
        <v>43831</v>
      </c>
      <c r="E1721">
        <v>51</v>
      </c>
      <c r="F1721">
        <v>300017003</v>
      </c>
      <c r="G1721" t="s">
        <v>120</v>
      </c>
      <c r="H1721">
        <v>81</v>
      </c>
      <c r="I1721">
        <v>71104010</v>
      </c>
      <c r="J1721">
        <v>21021040</v>
      </c>
      <c r="K1721" t="s">
        <v>121</v>
      </c>
      <c r="L1721" s="4">
        <v>47477</v>
      </c>
      <c r="M1721" t="s">
        <v>31</v>
      </c>
      <c r="N1721" s="4">
        <v>47477</v>
      </c>
      <c r="O1721" t="s">
        <v>31</v>
      </c>
      <c r="R1721" t="s">
        <v>542</v>
      </c>
      <c r="S1721" t="s">
        <v>1131</v>
      </c>
      <c r="T1721">
        <v>107211</v>
      </c>
      <c r="U1721" t="s">
        <v>123</v>
      </c>
      <c r="X1721" t="s">
        <v>47</v>
      </c>
      <c r="Y1721" s="8">
        <v>4501228713</v>
      </c>
      <c r="Z1721">
        <v>20200102</v>
      </c>
      <c r="AA1721">
        <f t="shared" si="53"/>
        <v>47477</v>
      </c>
      <c r="AB1721">
        <f t="shared" si="54"/>
        <v>7596.32</v>
      </c>
      <c r="AC1721">
        <f t="shared" si="55"/>
        <v>55073.32</v>
      </c>
      <c r="AD1721">
        <v>300021003</v>
      </c>
      <c r="AE1721" t="s">
        <v>568</v>
      </c>
      <c r="AF1721" s="4">
        <f t="shared" si="56"/>
        <v>55073.32</v>
      </c>
      <c r="AG1721" t="s">
        <v>51</v>
      </c>
      <c r="AH1721" t="s">
        <v>1123</v>
      </c>
      <c r="AJ1721" t="s">
        <v>1148</v>
      </c>
      <c r="AK1721" t="s">
        <v>1129</v>
      </c>
      <c r="AL1721">
        <v>340318590</v>
      </c>
      <c r="AM1721" t="s">
        <v>222</v>
      </c>
    </row>
    <row r="1722" spans="1:39" x14ac:dyDescent="0.35">
      <c r="A1722">
        <v>3403</v>
      </c>
      <c r="B1722" t="s">
        <v>352</v>
      </c>
      <c r="C1722">
        <v>2020</v>
      </c>
      <c r="D1722" s="1">
        <v>43831</v>
      </c>
      <c r="E1722">
        <v>53</v>
      </c>
      <c r="F1722">
        <v>300017003</v>
      </c>
      <c r="G1722" t="s">
        <v>120</v>
      </c>
      <c r="H1722">
        <v>81</v>
      </c>
      <c r="I1722">
        <v>71104010</v>
      </c>
      <c r="J1722">
        <v>21021040</v>
      </c>
      <c r="K1722" t="s">
        <v>121</v>
      </c>
      <c r="L1722" s="4">
        <v>44789</v>
      </c>
      <c r="M1722" t="s">
        <v>31</v>
      </c>
      <c r="N1722" s="4">
        <v>44789</v>
      </c>
      <c r="O1722" t="s">
        <v>31</v>
      </c>
      <c r="R1722" t="s">
        <v>542</v>
      </c>
      <c r="S1722" t="s">
        <v>1131</v>
      </c>
      <c r="T1722">
        <v>107211</v>
      </c>
      <c r="U1722" t="s">
        <v>123</v>
      </c>
      <c r="X1722" t="s">
        <v>47</v>
      </c>
      <c r="Y1722" s="8">
        <v>4501228713</v>
      </c>
      <c r="Z1722">
        <v>20200102</v>
      </c>
      <c r="AA1722">
        <f t="shared" si="53"/>
        <v>44789</v>
      </c>
      <c r="AB1722">
        <f t="shared" si="54"/>
        <v>7166.24</v>
      </c>
      <c r="AC1722">
        <f t="shared" si="55"/>
        <v>51955.24</v>
      </c>
      <c r="AD1722">
        <v>300021003</v>
      </c>
      <c r="AE1722" t="s">
        <v>569</v>
      </c>
      <c r="AF1722" s="4">
        <f t="shared" si="56"/>
        <v>51955.24</v>
      </c>
      <c r="AG1722" t="s">
        <v>51</v>
      </c>
      <c r="AH1722" t="s">
        <v>1123</v>
      </c>
      <c r="AJ1722" t="s">
        <v>1148</v>
      </c>
      <c r="AK1722" t="s">
        <v>1129</v>
      </c>
      <c r="AL1722">
        <v>340318590</v>
      </c>
      <c r="AM1722" t="s">
        <v>222</v>
      </c>
    </row>
    <row r="1723" spans="1:39" x14ac:dyDescent="0.35">
      <c r="A1723">
        <v>3403</v>
      </c>
      <c r="B1723" t="s">
        <v>352</v>
      </c>
      <c r="C1723">
        <v>2020</v>
      </c>
      <c r="D1723" s="1">
        <v>43831</v>
      </c>
      <c r="E1723">
        <v>55</v>
      </c>
      <c r="F1723">
        <v>300017003</v>
      </c>
      <c r="G1723" t="s">
        <v>120</v>
      </c>
      <c r="H1723">
        <v>81</v>
      </c>
      <c r="I1723">
        <v>71104010</v>
      </c>
      <c r="J1723">
        <v>21021040</v>
      </c>
      <c r="K1723" t="s">
        <v>121</v>
      </c>
      <c r="L1723" s="4">
        <v>50207</v>
      </c>
      <c r="M1723" t="s">
        <v>31</v>
      </c>
      <c r="N1723" s="4">
        <v>50207</v>
      </c>
      <c r="O1723" t="s">
        <v>31</v>
      </c>
      <c r="R1723" t="s">
        <v>542</v>
      </c>
      <c r="S1723" t="s">
        <v>1131</v>
      </c>
      <c r="T1723">
        <v>107211</v>
      </c>
      <c r="U1723" t="s">
        <v>123</v>
      </c>
      <c r="X1723" t="s">
        <v>47</v>
      </c>
      <c r="Y1723" s="8">
        <v>4501228713</v>
      </c>
      <c r="Z1723">
        <v>20200102</v>
      </c>
      <c r="AA1723">
        <f t="shared" si="53"/>
        <v>50207</v>
      </c>
      <c r="AB1723">
        <f t="shared" si="54"/>
        <v>8033.12</v>
      </c>
      <c r="AC1723">
        <f t="shared" si="55"/>
        <v>58240.12</v>
      </c>
      <c r="AD1723">
        <v>300021003</v>
      </c>
      <c r="AE1723" t="s">
        <v>570</v>
      </c>
      <c r="AF1723" s="4">
        <f t="shared" si="56"/>
        <v>58240.12</v>
      </c>
      <c r="AG1723" t="s">
        <v>51</v>
      </c>
      <c r="AH1723" t="s">
        <v>1123</v>
      </c>
      <c r="AJ1723" t="s">
        <v>1148</v>
      </c>
      <c r="AK1723" t="s">
        <v>1129</v>
      </c>
      <c r="AL1723">
        <v>340318590</v>
      </c>
      <c r="AM1723" t="s">
        <v>222</v>
      </c>
    </row>
    <row r="1724" spans="1:39" x14ac:dyDescent="0.35">
      <c r="A1724">
        <v>3403</v>
      </c>
      <c r="B1724" t="s">
        <v>352</v>
      </c>
      <c r="C1724">
        <v>2020</v>
      </c>
      <c r="D1724" s="1">
        <v>43831</v>
      </c>
      <c r="E1724">
        <v>57</v>
      </c>
      <c r="F1724">
        <v>300017003</v>
      </c>
      <c r="G1724" t="s">
        <v>120</v>
      </c>
      <c r="H1724">
        <v>81</v>
      </c>
      <c r="I1724">
        <v>71104010</v>
      </c>
      <c r="J1724">
        <v>21021040</v>
      </c>
      <c r="K1724" t="s">
        <v>121</v>
      </c>
      <c r="L1724" s="4">
        <v>47148</v>
      </c>
      <c r="M1724" t="s">
        <v>31</v>
      </c>
      <c r="N1724" s="4">
        <v>47148</v>
      </c>
      <c r="O1724" t="s">
        <v>31</v>
      </c>
      <c r="R1724" t="s">
        <v>542</v>
      </c>
      <c r="S1724" t="s">
        <v>1131</v>
      </c>
      <c r="T1724">
        <v>107211</v>
      </c>
      <c r="U1724" t="s">
        <v>123</v>
      </c>
      <c r="X1724" t="s">
        <v>47</v>
      </c>
      <c r="Y1724" s="8">
        <v>4501228713</v>
      </c>
      <c r="Z1724">
        <v>20200102</v>
      </c>
      <c r="AA1724">
        <f t="shared" si="53"/>
        <v>47148</v>
      </c>
      <c r="AB1724">
        <f t="shared" si="54"/>
        <v>7543.68</v>
      </c>
      <c r="AC1724">
        <f t="shared" si="55"/>
        <v>54691.68</v>
      </c>
      <c r="AD1724">
        <v>300021003</v>
      </c>
      <c r="AE1724" t="s">
        <v>571</v>
      </c>
      <c r="AF1724" s="4">
        <f t="shared" si="56"/>
        <v>54691.68</v>
      </c>
      <c r="AG1724" t="s">
        <v>51</v>
      </c>
      <c r="AH1724" t="s">
        <v>1123</v>
      </c>
      <c r="AJ1724" t="s">
        <v>1148</v>
      </c>
      <c r="AK1724" t="s">
        <v>1129</v>
      </c>
      <c r="AL1724">
        <v>340318590</v>
      </c>
      <c r="AM1724" t="s">
        <v>222</v>
      </c>
    </row>
    <row r="1725" spans="1:39" x14ac:dyDescent="0.35">
      <c r="A1725">
        <v>3409</v>
      </c>
      <c r="B1725" t="s">
        <v>39</v>
      </c>
      <c r="C1725">
        <v>2020</v>
      </c>
      <c r="D1725" s="1">
        <v>43831</v>
      </c>
      <c r="E1725">
        <v>1</v>
      </c>
      <c r="F1725">
        <v>900008065</v>
      </c>
      <c r="G1725" t="s">
        <v>96</v>
      </c>
      <c r="H1725">
        <v>40</v>
      </c>
      <c r="I1725">
        <v>71105060</v>
      </c>
      <c r="J1725">
        <v>21021040</v>
      </c>
      <c r="K1725" t="s">
        <v>238</v>
      </c>
      <c r="L1725" s="4">
        <v>4869.07</v>
      </c>
      <c r="M1725" t="s">
        <v>31</v>
      </c>
      <c r="N1725" s="4">
        <v>4869.07</v>
      </c>
      <c r="O1725" t="s">
        <v>31</v>
      </c>
      <c r="P1725" t="s">
        <v>211</v>
      </c>
      <c r="X1725" t="s">
        <v>258</v>
      </c>
      <c r="Y1725"/>
      <c r="Z1725" t="s">
        <v>572</v>
      </c>
      <c r="AA1725">
        <f t="shared" si="53"/>
        <v>4869.07</v>
      </c>
      <c r="AC1725"/>
      <c r="AE1725" t="s">
        <v>430</v>
      </c>
      <c r="AF1725"/>
      <c r="AL1725">
        <v>340921790</v>
      </c>
      <c r="AM1725" t="s">
        <v>78</v>
      </c>
    </row>
    <row r="1726" spans="1:39" x14ac:dyDescent="0.35">
      <c r="A1726">
        <v>3400</v>
      </c>
      <c r="B1726" t="s">
        <v>81</v>
      </c>
      <c r="C1726">
        <v>2020</v>
      </c>
      <c r="D1726" s="1">
        <v>43831</v>
      </c>
      <c r="E1726">
        <v>1</v>
      </c>
      <c r="F1726">
        <v>100005586</v>
      </c>
      <c r="G1726" t="s">
        <v>96</v>
      </c>
      <c r="H1726">
        <v>40</v>
      </c>
      <c r="I1726">
        <v>71105060</v>
      </c>
      <c r="J1726">
        <v>21021040</v>
      </c>
      <c r="K1726" t="s">
        <v>238</v>
      </c>
      <c r="L1726" s="4">
        <v>1547.5</v>
      </c>
      <c r="M1726" t="s">
        <v>54</v>
      </c>
      <c r="N1726" s="4">
        <v>28998.29</v>
      </c>
      <c r="O1726" t="s">
        <v>31</v>
      </c>
      <c r="P1726" t="s">
        <v>211</v>
      </c>
      <c r="X1726" t="s">
        <v>81</v>
      </c>
      <c r="Y1726"/>
      <c r="Z1726" t="s">
        <v>573</v>
      </c>
      <c r="AA1726">
        <f t="shared" si="53"/>
        <v>1547.5</v>
      </c>
      <c r="AC1726"/>
      <c r="AE1726" t="s">
        <v>574</v>
      </c>
      <c r="AF1726"/>
      <c r="AL1726">
        <v>340041650</v>
      </c>
      <c r="AM1726" t="s">
        <v>78</v>
      </c>
    </row>
    <row r="1727" spans="1:39" x14ac:dyDescent="0.35">
      <c r="A1727">
        <v>3406</v>
      </c>
      <c r="B1727" t="s">
        <v>47</v>
      </c>
      <c r="C1727">
        <v>2020</v>
      </c>
      <c r="D1727" s="1">
        <v>43831</v>
      </c>
      <c r="E1727">
        <v>1</v>
      </c>
      <c r="F1727">
        <v>600029622</v>
      </c>
      <c r="G1727" t="s">
        <v>96</v>
      </c>
      <c r="H1727">
        <v>40</v>
      </c>
      <c r="I1727">
        <v>71105130</v>
      </c>
      <c r="J1727">
        <v>21021040</v>
      </c>
      <c r="K1727" t="s">
        <v>305</v>
      </c>
      <c r="L1727" s="4">
        <v>1293.75</v>
      </c>
      <c r="M1727" t="s">
        <v>54</v>
      </c>
      <c r="N1727" s="4">
        <v>24325.35</v>
      </c>
      <c r="O1727" t="s">
        <v>31</v>
      </c>
      <c r="P1727" t="s">
        <v>575</v>
      </c>
      <c r="X1727" t="s">
        <v>47</v>
      </c>
      <c r="Y1727"/>
      <c r="Z1727" t="s">
        <v>576</v>
      </c>
      <c r="AA1727">
        <f t="shared" si="53"/>
        <v>1293.75</v>
      </c>
      <c r="AC1727"/>
      <c r="AE1727" t="s">
        <v>326</v>
      </c>
      <c r="AF1727"/>
      <c r="AL1727">
        <v>340621790</v>
      </c>
      <c r="AM1727" t="s">
        <v>78</v>
      </c>
    </row>
    <row r="1728" spans="1:39" x14ac:dyDescent="0.35">
      <c r="A1728">
        <v>3406</v>
      </c>
      <c r="B1728" t="s">
        <v>57</v>
      </c>
      <c r="C1728">
        <v>2020</v>
      </c>
      <c r="D1728" s="1">
        <v>43831</v>
      </c>
      <c r="E1728">
        <v>1</v>
      </c>
      <c r="F1728">
        <v>600022407</v>
      </c>
      <c r="G1728" t="s">
        <v>96</v>
      </c>
      <c r="H1728">
        <v>40</v>
      </c>
      <c r="I1728">
        <v>71105060</v>
      </c>
      <c r="J1728">
        <v>21021040</v>
      </c>
      <c r="K1728" t="s">
        <v>238</v>
      </c>
      <c r="L1728" s="4">
        <v>4869.07</v>
      </c>
      <c r="M1728" t="s">
        <v>31</v>
      </c>
      <c r="N1728" s="4">
        <v>4869.07</v>
      </c>
      <c r="O1728" t="s">
        <v>31</v>
      </c>
      <c r="P1728" t="s">
        <v>211</v>
      </c>
      <c r="X1728" t="s">
        <v>258</v>
      </c>
      <c r="Y1728"/>
      <c r="Z1728" t="s">
        <v>577</v>
      </c>
      <c r="AA1728">
        <f t="shared" si="53"/>
        <v>4869.07</v>
      </c>
      <c r="AC1728"/>
      <c r="AE1728" t="s">
        <v>430</v>
      </c>
      <c r="AF1728"/>
      <c r="AL1728">
        <v>340621790</v>
      </c>
      <c r="AM1728" t="s">
        <v>78</v>
      </c>
    </row>
    <row r="1729" spans="1:39" x14ac:dyDescent="0.35">
      <c r="A1729">
        <v>3400</v>
      </c>
      <c r="B1729" t="s">
        <v>61</v>
      </c>
      <c r="C1729">
        <v>2020</v>
      </c>
      <c r="D1729" s="1">
        <v>43831</v>
      </c>
      <c r="E1729">
        <v>1</v>
      </c>
      <c r="F1729">
        <v>100009702</v>
      </c>
      <c r="G1729" t="s">
        <v>96</v>
      </c>
      <c r="H1729">
        <v>40</v>
      </c>
      <c r="I1729">
        <v>71105130</v>
      </c>
      <c r="J1729">
        <v>21021040</v>
      </c>
      <c r="K1729" t="s">
        <v>305</v>
      </c>
      <c r="L1729" s="4">
        <v>1293.75</v>
      </c>
      <c r="M1729" t="s">
        <v>54</v>
      </c>
      <c r="N1729" s="4">
        <v>24324.83</v>
      </c>
      <c r="O1729" t="s">
        <v>31</v>
      </c>
      <c r="P1729" t="s">
        <v>98</v>
      </c>
      <c r="X1729" t="s">
        <v>62</v>
      </c>
      <c r="Y1729"/>
      <c r="Z1729" t="s">
        <v>578</v>
      </c>
      <c r="AA1729">
        <f t="shared" si="53"/>
        <v>1293.75</v>
      </c>
      <c r="AC1729"/>
      <c r="AE1729" t="s">
        <v>326</v>
      </c>
      <c r="AF1729"/>
      <c r="AL1729">
        <v>340022150</v>
      </c>
      <c r="AM1729" t="s">
        <v>78</v>
      </c>
    </row>
    <row r="1730" spans="1:39" x14ac:dyDescent="0.35">
      <c r="A1730">
        <v>3400</v>
      </c>
      <c r="B1730" t="s">
        <v>28</v>
      </c>
      <c r="C1730">
        <v>2020</v>
      </c>
      <c r="D1730" s="1">
        <v>43831</v>
      </c>
      <c r="E1730">
        <v>1</v>
      </c>
      <c r="F1730">
        <v>100010626</v>
      </c>
      <c r="G1730" t="s">
        <v>96</v>
      </c>
      <c r="H1730">
        <v>40</v>
      </c>
      <c r="I1730">
        <v>71105060</v>
      </c>
      <c r="J1730">
        <v>21021040</v>
      </c>
      <c r="K1730" t="s">
        <v>238</v>
      </c>
      <c r="L1730" s="4">
        <v>20000</v>
      </c>
      <c r="M1730" t="s">
        <v>31</v>
      </c>
      <c r="N1730" s="4">
        <v>20000</v>
      </c>
      <c r="O1730" t="s">
        <v>31</v>
      </c>
      <c r="P1730" t="s">
        <v>211</v>
      </c>
      <c r="X1730" t="s">
        <v>28</v>
      </c>
      <c r="Y1730"/>
      <c r="Z1730" t="s">
        <v>579</v>
      </c>
      <c r="AA1730">
        <f t="shared" si="53"/>
        <v>20000</v>
      </c>
      <c r="AC1730"/>
      <c r="AE1730" t="s">
        <v>317</v>
      </c>
      <c r="AF1730"/>
      <c r="AL1730">
        <v>340022150</v>
      </c>
      <c r="AM1730" t="s">
        <v>78</v>
      </c>
    </row>
    <row r="1731" spans="1:39" x14ac:dyDescent="0.35">
      <c r="A1731">
        <v>3406</v>
      </c>
      <c r="B1731" t="s">
        <v>370</v>
      </c>
      <c r="C1731">
        <v>2020</v>
      </c>
      <c r="D1731" s="1">
        <v>43831</v>
      </c>
      <c r="E1731">
        <v>1</v>
      </c>
      <c r="F1731">
        <v>600009769</v>
      </c>
      <c r="G1731" t="s">
        <v>96</v>
      </c>
      <c r="H1731">
        <v>40</v>
      </c>
      <c r="I1731">
        <v>71105060</v>
      </c>
      <c r="J1731">
        <v>21021040</v>
      </c>
      <c r="K1731" t="s">
        <v>238</v>
      </c>
      <c r="L1731" s="4">
        <v>1500</v>
      </c>
      <c r="M1731" t="s">
        <v>31</v>
      </c>
      <c r="N1731" s="4">
        <v>1500</v>
      </c>
      <c r="O1731" t="s">
        <v>31</v>
      </c>
      <c r="P1731" t="s">
        <v>211</v>
      </c>
      <c r="X1731" t="s">
        <v>370</v>
      </c>
      <c r="Y1731"/>
      <c r="Z1731" t="s">
        <v>580</v>
      </c>
      <c r="AA1731">
        <f t="shared" si="53"/>
        <v>1500</v>
      </c>
      <c r="AC1731"/>
      <c r="AE1731" t="s">
        <v>581</v>
      </c>
      <c r="AF1731"/>
      <c r="AL1731">
        <v>340619290</v>
      </c>
      <c r="AM1731" t="s">
        <v>78</v>
      </c>
    </row>
    <row r="1732" spans="1:39" x14ac:dyDescent="0.35">
      <c r="A1732">
        <v>3406</v>
      </c>
      <c r="B1732" t="s">
        <v>370</v>
      </c>
      <c r="C1732">
        <v>2020</v>
      </c>
      <c r="D1732" s="1">
        <v>43831</v>
      </c>
      <c r="E1732">
        <v>1</v>
      </c>
      <c r="F1732">
        <v>600009770</v>
      </c>
      <c r="G1732" t="s">
        <v>96</v>
      </c>
      <c r="H1732">
        <v>40</v>
      </c>
      <c r="I1732">
        <v>71105060</v>
      </c>
      <c r="J1732">
        <v>21021040</v>
      </c>
      <c r="K1732" t="s">
        <v>238</v>
      </c>
      <c r="L1732" s="4">
        <v>1500</v>
      </c>
      <c r="M1732" t="s">
        <v>31</v>
      </c>
      <c r="N1732" s="4">
        <v>1500</v>
      </c>
      <c r="O1732" t="s">
        <v>31</v>
      </c>
      <c r="P1732" t="s">
        <v>211</v>
      </c>
      <c r="X1732" t="s">
        <v>370</v>
      </c>
      <c r="Y1732"/>
      <c r="Z1732" t="s">
        <v>582</v>
      </c>
      <c r="AA1732">
        <f t="shared" si="53"/>
        <v>1500</v>
      </c>
      <c r="AC1732"/>
      <c r="AE1732" t="s">
        <v>581</v>
      </c>
      <c r="AF1732"/>
      <c r="AL1732">
        <v>340619290</v>
      </c>
      <c r="AM1732" t="s">
        <v>78</v>
      </c>
    </row>
    <row r="1733" spans="1:39" x14ac:dyDescent="0.35">
      <c r="A1733">
        <v>3406</v>
      </c>
      <c r="B1733" t="s">
        <v>370</v>
      </c>
      <c r="C1733">
        <v>2020</v>
      </c>
      <c r="D1733" s="1">
        <v>43831</v>
      </c>
      <c r="E1733">
        <v>1</v>
      </c>
      <c r="F1733">
        <v>600009771</v>
      </c>
      <c r="G1733" t="s">
        <v>96</v>
      </c>
      <c r="H1733">
        <v>40</v>
      </c>
      <c r="I1733">
        <v>71105060</v>
      </c>
      <c r="J1733">
        <v>21021040</v>
      </c>
      <c r="K1733" t="s">
        <v>238</v>
      </c>
      <c r="L1733" s="4">
        <v>1500</v>
      </c>
      <c r="M1733" t="s">
        <v>31</v>
      </c>
      <c r="N1733" s="4">
        <v>1500</v>
      </c>
      <c r="O1733" t="s">
        <v>31</v>
      </c>
      <c r="P1733" t="s">
        <v>211</v>
      </c>
      <c r="X1733" t="s">
        <v>370</v>
      </c>
      <c r="Y1733"/>
      <c r="Z1733" t="s">
        <v>583</v>
      </c>
      <c r="AA1733">
        <f t="shared" si="53"/>
        <v>1500</v>
      </c>
      <c r="AC1733"/>
      <c r="AE1733" t="s">
        <v>581</v>
      </c>
      <c r="AF1733"/>
      <c r="AL1733">
        <v>340619290</v>
      </c>
      <c r="AM1733" t="s">
        <v>78</v>
      </c>
    </row>
    <row r="1734" spans="1:39" x14ac:dyDescent="0.35">
      <c r="A1734">
        <v>3406</v>
      </c>
      <c r="B1734" t="s">
        <v>53</v>
      </c>
      <c r="C1734">
        <v>2020</v>
      </c>
      <c r="D1734" s="1">
        <v>43831</v>
      </c>
      <c r="E1734">
        <v>1</v>
      </c>
      <c r="F1734">
        <v>600015244</v>
      </c>
      <c r="G1734" t="s">
        <v>96</v>
      </c>
      <c r="H1734">
        <v>40</v>
      </c>
      <c r="I1734">
        <v>71105060</v>
      </c>
      <c r="J1734">
        <v>21021040</v>
      </c>
      <c r="K1734" t="s">
        <v>238</v>
      </c>
      <c r="L1734" s="4">
        <v>1500</v>
      </c>
      <c r="M1734" t="s">
        <v>31</v>
      </c>
      <c r="N1734" s="4">
        <v>1500</v>
      </c>
      <c r="O1734" t="s">
        <v>31</v>
      </c>
      <c r="P1734" t="s">
        <v>211</v>
      </c>
      <c r="X1734" t="s">
        <v>53</v>
      </c>
      <c r="Y1734"/>
      <c r="Z1734" t="s">
        <v>584</v>
      </c>
      <c r="AA1734">
        <f t="shared" si="53"/>
        <v>1500</v>
      </c>
      <c r="AC1734"/>
      <c r="AE1734" t="s">
        <v>581</v>
      </c>
      <c r="AF1734"/>
      <c r="AL1734">
        <v>340619290</v>
      </c>
      <c r="AM1734" t="s">
        <v>78</v>
      </c>
    </row>
    <row r="1735" spans="1:39" x14ac:dyDescent="0.35">
      <c r="A1735">
        <v>3406</v>
      </c>
      <c r="B1735" t="s">
        <v>53</v>
      </c>
      <c r="C1735">
        <v>2020</v>
      </c>
      <c r="D1735" s="1">
        <v>43831</v>
      </c>
      <c r="E1735">
        <v>1</v>
      </c>
      <c r="F1735">
        <v>600015245</v>
      </c>
      <c r="G1735" t="s">
        <v>96</v>
      </c>
      <c r="H1735">
        <v>40</v>
      </c>
      <c r="I1735">
        <v>71105060</v>
      </c>
      <c r="J1735">
        <v>21021040</v>
      </c>
      <c r="K1735" t="s">
        <v>238</v>
      </c>
      <c r="L1735" s="4">
        <v>1500</v>
      </c>
      <c r="M1735" t="s">
        <v>31</v>
      </c>
      <c r="N1735" s="4">
        <v>1500</v>
      </c>
      <c r="O1735" t="s">
        <v>31</v>
      </c>
      <c r="P1735" t="s">
        <v>211</v>
      </c>
      <c r="X1735" t="s">
        <v>53</v>
      </c>
      <c r="Y1735"/>
      <c r="Z1735" t="s">
        <v>585</v>
      </c>
      <c r="AA1735">
        <f t="shared" si="53"/>
        <v>1500</v>
      </c>
      <c r="AC1735"/>
      <c r="AE1735" t="s">
        <v>581</v>
      </c>
      <c r="AF1735"/>
      <c r="AL1735">
        <v>340619290</v>
      </c>
      <c r="AM1735" t="s">
        <v>78</v>
      </c>
    </row>
    <row r="1736" spans="1:39" x14ac:dyDescent="0.35">
      <c r="A1736">
        <v>3406</v>
      </c>
      <c r="B1736" t="s">
        <v>93</v>
      </c>
      <c r="C1736">
        <v>2020</v>
      </c>
      <c r="D1736" s="1">
        <v>43831</v>
      </c>
      <c r="E1736">
        <v>1</v>
      </c>
      <c r="F1736">
        <v>600023781</v>
      </c>
      <c r="G1736" t="s">
        <v>96</v>
      </c>
      <c r="H1736">
        <v>40</v>
      </c>
      <c r="I1736">
        <v>71105060</v>
      </c>
      <c r="J1736">
        <v>21021040</v>
      </c>
      <c r="K1736" t="s">
        <v>238</v>
      </c>
      <c r="L1736" s="4">
        <v>1500</v>
      </c>
      <c r="M1736" t="s">
        <v>31</v>
      </c>
      <c r="N1736" s="4">
        <v>1500</v>
      </c>
      <c r="O1736" t="s">
        <v>31</v>
      </c>
      <c r="P1736" t="s">
        <v>211</v>
      </c>
      <c r="X1736" t="s">
        <v>93</v>
      </c>
      <c r="Y1736"/>
      <c r="Z1736" t="s">
        <v>586</v>
      </c>
      <c r="AA1736">
        <f t="shared" si="53"/>
        <v>1500</v>
      </c>
      <c r="AC1736"/>
      <c r="AE1736" t="s">
        <v>581</v>
      </c>
      <c r="AF1736"/>
      <c r="AL1736">
        <v>340619290</v>
      </c>
      <c r="AM1736" t="s">
        <v>78</v>
      </c>
    </row>
    <row r="1737" spans="1:39" x14ac:dyDescent="0.35">
      <c r="A1737">
        <v>3406</v>
      </c>
      <c r="B1737" t="s">
        <v>93</v>
      </c>
      <c r="C1737">
        <v>2020</v>
      </c>
      <c r="D1737" s="1">
        <v>43831</v>
      </c>
      <c r="E1737">
        <v>1</v>
      </c>
      <c r="F1737">
        <v>600023782</v>
      </c>
      <c r="G1737" t="s">
        <v>96</v>
      </c>
      <c r="H1737">
        <v>40</v>
      </c>
      <c r="I1737">
        <v>71105060</v>
      </c>
      <c r="J1737">
        <v>21021040</v>
      </c>
      <c r="K1737" t="s">
        <v>238</v>
      </c>
      <c r="L1737" s="4">
        <v>1500</v>
      </c>
      <c r="M1737" t="s">
        <v>31</v>
      </c>
      <c r="N1737" s="4">
        <v>1500</v>
      </c>
      <c r="O1737" t="s">
        <v>31</v>
      </c>
      <c r="P1737" t="s">
        <v>211</v>
      </c>
      <c r="X1737" t="s">
        <v>93</v>
      </c>
      <c r="Y1737"/>
      <c r="Z1737" t="s">
        <v>587</v>
      </c>
      <c r="AA1737">
        <f t="shared" si="53"/>
        <v>1500</v>
      </c>
      <c r="AC1737"/>
      <c r="AE1737" t="s">
        <v>581</v>
      </c>
      <c r="AF1737"/>
      <c r="AL1737">
        <v>340619290</v>
      </c>
      <c r="AM1737" t="s">
        <v>78</v>
      </c>
    </row>
    <row r="1738" spans="1:39" x14ac:dyDescent="0.35">
      <c r="A1738">
        <v>3406</v>
      </c>
      <c r="B1738" t="s">
        <v>62</v>
      </c>
      <c r="C1738">
        <v>2020</v>
      </c>
      <c r="D1738" s="1">
        <v>43831</v>
      </c>
      <c r="E1738">
        <v>1</v>
      </c>
      <c r="F1738">
        <v>600029513</v>
      </c>
      <c r="G1738" t="s">
        <v>96</v>
      </c>
      <c r="H1738">
        <v>40</v>
      </c>
      <c r="I1738">
        <v>71105060</v>
      </c>
      <c r="J1738">
        <v>21021040</v>
      </c>
      <c r="K1738" t="s">
        <v>238</v>
      </c>
      <c r="L1738" s="4">
        <v>1500</v>
      </c>
      <c r="M1738" t="s">
        <v>31</v>
      </c>
      <c r="N1738" s="4">
        <v>1500</v>
      </c>
      <c r="O1738" t="s">
        <v>31</v>
      </c>
      <c r="P1738" t="s">
        <v>211</v>
      </c>
      <c r="X1738" t="s">
        <v>47</v>
      </c>
      <c r="Y1738"/>
      <c r="Z1738" t="s">
        <v>588</v>
      </c>
      <c r="AA1738">
        <f t="shared" si="53"/>
        <v>1500</v>
      </c>
      <c r="AC1738"/>
      <c r="AE1738" t="s">
        <v>581</v>
      </c>
      <c r="AF1738"/>
      <c r="AL1738">
        <v>340619290</v>
      </c>
      <c r="AM1738" t="s">
        <v>78</v>
      </c>
    </row>
    <row r="1739" spans="1:39" x14ac:dyDescent="0.35">
      <c r="A1739">
        <v>3406</v>
      </c>
      <c r="B1739" t="s">
        <v>28</v>
      </c>
      <c r="C1739">
        <v>2020</v>
      </c>
      <c r="D1739" s="1">
        <v>43831</v>
      </c>
      <c r="E1739">
        <v>1</v>
      </c>
      <c r="F1739">
        <v>600032782</v>
      </c>
      <c r="G1739" t="s">
        <v>96</v>
      </c>
      <c r="H1739">
        <v>40</v>
      </c>
      <c r="I1739">
        <v>71105060</v>
      </c>
      <c r="J1739">
        <v>21021040</v>
      </c>
      <c r="K1739" t="s">
        <v>238</v>
      </c>
      <c r="L1739" s="4">
        <v>1500</v>
      </c>
      <c r="M1739" t="s">
        <v>31</v>
      </c>
      <c r="N1739" s="4">
        <v>1500</v>
      </c>
      <c r="O1739" t="s">
        <v>31</v>
      </c>
      <c r="P1739" t="s">
        <v>211</v>
      </c>
      <c r="X1739" t="s">
        <v>65</v>
      </c>
      <c r="Y1739"/>
      <c r="Z1739" t="s">
        <v>589</v>
      </c>
      <c r="AA1739">
        <f t="shared" si="53"/>
        <v>1500</v>
      </c>
      <c r="AC1739"/>
      <c r="AE1739" t="s">
        <v>581</v>
      </c>
      <c r="AF1739"/>
      <c r="AL1739">
        <v>340619290</v>
      </c>
      <c r="AM1739" t="s">
        <v>78</v>
      </c>
    </row>
    <row r="1740" spans="1:39" x14ac:dyDescent="0.35">
      <c r="A1740">
        <v>3400</v>
      </c>
      <c r="B1740" t="s">
        <v>43</v>
      </c>
      <c r="C1740">
        <v>2020</v>
      </c>
      <c r="D1740" s="1">
        <v>43831</v>
      </c>
      <c r="E1740">
        <v>1</v>
      </c>
      <c r="F1740">
        <v>100005082</v>
      </c>
      <c r="G1740" t="s">
        <v>101</v>
      </c>
      <c r="H1740">
        <v>40</v>
      </c>
      <c r="I1740">
        <v>71106100</v>
      </c>
      <c r="J1740">
        <v>21021040</v>
      </c>
      <c r="K1740" t="s">
        <v>97</v>
      </c>
      <c r="L1740" s="4">
        <v>7566</v>
      </c>
      <c r="M1740" t="s">
        <v>31</v>
      </c>
      <c r="N1740" s="4">
        <v>7566</v>
      </c>
      <c r="O1740" t="s">
        <v>31</v>
      </c>
      <c r="P1740" t="s">
        <v>211</v>
      </c>
      <c r="X1740" t="s">
        <v>53</v>
      </c>
      <c r="Y1740" t="s">
        <v>590</v>
      </c>
      <c r="Z1740" t="s">
        <v>590</v>
      </c>
      <c r="AA1740">
        <f t="shared" si="53"/>
        <v>7566</v>
      </c>
      <c r="AC1740"/>
      <c r="AE1740" t="s">
        <v>591</v>
      </c>
      <c r="AF1740"/>
      <c r="AL1740">
        <v>340025050</v>
      </c>
      <c r="AM1740" t="s">
        <v>388</v>
      </c>
    </row>
    <row r="1741" spans="1:39" x14ac:dyDescent="0.35">
      <c r="A1741">
        <v>3407</v>
      </c>
      <c r="B1741" t="s">
        <v>258</v>
      </c>
      <c r="C1741">
        <v>2020</v>
      </c>
      <c r="D1741" s="1">
        <v>43831</v>
      </c>
      <c r="E1741">
        <v>1</v>
      </c>
      <c r="F1741">
        <v>700025954</v>
      </c>
      <c r="G1741" t="s">
        <v>96</v>
      </c>
      <c r="H1741">
        <v>40</v>
      </c>
      <c r="I1741">
        <v>71105060</v>
      </c>
      <c r="J1741">
        <v>21021040</v>
      </c>
      <c r="K1741" t="s">
        <v>238</v>
      </c>
      <c r="L1741" s="4">
        <v>4869.07</v>
      </c>
      <c r="M1741" t="s">
        <v>31</v>
      </c>
      <c r="N1741" s="4">
        <v>4869.07</v>
      </c>
      <c r="O1741" t="s">
        <v>31</v>
      </c>
      <c r="P1741" t="s">
        <v>211</v>
      </c>
      <c r="X1741" t="s">
        <v>258</v>
      </c>
      <c r="Y1741"/>
      <c r="Z1741" t="s">
        <v>592</v>
      </c>
      <c r="AA1741">
        <f t="shared" si="53"/>
        <v>4869.07</v>
      </c>
      <c r="AC1741"/>
      <c r="AE1741" t="s">
        <v>430</v>
      </c>
      <c r="AF1741"/>
      <c r="AL1741">
        <v>340721790</v>
      </c>
      <c r="AM1741" t="s">
        <v>78</v>
      </c>
    </row>
    <row r="1742" spans="1:39" x14ac:dyDescent="0.35">
      <c r="A1742">
        <v>3407</v>
      </c>
      <c r="B1742" t="s">
        <v>318</v>
      </c>
      <c r="C1742">
        <v>2020</v>
      </c>
      <c r="D1742" s="1">
        <v>43831</v>
      </c>
      <c r="E1742">
        <v>1</v>
      </c>
      <c r="F1742">
        <v>700027404</v>
      </c>
      <c r="G1742" t="s">
        <v>96</v>
      </c>
      <c r="H1742">
        <v>40</v>
      </c>
      <c r="I1742">
        <v>71105130</v>
      </c>
      <c r="J1742">
        <v>21021040</v>
      </c>
      <c r="K1742" t="s">
        <v>305</v>
      </c>
      <c r="L1742" s="4">
        <v>1293.75</v>
      </c>
      <c r="M1742" t="s">
        <v>54</v>
      </c>
      <c r="N1742" s="4">
        <v>24157.55</v>
      </c>
      <c r="O1742" t="s">
        <v>31</v>
      </c>
      <c r="P1742" t="s">
        <v>98</v>
      </c>
      <c r="X1742" t="s">
        <v>93</v>
      </c>
      <c r="Y1742"/>
      <c r="Z1742" t="s">
        <v>593</v>
      </c>
      <c r="AA1742">
        <f t="shared" si="53"/>
        <v>1293.75</v>
      </c>
      <c r="AC1742"/>
      <c r="AE1742" t="s">
        <v>326</v>
      </c>
      <c r="AF1742"/>
      <c r="AL1742">
        <v>340721790</v>
      </c>
      <c r="AM1742" t="s">
        <v>78</v>
      </c>
    </row>
    <row r="1743" spans="1:39" x14ac:dyDescent="0.35">
      <c r="A1743">
        <v>3407</v>
      </c>
      <c r="B1743" t="s">
        <v>28</v>
      </c>
      <c r="C1743">
        <v>2020</v>
      </c>
      <c r="D1743" s="1">
        <v>43831</v>
      </c>
      <c r="E1743">
        <v>1</v>
      </c>
      <c r="F1743">
        <v>700041827</v>
      </c>
      <c r="G1743" t="s">
        <v>101</v>
      </c>
      <c r="H1743">
        <v>40</v>
      </c>
      <c r="I1743">
        <v>71106150</v>
      </c>
      <c r="J1743">
        <v>21230140</v>
      </c>
      <c r="K1743" t="s">
        <v>102</v>
      </c>
      <c r="L1743">
        <v>153190</v>
      </c>
      <c r="M1743" t="s">
        <v>54</v>
      </c>
      <c r="N1743">
        <v>2865679.37</v>
      </c>
      <c r="O1743" t="s">
        <v>31</v>
      </c>
      <c r="W1743">
        <v>700042358</v>
      </c>
      <c r="X1743" t="s">
        <v>32</v>
      </c>
      <c r="Y1743" t="s">
        <v>594</v>
      </c>
      <c r="Z1743" t="s">
        <v>595</v>
      </c>
      <c r="AA1743">
        <f t="shared" si="53"/>
        <v>153190</v>
      </c>
      <c r="AC1743"/>
      <c r="AE1743" t="s">
        <v>596</v>
      </c>
      <c r="AF1743"/>
      <c r="AL1743">
        <v>340721790</v>
      </c>
      <c r="AM1743" t="s">
        <v>217</v>
      </c>
    </row>
    <row r="1744" spans="1:39" x14ac:dyDescent="0.35">
      <c r="A1744">
        <v>3407</v>
      </c>
      <c r="B1744" t="s">
        <v>28</v>
      </c>
      <c r="C1744">
        <v>2020</v>
      </c>
      <c r="D1744" s="1">
        <v>43831</v>
      </c>
      <c r="E1744">
        <v>3</v>
      </c>
      <c r="F1744">
        <v>700041827</v>
      </c>
      <c r="G1744" t="s">
        <v>101</v>
      </c>
      <c r="H1744">
        <v>40</v>
      </c>
      <c r="I1744">
        <v>71106150</v>
      </c>
      <c r="J1744">
        <v>21230140</v>
      </c>
      <c r="K1744" t="s">
        <v>102</v>
      </c>
      <c r="L1744">
        <v>38298</v>
      </c>
      <c r="M1744" t="s">
        <v>54</v>
      </c>
      <c r="N1744">
        <v>716429.2</v>
      </c>
      <c r="O1744" t="s">
        <v>31</v>
      </c>
      <c r="W1744">
        <v>700042358</v>
      </c>
      <c r="X1744" t="s">
        <v>32</v>
      </c>
      <c r="Y1744" t="s">
        <v>594</v>
      </c>
      <c r="Z1744" t="s">
        <v>595</v>
      </c>
      <c r="AA1744">
        <f t="shared" si="53"/>
        <v>38298</v>
      </c>
      <c r="AC1744"/>
      <c r="AE1744" t="s">
        <v>597</v>
      </c>
      <c r="AF1744"/>
      <c r="AL1744">
        <v>340721790</v>
      </c>
      <c r="AM1744" t="s">
        <v>217</v>
      </c>
    </row>
    <row r="1745" spans="1:39" x14ac:dyDescent="0.35">
      <c r="A1745">
        <v>3407</v>
      </c>
      <c r="B1745" t="s">
        <v>28</v>
      </c>
      <c r="C1745">
        <v>2020</v>
      </c>
      <c r="D1745" s="1">
        <v>43831</v>
      </c>
      <c r="E1745">
        <v>5</v>
      </c>
      <c r="F1745">
        <v>700041827</v>
      </c>
      <c r="G1745" t="s">
        <v>101</v>
      </c>
      <c r="H1745">
        <v>40</v>
      </c>
      <c r="I1745">
        <v>71106150</v>
      </c>
      <c r="J1745">
        <v>21230140</v>
      </c>
      <c r="K1745" t="s">
        <v>102</v>
      </c>
      <c r="L1745">
        <v>12639</v>
      </c>
      <c r="M1745" t="s">
        <v>54</v>
      </c>
      <c r="N1745">
        <v>236433.98</v>
      </c>
      <c r="O1745" t="s">
        <v>31</v>
      </c>
      <c r="W1745">
        <v>700042358</v>
      </c>
      <c r="X1745" t="s">
        <v>32</v>
      </c>
      <c r="Y1745" t="s">
        <v>594</v>
      </c>
      <c r="Z1745" t="s">
        <v>595</v>
      </c>
      <c r="AA1745">
        <f t="shared" si="53"/>
        <v>12639</v>
      </c>
      <c r="AC1745"/>
      <c r="AE1745" t="s">
        <v>598</v>
      </c>
      <c r="AF1745"/>
      <c r="AL1745">
        <v>340721790</v>
      </c>
      <c r="AM1745" t="s">
        <v>217</v>
      </c>
    </row>
    <row r="1746" spans="1:39" x14ac:dyDescent="0.35">
      <c r="A1746">
        <v>3407</v>
      </c>
      <c r="B1746" t="s">
        <v>28</v>
      </c>
      <c r="C1746">
        <v>2020</v>
      </c>
      <c r="D1746" s="1">
        <v>43831</v>
      </c>
      <c r="E1746">
        <v>1</v>
      </c>
      <c r="F1746">
        <v>700042358</v>
      </c>
      <c r="G1746" t="s">
        <v>226</v>
      </c>
      <c r="H1746">
        <v>50</v>
      </c>
      <c r="I1746">
        <v>71106150</v>
      </c>
      <c r="J1746">
        <v>21230140</v>
      </c>
      <c r="K1746" t="s">
        <v>102</v>
      </c>
      <c r="L1746">
        <v>153190</v>
      </c>
      <c r="M1746" t="s">
        <v>54</v>
      </c>
      <c r="N1746">
        <v>2865679.37</v>
      </c>
      <c r="O1746" t="s">
        <v>31</v>
      </c>
      <c r="W1746">
        <v>700041827</v>
      </c>
      <c r="X1746" t="s">
        <v>65</v>
      </c>
      <c r="Y1746" t="s">
        <v>594</v>
      </c>
      <c r="Z1746" t="s">
        <v>595</v>
      </c>
      <c r="AA1746">
        <f t="shared" ref="AA1746:AA1809" si="57">L1746</f>
        <v>153190</v>
      </c>
      <c r="AC1746"/>
      <c r="AE1746" t="s">
        <v>596</v>
      </c>
      <c r="AF1746"/>
      <c r="AL1746">
        <v>340721790</v>
      </c>
      <c r="AM1746" t="s">
        <v>217</v>
      </c>
    </row>
    <row r="1747" spans="1:39" x14ac:dyDescent="0.35">
      <c r="A1747">
        <v>3407</v>
      </c>
      <c r="B1747" t="s">
        <v>28</v>
      </c>
      <c r="C1747">
        <v>2020</v>
      </c>
      <c r="D1747" s="1">
        <v>43831</v>
      </c>
      <c r="E1747">
        <v>3</v>
      </c>
      <c r="F1747">
        <v>700042358</v>
      </c>
      <c r="G1747" t="s">
        <v>226</v>
      </c>
      <c r="H1747">
        <v>50</v>
      </c>
      <c r="I1747">
        <v>71106150</v>
      </c>
      <c r="J1747">
        <v>21230140</v>
      </c>
      <c r="K1747" t="s">
        <v>102</v>
      </c>
      <c r="L1747">
        <v>38298</v>
      </c>
      <c r="M1747" t="s">
        <v>54</v>
      </c>
      <c r="N1747">
        <v>716429.2</v>
      </c>
      <c r="O1747" t="s">
        <v>31</v>
      </c>
      <c r="W1747">
        <v>700041827</v>
      </c>
      <c r="X1747" t="s">
        <v>65</v>
      </c>
      <c r="Y1747" t="s">
        <v>594</v>
      </c>
      <c r="Z1747" t="s">
        <v>595</v>
      </c>
      <c r="AA1747">
        <f t="shared" si="57"/>
        <v>38298</v>
      </c>
      <c r="AC1747"/>
      <c r="AE1747" t="s">
        <v>597</v>
      </c>
      <c r="AF1747"/>
      <c r="AL1747">
        <v>340721790</v>
      </c>
      <c r="AM1747" t="s">
        <v>217</v>
      </c>
    </row>
    <row r="1748" spans="1:39" x14ac:dyDescent="0.35">
      <c r="A1748">
        <v>3407</v>
      </c>
      <c r="B1748" t="s">
        <v>28</v>
      </c>
      <c r="C1748">
        <v>2020</v>
      </c>
      <c r="D1748" s="1">
        <v>43831</v>
      </c>
      <c r="E1748">
        <v>5</v>
      </c>
      <c r="F1748">
        <v>700042358</v>
      </c>
      <c r="G1748" t="s">
        <v>226</v>
      </c>
      <c r="H1748">
        <v>50</v>
      </c>
      <c r="I1748">
        <v>71106150</v>
      </c>
      <c r="J1748">
        <v>21230140</v>
      </c>
      <c r="K1748" t="s">
        <v>102</v>
      </c>
      <c r="L1748">
        <v>12639</v>
      </c>
      <c r="M1748" t="s">
        <v>54</v>
      </c>
      <c r="N1748">
        <v>236433.98</v>
      </c>
      <c r="O1748" t="s">
        <v>31</v>
      </c>
      <c r="W1748">
        <v>700041827</v>
      </c>
      <c r="X1748" t="s">
        <v>65</v>
      </c>
      <c r="Y1748" t="s">
        <v>594</v>
      </c>
      <c r="Z1748" t="s">
        <v>595</v>
      </c>
      <c r="AA1748">
        <f t="shared" si="57"/>
        <v>12639</v>
      </c>
      <c r="AC1748"/>
      <c r="AE1748" t="s">
        <v>598</v>
      </c>
      <c r="AF1748"/>
      <c r="AL1748">
        <v>340721790</v>
      </c>
      <c r="AM1748" t="s">
        <v>217</v>
      </c>
    </row>
    <row r="1749" spans="1:39" x14ac:dyDescent="0.35">
      <c r="A1749">
        <v>3409</v>
      </c>
      <c r="B1749" t="s">
        <v>28</v>
      </c>
      <c r="C1749">
        <v>2020</v>
      </c>
      <c r="D1749" s="1">
        <v>43831</v>
      </c>
      <c r="E1749">
        <v>1</v>
      </c>
      <c r="F1749">
        <v>900012074</v>
      </c>
      <c r="G1749" t="s">
        <v>120</v>
      </c>
      <c r="H1749">
        <v>81</v>
      </c>
      <c r="I1749">
        <v>71106100</v>
      </c>
      <c r="J1749">
        <v>21021040</v>
      </c>
      <c r="K1749" t="s">
        <v>97</v>
      </c>
      <c r="L1749" s="4">
        <v>11263.92</v>
      </c>
      <c r="M1749" t="s">
        <v>31</v>
      </c>
      <c r="N1749" s="4">
        <v>11263.92</v>
      </c>
      <c r="O1749" t="s">
        <v>31</v>
      </c>
      <c r="R1749" t="s">
        <v>599</v>
      </c>
      <c r="S1749" t="s">
        <v>1167</v>
      </c>
      <c r="T1749">
        <v>108911</v>
      </c>
      <c r="U1749" t="s">
        <v>600</v>
      </c>
      <c r="X1749" t="s">
        <v>65</v>
      </c>
      <c r="Y1749" s="8" t="s">
        <v>601</v>
      </c>
      <c r="Z1749">
        <v>4501222440</v>
      </c>
      <c r="AA1749">
        <f t="shared" si="57"/>
        <v>11263.92</v>
      </c>
      <c r="AB1749">
        <f>AA1749*0.16</f>
        <v>1802.2272</v>
      </c>
      <c r="AC1749" s="4">
        <f>AB1749+AA1749</f>
        <v>13066.147199999999</v>
      </c>
      <c r="AD1749">
        <v>900012504</v>
      </c>
      <c r="AE1749" t="s">
        <v>602</v>
      </c>
      <c r="AF1749" s="4">
        <f>AC1749</f>
        <v>13066.147199999999</v>
      </c>
      <c r="AG1749" t="s">
        <v>1146</v>
      </c>
      <c r="AH1749">
        <v>900013573</v>
      </c>
      <c r="AJ1749" t="s">
        <v>1148</v>
      </c>
      <c r="AK1749" t="s">
        <v>1129</v>
      </c>
      <c r="AL1749">
        <v>340921790</v>
      </c>
      <c r="AM1749" t="s">
        <v>208</v>
      </c>
    </row>
    <row r="1750" spans="1:39" x14ac:dyDescent="0.35">
      <c r="A1750">
        <v>3409</v>
      </c>
      <c r="B1750" t="s">
        <v>43</v>
      </c>
      <c r="C1750">
        <v>2020</v>
      </c>
      <c r="D1750" s="1">
        <v>43831</v>
      </c>
      <c r="E1750">
        <v>1</v>
      </c>
      <c r="F1750">
        <v>900005466</v>
      </c>
      <c r="G1750" t="s">
        <v>120</v>
      </c>
      <c r="H1750">
        <v>81</v>
      </c>
      <c r="I1750">
        <v>71106100</v>
      </c>
      <c r="J1750">
        <v>21021040</v>
      </c>
      <c r="K1750" t="s">
        <v>97</v>
      </c>
      <c r="L1750" s="4">
        <v>4000</v>
      </c>
      <c r="M1750" t="s">
        <v>31</v>
      </c>
      <c r="N1750" s="4">
        <v>4000</v>
      </c>
      <c r="O1750" t="s">
        <v>31</v>
      </c>
      <c r="R1750" t="s">
        <v>603</v>
      </c>
      <c r="S1750" t="s">
        <v>1165</v>
      </c>
      <c r="T1750">
        <v>108892</v>
      </c>
      <c r="U1750" t="s">
        <v>604</v>
      </c>
      <c r="X1750" t="s">
        <v>43</v>
      </c>
      <c r="Y1750" s="8">
        <v>26</v>
      </c>
      <c r="Z1750">
        <v>4501217009</v>
      </c>
      <c r="AA1750">
        <f t="shared" si="57"/>
        <v>4000</v>
      </c>
      <c r="AB1750">
        <f>AA1750*0.16</f>
        <v>640</v>
      </c>
      <c r="AC1750">
        <f>AA1750+AB1750</f>
        <v>4640</v>
      </c>
      <c r="AD1750">
        <v>900005477</v>
      </c>
      <c r="AE1750" t="s">
        <v>605</v>
      </c>
      <c r="AF1750" s="4">
        <f>AC1750</f>
        <v>4640</v>
      </c>
      <c r="AG1750" t="s">
        <v>1166</v>
      </c>
      <c r="AH1750" t="s">
        <v>1123</v>
      </c>
      <c r="AJ1750" t="s">
        <v>1148</v>
      </c>
      <c r="AK1750" t="s">
        <v>1129</v>
      </c>
      <c r="AL1750">
        <v>340921790</v>
      </c>
      <c r="AM1750" t="s">
        <v>185</v>
      </c>
    </row>
    <row r="1751" spans="1:39" x14ac:dyDescent="0.35">
      <c r="A1751">
        <v>3409</v>
      </c>
      <c r="B1751" t="s">
        <v>318</v>
      </c>
      <c r="C1751">
        <v>2020</v>
      </c>
      <c r="D1751" s="1">
        <v>43831</v>
      </c>
      <c r="E1751">
        <v>1</v>
      </c>
      <c r="F1751">
        <v>900007648</v>
      </c>
      <c r="G1751" t="s">
        <v>120</v>
      </c>
      <c r="H1751">
        <v>81</v>
      </c>
      <c r="I1751">
        <v>71106100</v>
      </c>
      <c r="J1751">
        <v>21021040</v>
      </c>
      <c r="K1751" t="s">
        <v>97</v>
      </c>
      <c r="L1751">
        <v>24437.5</v>
      </c>
      <c r="M1751" t="s">
        <v>31</v>
      </c>
      <c r="N1751">
        <v>24437.5</v>
      </c>
      <c r="O1751" t="s">
        <v>31</v>
      </c>
      <c r="R1751" t="s">
        <v>606</v>
      </c>
      <c r="S1751" t="s">
        <v>1182</v>
      </c>
      <c r="T1751">
        <v>801012</v>
      </c>
      <c r="U1751" t="s">
        <v>607</v>
      </c>
      <c r="W1751" t="s">
        <v>1182</v>
      </c>
      <c r="X1751" t="s">
        <v>318</v>
      </c>
      <c r="Y1751" s="8">
        <v>3105</v>
      </c>
      <c r="AA1751">
        <f t="shared" si="57"/>
        <v>24437.5</v>
      </c>
      <c r="AB1751">
        <f>AA1751*0.16</f>
        <v>3910</v>
      </c>
      <c r="AC1751">
        <f>AA1751+AB1751</f>
        <v>28347.5</v>
      </c>
      <c r="AD1751">
        <v>900008080</v>
      </c>
      <c r="AE1751" t="s">
        <v>608</v>
      </c>
      <c r="AF1751" s="4">
        <f>AC1751</f>
        <v>28347.5</v>
      </c>
      <c r="AG1751" t="s">
        <v>1146</v>
      </c>
      <c r="AH1751" t="s">
        <v>1123</v>
      </c>
      <c r="AI1751">
        <v>900013610</v>
      </c>
      <c r="AJ1751" t="s">
        <v>1136</v>
      </c>
      <c r="AK1751" t="s">
        <v>1135</v>
      </c>
      <c r="AL1751">
        <v>340921790</v>
      </c>
      <c r="AM1751" t="s">
        <v>185</v>
      </c>
    </row>
    <row r="1752" spans="1:39" x14ac:dyDescent="0.35">
      <c r="A1752">
        <v>3407</v>
      </c>
      <c r="B1752" t="s">
        <v>258</v>
      </c>
      <c r="C1752">
        <v>2020</v>
      </c>
      <c r="D1752" s="1">
        <v>43831</v>
      </c>
      <c r="E1752">
        <v>1</v>
      </c>
      <c r="F1752">
        <v>700025857</v>
      </c>
      <c r="G1752" t="s">
        <v>120</v>
      </c>
      <c r="H1752">
        <v>81</v>
      </c>
      <c r="I1752">
        <v>71106100</v>
      </c>
      <c r="J1752">
        <v>21021040</v>
      </c>
      <c r="K1752" t="s">
        <v>97</v>
      </c>
      <c r="L1752" s="4">
        <v>35988.22</v>
      </c>
      <c r="M1752" t="s">
        <v>31</v>
      </c>
      <c r="N1752" s="4">
        <v>35988.22</v>
      </c>
      <c r="O1752" t="s">
        <v>31</v>
      </c>
      <c r="R1752" t="s">
        <v>609</v>
      </c>
      <c r="S1752" t="s">
        <v>1167</v>
      </c>
      <c r="T1752">
        <v>108911</v>
      </c>
      <c r="U1752" t="s">
        <v>600</v>
      </c>
      <c r="X1752" t="s">
        <v>258</v>
      </c>
      <c r="Y1752" s="8" t="s">
        <v>1168</v>
      </c>
      <c r="Z1752">
        <v>4501225955</v>
      </c>
      <c r="AA1752">
        <f t="shared" si="57"/>
        <v>35988.22</v>
      </c>
      <c r="AB1752">
        <f>AA1752*0.16</f>
        <v>5758.1152000000002</v>
      </c>
      <c r="AC1752" s="4">
        <f>AB1752+AA1752</f>
        <v>41746.335200000001</v>
      </c>
      <c r="AD1752">
        <v>700025953</v>
      </c>
      <c r="AE1752" t="s">
        <v>610</v>
      </c>
      <c r="AF1752" s="4">
        <f>AC1752</f>
        <v>41746.335200000001</v>
      </c>
      <c r="AG1752" t="s">
        <v>1144</v>
      </c>
      <c r="AH1752">
        <v>700074889</v>
      </c>
      <c r="AJ1752" t="s">
        <v>1148</v>
      </c>
      <c r="AK1752" t="s">
        <v>1129</v>
      </c>
      <c r="AL1752">
        <v>340746390</v>
      </c>
      <c r="AM1752" t="s">
        <v>244</v>
      </c>
    </row>
    <row r="1753" spans="1:39" x14ac:dyDescent="0.35">
      <c r="A1753">
        <v>3409</v>
      </c>
      <c r="B1753" t="s">
        <v>28</v>
      </c>
      <c r="C1753">
        <v>2020</v>
      </c>
      <c r="D1753" s="1">
        <v>43831</v>
      </c>
      <c r="E1753">
        <v>2</v>
      </c>
      <c r="F1753">
        <v>900012085</v>
      </c>
      <c r="G1753" t="s">
        <v>101</v>
      </c>
      <c r="H1753">
        <v>40</v>
      </c>
      <c r="I1753">
        <v>71106100</v>
      </c>
      <c r="J1753">
        <v>11610090</v>
      </c>
      <c r="K1753" t="s">
        <v>97</v>
      </c>
      <c r="L1753" s="4">
        <v>720.84</v>
      </c>
      <c r="M1753" t="s">
        <v>54</v>
      </c>
      <c r="N1753" s="4">
        <v>14017.29</v>
      </c>
      <c r="O1753" t="s">
        <v>31</v>
      </c>
      <c r="X1753" t="s">
        <v>65</v>
      </c>
      <c r="Y1753" t="s">
        <v>611</v>
      </c>
      <c r="AA1753">
        <f t="shared" si="57"/>
        <v>720.84</v>
      </c>
      <c r="AC1753"/>
      <c r="AE1753" t="s">
        <v>612</v>
      </c>
      <c r="AF1753"/>
      <c r="AL1753">
        <v>340921790</v>
      </c>
      <c r="AM1753" t="s">
        <v>208</v>
      </c>
    </row>
    <row r="1754" spans="1:39" x14ac:dyDescent="0.35">
      <c r="A1754">
        <v>3409</v>
      </c>
      <c r="B1754" t="s">
        <v>28</v>
      </c>
      <c r="C1754">
        <v>2020</v>
      </c>
      <c r="D1754" s="1">
        <v>43831</v>
      </c>
      <c r="E1754">
        <v>1</v>
      </c>
      <c r="F1754">
        <v>900012105</v>
      </c>
      <c r="G1754" t="s">
        <v>101</v>
      </c>
      <c r="H1754">
        <v>40</v>
      </c>
      <c r="I1754">
        <v>71106100</v>
      </c>
      <c r="J1754">
        <v>21220060</v>
      </c>
      <c r="K1754" t="s">
        <v>97</v>
      </c>
      <c r="L1754">
        <v>75071</v>
      </c>
      <c r="M1754" t="s">
        <v>54</v>
      </c>
      <c r="N1754">
        <v>1404330.68</v>
      </c>
      <c r="O1754" t="s">
        <v>31</v>
      </c>
      <c r="W1754">
        <v>900030035</v>
      </c>
      <c r="X1754" t="s">
        <v>65</v>
      </c>
      <c r="Y1754" t="s">
        <v>613</v>
      </c>
      <c r="AA1754">
        <f t="shared" si="57"/>
        <v>75071</v>
      </c>
      <c r="AC1754"/>
      <c r="AE1754" t="s">
        <v>614</v>
      </c>
      <c r="AF1754"/>
      <c r="AL1754">
        <v>340921790</v>
      </c>
      <c r="AM1754" t="s">
        <v>208</v>
      </c>
    </row>
    <row r="1755" spans="1:39" x14ac:dyDescent="0.35">
      <c r="A1755">
        <v>3401</v>
      </c>
      <c r="B1755" t="s">
        <v>318</v>
      </c>
      <c r="C1755">
        <v>2020</v>
      </c>
      <c r="D1755" s="1">
        <v>43831</v>
      </c>
      <c r="E1755">
        <v>1</v>
      </c>
      <c r="F1755">
        <v>100020878</v>
      </c>
      <c r="G1755" t="s">
        <v>120</v>
      </c>
      <c r="H1755">
        <v>81</v>
      </c>
      <c r="I1755">
        <v>71104010</v>
      </c>
      <c r="J1755">
        <v>21021040</v>
      </c>
      <c r="K1755" t="s">
        <v>121</v>
      </c>
      <c r="L1755" s="4">
        <v>50484</v>
      </c>
      <c r="M1755" t="s">
        <v>31</v>
      </c>
      <c r="N1755" s="4">
        <v>50484</v>
      </c>
      <c r="O1755" t="s">
        <v>31</v>
      </c>
      <c r="R1755" t="s">
        <v>122</v>
      </c>
      <c r="S1755" t="s">
        <v>1131</v>
      </c>
      <c r="T1755">
        <v>107211</v>
      </c>
      <c r="U1755" t="s">
        <v>123</v>
      </c>
      <c r="X1755" t="s">
        <v>318</v>
      </c>
      <c r="Y1755" s="8">
        <v>4501216248</v>
      </c>
      <c r="Z1755" t="s">
        <v>1127</v>
      </c>
      <c r="AA1755">
        <f t="shared" si="57"/>
        <v>50484</v>
      </c>
      <c r="AC1755"/>
      <c r="AD1755">
        <v>100036889</v>
      </c>
      <c r="AE1755" t="s">
        <v>1128</v>
      </c>
      <c r="AG1755" t="s">
        <v>51</v>
      </c>
      <c r="AH1755" t="s">
        <v>1123</v>
      </c>
      <c r="AJ1755" t="s">
        <v>1148</v>
      </c>
      <c r="AK1755" t="s">
        <v>1129</v>
      </c>
      <c r="AL1755">
        <v>340118590</v>
      </c>
      <c r="AM1755" t="s">
        <v>124</v>
      </c>
    </row>
    <row r="1756" spans="1:39" x14ac:dyDescent="0.35">
      <c r="A1756">
        <v>3407</v>
      </c>
      <c r="B1756" t="s">
        <v>318</v>
      </c>
      <c r="C1756">
        <v>2020</v>
      </c>
      <c r="D1756" s="1">
        <v>43831</v>
      </c>
      <c r="E1756">
        <v>1</v>
      </c>
      <c r="F1756">
        <v>700024313</v>
      </c>
      <c r="G1756" t="s">
        <v>120</v>
      </c>
      <c r="H1756">
        <v>81</v>
      </c>
      <c r="I1756">
        <v>71106150</v>
      </c>
      <c r="J1756">
        <v>21021040</v>
      </c>
      <c r="K1756" t="s">
        <v>102</v>
      </c>
      <c r="L1756" s="4">
        <v>4392.03</v>
      </c>
      <c r="M1756" t="s">
        <v>54</v>
      </c>
      <c r="N1756" s="4">
        <v>82010.179999999993</v>
      </c>
      <c r="O1756" t="s">
        <v>31</v>
      </c>
      <c r="R1756" t="s">
        <v>1121</v>
      </c>
      <c r="S1756">
        <v>593383972</v>
      </c>
      <c r="T1756">
        <v>600226</v>
      </c>
      <c r="U1756" t="s">
        <v>126</v>
      </c>
      <c r="X1756" t="s">
        <v>318</v>
      </c>
      <c r="Y1756" s="8" t="s">
        <v>615</v>
      </c>
      <c r="Z1756">
        <v>20200122</v>
      </c>
      <c r="AA1756">
        <f t="shared" si="57"/>
        <v>4392.03</v>
      </c>
      <c r="AB1756">
        <v>0</v>
      </c>
      <c r="AC1756">
        <f>AA1756</f>
        <v>4392.03</v>
      </c>
      <c r="AD1756">
        <v>700025998</v>
      </c>
      <c r="AE1756" t="s">
        <v>616</v>
      </c>
      <c r="AF1756" s="4">
        <f>AC1756/1.25</f>
        <v>3513.6239999999998</v>
      </c>
      <c r="AG1756" t="s">
        <v>1152</v>
      </c>
      <c r="AH1756" t="s">
        <v>1123</v>
      </c>
      <c r="AI1756">
        <v>700367854</v>
      </c>
      <c r="AJ1756" t="s">
        <v>1125</v>
      </c>
      <c r="AK1756" t="s">
        <v>1124</v>
      </c>
      <c r="AL1756">
        <v>340721790</v>
      </c>
      <c r="AM1756" t="s">
        <v>217</v>
      </c>
    </row>
    <row r="1757" spans="1:39" x14ac:dyDescent="0.35">
      <c r="A1757">
        <v>3406</v>
      </c>
      <c r="B1757" t="s">
        <v>318</v>
      </c>
      <c r="C1757">
        <v>2020</v>
      </c>
      <c r="D1757" s="1">
        <v>43831</v>
      </c>
      <c r="E1757">
        <v>1</v>
      </c>
      <c r="F1757">
        <v>600021195</v>
      </c>
      <c r="G1757" t="s">
        <v>120</v>
      </c>
      <c r="H1757">
        <v>81</v>
      </c>
      <c r="I1757">
        <v>71105060</v>
      </c>
      <c r="J1757">
        <v>21021040</v>
      </c>
      <c r="K1757" t="s">
        <v>238</v>
      </c>
      <c r="L1757" s="4">
        <v>40000</v>
      </c>
      <c r="M1757" t="s">
        <v>31</v>
      </c>
      <c r="N1757" s="4">
        <v>40000</v>
      </c>
      <c r="O1757" t="s">
        <v>31</v>
      </c>
      <c r="R1757" t="s">
        <v>617</v>
      </c>
      <c r="S1757" t="s">
        <v>1164</v>
      </c>
      <c r="T1757">
        <v>108547</v>
      </c>
      <c r="U1757" t="s">
        <v>618</v>
      </c>
      <c r="X1757" t="s">
        <v>318</v>
      </c>
      <c r="Y1757" s="8">
        <v>172</v>
      </c>
      <c r="Z1757">
        <v>4501224385</v>
      </c>
      <c r="AA1757">
        <f t="shared" si="57"/>
        <v>40000</v>
      </c>
      <c r="AB1757">
        <f>AA1757*0.16</f>
        <v>6400</v>
      </c>
      <c r="AC1757">
        <f>AA1757+AB1757</f>
        <v>46400</v>
      </c>
      <c r="AD1757">
        <v>600025816</v>
      </c>
      <c r="AE1757" t="s">
        <v>619</v>
      </c>
      <c r="AF1757" s="4">
        <f>AC1757</f>
        <v>46400</v>
      </c>
      <c r="AG1757" t="s">
        <v>28</v>
      </c>
      <c r="AH1757" t="s">
        <v>1123</v>
      </c>
      <c r="AJ1757" t="s">
        <v>1148</v>
      </c>
      <c r="AK1757" t="s">
        <v>1129</v>
      </c>
      <c r="AL1757">
        <v>340612490</v>
      </c>
      <c r="AM1757" t="s">
        <v>149</v>
      </c>
    </row>
    <row r="1758" spans="1:39" x14ac:dyDescent="0.35">
      <c r="A1758">
        <v>3402</v>
      </c>
      <c r="B1758" t="s">
        <v>259</v>
      </c>
      <c r="C1758">
        <v>2020</v>
      </c>
      <c r="D1758" s="1">
        <v>43831</v>
      </c>
      <c r="E1758">
        <v>1</v>
      </c>
      <c r="F1758">
        <v>200076710</v>
      </c>
      <c r="G1758" t="s">
        <v>120</v>
      </c>
      <c r="H1758">
        <v>81</v>
      </c>
      <c r="I1758">
        <v>71106150</v>
      </c>
      <c r="J1758">
        <v>21021040</v>
      </c>
      <c r="K1758" t="s">
        <v>102</v>
      </c>
      <c r="L1758" s="4">
        <v>160576.13</v>
      </c>
      <c r="M1758" t="s">
        <v>54</v>
      </c>
      <c r="N1758" s="4">
        <v>3019120.28</v>
      </c>
      <c r="O1758" t="s">
        <v>31</v>
      </c>
      <c r="R1758" t="s">
        <v>1121</v>
      </c>
      <c r="S1758" t="s">
        <v>1122</v>
      </c>
      <c r="T1758">
        <v>101128</v>
      </c>
      <c r="U1758" t="s">
        <v>410</v>
      </c>
      <c r="X1758" t="s">
        <v>259</v>
      </c>
      <c r="Y1758" s="8" t="s">
        <v>620</v>
      </c>
      <c r="Z1758">
        <v>20200125</v>
      </c>
      <c r="AA1758">
        <f t="shared" si="57"/>
        <v>160576.13</v>
      </c>
      <c r="AB1758">
        <v>0</v>
      </c>
      <c r="AC1758">
        <f t="shared" ref="AC1758:AC1760" si="58">AA1758</f>
        <v>160576.13</v>
      </c>
      <c r="AD1758">
        <v>200076714</v>
      </c>
      <c r="AE1758" t="s">
        <v>621</v>
      </c>
      <c r="AF1758" s="4">
        <f>AA1758/1.1</f>
        <v>145978.29999999999</v>
      </c>
      <c r="AG1758" t="s">
        <v>212</v>
      </c>
      <c r="AH1758" t="s">
        <v>1123</v>
      </c>
      <c r="AJ1758" t="s">
        <v>1125</v>
      </c>
      <c r="AK1758" t="s">
        <v>1124</v>
      </c>
      <c r="AL1758">
        <v>340221790</v>
      </c>
      <c r="AM1758" t="s">
        <v>622</v>
      </c>
    </row>
    <row r="1759" spans="1:39" x14ac:dyDescent="0.35">
      <c r="A1759">
        <v>3402</v>
      </c>
      <c r="B1759" t="s">
        <v>259</v>
      </c>
      <c r="C1759">
        <v>2020</v>
      </c>
      <c r="D1759" s="1">
        <v>43831</v>
      </c>
      <c r="E1759">
        <v>1</v>
      </c>
      <c r="F1759">
        <v>200076711</v>
      </c>
      <c r="G1759" t="s">
        <v>120</v>
      </c>
      <c r="H1759">
        <v>81</v>
      </c>
      <c r="I1759">
        <v>71106150</v>
      </c>
      <c r="J1759">
        <v>21021040</v>
      </c>
      <c r="K1759" t="s">
        <v>102</v>
      </c>
      <c r="L1759" s="4">
        <v>12021.37</v>
      </c>
      <c r="M1759" t="s">
        <v>54</v>
      </c>
      <c r="N1759" s="4">
        <v>226023.39</v>
      </c>
      <c r="O1759" t="s">
        <v>31</v>
      </c>
      <c r="R1759" t="s">
        <v>1121</v>
      </c>
      <c r="S1759" t="s">
        <v>1122</v>
      </c>
      <c r="T1759">
        <v>101128</v>
      </c>
      <c r="U1759" t="s">
        <v>410</v>
      </c>
      <c r="X1759" t="s">
        <v>259</v>
      </c>
      <c r="Y1759" s="8" t="s">
        <v>620</v>
      </c>
      <c r="Z1759">
        <v>20200125</v>
      </c>
      <c r="AA1759">
        <f t="shared" si="57"/>
        <v>12021.37</v>
      </c>
      <c r="AB1759">
        <v>0</v>
      </c>
      <c r="AC1759">
        <f t="shared" si="58"/>
        <v>12021.37</v>
      </c>
      <c r="AD1759">
        <v>200076714</v>
      </c>
      <c r="AE1759" t="s">
        <v>623</v>
      </c>
      <c r="AF1759" s="4">
        <f t="shared" ref="AF1759:AF1760" si="59">AA1759/1.1</f>
        <v>10928.518181818181</v>
      </c>
      <c r="AG1759" t="s">
        <v>212</v>
      </c>
      <c r="AH1759" t="s">
        <v>1123</v>
      </c>
      <c r="AJ1759" t="s">
        <v>1125</v>
      </c>
      <c r="AK1759" t="s">
        <v>1124</v>
      </c>
      <c r="AL1759">
        <v>340268190</v>
      </c>
      <c r="AM1759" t="s">
        <v>622</v>
      </c>
    </row>
    <row r="1760" spans="1:39" x14ac:dyDescent="0.35">
      <c r="A1760">
        <v>3402</v>
      </c>
      <c r="B1760" t="s">
        <v>259</v>
      </c>
      <c r="C1760">
        <v>2020</v>
      </c>
      <c r="D1760" s="1">
        <v>43831</v>
      </c>
      <c r="E1760">
        <v>1</v>
      </c>
      <c r="F1760">
        <v>200076712</v>
      </c>
      <c r="G1760" t="s">
        <v>120</v>
      </c>
      <c r="H1760">
        <v>81</v>
      </c>
      <c r="I1760">
        <v>71106150</v>
      </c>
      <c r="J1760">
        <v>21021040</v>
      </c>
      <c r="K1760" t="s">
        <v>102</v>
      </c>
      <c r="L1760" s="4">
        <v>51255.14</v>
      </c>
      <c r="M1760" t="s">
        <v>54</v>
      </c>
      <c r="N1760" s="4">
        <v>963688.89</v>
      </c>
      <c r="O1760" t="s">
        <v>31</v>
      </c>
      <c r="R1760" t="s">
        <v>1121</v>
      </c>
      <c r="S1760" t="s">
        <v>1122</v>
      </c>
      <c r="T1760">
        <v>101128</v>
      </c>
      <c r="U1760" t="s">
        <v>410</v>
      </c>
      <c r="X1760" t="s">
        <v>259</v>
      </c>
      <c r="Y1760" s="8" t="s">
        <v>620</v>
      </c>
      <c r="Z1760">
        <v>20200125</v>
      </c>
      <c r="AA1760">
        <f t="shared" si="57"/>
        <v>51255.14</v>
      </c>
      <c r="AB1760">
        <v>0</v>
      </c>
      <c r="AC1760">
        <f t="shared" si="58"/>
        <v>51255.14</v>
      </c>
      <c r="AD1760">
        <v>200076714</v>
      </c>
      <c r="AE1760" t="s">
        <v>624</v>
      </c>
      <c r="AF1760" s="4">
        <f t="shared" si="59"/>
        <v>46595.58181818181</v>
      </c>
      <c r="AG1760" t="s">
        <v>212</v>
      </c>
      <c r="AH1760" t="s">
        <v>1123</v>
      </c>
      <c r="AJ1760" t="s">
        <v>1125</v>
      </c>
      <c r="AK1760" t="s">
        <v>1124</v>
      </c>
      <c r="AL1760">
        <v>340221790</v>
      </c>
      <c r="AM1760" t="s">
        <v>622</v>
      </c>
    </row>
    <row r="1761" spans="1:39" x14ac:dyDescent="0.35">
      <c r="A1761">
        <v>3401</v>
      </c>
      <c r="B1761" t="s">
        <v>259</v>
      </c>
      <c r="C1761">
        <v>2020</v>
      </c>
      <c r="D1761" s="1">
        <v>43831</v>
      </c>
      <c r="E1761">
        <v>1</v>
      </c>
      <c r="F1761">
        <v>100024953</v>
      </c>
      <c r="G1761" t="s">
        <v>120</v>
      </c>
      <c r="H1761">
        <v>81</v>
      </c>
      <c r="I1761">
        <v>71104010</v>
      </c>
      <c r="J1761">
        <v>21021040</v>
      </c>
      <c r="K1761" t="s">
        <v>121</v>
      </c>
      <c r="L1761" s="4">
        <v>40950</v>
      </c>
      <c r="M1761" t="s">
        <v>31</v>
      </c>
      <c r="N1761" s="4">
        <v>40950</v>
      </c>
      <c r="O1761" t="s">
        <v>31</v>
      </c>
      <c r="R1761" t="s">
        <v>122</v>
      </c>
      <c r="S1761" t="s">
        <v>1131</v>
      </c>
      <c r="T1761">
        <v>107211</v>
      </c>
      <c r="U1761" t="s">
        <v>123</v>
      </c>
      <c r="X1761" t="s">
        <v>259</v>
      </c>
      <c r="Y1761" s="8">
        <v>4501216248</v>
      </c>
      <c r="Z1761" t="s">
        <v>1127</v>
      </c>
      <c r="AA1761">
        <f t="shared" si="57"/>
        <v>40950</v>
      </c>
      <c r="AC1761"/>
      <c r="AD1761">
        <v>100036889</v>
      </c>
      <c r="AE1761" t="s">
        <v>1128</v>
      </c>
      <c r="AG1761" t="s">
        <v>51</v>
      </c>
      <c r="AH1761" t="s">
        <v>1123</v>
      </c>
      <c r="AJ1761" t="s">
        <v>1148</v>
      </c>
      <c r="AK1761" t="s">
        <v>1129</v>
      </c>
      <c r="AL1761">
        <v>340118590</v>
      </c>
      <c r="AM1761" t="s">
        <v>124</v>
      </c>
    </row>
    <row r="1762" spans="1:39" x14ac:dyDescent="0.35">
      <c r="A1762">
        <v>3402</v>
      </c>
      <c r="B1762" t="s">
        <v>259</v>
      </c>
      <c r="C1762">
        <v>2020</v>
      </c>
      <c r="D1762" s="1">
        <v>43831</v>
      </c>
      <c r="E1762">
        <v>1</v>
      </c>
      <c r="F1762">
        <v>200076810</v>
      </c>
      <c r="G1762" t="s">
        <v>120</v>
      </c>
      <c r="H1762">
        <v>81</v>
      </c>
      <c r="I1762">
        <v>71106040</v>
      </c>
      <c r="J1762">
        <v>21021040</v>
      </c>
      <c r="K1762" t="s">
        <v>125</v>
      </c>
      <c r="L1762" s="4">
        <v>3866.72</v>
      </c>
      <c r="M1762" t="s">
        <v>54</v>
      </c>
      <c r="N1762" s="4">
        <v>72701.3</v>
      </c>
      <c r="O1762" t="s">
        <v>31</v>
      </c>
      <c r="R1762" t="s">
        <v>1121</v>
      </c>
      <c r="S1762">
        <v>752738581</v>
      </c>
      <c r="T1762">
        <v>602358</v>
      </c>
      <c r="U1762" t="s">
        <v>130</v>
      </c>
      <c r="X1762" t="s">
        <v>259</v>
      </c>
      <c r="Y1762" s="8">
        <v>2282588</v>
      </c>
      <c r="Z1762">
        <v>20200125</v>
      </c>
      <c r="AA1762">
        <f t="shared" si="57"/>
        <v>3866.72</v>
      </c>
      <c r="AB1762">
        <v>0</v>
      </c>
      <c r="AC1762">
        <f t="shared" ref="AC1762:AC1763" si="60">AA1762</f>
        <v>3866.72</v>
      </c>
      <c r="AD1762">
        <v>200086220</v>
      </c>
      <c r="AE1762" t="s">
        <v>625</v>
      </c>
      <c r="AF1762" s="4">
        <f t="shared" ref="AF1762:AF1763" si="61">AC1762</f>
        <v>3866.72</v>
      </c>
      <c r="AG1762" t="s">
        <v>62</v>
      </c>
      <c r="AH1762" t="s">
        <v>1123</v>
      </c>
      <c r="AJ1762" t="s">
        <v>1125</v>
      </c>
      <c r="AK1762" t="s">
        <v>1124</v>
      </c>
      <c r="AL1762">
        <v>340221990</v>
      </c>
      <c r="AM1762" t="s">
        <v>626</v>
      </c>
    </row>
    <row r="1763" spans="1:39" x14ac:dyDescent="0.35">
      <c r="A1763">
        <v>3402</v>
      </c>
      <c r="B1763" t="s">
        <v>259</v>
      </c>
      <c r="C1763">
        <v>2020</v>
      </c>
      <c r="D1763" s="1">
        <v>43831</v>
      </c>
      <c r="E1763">
        <v>1</v>
      </c>
      <c r="F1763">
        <v>200076812</v>
      </c>
      <c r="G1763" t="s">
        <v>120</v>
      </c>
      <c r="H1763">
        <v>81</v>
      </c>
      <c r="I1763">
        <v>71106040</v>
      </c>
      <c r="J1763">
        <v>21021040</v>
      </c>
      <c r="K1763" t="s">
        <v>125</v>
      </c>
      <c r="L1763" s="4">
        <v>16267.53</v>
      </c>
      <c r="M1763" t="s">
        <v>54</v>
      </c>
      <c r="N1763" s="4">
        <v>305858.84999999998</v>
      </c>
      <c r="O1763" t="s">
        <v>31</v>
      </c>
      <c r="R1763" t="s">
        <v>1121</v>
      </c>
      <c r="S1763">
        <v>752738581</v>
      </c>
      <c r="T1763">
        <v>602358</v>
      </c>
      <c r="U1763" t="s">
        <v>130</v>
      </c>
      <c r="X1763" t="s">
        <v>259</v>
      </c>
      <c r="Y1763" s="8">
        <v>2273646</v>
      </c>
      <c r="Z1763">
        <v>20200125</v>
      </c>
      <c r="AA1763">
        <f t="shared" si="57"/>
        <v>16267.53</v>
      </c>
      <c r="AB1763">
        <v>0</v>
      </c>
      <c r="AC1763">
        <f t="shared" si="60"/>
        <v>16267.53</v>
      </c>
      <c r="AD1763">
        <v>200086225</v>
      </c>
      <c r="AE1763" t="s">
        <v>627</v>
      </c>
      <c r="AF1763" s="4">
        <f t="shared" si="61"/>
        <v>16267.53</v>
      </c>
      <c r="AG1763" t="s">
        <v>62</v>
      </c>
      <c r="AH1763" t="s">
        <v>1123</v>
      </c>
      <c r="AJ1763" t="s">
        <v>1125</v>
      </c>
      <c r="AK1763" t="s">
        <v>1124</v>
      </c>
      <c r="AL1763">
        <v>340221990</v>
      </c>
      <c r="AM1763" t="s">
        <v>626</v>
      </c>
    </row>
    <row r="1764" spans="1:39" x14ac:dyDescent="0.35">
      <c r="A1764">
        <v>3401</v>
      </c>
      <c r="B1764" t="s">
        <v>259</v>
      </c>
      <c r="C1764">
        <v>2020</v>
      </c>
      <c r="D1764" s="1">
        <v>43831</v>
      </c>
      <c r="E1764">
        <v>1</v>
      </c>
      <c r="F1764">
        <v>100025051</v>
      </c>
      <c r="G1764" t="s">
        <v>120</v>
      </c>
      <c r="H1764">
        <v>81</v>
      </c>
      <c r="I1764">
        <v>71105130</v>
      </c>
      <c r="J1764">
        <v>21021040</v>
      </c>
      <c r="K1764" t="s">
        <v>305</v>
      </c>
      <c r="L1764" s="4">
        <v>1421.09</v>
      </c>
      <c r="M1764" t="s">
        <v>54</v>
      </c>
      <c r="N1764" s="4">
        <v>26719.05</v>
      </c>
      <c r="O1764" t="s">
        <v>31</v>
      </c>
      <c r="R1764" t="s">
        <v>1121</v>
      </c>
      <c r="S1764">
        <v>593416526</v>
      </c>
      <c r="T1764">
        <v>602304</v>
      </c>
      <c r="U1764" t="s">
        <v>628</v>
      </c>
      <c r="X1764" t="s">
        <v>259</v>
      </c>
      <c r="Y1764" s="8" t="s">
        <v>629</v>
      </c>
      <c r="Z1764">
        <v>20200125</v>
      </c>
      <c r="AA1764">
        <f t="shared" si="57"/>
        <v>1421.09</v>
      </c>
      <c r="AB1764">
        <v>0</v>
      </c>
      <c r="AC1764">
        <f>AA1764</f>
        <v>1421.09</v>
      </c>
      <c r="AD1764">
        <v>100026717</v>
      </c>
      <c r="AE1764" t="s">
        <v>1145</v>
      </c>
      <c r="AF1764" s="4">
        <f>AC1764</f>
        <v>1421.09</v>
      </c>
      <c r="AG1764" t="s">
        <v>1144</v>
      </c>
      <c r="AH1764" t="s">
        <v>1123</v>
      </c>
      <c r="AI1764">
        <v>100063849</v>
      </c>
      <c r="AJ1764" t="s">
        <v>1125</v>
      </c>
      <c r="AK1764" t="s">
        <v>1124</v>
      </c>
      <c r="AL1764">
        <v>340121790</v>
      </c>
      <c r="AM1764" t="s">
        <v>129</v>
      </c>
    </row>
    <row r="1765" spans="1:39" x14ac:dyDescent="0.35">
      <c r="A1765">
        <v>3402</v>
      </c>
      <c r="B1765" t="s">
        <v>259</v>
      </c>
      <c r="C1765">
        <v>2020</v>
      </c>
      <c r="D1765" s="1">
        <v>43831</v>
      </c>
      <c r="E1765">
        <v>1</v>
      </c>
      <c r="F1765">
        <v>200076900</v>
      </c>
      <c r="G1765" t="s">
        <v>120</v>
      </c>
      <c r="H1765">
        <v>81</v>
      </c>
      <c r="I1765">
        <v>71104010</v>
      </c>
      <c r="J1765">
        <v>21021040</v>
      </c>
      <c r="K1765" t="s">
        <v>121</v>
      </c>
      <c r="L1765" s="4">
        <v>1715.03</v>
      </c>
      <c r="M1765" t="s">
        <v>31</v>
      </c>
      <c r="N1765" s="4">
        <v>1715.03</v>
      </c>
      <c r="O1765" t="s">
        <v>31</v>
      </c>
      <c r="R1765" t="s">
        <v>133</v>
      </c>
      <c r="S1765" t="s">
        <v>1131</v>
      </c>
      <c r="T1765">
        <v>107211</v>
      </c>
      <c r="U1765" t="s">
        <v>123</v>
      </c>
      <c r="X1765" t="s">
        <v>259</v>
      </c>
      <c r="Y1765" s="8">
        <v>4501226797</v>
      </c>
      <c r="Z1765">
        <v>20200125</v>
      </c>
      <c r="AA1765">
        <f t="shared" si="57"/>
        <v>1715.03</v>
      </c>
      <c r="AB1765">
        <f t="shared" ref="AB1765:AB1828" si="62">AA1765*0.16</f>
        <v>274.40480000000002</v>
      </c>
      <c r="AC1765">
        <f t="shared" ref="AC1765:AC1828" si="63">AA1765+AB1765</f>
        <v>1989.4348</v>
      </c>
      <c r="AD1765">
        <v>200127172</v>
      </c>
      <c r="AE1765" t="s">
        <v>630</v>
      </c>
      <c r="AF1765" s="4">
        <f t="shared" ref="AF1765:AF1828" si="64">AC1765</f>
        <v>1989.4348</v>
      </c>
      <c r="AG1765" t="s">
        <v>1146</v>
      </c>
      <c r="AH1765" t="s">
        <v>1123</v>
      </c>
      <c r="AJ1765" t="s">
        <v>1148</v>
      </c>
      <c r="AK1765" t="s">
        <v>1129</v>
      </c>
      <c r="AL1765">
        <v>340255290</v>
      </c>
      <c r="AM1765" t="s">
        <v>135</v>
      </c>
    </row>
    <row r="1766" spans="1:39" x14ac:dyDescent="0.35">
      <c r="A1766">
        <v>3402</v>
      </c>
      <c r="B1766" t="s">
        <v>259</v>
      </c>
      <c r="C1766">
        <v>2020</v>
      </c>
      <c r="D1766" s="1">
        <v>43831</v>
      </c>
      <c r="E1766">
        <v>3</v>
      </c>
      <c r="F1766">
        <v>200076900</v>
      </c>
      <c r="G1766" t="s">
        <v>120</v>
      </c>
      <c r="H1766">
        <v>81</v>
      </c>
      <c r="I1766">
        <v>71104010</v>
      </c>
      <c r="J1766">
        <v>21021040</v>
      </c>
      <c r="K1766" t="s">
        <v>121</v>
      </c>
      <c r="L1766" s="4">
        <v>1365.06</v>
      </c>
      <c r="M1766" t="s">
        <v>31</v>
      </c>
      <c r="N1766" s="4">
        <v>1365.06</v>
      </c>
      <c r="O1766" t="s">
        <v>31</v>
      </c>
      <c r="R1766" t="s">
        <v>133</v>
      </c>
      <c r="S1766" t="s">
        <v>1131</v>
      </c>
      <c r="T1766">
        <v>107211</v>
      </c>
      <c r="U1766" t="s">
        <v>123</v>
      </c>
      <c r="X1766" t="s">
        <v>259</v>
      </c>
      <c r="Y1766" s="8">
        <v>4501226797</v>
      </c>
      <c r="Z1766">
        <v>20200125</v>
      </c>
      <c r="AA1766">
        <f t="shared" si="57"/>
        <v>1365.06</v>
      </c>
      <c r="AB1766">
        <f t="shared" si="62"/>
        <v>218.40959999999998</v>
      </c>
      <c r="AC1766">
        <f t="shared" si="63"/>
        <v>1583.4695999999999</v>
      </c>
      <c r="AD1766">
        <v>200127172</v>
      </c>
      <c r="AE1766" t="s">
        <v>631</v>
      </c>
      <c r="AF1766" s="4">
        <f t="shared" si="64"/>
        <v>1583.4695999999999</v>
      </c>
      <c r="AG1766" t="s">
        <v>1146</v>
      </c>
      <c r="AH1766" t="s">
        <v>1123</v>
      </c>
      <c r="AJ1766" t="s">
        <v>1148</v>
      </c>
      <c r="AK1766" t="s">
        <v>1129</v>
      </c>
      <c r="AL1766">
        <v>340255290</v>
      </c>
      <c r="AM1766" t="s">
        <v>135</v>
      </c>
    </row>
    <row r="1767" spans="1:39" x14ac:dyDescent="0.35">
      <c r="A1767">
        <v>3402</v>
      </c>
      <c r="B1767" t="s">
        <v>259</v>
      </c>
      <c r="C1767">
        <v>2020</v>
      </c>
      <c r="D1767" s="1">
        <v>43831</v>
      </c>
      <c r="E1767">
        <v>5</v>
      </c>
      <c r="F1767">
        <v>200076900</v>
      </c>
      <c r="G1767" t="s">
        <v>120</v>
      </c>
      <c r="H1767">
        <v>81</v>
      </c>
      <c r="I1767">
        <v>71104010</v>
      </c>
      <c r="J1767">
        <v>21021040</v>
      </c>
      <c r="K1767" t="s">
        <v>121</v>
      </c>
      <c r="L1767" s="4">
        <v>1715.03</v>
      </c>
      <c r="M1767" t="s">
        <v>31</v>
      </c>
      <c r="N1767" s="4">
        <v>1715.03</v>
      </c>
      <c r="O1767" t="s">
        <v>31</v>
      </c>
      <c r="R1767" t="s">
        <v>133</v>
      </c>
      <c r="S1767" t="s">
        <v>1131</v>
      </c>
      <c r="T1767">
        <v>107211</v>
      </c>
      <c r="U1767" t="s">
        <v>123</v>
      </c>
      <c r="X1767" t="s">
        <v>259</v>
      </c>
      <c r="Y1767" s="8">
        <v>4501226797</v>
      </c>
      <c r="Z1767">
        <v>20200125</v>
      </c>
      <c r="AA1767">
        <f t="shared" si="57"/>
        <v>1715.03</v>
      </c>
      <c r="AB1767">
        <f t="shared" si="62"/>
        <v>274.40480000000002</v>
      </c>
      <c r="AC1767">
        <f t="shared" si="63"/>
        <v>1989.4348</v>
      </c>
      <c r="AD1767">
        <v>200127172</v>
      </c>
      <c r="AE1767" t="s">
        <v>632</v>
      </c>
      <c r="AF1767" s="4">
        <f t="shared" si="64"/>
        <v>1989.4348</v>
      </c>
      <c r="AG1767" t="s">
        <v>1146</v>
      </c>
      <c r="AH1767" t="s">
        <v>1123</v>
      </c>
      <c r="AJ1767" t="s">
        <v>1148</v>
      </c>
      <c r="AK1767" t="s">
        <v>1129</v>
      </c>
      <c r="AL1767">
        <v>340255290</v>
      </c>
      <c r="AM1767" t="s">
        <v>135</v>
      </c>
    </row>
    <row r="1768" spans="1:39" x14ac:dyDescent="0.35">
      <c r="A1768">
        <v>3402</v>
      </c>
      <c r="B1768" t="s">
        <v>259</v>
      </c>
      <c r="C1768">
        <v>2020</v>
      </c>
      <c r="D1768" s="1">
        <v>43831</v>
      </c>
      <c r="E1768">
        <v>7</v>
      </c>
      <c r="F1768">
        <v>200076900</v>
      </c>
      <c r="G1768" t="s">
        <v>120</v>
      </c>
      <c r="H1768">
        <v>81</v>
      </c>
      <c r="I1768">
        <v>71104010</v>
      </c>
      <c r="J1768">
        <v>21021040</v>
      </c>
      <c r="K1768" t="s">
        <v>121</v>
      </c>
      <c r="L1768" s="4">
        <v>2310.02</v>
      </c>
      <c r="M1768" t="s">
        <v>31</v>
      </c>
      <c r="N1768" s="4">
        <v>2310.02</v>
      </c>
      <c r="O1768" t="s">
        <v>31</v>
      </c>
      <c r="R1768" t="s">
        <v>133</v>
      </c>
      <c r="S1768" t="s">
        <v>1131</v>
      </c>
      <c r="T1768">
        <v>107211</v>
      </c>
      <c r="U1768" t="s">
        <v>123</v>
      </c>
      <c r="X1768" t="s">
        <v>259</v>
      </c>
      <c r="Y1768" s="8">
        <v>4501226797</v>
      </c>
      <c r="Z1768">
        <v>20200125</v>
      </c>
      <c r="AA1768">
        <f t="shared" si="57"/>
        <v>2310.02</v>
      </c>
      <c r="AB1768">
        <f t="shared" si="62"/>
        <v>369.60320000000002</v>
      </c>
      <c r="AC1768">
        <f t="shared" si="63"/>
        <v>2679.6232</v>
      </c>
      <c r="AD1768">
        <v>200127172</v>
      </c>
      <c r="AE1768" t="s">
        <v>633</v>
      </c>
      <c r="AF1768" s="4">
        <f t="shared" si="64"/>
        <v>2679.6232</v>
      </c>
      <c r="AG1768" t="s">
        <v>1146</v>
      </c>
      <c r="AH1768" t="s">
        <v>1123</v>
      </c>
      <c r="AJ1768" t="s">
        <v>1148</v>
      </c>
      <c r="AK1768" t="s">
        <v>1129</v>
      </c>
      <c r="AL1768">
        <v>340255290</v>
      </c>
      <c r="AM1768" t="s">
        <v>135</v>
      </c>
    </row>
    <row r="1769" spans="1:39" x14ac:dyDescent="0.35">
      <c r="A1769">
        <v>3402</v>
      </c>
      <c r="B1769" t="s">
        <v>259</v>
      </c>
      <c r="C1769">
        <v>2020</v>
      </c>
      <c r="D1769" s="1">
        <v>43831</v>
      </c>
      <c r="E1769">
        <v>9</v>
      </c>
      <c r="F1769">
        <v>200076900</v>
      </c>
      <c r="G1769" t="s">
        <v>120</v>
      </c>
      <c r="H1769">
        <v>81</v>
      </c>
      <c r="I1769">
        <v>71104010</v>
      </c>
      <c r="J1769">
        <v>21021040</v>
      </c>
      <c r="K1769" t="s">
        <v>121</v>
      </c>
      <c r="L1769" s="4">
        <v>350.05</v>
      </c>
      <c r="M1769" t="s">
        <v>31</v>
      </c>
      <c r="N1769" s="4">
        <v>350.05</v>
      </c>
      <c r="O1769" t="s">
        <v>31</v>
      </c>
      <c r="R1769" t="s">
        <v>133</v>
      </c>
      <c r="S1769" t="s">
        <v>1131</v>
      </c>
      <c r="T1769">
        <v>107211</v>
      </c>
      <c r="U1769" t="s">
        <v>123</v>
      </c>
      <c r="X1769" t="s">
        <v>259</v>
      </c>
      <c r="Y1769" s="8">
        <v>4501226797</v>
      </c>
      <c r="Z1769">
        <v>20200125</v>
      </c>
      <c r="AA1769">
        <f t="shared" si="57"/>
        <v>350.05</v>
      </c>
      <c r="AB1769">
        <f t="shared" si="62"/>
        <v>56.008000000000003</v>
      </c>
      <c r="AC1769">
        <f t="shared" si="63"/>
        <v>406.05799999999999</v>
      </c>
      <c r="AD1769">
        <v>200127172</v>
      </c>
      <c r="AE1769" t="s">
        <v>634</v>
      </c>
      <c r="AF1769" s="4">
        <f t="shared" si="64"/>
        <v>406.05799999999999</v>
      </c>
      <c r="AG1769" t="s">
        <v>1146</v>
      </c>
      <c r="AH1769" t="s">
        <v>1123</v>
      </c>
      <c r="AJ1769" t="s">
        <v>1148</v>
      </c>
      <c r="AK1769" t="s">
        <v>1129</v>
      </c>
      <c r="AL1769">
        <v>340255290</v>
      </c>
      <c r="AM1769" t="s">
        <v>135</v>
      </c>
    </row>
    <row r="1770" spans="1:39" x14ac:dyDescent="0.35">
      <c r="A1770">
        <v>3402</v>
      </c>
      <c r="B1770" t="s">
        <v>259</v>
      </c>
      <c r="C1770">
        <v>2020</v>
      </c>
      <c r="D1770" s="1">
        <v>43831</v>
      </c>
      <c r="E1770">
        <v>11</v>
      </c>
      <c r="F1770">
        <v>200076900</v>
      </c>
      <c r="G1770" t="s">
        <v>120</v>
      </c>
      <c r="H1770">
        <v>81</v>
      </c>
      <c r="I1770">
        <v>71104010</v>
      </c>
      <c r="J1770">
        <v>21021040</v>
      </c>
      <c r="K1770" t="s">
        <v>121</v>
      </c>
      <c r="L1770" s="4">
        <v>2730.06</v>
      </c>
      <c r="M1770" t="s">
        <v>31</v>
      </c>
      <c r="N1770" s="4">
        <v>2730.06</v>
      </c>
      <c r="O1770" t="s">
        <v>31</v>
      </c>
      <c r="R1770" t="s">
        <v>133</v>
      </c>
      <c r="S1770" t="s">
        <v>1131</v>
      </c>
      <c r="T1770">
        <v>107211</v>
      </c>
      <c r="U1770" t="s">
        <v>123</v>
      </c>
      <c r="X1770" t="s">
        <v>259</v>
      </c>
      <c r="Y1770" s="8">
        <v>4501226797</v>
      </c>
      <c r="Z1770">
        <v>20200125</v>
      </c>
      <c r="AA1770">
        <f t="shared" si="57"/>
        <v>2730.06</v>
      </c>
      <c r="AB1770">
        <f t="shared" si="62"/>
        <v>436.80959999999999</v>
      </c>
      <c r="AC1770">
        <f t="shared" si="63"/>
        <v>3166.8696</v>
      </c>
      <c r="AD1770">
        <v>200127172</v>
      </c>
      <c r="AE1770" t="s">
        <v>635</v>
      </c>
      <c r="AF1770" s="4">
        <f t="shared" si="64"/>
        <v>3166.8696</v>
      </c>
      <c r="AG1770" t="s">
        <v>1146</v>
      </c>
      <c r="AH1770" t="s">
        <v>1123</v>
      </c>
      <c r="AJ1770" t="s">
        <v>1148</v>
      </c>
      <c r="AK1770" t="s">
        <v>1129</v>
      </c>
      <c r="AL1770">
        <v>340255290</v>
      </c>
      <c r="AM1770" t="s">
        <v>135</v>
      </c>
    </row>
    <row r="1771" spans="1:39" x14ac:dyDescent="0.35">
      <c r="A1771">
        <v>3402</v>
      </c>
      <c r="B1771" t="s">
        <v>259</v>
      </c>
      <c r="C1771">
        <v>2020</v>
      </c>
      <c r="D1771" s="1">
        <v>43831</v>
      </c>
      <c r="E1771">
        <v>13</v>
      </c>
      <c r="F1771">
        <v>200076900</v>
      </c>
      <c r="G1771" t="s">
        <v>120</v>
      </c>
      <c r="H1771">
        <v>81</v>
      </c>
      <c r="I1771">
        <v>71104010</v>
      </c>
      <c r="J1771">
        <v>21021040</v>
      </c>
      <c r="K1771" t="s">
        <v>121</v>
      </c>
      <c r="L1771" s="4">
        <v>175.05</v>
      </c>
      <c r="M1771" t="s">
        <v>31</v>
      </c>
      <c r="N1771" s="4">
        <v>175.05</v>
      </c>
      <c r="O1771" t="s">
        <v>31</v>
      </c>
      <c r="R1771" t="s">
        <v>133</v>
      </c>
      <c r="S1771" t="s">
        <v>1131</v>
      </c>
      <c r="T1771">
        <v>107211</v>
      </c>
      <c r="U1771" t="s">
        <v>123</v>
      </c>
      <c r="X1771" t="s">
        <v>259</v>
      </c>
      <c r="Y1771" s="8">
        <v>4501226797</v>
      </c>
      <c r="Z1771">
        <v>20200125</v>
      </c>
      <c r="AA1771">
        <f t="shared" si="57"/>
        <v>175.05</v>
      </c>
      <c r="AB1771">
        <f t="shared" si="62"/>
        <v>28.008000000000003</v>
      </c>
      <c r="AC1771">
        <f t="shared" si="63"/>
        <v>203.05800000000002</v>
      </c>
      <c r="AD1771">
        <v>200127172</v>
      </c>
      <c r="AE1771" t="s">
        <v>636</v>
      </c>
      <c r="AF1771" s="4">
        <f t="shared" si="64"/>
        <v>203.05800000000002</v>
      </c>
      <c r="AG1771" t="s">
        <v>1146</v>
      </c>
      <c r="AH1771" t="s">
        <v>1123</v>
      </c>
      <c r="AJ1771" t="s">
        <v>1148</v>
      </c>
      <c r="AK1771" t="s">
        <v>1129</v>
      </c>
      <c r="AL1771">
        <v>340255290</v>
      </c>
      <c r="AM1771" t="s">
        <v>135</v>
      </c>
    </row>
    <row r="1772" spans="1:39" x14ac:dyDescent="0.35">
      <c r="A1772">
        <v>3402</v>
      </c>
      <c r="B1772" t="s">
        <v>259</v>
      </c>
      <c r="C1772">
        <v>2020</v>
      </c>
      <c r="D1772" s="1">
        <v>43831</v>
      </c>
      <c r="E1772">
        <v>15</v>
      </c>
      <c r="F1772">
        <v>200076900</v>
      </c>
      <c r="G1772" t="s">
        <v>120</v>
      </c>
      <c r="H1772">
        <v>81</v>
      </c>
      <c r="I1772">
        <v>71104010</v>
      </c>
      <c r="J1772">
        <v>21021040</v>
      </c>
      <c r="K1772" t="s">
        <v>121</v>
      </c>
      <c r="L1772" s="4">
        <v>350.05</v>
      </c>
      <c r="M1772" t="s">
        <v>31</v>
      </c>
      <c r="N1772" s="4">
        <v>350.05</v>
      </c>
      <c r="O1772" t="s">
        <v>31</v>
      </c>
      <c r="R1772" t="s">
        <v>133</v>
      </c>
      <c r="S1772" t="s">
        <v>1131</v>
      </c>
      <c r="T1772">
        <v>107211</v>
      </c>
      <c r="U1772" t="s">
        <v>123</v>
      </c>
      <c r="X1772" t="s">
        <v>259</v>
      </c>
      <c r="Y1772" s="8">
        <v>4501226797</v>
      </c>
      <c r="Z1772">
        <v>20200125</v>
      </c>
      <c r="AA1772">
        <f t="shared" si="57"/>
        <v>350.05</v>
      </c>
      <c r="AB1772">
        <f t="shared" si="62"/>
        <v>56.008000000000003</v>
      </c>
      <c r="AC1772">
        <f t="shared" si="63"/>
        <v>406.05799999999999</v>
      </c>
      <c r="AD1772">
        <v>200127172</v>
      </c>
      <c r="AE1772" t="s">
        <v>637</v>
      </c>
      <c r="AF1772" s="4">
        <f t="shared" si="64"/>
        <v>406.05799999999999</v>
      </c>
      <c r="AG1772" t="s">
        <v>1146</v>
      </c>
      <c r="AH1772" t="s">
        <v>1123</v>
      </c>
      <c r="AJ1772" t="s">
        <v>1148</v>
      </c>
      <c r="AK1772" t="s">
        <v>1129</v>
      </c>
      <c r="AL1772">
        <v>340255290</v>
      </c>
      <c r="AM1772" t="s">
        <v>135</v>
      </c>
    </row>
    <row r="1773" spans="1:39" x14ac:dyDescent="0.35">
      <c r="A1773">
        <v>3402</v>
      </c>
      <c r="B1773" t="s">
        <v>259</v>
      </c>
      <c r="C1773">
        <v>2020</v>
      </c>
      <c r="D1773" s="1">
        <v>43831</v>
      </c>
      <c r="E1773">
        <v>17</v>
      </c>
      <c r="F1773">
        <v>200076900</v>
      </c>
      <c r="G1773" t="s">
        <v>120</v>
      </c>
      <c r="H1773">
        <v>81</v>
      </c>
      <c r="I1773">
        <v>71104010</v>
      </c>
      <c r="J1773">
        <v>21021040</v>
      </c>
      <c r="K1773" t="s">
        <v>121</v>
      </c>
      <c r="L1773" s="4">
        <v>3500</v>
      </c>
      <c r="M1773" t="s">
        <v>31</v>
      </c>
      <c r="N1773" s="4">
        <v>3500</v>
      </c>
      <c r="O1773" t="s">
        <v>31</v>
      </c>
      <c r="R1773" t="s">
        <v>133</v>
      </c>
      <c r="S1773" t="s">
        <v>1131</v>
      </c>
      <c r="T1773">
        <v>107211</v>
      </c>
      <c r="U1773" t="s">
        <v>123</v>
      </c>
      <c r="X1773" t="s">
        <v>259</v>
      </c>
      <c r="Y1773" s="8">
        <v>4501226797</v>
      </c>
      <c r="Z1773">
        <v>20200125</v>
      </c>
      <c r="AA1773">
        <f t="shared" si="57"/>
        <v>3500</v>
      </c>
      <c r="AB1773">
        <f t="shared" si="62"/>
        <v>560</v>
      </c>
      <c r="AC1773">
        <f t="shared" si="63"/>
        <v>4060</v>
      </c>
      <c r="AD1773">
        <v>200127172</v>
      </c>
      <c r="AE1773" t="s">
        <v>638</v>
      </c>
      <c r="AF1773" s="4">
        <f t="shared" si="64"/>
        <v>4060</v>
      </c>
      <c r="AG1773" t="s">
        <v>1146</v>
      </c>
      <c r="AH1773" t="s">
        <v>1123</v>
      </c>
      <c r="AJ1773" t="s">
        <v>1148</v>
      </c>
      <c r="AK1773" t="s">
        <v>1129</v>
      </c>
      <c r="AL1773">
        <v>340255290</v>
      </c>
      <c r="AM1773" t="s">
        <v>135</v>
      </c>
    </row>
    <row r="1774" spans="1:39" x14ac:dyDescent="0.35">
      <c r="A1774">
        <v>3402</v>
      </c>
      <c r="B1774" t="s">
        <v>259</v>
      </c>
      <c r="C1774">
        <v>2020</v>
      </c>
      <c r="D1774" s="1">
        <v>43831</v>
      </c>
      <c r="E1774">
        <v>19</v>
      </c>
      <c r="F1774">
        <v>200076900</v>
      </c>
      <c r="G1774" t="s">
        <v>120</v>
      </c>
      <c r="H1774">
        <v>81</v>
      </c>
      <c r="I1774">
        <v>71104010</v>
      </c>
      <c r="J1774">
        <v>21021040</v>
      </c>
      <c r="K1774" t="s">
        <v>121</v>
      </c>
      <c r="L1774" s="4">
        <v>350.05</v>
      </c>
      <c r="M1774" t="s">
        <v>31</v>
      </c>
      <c r="N1774" s="4">
        <v>350.05</v>
      </c>
      <c r="O1774" t="s">
        <v>31</v>
      </c>
      <c r="R1774" t="s">
        <v>133</v>
      </c>
      <c r="S1774" t="s">
        <v>1131</v>
      </c>
      <c r="T1774">
        <v>107211</v>
      </c>
      <c r="U1774" t="s">
        <v>123</v>
      </c>
      <c r="X1774" t="s">
        <v>259</v>
      </c>
      <c r="Y1774" s="8">
        <v>4501226797</v>
      </c>
      <c r="Z1774">
        <v>20200125</v>
      </c>
      <c r="AA1774">
        <f t="shared" si="57"/>
        <v>350.05</v>
      </c>
      <c r="AB1774">
        <f t="shared" si="62"/>
        <v>56.008000000000003</v>
      </c>
      <c r="AC1774">
        <f t="shared" si="63"/>
        <v>406.05799999999999</v>
      </c>
      <c r="AD1774">
        <v>200127172</v>
      </c>
      <c r="AE1774" t="s">
        <v>639</v>
      </c>
      <c r="AF1774" s="4">
        <f t="shared" si="64"/>
        <v>406.05799999999999</v>
      </c>
      <c r="AG1774" t="s">
        <v>1146</v>
      </c>
      <c r="AH1774" t="s">
        <v>1123</v>
      </c>
      <c r="AJ1774" t="s">
        <v>1148</v>
      </c>
      <c r="AK1774" t="s">
        <v>1129</v>
      </c>
      <c r="AL1774">
        <v>340255290</v>
      </c>
      <c r="AM1774" t="s">
        <v>135</v>
      </c>
    </row>
    <row r="1775" spans="1:39" x14ac:dyDescent="0.35">
      <c r="A1775">
        <v>3402</v>
      </c>
      <c r="B1775" t="s">
        <v>259</v>
      </c>
      <c r="C1775">
        <v>2020</v>
      </c>
      <c r="D1775" s="1">
        <v>43831</v>
      </c>
      <c r="E1775">
        <v>21</v>
      </c>
      <c r="F1775">
        <v>200076900</v>
      </c>
      <c r="G1775" t="s">
        <v>120</v>
      </c>
      <c r="H1775">
        <v>81</v>
      </c>
      <c r="I1775">
        <v>71104010</v>
      </c>
      <c r="J1775">
        <v>21021040</v>
      </c>
      <c r="K1775" t="s">
        <v>121</v>
      </c>
      <c r="L1775" s="4">
        <v>350.05</v>
      </c>
      <c r="M1775" t="s">
        <v>31</v>
      </c>
      <c r="N1775" s="4">
        <v>350.05</v>
      </c>
      <c r="O1775" t="s">
        <v>31</v>
      </c>
      <c r="R1775" t="s">
        <v>133</v>
      </c>
      <c r="S1775" t="s">
        <v>1131</v>
      </c>
      <c r="T1775">
        <v>107211</v>
      </c>
      <c r="U1775" t="s">
        <v>123</v>
      </c>
      <c r="X1775" t="s">
        <v>259</v>
      </c>
      <c r="Y1775" s="8">
        <v>4501226797</v>
      </c>
      <c r="Z1775">
        <v>20200125</v>
      </c>
      <c r="AA1775">
        <f t="shared" si="57"/>
        <v>350.05</v>
      </c>
      <c r="AB1775">
        <f t="shared" si="62"/>
        <v>56.008000000000003</v>
      </c>
      <c r="AC1775">
        <f t="shared" si="63"/>
        <v>406.05799999999999</v>
      </c>
      <c r="AD1775">
        <v>200127172</v>
      </c>
      <c r="AE1775" t="s">
        <v>640</v>
      </c>
      <c r="AF1775" s="4">
        <f t="shared" si="64"/>
        <v>406.05799999999999</v>
      </c>
      <c r="AG1775" t="s">
        <v>1146</v>
      </c>
      <c r="AH1775" t="s">
        <v>1123</v>
      </c>
      <c r="AJ1775" t="s">
        <v>1148</v>
      </c>
      <c r="AK1775" t="s">
        <v>1129</v>
      </c>
      <c r="AL1775">
        <v>340255290</v>
      </c>
      <c r="AM1775" t="s">
        <v>135</v>
      </c>
    </row>
    <row r="1776" spans="1:39" x14ac:dyDescent="0.35">
      <c r="A1776">
        <v>3402</v>
      </c>
      <c r="B1776" t="s">
        <v>259</v>
      </c>
      <c r="C1776">
        <v>2020</v>
      </c>
      <c r="D1776" s="1">
        <v>43831</v>
      </c>
      <c r="E1776">
        <v>23</v>
      </c>
      <c r="F1776">
        <v>200076900</v>
      </c>
      <c r="G1776" t="s">
        <v>120</v>
      </c>
      <c r="H1776">
        <v>81</v>
      </c>
      <c r="I1776">
        <v>71104010</v>
      </c>
      <c r="J1776">
        <v>21021040</v>
      </c>
      <c r="K1776" t="s">
        <v>121</v>
      </c>
      <c r="L1776" s="4">
        <v>1540.03</v>
      </c>
      <c r="M1776" t="s">
        <v>31</v>
      </c>
      <c r="N1776" s="4">
        <v>1540.03</v>
      </c>
      <c r="O1776" t="s">
        <v>31</v>
      </c>
      <c r="R1776" t="s">
        <v>133</v>
      </c>
      <c r="S1776" t="s">
        <v>1131</v>
      </c>
      <c r="T1776">
        <v>107211</v>
      </c>
      <c r="U1776" t="s">
        <v>123</v>
      </c>
      <c r="X1776" t="s">
        <v>259</v>
      </c>
      <c r="Y1776" s="8">
        <v>4501226797</v>
      </c>
      <c r="Z1776">
        <v>20200125</v>
      </c>
      <c r="AA1776">
        <f t="shared" si="57"/>
        <v>1540.03</v>
      </c>
      <c r="AB1776">
        <f t="shared" si="62"/>
        <v>246.40479999999999</v>
      </c>
      <c r="AC1776">
        <f t="shared" si="63"/>
        <v>1786.4348</v>
      </c>
      <c r="AD1776">
        <v>200127172</v>
      </c>
      <c r="AE1776" t="s">
        <v>641</v>
      </c>
      <c r="AF1776" s="4">
        <f t="shared" si="64"/>
        <v>1786.4348</v>
      </c>
      <c r="AG1776" t="s">
        <v>1146</v>
      </c>
      <c r="AH1776" t="s">
        <v>1123</v>
      </c>
      <c r="AJ1776" t="s">
        <v>1148</v>
      </c>
      <c r="AK1776" t="s">
        <v>1129</v>
      </c>
      <c r="AL1776">
        <v>340255290</v>
      </c>
      <c r="AM1776" t="s">
        <v>135</v>
      </c>
    </row>
    <row r="1777" spans="1:39" x14ac:dyDescent="0.35">
      <c r="A1777">
        <v>3402</v>
      </c>
      <c r="B1777" t="s">
        <v>259</v>
      </c>
      <c r="C1777">
        <v>2020</v>
      </c>
      <c r="D1777" s="1">
        <v>43831</v>
      </c>
      <c r="E1777">
        <v>25</v>
      </c>
      <c r="F1777">
        <v>200076900</v>
      </c>
      <c r="G1777" t="s">
        <v>120</v>
      </c>
      <c r="H1777">
        <v>81</v>
      </c>
      <c r="I1777">
        <v>71104010</v>
      </c>
      <c r="J1777">
        <v>21021040</v>
      </c>
      <c r="K1777" t="s">
        <v>121</v>
      </c>
      <c r="L1777" s="4">
        <v>2905.03</v>
      </c>
      <c r="M1777" t="s">
        <v>31</v>
      </c>
      <c r="N1777" s="4">
        <v>2905.03</v>
      </c>
      <c r="O1777" t="s">
        <v>31</v>
      </c>
      <c r="R1777" t="s">
        <v>133</v>
      </c>
      <c r="S1777" t="s">
        <v>1131</v>
      </c>
      <c r="T1777">
        <v>107211</v>
      </c>
      <c r="U1777" t="s">
        <v>123</v>
      </c>
      <c r="X1777" t="s">
        <v>259</v>
      </c>
      <c r="Y1777" s="8">
        <v>4501226797</v>
      </c>
      <c r="Z1777">
        <v>20200125</v>
      </c>
      <c r="AA1777">
        <f t="shared" si="57"/>
        <v>2905.03</v>
      </c>
      <c r="AB1777">
        <f t="shared" si="62"/>
        <v>464.80480000000006</v>
      </c>
      <c r="AC1777">
        <f t="shared" si="63"/>
        <v>3369.8348000000001</v>
      </c>
      <c r="AD1777">
        <v>200127172</v>
      </c>
      <c r="AE1777" t="s">
        <v>642</v>
      </c>
      <c r="AF1777" s="4">
        <f t="shared" si="64"/>
        <v>3369.8348000000001</v>
      </c>
      <c r="AG1777" t="s">
        <v>1146</v>
      </c>
      <c r="AH1777" t="s">
        <v>1123</v>
      </c>
      <c r="AJ1777" t="s">
        <v>1148</v>
      </c>
      <c r="AK1777" t="s">
        <v>1129</v>
      </c>
      <c r="AL1777">
        <v>340255290</v>
      </c>
      <c r="AM1777" t="s">
        <v>135</v>
      </c>
    </row>
    <row r="1778" spans="1:39" x14ac:dyDescent="0.35">
      <c r="A1778">
        <v>3402</v>
      </c>
      <c r="B1778" t="s">
        <v>259</v>
      </c>
      <c r="C1778">
        <v>2020</v>
      </c>
      <c r="D1778" s="1">
        <v>43831</v>
      </c>
      <c r="E1778">
        <v>27</v>
      </c>
      <c r="F1778">
        <v>200076900</v>
      </c>
      <c r="G1778" t="s">
        <v>120</v>
      </c>
      <c r="H1778">
        <v>81</v>
      </c>
      <c r="I1778">
        <v>71104010</v>
      </c>
      <c r="J1778">
        <v>21021040</v>
      </c>
      <c r="K1778" t="s">
        <v>121</v>
      </c>
      <c r="L1778" s="4">
        <v>2310.02</v>
      </c>
      <c r="M1778" t="s">
        <v>31</v>
      </c>
      <c r="N1778" s="4">
        <v>2310.02</v>
      </c>
      <c r="O1778" t="s">
        <v>31</v>
      </c>
      <c r="R1778" t="s">
        <v>133</v>
      </c>
      <c r="S1778" t="s">
        <v>1131</v>
      </c>
      <c r="T1778">
        <v>107211</v>
      </c>
      <c r="U1778" t="s">
        <v>123</v>
      </c>
      <c r="X1778" t="s">
        <v>259</v>
      </c>
      <c r="Y1778" s="8">
        <v>4501226797</v>
      </c>
      <c r="Z1778">
        <v>20200125</v>
      </c>
      <c r="AA1778">
        <f t="shared" si="57"/>
        <v>2310.02</v>
      </c>
      <c r="AB1778">
        <f t="shared" si="62"/>
        <v>369.60320000000002</v>
      </c>
      <c r="AC1778">
        <f t="shared" si="63"/>
        <v>2679.6232</v>
      </c>
      <c r="AD1778">
        <v>200127172</v>
      </c>
      <c r="AE1778" t="s">
        <v>643</v>
      </c>
      <c r="AF1778" s="4">
        <f t="shared" si="64"/>
        <v>2679.6232</v>
      </c>
      <c r="AG1778" t="s">
        <v>1146</v>
      </c>
      <c r="AH1778" t="s">
        <v>1123</v>
      </c>
      <c r="AJ1778" t="s">
        <v>1148</v>
      </c>
      <c r="AK1778" t="s">
        <v>1129</v>
      </c>
      <c r="AL1778">
        <v>340255290</v>
      </c>
      <c r="AM1778" t="s">
        <v>135</v>
      </c>
    </row>
    <row r="1779" spans="1:39" x14ac:dyDescent="0.35">
      <c r="A1779">
        <v>3402</v>
      </c>
      <c r="B1779" t="s">
        <v>259</v>
      </c>
      <c r="C1779">
        <v>2020</v>
      </c>
      <c r="D1779" s="1">
        <v>43831</v>
      </c>
      <c r="E1779">
        <v>29</v>
      </c>
      <c r="F1779">
        <v>200076900</v>
      </c>
      <c r="G1779" t="s">
        <v>120</v>
      </c>
      <c r="H1779">
        <v>81</v>
      </c>
      <c r="I1779">
        <v>71104010</v>
      </c>
      <c r="J1779">
        <v>21021040</v>
      </c>
      <c r="K1779" t="s">
        <v>121</v>
      </c>
      <c r="L1779" s="4">
        <v>1715.03</v>
      </c>
      <c r="M1779" t="s">
        <v>31</v>
      </c>
      <c r="N1779" s="4">
        <v>1715.03</v>
      </c>
      <c r="O1779" t="s">
        <v>31</v>
      </c>
      <c r="R1779" t="s">
        <v>133</v>
      </c>
      <c r="S1779" t="s">
        <v>1131</v>
      </c>
      <c r="T1779">
        <v>107211</v>
      </c>
      <c r="U1779" t="s">
        <v>123</v>
      </c>
      <c r="X1779" t="s">
        <v>259</v>
      </c>
      <c r="Y1779" s="8">
        <v>4501226797</v>
      </c>
      <c r="Z1779">
        <v>20200125</v>
      </c>
      <c r="AA1779">
        <f t="shared" si="57"/>
        <v>1715.03</v>
      </c>
      <c r="AB1779">
        <f t="shared" si="62"/>
        <v>274.40480000000002</v>
      </c>
      <c r="AC1779">
        <f t="shared" si="63"/>
        <v>1989.4348</v>
      </c>
      <c r="AD1779">
        <v>200127172</v>
      </c>
      <c r="AE1779" t="s">
        <v>644</v>
      </c>
      <c r="AF1779" s="4">
        <f t="shared" si="64"/>
        <v>1989.4348</v>
      </c>
      <c r="AG1779" t="s">
        <v>1146</v>
      </c>
      <c r="AH1779" t="s">
        <v>1123</v>
      </c>
      <c r="AJ1779" t="s">
        <v>1148</v>
      </c>
      <c r="AK1779" t="s">
        <v>1129</v>
      </c>
      <c r="AL1779">
        <v>340255290</v>
      </c>
      <c r="AM1779" t="s">
        <v>135</v>
      </c>
    </row>
    <row r="1780" spans="1:39" x14ac:dyDescent="0.35">
      <c r="A1780">
        <v>3402</v>
      </c>
      <c r="B1780" t="s">
        <v>259</v>
      </c>
      <c r="C1780">
        <v>2020</v>
      </c>
      <c r="D1780" s="1">
        <v>43831</v>
      </c>
      <c r="E1780">
        <v>31</v>
      </c>
      <c r="F1780">
        <v>200076900</v>
      </c>
      <c r="G1780" t="s">
        <v>120</v>
      </c>
      <c r="H1780">
        <v>81</v>
      </c>
      <c r="I1780">
        <v>71104010</v>
      </c>
      <c r="J1780">
        <v>21021040</v>
      </c>
      <c r="K1780" t="s">
        <v>121</v>
      </c>
      <c r="L1780" s="4">
        <v>350.05</v>
      </c>
      <c r="M1780" t="s">
        <v>31</v>
      </c>
      <c r="N1780" s="4">
        <v>350.05</v>
      </c>
      <c r="O1780" t="s">
        <v>31</v>
      </c>
      <c r="R1780" t="s">
        <v>133</v>
      </c>
      <c r="S1780" t="s">
        <v>1131</v>
      </c>
      <c r="T1780">
        <v>107211</v>
      </c>
      <c r="U1780" t="s">
        <v>123</v>
      </c>
      <c r="X1780" t="s">
        <v>259</v>
      </c>
      <c r="Y1780" s="8">
        <v>4501226797</v>
      </c>
      <c r="Z1780">
        <v>20200125</v>
      </c>
      <c r="AA1780">
        <f t="shared" si="57"/>
        <v>350.05</v>
      </c>
      <c r="AB1780">
        <f t="shared" si="62"/>
        <v>56.008000000000003</v>
      </c>
      <c r="AC1780">
        <f t="shared" si="63"/>
        <v>406.05799999999999</v>
      </c>
      <c r="AD1780">
        <v>200127172</v>
      </c>
      <c r="AE1780" t="s">
        <v>645</v>
      </c>
      <c r="AF1780" s="4">
        <f t="shared" si="64"/>
        <v>406.05799999999999</v>
      </c>
      <c r="AG1780" t="s">
        <v>1146</v>
      </c>
      <c r="AH1780" t="s">
        <v>1123</v>
      </c>
      <c r="AJ1780" t="s">
        <v>1148</v>
      </c>
      <c r="AK1780" t="s">
        <v>1129</v>
      </c>
      <c r="AL1780">
        <v>340255290</v>
      </c>
      <c r="AM1780" t="s">
        <v>135</v>
      </c>
    </row>
    <row r="1781" spans="1:39" x14ac:dyDescent="0.35">
      <c r="A1781">
        <v>3402</v>
      </c>
      <c r="B1781" t="s">
        <v>259</v>
      </c>
      <c r="C1781">
        <v>2020</v>
      </c>
      <c r="D1781" s="1">
        <v>43831</v>
      </c>
      <c r="E1781">
        <v>33</v>
      </c>
      <c r="F1781">
        <v>200076900</v>
      </c>
      <c r="G1781" t="s">
        <v>120</v>
      </c>
      <c r="H1781">
        <v>81</v>
      </c>
      <c r="I1781">
        <v>71104010</v>
      </c>
      <c r="J1781">
        <v>21021040</v>
      </c>
      <c r="K1781" t="s">
        <v>121</v>
      </c>
      <c r="L1781" s="4">
        <v>2135.02</v>
      </c>
      <c r="M1781" t="s">
        <v>31</v>
      </c>
      <c r="N1781" s="4">
        <v>2135.02</v>
      </c>
      <c r="O1781" t="s">
        <v>31</v>
      </c>
      <c r="R1781" t="s">
        <v>133</v>
      </c>
      <c r="S1781" t="s">
        <v>1131</v>
      </c>
      <c r="T1781">
        <v>107211</v>
      </c>
      <c r="U1781" t="s">
        <v>123</v>
      </c>
      <c r="X1781" t="s">
        <v>259</v>
      </c>
      <c r="Y1781" s="8">
        <v>4501226797</v>
      </c>
      <c r="Z1781">
        <v>20200125</v>
      </c>
      <c r="AA1781">
        <f t="shared" si="57"/>
        <v>2135.02</v>
      </c>
      <c r="AB1781">
        <f t="shared" si="62"/>
        <v>341.60320000000002</v>
      </c>
      <c r="AC1781">
        <f t="shared" si="63"/>
        <v>2476.6232</v>
      </c>
      <c r="AD1781">
        <v>200127172</v>
      </c>
      <c r="AE1781" t="s">
        <v>646</v>
      </c>
      <c r="AF1781" s="4">
        <f t="shared" si="64"/>
        <v>2476.6232</v>
      </c>
      <c r="AG1781" t="s">
        <v>1146</v>
      </c>
      <c r="AH1781" t="s">
        <v>1123</v>
      </c>
      <c r="AJ1781" t="s">
        <v>1148</v>
      </c>
      <c r="AK1781" t="s">
        <v>1129</v>
      </c>
      <c r="AL1781">
        <v>340255290</v>
      </c>
      <c r="AM1781" t="s">
        <v>135</v>
      </c>
    </row>
    <row r="1782" spans="1:39" x14ac:dyDescent="0.35">
      <c r="A1782">
        <v>3402</v>
      </c>
      <c r="B1782" t="s">
        <v>259</v>
      </c>
      <c r="C1782">
        <v>2020</v>
      </c>
      <c r="D1782" s="1">
        <v>43831</v>
      </c>
      <c r="E1782">
        <v>35</v>
      </c>
      <c r="F1782">
        <v>200076900</v>
      </c>
      <c r="G1782" t="s">
        <v>120</v>
      </c>
      <c r="H1782">
        <v>81</v>
      </c>
      <c r="I1782">
        <v>71104010</v>
      </c>
      <c r="J1782">
        <v>21021040</v>
      </c>
      <c r="K1782" t="s">
        <v>121</v>
      </c>
      <c r="L1782" s="4">
        <v>1715.03</v>
      </c>
      <c r="M1782" t="s">
        <v>31</v>
      </c>
      <c r="N1782" s="4">
        <v>1715.03</v>
      </c>
      <c r="O1782" t="s">
        <v>31</v>
      </c>
      <c r="R1782" t="s">
        <v>133</v>
      </c>
      <c r="S1782" t="s">
        <v>1131</v>
      </c>
      <c r="T1782">
        <v>107211</v>
      </c>
      <c r="U1782" t="s">
        <v>123</v>
      </c>
      <c r="X1782" t="s">
        <v>259</v>
      </c>
      <c r="Y1782" s="8">
        <v>4501226797</v>
      </c>
      <c r="Z1782">
        <v>20200125</v>
      </c>
      <c r="AA1782">
        <f t="shared" si="57"/>
        <v>1715.03</v>
      </c>
      <c r="AB1782">
        <f t="shared" si="62"/>
        <v>274.40480000000002</v>
      </c>
      <c r="AC1782">
        <f t="shared" si="63"/>
        <v>1989.4348</v>
      </c>
      <c r="AD1782">
        <v>200127172</v>
      </c>
      <c r="AE1782" t="s">
        <v>647</v>
      </c>
      <c r="AF1782" s="4">
        <f t="shared" si="64"/>
        <v>1989.4348</v>
      </c>
      <c r="AG1782" t="s">
        <v>1146</v>
      </c>
      <c r="AH1782" t="s">
        <v>1123</v>
      </c>
      <c r="AJ1782" t="s">
        <v>1148</v>
      </c>
      <c r="AK1782" t="s">
        <v>1129</v>
      </c>
      <c r="AL1782">
        <v>340255290</v>
      </c>
      <c r="AM1782" t="s">
        <v>135</v>
      </c>
    </row>
    <row r="1783" spans="1:39" x14ac:dyDescent="0.35">
      <c r="A1783">
        <v>3402</v>
      </c>
      <c r="B1783" t="s">
        <v>259</v>
      </c>
      <c r="C1783">
        <v>2020</v>
      </c>
      <c r="D1783" s="1">
        <v>43831</v>
      </c>
      <c r="E1783">
        <v>37</v>
      </c>
      <c r="F1783">
        <v>200076900</v>
      </c>
      <c r="G1783" t="s">
        <v>120</v>
      </c>
      <c r="H1783">
        <v>81</v>
      </c>
      <c r="I1783">
        <v>71104010</v>
      </c>
      <c r="J1783">
        <v>21021040</v>
      </c>
      <c r="K1783" t="s">
        <v>121</v>
      </c>
      <c r="L1783" s="4">
        <v>350.05</v>
      </c>
      <c r="M1783" t="s">
        <v>31</v>
      </c>
      <c r="N1783" s="4">
        <v>350.05</v>
      </c>
      <c r="O1783" t="s">
        <v>31</v>
      </c>
      <c r="R1783" t="s">
        <v>133</v>
      </c>
      <c r="S1783" t="s">
        <v>1131</v>
      </c>
      <c r="T1783">
        <v>107211</v>
      </c>
      <c r="U1783" t="s">
        <v>123</v>
      </c>
      <c r="X1783" t="s">
        <v>259</v>
      </c>
      <c r="Y1783" s="8">
        <v>4501226797</v>
      </c>
      <c r="Z1783">
        <v>20200125</v>
      </c>
      <c r="AA1783">
        <f t="shared" si="57"/>
        <v>350.05</v>
      </c>
      <c r="AB1783">
        <f t="shared" si="62"/>
        <v>56.008000000000003</v>
      </c>
      <c r="AC1783">
        <f t="shared" si="63"/>
        <v>406.05799999999999</v>
      </c>
      <c r="AD1783">
        <v>200127172</v>
      </c>
      <c r="AE1783" t="s">
        <v>648</v>
      </c>
      <c r="AF1783" s="4">
        <f t="shared" si="64"/>
        <v>406.05799999999999</v>
      </c>
      <c r="AG1783" t="s">
        <v>1146</v>
      </c>
      <c r="AH1783" t="s">
        <v>1123</v>
      </c>
      <c r="AJ1783" t="s">
        <v>1148</v>
      </c>
      <c r="AK1783" t="s">
        <v>1129</v>
      </c>
      <c r="AL1783">
        <v>340255290</v>
      </c>
      <c r="AM1783" t="s">
        <v>135</v>
      </c>
    </row>
    <row r="1784" spans="1:39" x14ac:dyDescent="0.35">
      <c r="A1784">
        <v>3402</v>
      </c>
      <c r="B1784" t="s">
        <v>259</v>
      </c>
      <c r="C1784">
        <v>2020</v>
      </c>
      <c r="D1784" s="1">
        <v>43831</v>
      </c>
      <c r="E1784">
        <v>39</v>
      </c>
      <c r="F1784">
        <v>200076900</v>
      </c>
      <c r="G1784" t="s">
        <v>120</v>
      </c>
      <c r="H1784">
        <v>81</v>
      </c>
      <c r="I1784">
        <v>71104010</v>
      </c>
      <c r="J1784">
        <v>21021040</v>
      </c>
      <c r="K1784" t="s">
        <v>121</v>
      </c>
      <c r="L1784" s="4">
        <v>2730.06</v>
      </c>
      <c r="M1784" t="s">
        <v>31</v>
      </c>
      <c r="N1784" s="4">
        <v>2730.06</v>
      </c>
      <c r="O1784" t="s">
        <v>31</v>
      </c>
      <c r="R1784" t="s">
        <v>133</v>
      </c>
      <c r="S1784" t="s">
        <v>1131</v>
      </c>
      <c r="T1784">
        <v>107211</v>
      </c>
      <c r="U1784" t="s">
        <v>123</v>
      </c>
      <c r="X1784" t="s">
        <v>259</v>
      </c>
      <c r="Y1784" s="8">
        <v>4501226797</v>
      </c>
      <c r="Z1784">
        <v>20200125</v>
      </c>
      <c r="AA1784">
        <f t="shared" si="57"/>
        <v>2730.06</v>
      </c>
      <c r="AB1784">
        <f t="shared" si="62"/>
        <v>436.80959999999999</v>
      </c>
      <c r="AC1784">
        <f t="shared" si="63"/>
        <v>3166.8696</v>
      </c>
      <c r="AD1784">
        <v>200127172</v>
      </c>
      <c r="AE1784" t="s">
        <v>649</v>
      </c>
      <c r="AF1784" s="4">
        <f t="shared" si="64"/>
        <v>3166.8696</v>
      </c>
      <c r="AG1784" t="s">
        <v>1146</v>
      </c>
      <c r="AH1784" t="s">
        <v>1123</v>
      </c>
      <c r="AJ1784" t="s">
        <v>1148</v>
      </c>
      <c r="AK1784" t="s">
        <v>1129</v>
      </c>
      <c r="AL1784">
        <v>340255290</v>
      </c>
      <c r="AM1784" t="s">
        <v>135</v>
      </c>
    </row>
    <row r="1785" spans="1:39" x14ac:dyDescent="0.35">
      <c r="A1785">
        <v>3402</v>
      </c>
      <c r="B1785" t="s">
        <v>259</v>
      </c>
      <c r="C1785">
        <v>2020</v>
      </c>
      <c r="D1785" s="1">
        <v>43831</v>
      </c>
      <c r="E1785">
        <v>41</v>
      </c>
      <c r="F1785">
        <v>200076900</v>
      </c>
      <c r="G1785" t="s">
        <v>120</v>
      </c>
      <c r="H1785">
        <v>81</v>
      </c>
      <c r="I1785">
        <v>71104010</v>
      </c>
      <c r="J1785">
        <v>21021040</v>
      </c>
      <c r="K1785" t="s">
        <v>121</v>
      </c>
      <c r="L1785" s="4">
        <v>2310.02</v>
      </c>
      <c r="M1785" t="s">
        <v>31</v>
      </c>
      <c r="N1785" s="4">
        <v>2310.02</v>
      </c>
      <c r="O1785" t="s">
        <v>31</v>
      </c>
      <c r="R1785" t="s">
        <v>133</v>
      </c>
      <c r="S1785" t="s">
        <v>1131</v>
      </c>
      <c r="T1785">
        <v>107211</v>
      </c>
      <c r="U1785" t="s">
        <v>123</v>
      </c>
      <c r="X1785" t="s">
        <v>259</v>
      </c>
      <c r="Y1785" s="8">
        <v>4501226797</v>
      </c>
      <c r="Z1785">
        <v>20200125</v>
      </c>
      <c r="AA1785">
        <f t="shared" si="57"/>
        <v>2310.02</v>
      </c>
      <c r="AB1785">
        <f t="shared" si="62"/>
        <v>369.60320000000002</v>
      </c>
      <c r="AC1785">
        <f t="shared" si="63"/>
        <v>2679.6232</v>
      </c>
      <c r="AD1785">
        <v>200127172</v>
      </c>
      <c r="AE1785" t="s">
        <v>650</v>
      </c>
      <c r="AF1785" s="4">
        <f t="shared" si="64"/>
        <v>2679.6232</v>
      </c>
      <c r="AG1785" t="s">
        <v>1146</v>
      </c>
      <c r="AH1785" t="s">
        <v>1123</v>
      </c>
      <c r="AJ1785" t="s">
        <v>1148</v>
      </c>
      <c r="AK1785" t="s">
        <v>1129</v>
      </c>
      <c r="AL1785">
        <v>340255290</v>
      </c>
      <c r="AM1785" t="s">
        <v>135</v>
      </c>
    </row>
    <row r="1786" spans="1:39" x14ac:dyDescent="0.35">
      <c r="A1786">
        <v>3402</v>
      </c>
      <c r="B1786" t="s">
        <v>259</v>
      </c>
      <c r="C1786">
        <v>2020</v>
      </c>
      <c r="D1786" s="1">
        <v>43831</v>
      </c>
      <c r="E1786">
        <v>43</v>
      </c>
      <c r="F1786">
        <v>200076900</v>
      </c>
      <c r="G1786" t="s">
        <v>120</v>
      </c>
      <c r="H1786">
        <v>81</v>
      </c>
      <c r="I1786">
        <v>71104010</v>
      </c>
      <c r="J1786">
        <v>21021040</v>
      </c>
      <c r="K1786" t="s">
        <v>121</v>
      </c>
      <c r="L1786" s="4">
        <v>175.05</v>
      </c>
      <c r="M1786" t="s">
        <v>31</v>
      </c>
      <c r="N1786" s="4">
        <v>175.05</v>
      </c>
      <c r="O1786" t="s">
        <v>31</v>
      </c>
      <c r="R1786" t="s">
        <v>133</v>
      </c>
      <c r="S1786" t="s">
        <v>1131</v>
      </c>
      <c r="T1786">
        <v>107211</v>
      </c>
      <c r="U1786" t="s">
        <v>123</v>
      </c>
      <c r="X1786" t="s">
        <v>259</v>
      </c>
      <c r="Y1786" s="8">
        <v>4501226797</v>
      </c>
      <c r="Z1786">
        <v>20200125</v>
      </c>
      <c r="AA1786">
        <f t="shared" si="57"/>
        <v>175.05</v>
      </c>
      <c r="AB1786">
        <f t="shared" si="62"/>
        <v>28.008000000000003</v>
      </c>
      <c r="AC1786">
        <f t="shared" si="63"/>
        <v>203.05800000000002</v>
      </c>
      <c r="AD1786">
        <v>200127172</v>
      </c>
      <c r="AE1786" t="s">
        <v>651</v>
      </c>
      <c r="AF1786" s="4">
        <f t="shared" si="64"/>
        <v>203.05800000000002</v>
      </c>
      <c r="AG1786" t="s">
        <v>1146</v>
      </c>
      <c r="AH1786" t="s">
        <v>1123</v>
      </c>
      <c r="AJ1786" t="s">
        <v>1148</v>
      </c>
      <c r="AK1786" t="s">
        <v>1129</v>
      </c>
      <c r="AL1786">
        <v>340255290</v>
      </c>
      <c r="AM1786" t="s">
        <v>135</v>
      </c>
    </row>
    <row r="1787" spans="1:39" x14ac:dyDescent="0.35">
      <c r="A1787">
        <v>3402</v>
      </c>
      <c r="B1787" t="s">
        <v>259</v>
      </c>
      <c r="C1787">
        <v>2020</v>
      </c>
      <c r="D1787" s="1">
        <v>43831</v>
      </c>
      <c r="E1787">
        <v>45</v>
      </c>
      <c r="F1787">
        <v>200076900</v>
      </c>
      <c r="G1787" t="s">
        <v>120</v>
      </c>
      <c r="H1787">
        <v>81</v>
      </c>
      <c r="I1787">
        <v>71104010</v>
      </c>
      <c r="J1787">
        <v>21021040</v>
      </c>
      <c r="K1787" t="s">
        <v>121</v>
      </c>
      <c r="L1787" s="4">
        <v>350.05</v>
      </c>
      <c r="M1787" t="s">
        <v>31</v>
      </c>
      <c r="N1787" s="4">
        <v>350.05</v>
      </c>
      <c r="O1787" t="s">
        <v>31</v>
      </c>
      <c r="R1787" t="s">
        <v>133</v>
      </c>
      <c r="S1787" t="s">
        <v>1131</v>
      </c>
      <c r="T1787">
        <v>107211</v>
      </c>
      <c r="U1787" t="s">
        <v>123</v>
      </c>
      <c r="X1787" t="s">
        <v>259</v>
      </c>
      <c r="Y1787" s="8">
        <v>4501226797</v>
      </c>
      <c r="Z1787">
        <v>20200125</v>
      </c>
      <c r="AA1787">
        <f t="shared" si="57"/>
        <v>350.05</v>
      </c>
      <c r="AB1787">
        <f t="shared" si="62"/>
        <v>56.008000000000003</v>
      </c>
      <c r="AC1787">
        <f t="shared" si="63"/>
        <v>406.05799999999999</v>
      </c>
      <c r="AD1787">
        <v>200127172</v>
      </c>
      <c r="AE1787" t="s">
        <v>652</v>
      </c>
      <c r="AF1787" s="4">
        <f t="shared" si="64"/>
        <v>406.05799999999999</v>
      </c>
      <c r="AG1787" t="s">
        <v>1146</v>
      </c>
      <c r="AH1787" t="s">
        <v>1123</v>
      </c>
      <c r="AJ1787" t="s">
        <v>1148</v>
      </c>
      <c r="AK1787" t="s">
        <v>1129</v>
      </c>
      <c r="AL1787">
        <v>340255290</v>
      </c>
      <c r="AM1787" t="s">
        <v>135</v>
      </c>
    </row>
    <row r="1788" spans="1:39" x14ac:dyDescent="0.35">
      <c r="A1788">
        <v>3402</v>
      </c>
      <c r="B1788" t="s">
        <v>259</v>
      </c>
      <c r="C1788">
        <v>2020</v>
      </c>
      <c r="D1788" s="1">
        <v>43831</v>
      </c>
      <c r="E1788">
        <v>47</v>
      </c>
      <c r="F1788">
        <v>200076900</v>
      </c>
      <c r="G1788" t="s">
        <v>120</v>
      </c>
      <c r="H1788">
        <v>81</v>
      </c>
      <c r="I1788">
        <v>71104010</v>
      </c>
      <c r="J1788">
        <v>21021040</v>
      </c>
      <c r="K1788" t="s">
        <v>121</v>
      </c>
      <c r="L1788" s="4">
        <v>1540.03</v>
      </c>
      <c r="M1788" t="s">
        <v>31</v>
      </c>
      <c r="N1788" s="4">
        <v>1540.03</v>
      </c>
      <c r="O1788" t="s">
        <v>31</v>
      </c>
      <c r="R1788" t="s">
        <v>133</v>
      </c>
      <c r="S1788" t="s">
        <v>1131</v>
      </c>
      <c r="T1788">
        <v>107211</v>
      </c>
      <c r="U1788" t="s">
        <v>123</v>
      </c>
      <c r="X1788" t="s">
        <v>259</v>
      </c>
      <c r="Y1788" s="8">
        <v>4501226797</v>
      </c>
      <c r="Z1788">
        <v>20200125</v>
      </c>
      <c r="AA1788">
        <f t="shared" si="57"/>
        <v>1540.03</v>
      </c>
      <c r="AB1788">
        <f t="shared" si="62"/>
        <v>246.40479999999999</v>
      </c>
      <c r="AC1788">
        <f t="shared" si="63"/>
        <v>1786.4348</v>
      </c>
      <c r="AD1788">
        <v>200127172</v>
      </c>
      <c r="AE1788" t="s">
        <v>653</v>
      </c>
      <c r="AF1788" s="4">
        <f t="shared" si="64"/>
        <v>1786.4348</v>
      </c>
      <c r="AG1788" t="s">
        <v>1146</v>
      </c>
      <c r="AH1788" t="s">
        <v>1123</v>
      </c>
      <c r="AJ1788" t="s">
        <v>1148</v>
      </c>
      <c r="AK1788" t="s">
        <v>1129</v>
      </c>
      <c r="AL1788">
        <v>340255290</v>
      </c>
      <c r="AM1788" t="s">
        <v>135</v>
      </c>
    </row>
    <row r="1789" spans="1:39" x14ac:dyDescent="0.35">
      <c r="A1789">
        <v>3402</v>
      </c>
      <c r="B1789" t="s">
        <v>259</v>
      </c>
      <c r="C1789">
        <v>2020</v>
      </c>
      <c r="D1789" s="1">
        <v>43831</v>
      </c>
      <c r="E1789">
        <v>49</v>
      </c>
      <c r="F1789">
        <v>200076900</v>
      </c>
      <c r="G1789" t="s">
        <v>120</v>
      </c>
      <c r="H1789">
        <v>81</v>
      </c>
      <c r="I1789">
        <v>71104010</v>
      </c>
      <c r="J1789">
        <v>21021040</v>
      </c>
      <c r="K1789" t="s">
        <v>121</v>
      </c>
      <c r="L1789" s="4">
        <v>2310.02</v>
      </c>
      <c r="M1789" t="s">
        <v>31</v>
      </c>
      <c r="N1789" s="4">
        <v>2310.02</v>
      </c>
      <c r="O1789" t="s">
        <v>31</v>
      </c>
      <c r="R1789" t="s">
        <v>133</v>
      </c>
      <c r="S1789" t="s">
        <v>1131</v>
      </c>
      <c r="T1789">
        <v>107211</v>
      </c>
      <c r="U1789" t="s">
        <v>123</v>
      </c>
      <c r="X1789" t="s">
        <v>259</v>
      </c>
      <c r="Y1789" s="8">
        <v>4501226797</v>
      </c>
      <c r="Z1789">
        <v>20200125</v>
      </c>
      <c r="AA1789">
        <f t="shared" si="57"/>
        <v>2310.02</v>
      </c>
      <c r="AB1789">
        <f t="shared" si="62"/>
        <v>369.60320000000002</v>
      </c>
      <c r="AC1789">
        <f t="shared" si="63"/>
        <v>2679.6232</v>
      </c>
      <c r="AD1789">
        <v>200127172</v>
      </c>
      <c r="AE1789" t="s">
        <v>654</v>
      </c>
      <c r="AF1789" s="4">
        <f t="shared" si="64"/>
        <v>2679.6232</v>
      </c>
      <c r="AG1789" t="s">
        <v>1146</v>
      </c>
      <c r="AH1789" t="s">
        <v>1123</v>
      </c>
      <c r="AJ1789" t="s">
        <v>1148</v>
      </c>
      <c r="AK1789" t="s">
        <v>1129</v>
      </c>
      <c r="AL1789">
        <v>340255290</v>
      </c>
      <c r="AM1789" t="s">
        <v>135</v>
      </c>
    </row>
    <row r="1790" spans="1:39" x14ac:dyDescent="0.35">
      <c r="A1790">
        <v>3402</v>
      </c>
      <c r="B1790" t="s">
        <v>259</v>
      </c>
      <c r="C1790">
        <v>2020</v>
      </c>
      <c r="D1790" s="1">
        <v>43831</v>
      </c>
      <c r="E1790">
        <v>1</v>
      </c>
      <c r="F1790">
        <v>200076904</v>
      </c>
      <c r="G1790" t="s">
        <v>120</v>
      </c>
      <c r="H1790">
        <v>81</v>
      </c>
      <c r="I1790">
        <v>71104010</v>
      </c>
      <c r="J1790">
        <v>21021040</v>
      </c>
      <c r="K1790" t="s">
        <v>121</v>
      </c>
      <c r="L1790" s="4">
        <v>800.05</v>
      </c>
      <c r="M1790" t="s">
        <v>31</v>
      </c>
      <c r="N1790" s="4">
        <v>800.05</v>
      </c>
      <c r="O1790" t="s">
        <v>31</v>
      </c>
      <c r="R1790" t="s">
        <v>133</v>
      </c>
      <c r="S1790" t="s">
        <v>1131</v>
      </c>
      <c r="T1790">
        <v>107211</v>
      </c>
      <c r="U1790" t="s">
        <v>123</v>
      </c>
      <c r="X1790" t="s">
        <v>259</v>
      </c>
      <c r="Y1790" s="8">
        <v>4501226797</v>
      </c>
      <c r="Z1790">
        <v>20200125</v>
      </c>
      <c r="AA1790">
        <f t="shared" si="57"/>
        <v>800.05</v>
      </c>
      <c r="AB1790">
        <f t="shared" si="62"/>
        <v>128.00799999999998</v>
      </c>
      <c r="AC1790">
        <f t="shared" si="63"/>
        <v>928.05799999999999</v>
      </c>
      <c r="AD1790">
        <v>200127172</v>
      </c>
      <c r="AE1790" t="s">
        <v>655</v>
      </c>
      <c r="AF1790" s="4">
        <f t="shared" si="64"/>
        <v>928.05799999999999</v>
      </c>
      <c r="AG1790" t="s">
        <v>1146</v>
      </c>
      <c r="AH1790" t="s">
        <v>1123</v>
      </c>
      <c r="AJ1790" t="s">
        <v>1148</v>
      </c>
      <c r="AK1790" t="s">
        <v>1129</v>
      </c>
      <c r="AL1790">
        <v>340255290</v>
      </c>
      <c r="AM1790" t="s">
        <v>135</v>
      </c>
    </row>
    <row r="1791" spans="1:39" x14ac:dyDescent="0.35">
      <c r="A1791">
        <v>3402</v>
      </c>
      <c r="B1791" t="s">
        <v>259</v>
      </c>
      <c r="C1791">
        <v>2020</v>
      </c>
      <c r="D1791" s="1">
        <v>43831</v>
      </c>
      <c r="E1791">
        <v>3</v>
      </c>
      <c r="F1791">
        <v>200076904</v>
      </c>
      <c r="G1791" t="s">
        <v>120</v>
      </c>
      <c r="H1791">
        <v>81</v>
      </c>
      <c r="I1791">
        <v>71104010</v>
      </c>
      <c r="J1791">
        <v>21021040</v>
      </c>
      <c r="K1791" t="s">
        <v>121</v>
      </c>
      <c r="L1791" s="4">
        <v>312.06</v>
      </c>
      <c r="M1791" t="s">
        <v>31</v>
      </c>
      <c r="N1791" s="4">
        <v>312.06</v>
      </c>
      <c r="O1791" t="s">
        <v>31</v>
      </c>
      <c r="R1791" t="s">
        <v>133</v>
      </c>
      <c r="S1791" t="s">
        <v>1131</v>
      </c>
      <c r="T1791">
        <v>107211</v>
      </c>
      <c r="U1791" t="s">
        <v>123</v>
      </c>
      <c r="X1791" t="s">
        <v>259</v>
      </c>
      <c r="Y1791" s="8">
        <v>4501226797</v>
      </c>
      <c r="Z1791">
        <v>20200125</v>
      </c>
      <c r="AA1791">
        <f t="shared" si="57"/>
        <v>312.06</v>
      </c>
      <c r="AB1791">
        <f t="shared" si="62"/>
        <v>49.929600000000001</v>
      </c>
      <c r="AC1791">
        <f t="shared" si="63"/>
        <v>361.9896</v>
      </c>
      <c r="AD1791">
        <v>200127172</v>
      </c>
      <c r="AE1791" t="s">
        <v>656</v>
      </c>
      <c r="AF1791" s="4">
        <f t="shared" si="64"/>
        <v>361.9896</v>
      </c>
      <c r="AG1791" t="s">
        <v>1146</v>
      </c>
      <c r="AH1791" t="s">
        <v>1123</v>
      </c>
      <c r="AJ1791" t="s">
        <v>1148</v>
      </c>
      <c r="AK1791" t="s">
        <v>1129</v>
      </c>
      <c r="AL1791">
        <v>340255290</v>
      </c>
      <c r="AM1791" t="s">
        <v>135</v>
      </c>
    </row>
    <row r="1792" spans="1:39" x14ac:dyDescent="0.35">
      <c r="A1792">
        <v>3402</v>
      </c>
      <c r="B1792" t="s">
        <v>259</v>
      </c>
      <c r="C1792">
        <v>2020</v>
      </c>
      <c r="D1792" s="1">
        <v>43831</v>
      </c>
      <c r="E1792">
        <v>5</v>
      </c>
      <c r="F1792">
        <v>200076904</v>
      </c>
      <c r="G1792" t="s">
        <v>120</v>
      </c>
      <c r="H1792">
        <v>81</v>
      </c>
      <c r="I1792">
        <v>71104010</v>
      </c>
      <c r="J1792">
        <v>21021040</v>
      </c>
      <c r="K1792" t="s">
        <v>121</v>
      </c>
      <c r="L1792" s="4">
        <v>2896.02</v>
      </c>
      <c r="M1792" t="s">
        <v>31</v>
      </c>
      <c r="N1792" s="4">
        <v>2896.02</v>
      </c>
      <c r="O1792" t="s">
        <v>31</v>
      </c>
      <c r="R1792" t="s">
        <v>133</v>
      </c>
      <c r="S1792" t="s">
        <v>1131</v>
      </c>
      <c r="T1792">
        <v>107211</v>
      </c>
      <c r="U1792" t="s">
        <v>123</v>
      </c>
      <c r="X1792" t="s">
        <v>259</v>
      </c>
      <c r="Y1792" s="8">
        <v>4501226797</v>
      </c>
      <c r="Z1792">
        <v>20200125</v>
      </c>
      <c r="AA1792">
        <f t="shared" si="57"/>
        <v>2896.02</v>
      </c>
      <c r="AB1792">
        <f t="shared" si="62"/>
        <v>463.36320000000001</v>
      </c>
      <c r="AC1792">
        <f t="shared" si="63"/>
        <v>3359.3832000000002</v>
      </c>
      <c r="AD1792">
        <v>200127172</v>
      </c>
      <c r="AE1792" t="s">
        <v>657</v>
      </c>
      <c r="AF1792" s="4">
        <f t="shared" si="64"/>
        <v>3359.3832000000002</v>
      </c>
      <c r="AG1792" t="s">
        <v>1146</v>
      </c>
      <c r="AH1792" t="s">
        <v>1123</v>
      </c>
      <c r="AJ1792" t="s">
        <v>1148</v>
      </c>
      <c r="AK1792" t="s">
        <v>1129</v>
      </c>
      <c r="AL1792">
        <v>340255290</v>
      </c>
      <c r="AM1792" t="s">
        <v>135</v>
      </c>
    </row>
    <row r="1793" spans="1:39" x14ac:dyDescent="0.35">
      <c r="A1793">
        <v>3402</v>
      </c>
      <c r="B1793" t="s">
        <v>259</v>
      </c>
      <c r="C1793">
        <v>2020</v>
      </c>
      <c r="D1793" s="1">
        <v>43831</v>
      </c>
      <c r="E1793">
        <v>7</v>
      </c>
      <c r="F1793">
        <v>200076904</v>
      </c>
      <c r="G1793" t="s">
        <v>120</v>
      </c>
      <c r="H1793">
        <v>81</v>
      </c>
      <c r="I1793">
        <v>71104010</v>
      </c>
      <c r="J1793">
        <v>21021040</v>
      </c>
      <c r="K1793" t="s">
        <v>121</v>
      </c>
      <c r="L1793" s="4">
        <v>1648.02</v>
      </c>
      <c r="M1793" t="s">
        <v>31</v>
      </c>
      <c r="N1793" s="4">
        <v>1648.02</v>
      </c>
      <c r="O1793" t="s">
        <v>31</v>
      </c>
      <c r="R1793" t="s">
        <v>133</v>
      </c>
      <c r="S1793" t="s">
        <v>1131</v>
      </c>
      <c r="T1793">
        <v>107211</v>
      </c>
      <c r="U1793" t="s">
        <v>123</v>
      </c>
      <c r="X1793" t="s">
        <v>259</v>
      </c>
      <c r="Y1793" s="8">
        <v>4501226797</v>
      </c>
      <c r="Z1793">
        <v>20200125</v>
      </c>
      <c r="AA1793">
        <f t="shared" si="57"/>
        <v>1648.02</v>
      </c>
      <c r="AB1793">
        <f t="shared" si="62"/>
        <v>263.6832</v>
      </c>
      <c r="AC1793">
        <f t="shared" si="63"/>
        <v>1911.7031999999999</v>
      </c>
      <c r="AD1793">
        <v>200127172</v>
      </c>
      <c r="AE1793" t="s">
        <v>658</v>
      </c>
      <c r="AF1793" s="4">
        <f t="shared" si="64"/>
        <v>1911.7031999999999</v>
      </c>
      <c r="AG1793" t="s">
        <v>1146</v>
      </c>
      <c r="AH1793" t="s">
        <v>1123</v>
      </c>
      <c r="AJ1793" t="s">
        <v>1148</v>
      </c>
      <c r="AK1793" t="s">
        <v>1129</v>
      </c>
      <c r="AL1793">
        <v>340255290</v>
      </c>
      <c r="AM1793" t="s">
        <v>135</v>
      </c>
    </row>
    <row r="1794" spans="1:39" x14ac:dyDescent="0.35">
      <c r="A1794">
        <v>3402</v>
      </c>
      <c r="B1794" t="s">
        <v>259</v>
      </c>
      <c r="C1794">
        <v>2020</v>
      </c>
      <c r="D1794" s="1">
        <v>43831</v>
      </c>
      <c r="E1794">
        <v>9</v>
      </c>
      <c r="F1794">
        <v>200076904</v>
      </c>
      <c r="G1794" t="s">
        <v>120</v>
      </c>
      <c r="H1794">
        <v>81</v>
      </c>
      <c r="I1794">
        <v>71104010</v>
      </c>
      <c r="J1794">
        <v>21021040</v>
      </c>
      <c r="K1794" t="s">
        <v>121</v>
      </c>
      <c r="L1794" s="4">
        <v>712.03</v>
      </c>
      <c r="M1794" t="s">
        <v>31</v>
      </c>
      <c r="N1794" s="4">
        <v>712.03</v>
      </c>
      <c r="O1794" t="s">
        <v>31</v>
      </c>
      <c r="R1794" t="s">
        <v>133</v>
      </c>
      <c r="S1794" t="s">
        <v>1131</v>
      </c>
      <c r="T1794">
        <v>107211</v>
      </c>
      <c r="U1794" t="s">
        <v>123</v>
      </c>
      <c r="X1794" t="s">
        <v>259</v>
      </c>
      <c r="Y1794" s="8">
        <v>4501226797</v>
      </c>
      <c r="Z1794">
        <v>20200125</v>
      </c>
      <c r="AA1794">
        <f t="shared" si="57"/>
        <v>712.03</v>
      </c>
      <c r="AB1794">
        <f t="shared" si="62"/>
        <v>113.9248</v>
      </c>
      <c r="AC1794">
        <f t="shared" si="63"/>
        <v>825.95479999999998</v>
      </c>
      <c r="AD1794">
        <v>200127172</v>
      </c>
      <c r="AE1794" t="s">
        <v>659</v>
      </c>
      <c r="AF1794" s="4">
        <f t="shared" si="64"/>
        <v>825.95479999999998</v>
      </c>
      <c r="AG1794" t="s">
        <v>1146</v>
      </c>
      <c r="AH1794" t="s">
        <v>1123</v>
      </c>
      <c r="AJ1794" t="s">
        <v>1148</v>
      </c>
      <c r="AK1794" t="s">
        <v>1129</v>
      </c>
      <c r="AL1794">
        <v>340255290</v>
      </c>
      <c r="AM1794" t="s">
        <v>135</v>
      </c>
    </row>
    <row r="1795" spans="1:39" x14ac:dyDescent="0.35">
      <c r="A1795">
        <v>3402</v>
      </c>
      <c r="B1795" t="s">
        <v>259</v>
      </c>
      <c r="C1795">
        <v>2020</v>
      </c>
      <c r="D1795" s="1">
        <v>43831</v>
      </c>
      <c r="E1795">
        <v>11</v>
      </c>
      <c r="F1795">
        <v>200076904</v>
      </c>
      <c r="G1795" t="s">
        <v>120</v>
      </c>
      <c r="H1795">
        <v>81</v>
      </c>
      <c r="I1795">
        <v>71104010</v>
      </c>
      <c r="J1795">
        <v>21021040</v>
      </c>
      <c r="K1795" t="s">
        <v>121</v>
      </c>
      <c r="L1795" s="4">
        <v>1024.03</v>
      </c>
      <c r="M1795" t="s">
        <v>31</v>
      </c>
      <c r="N1795" s="4">
        <v>1024.03</v>
      </c>
      <c r="O1795" t="s">
        <v>31</v>
      </c>
      <c r="R1795" t="s">
        <v>133</v>
      </c>
      <c r="S1795" t="s">
        <v>1131</v>
      </c>
      <c r="T1795">
        <v>107211</v>
      </c>
      <c r="U1795" t="s">
        <v>123</v>
      </c>
      <c r="X1795" t="s">
        <v>259</v>
      </c>
      <c r="Y1795" s="8">
        <v>4501226797</v>
      </c>
      <c r="Z1795">
        <v>20200125</v>
      </c>
      <c r="AA1795">
        <f t="shared" si="57"/>
        <v>1024.03</v>
      </c>
      <c r="AB1795">
        <f t="shared" si="62"/>
        <v>163.84479999999999</v>
      </c>
      <c r="AC1795">
        <f t="shared" si="63"/>
        <v>1187.8748000000001</v>
      </c>
      <c r="AD1795">
        <v>200127172</v>
      </c>
      <c r="AE1795" t="s">
        <v>660</v>
      </c>
      <c r="AF1795" s="4">
        <f t="shared" si="64"/>
        <v>1187.8748000000001</v>
      </c>
      <c r="AG1795" t="s">
        <v>1146</v>
      </c>
      <c r="AH1795" t="s">
        <v>1123</v>
      </c>
      <c r="AJ1795" t="s">
        <v>1148</v>
      </c>
      <c r="AK1795" t="s">
        <v>1129</v>
      </c>
      <c r="AL1795">
        <v>340255290</v>
      </c>
      <c r="AM1795" t="s">
        <v>135</v>
      </c>
    </row>
    <row r="1796" spans="1:39" x14ac:dyDescent="0.35">
      <c r="A1796">
        <v>3402</v>
      </c>
      <c r="B1796" t="s">
        <v>259</v>
      </c>
      <c r="C1796">
        <v>2020</v>
      </c>
      <c r="D1796" s="1">
        <v>43831</v>
      </c>
      <c r="E1796">
        <v>13</v>
      </c>
      <c r="F1796">
        <v>200076904</v>
      </c>
      <c r="G1796" t="s">
        <v>120</v>
      </c>
      <c r="H1796">
        <v>81</v>
      </c>
      <c r="I1796">
        <v>71104010</v>
      </c>
      <c r="J1796">
        <v>21021040</v>
      </c>
      <c r="K1796" t="s">
        <v>121</v>
      </c>
      <c r="L1796" s="4">
        <v>1600.05</v>
      </c>
      <c r="M1796" t="s">
        <v>31</v>
      </c>
      <c r="N1796" s="4">
        <v>1600.05</v>
      </c>
      <c r="O1796" t="s">
        <v>31</v>
      </c>
      <c r="R1796" t="s">
        <v>133</v>
      </c>
      <c r="S1796" t="s">
        <v>1131</v>
      </c>
      <c r="T1796">
        <v>107211</v>
      </c>
      <c r="U1796" t="s">
        <v>123</v>
      </c>
      <c r="X1796" t="s">
        <v>259</v>
      </c>
      <c r="Y1796" s="8">
        <v>4501226797</v>
      </c>
      <c r="Z1796">
        <v>20200125</v>
      </c>
      <c r="AA1796">
        <f t="shared" si="57"/>
        <v>1600.05</v>
      </c>
      <c r="AB1796">
        <f t="shared" si="62"/>
        <v>256.00799999999998</v>
      </c>
      <c r="AC1796">
        <f t="shared" si="63"/>
        <v>1856.058</v>
      </c>
      <c r="AD1796">
        <v>200127172</v>
      </c>
      <c r="AE1796" t="s">
        <v>661</v>
      </c>
      <c r="AF1796" s="4">
        <f t="shared" si="64"/>
        <v>1856.058</v>
      </c>
      <c r="AG1796" t="s">
        <v>1146</v>
      </c>
      <c r="AH1796" t="s">
        <v>1123</v>
      </c>
      <c r="AJ1796" t="s">
        <v>1148</v>
      </c>
      <c r="AK1796" t="s">
        <v>1129</v>
      </c>
      <c r="AL1796">
        <v>340255290</v>
      </c>
      <c r="AM1796" t="s">
        <v>135</v>
      </c>
    </row>
    <row r="1797" spans="1:39" x14ac:dyDescent="0.35">
      <c r="A1797">
        <v>3402</v>
      </c>
      <c r="B1797" t="s">
        <v>259</v>
      </c>
      <c r="C1797">
        <v>2020</v>
      </c>
      <c r="D1797" s="1">
        <v>43831</v>
      </c>
      <c r="E1797">
        <v>15</v>
      </c>
      <c r="F1797">
        <v>200076904</v>
      </c>
      <c r="G1797" t="s">
        <v>120</v>
      </c>
      <c r="H1797">
        <v>81</v>
      </c>
      <c r="I1797">
        <v>71104010</v>
      </c>
      <c r="J1797">
        <v>21021040</v>
      </c>
      <c r="K1797" t="s">
        <v>121</v>
      </c>
      <c r="L1797" s="4">
        <v>1248.02</v>
      </c>
      <c r="M1797" t="s">
        <v>31</v>
      </c>
      <c r="N1797" s="4">
        <v>1248.02</v>
      </c>
      <c r="O1797" t="s">
        <v>31</v>
      </c>
      <c r="R1797" t="s">
        <v>133</v>
      </c>
      <c r="S1797" t="s">
        <v>1131</v>
      </c>
      <c r="T1797">
        <v>107211</v>
      </c>
      <c r="U1797" t="s">
        <v>123</v>
      </c>
      <c r="X1797" t="s">
        <v>259</v>
      </c>
      <c r="Y1797" s="8">
        <v>4501226797</v>
      </c>
      <c r="Z1797">
        <v>20200125</v>
      </c>
      <c r="AA1797">
        <f t="shared" si="57"/>
        <v>1248.02</v>
      </c>
      <c r="AB1797">
        <f t="shared" si="62"/>
        <v>199.6832</v>
      </c>
      <c r="AC1797">
        <f t="shared" si="63"/>
        <v>1447.7031999999999</v>
      </c>
      <c r="AD1797">
        <v>200127172</v>
      </c>
      <c r="AE1797" t="s">
        <v>662</v>
      </c>
      <c r="AF1797" s="4">
        <f t="shared" si="64"/>
        <v>1447.7031999999999</v>
      </c>
      <c r="AG1797" t="s">
        <v>1146</v>
      </c>
      <c r="AH1797" t="s">
        <v>1123</v>
      </c>
      <c r="AJ1797" t="s">
        <v>1148</v>
      </c>
      <c r="AK1797" t="s">
        <v>1129</v>
      </c>
      <c r="AL1797">
        <v>340255290</v>
      </c>
      <c r="AM1797" t="s">
        <v>135</v>
      </c>
    </row>
    <row r="1798" spans="1:39" x14ac:dyDescent="0.35">
      <c r="A1798">
        <v>3402</v>
      </c>
      <c r="B1798" t="s">
        <v>259</v>
      </c>
      <c r="C1798">
        <v>2020</v>
      </c>
      <c r="D1798" s="1">
        <v>43831</v>
      </c>
      <c r="E1798">
        <v>17</v>
      </c>
      <c r="F1798">
        <v>200076904</v>
      </c>
      <c r="G1798" t="s">
        <v>120</v>
      </c>
      <c r="H1798">
        <v>81</v>
      </c>
      <c r="I1798">
        <v>71104010</v>
      </c>
      <c r="J1798">
        <v>21021040</v>
      </c>
      <c r="K1798" t="s">
        <v>121</v>
      </c>
      <c r="L1798" s="4">
        <v>2360</v>
      </c>
      <c r="M1798" t="s">
        <v>31</v>
      </c>
      <c r="N1798" s="4">
        <v>2360</v>
      </c>
      <c r="O1798" t="s">
        <v>31</v>
      </c>
      <c r="R1798" t="s">
        <v>133</v>
      </c>
      <c r="S1798" t="s">
        <v>1131</v>
      </c>
      <c r="T1798">
        <v>107211</v>
      </c>
      <c r="U1798" t="s">
        <v>123</v>
      </c>
      <c r="X1798" t="s">
        <v>259</v>
      </c>
      <c r="Y1798" s="8">
        <v>4501226797</v>
      </c>
      <c r="Z1798">
        <v>20200125</v>
      </c>
      <c r="AA1798">
        <f t="shared" si="57"/>
        <v>2360</v>
      </c>
      <c r="AB1798">
        <f t="shared" si="62"/>
        <v>377.6</v>
      </c>
      <c r="AC1798">
        <f t="shared" si="63"/>
        <v>2737.6</v>
      </c>
      <c r="AD1798">
        <v>200127172</v>
      </c>
      <c r="AE1798" t="s">
        <v>663</v>
      </c>
      <c r="AF1798" s="4">
        <f t="shared" si="64"/>
        <v>2737.6</v>
      </c>
      <c r="AG1798" t="s">
        <v>1146</v>
      </c>
      <c r="AH1798" t="s">
        <v>1123</v>
      </c>
      <c r="AJ1798" t="s">
        <v>1148</v>
      </c>
      <c r="AK1798" t="s">
        <v>1129</v>
      </c>
      <c r="AL1798">
        <v>340255290</v>
      </c>
      <c r="AM1798" t="s">
        <v>135</v>
      </c>
    </row>
    <row r="1799" spans="1:39" x14ac:dyDescent="0.35">
      <c r="A1799">
        <v>3402</v>
      </c>
      <c r="B1799" t="s">
        <v>259</v>
      </c>
      <c r="C1799">
        <v>2020</v>
      </c>
      <c r="D1799" s="1">
        <v>43831</v>
      </c>
      <c r="E1799">
        <v>19</v>
      </c>
      <c r="F1799">
        <v>200076904</v>
      </c>
      <c r="G1799" t="s">
        <v>120</v>
      </c>
      <c r="H1799">
        <v>81</v>
      </c>
      <c r="I1799">
        <v>71104010</v>
      </c>
      <c r="J1799">
        <v>21021040</v>
      </c>
      <c r="K1799" t="s">
        <v>121</v>
      </c>
      <c r="L1799" s="4">
        <v>1648.02</v>
      </c>
      <c r="M1799" t="s">
        <v>31</v>
      </c>
      <c r="N1799" s="4">
        <v>1648.02</v>
      </c>
      <c r="O1799" t="s">
        <v>31</v>
      </c>
      <c r="R1799" t="s">
        <v>133</v>
      </c>
      <c r="S1799" t="s">
        <v>1131</v>
      </c>
      <c r="T1799">
        <v>107211</v>
      </c>
      <c r="U1799" t="s">
        <v>123</v>
      </c>
      <c r="X1799" t="s">
        <v>259</v>
      </c>
      <c r="Y1799" s="8">
        <v>4501226797</v>
      </c>
      <c r="Z1799">
        <v>20200125</v>
      </c>
      <c r="AA1799">
        <f t="shared" si="57"/>
        <v>1648.02</v>
      </c>
      <c r="AB1799">
        <f t="shared" si="62"/>
        <v>263.6832</v>
      </c>
      <c r="AC1799">
        <f t="shared" si="63"/>
        <v>1911.7031999999999</v>
      </c>
      <c r="AD1799">
        <v>200127172</v>
      </c>
      <c r="AE1799" t="s">
        <v>664</v>
      </c>
      <c r="AF1799" s="4">
        <f t="shared" si="64"/>
        <v>1911.7031999999999</v>
      </c>
      <c r="AG1799" t="s">
        <v>1146</v>
      </c>
      <c r="AH1799" t="s">
        <v>1123</v>
      </c>
      <c r="AJ1799" t="s">
        <v>1148</v>
      </c>
      <c r="AK1799" t="s">
        <v>1129</v>
      </c>
      <c r="AL1799">
        <v>340255290</v>
      </c>
      <c r="AM1799" t="s">
        <v>135</v>
      </c>
    </row>
    <row r="1800" spans="1:39" x14ac:dyDescent="0.35">
      <c r="A1800">
        <v>3402</v>
      </c>
      <c r="B1800" t="s">
        <v>259</v>
      </c>
      <c r="C1800">
        <v>2020</v>
      </c>
      <c r="D1800" s="1">
        <v>43831</v>
      </c>
      <c r="E1800">
        <v>21</v>
      </c>
      <c r="F1800">
        <v>200076904</v>
      </c>
      <c r="G1800" t="s">
        <v>120</v>
      </c>
      <c r="H1800">
        <v>81</v>
      </c>
      <c r="I1800">
        <v>71104010</v>
      </c>
      <c r="J1800">
        <v>21021040</v>
      </c>
      <c r="K1800" t="s">
        <v>121</v>
      </c>
      <c r="L1800" s="4">
        <v>1200.05</v>
      </c>
      <c r="M1800" t="s">
        <v>31</v>
      </c>
      <c r="N1800" s="4">
        <v>1200.05</v>
      </c>
      <c r="O1800" t="s">
        <v>31</v>
      </c>
      <c r="R1800" t="s">
        <v>133</v>
      </c>
      <c r="S1800" t="s">
        <v>1131</v>
      </c>
      <c r="T1800">
        <v>107211</v>
      </c>
      <c r="U1800" t="s">
        <v>123</v>
      </c>
      <c r="X1800" t="s">
        <v>259</v>
      </c>
      <c r="Y1800" s="8">
        <v>4501226797</v>
      </c>
      <c r="Z1800">
        <v>20200125</v>
      </c>
      <c r="AA1800">
        <f t="shared" si="57"/>
        <v>1200.05</v>
      </c>
      <c r="AB1800">
        <f t="shared" si="62"/>
        <v>192.00800000000001</v>
      </c>
      <c r="AC1800">
        <f t="shared" si="63"/>
        <v>1392.058</v>
      </c>
      <c r="AD1800">
        <v>200127172</v>
      </c>
      <c r="AE1800" t="s">
        <v>665</v>
      </c>
      <c r="AF1800" s="4">
        <f t="shared" si="64"/>
        <v>1392.058</v>
      </c>
      <c r="AG1800" t="s">
        <v>1146</v>
      </c>
      <c r="AH1800" t="s">
        <v>1123</v>
      </c>
      <c r="AJ1800" t="s">
        <v>1148</v>
      </c>
      <c r="AK1800" t="s">
        <v>1129</v>
      </c>
      <c r="AL1800">
        <v>340255290</v>
      </c>
      <c r="AM1800" t="s">
        <v>135</v>
      </c>
    </row>
    <row r="1801" spans="1:39" x14ac:dyDescent="0.35">
      <c r="A1801">
        <v>3402</v>
      </c>
      <c r="B1801" t="s">
        <v>259</v>
      </c>
      <c r="C1801">
        <v>2020</v>
      </c>
      <c r="D1801" s="1">
        <v>43831</v>
      </c>
      <c r="E1801">
        <v>23</v>
      </c>
      <c r="F1801">
        <v>200076904</v>
      </c>
      <c r="G1801" t="s">
        <v>120</v>
      </c>
      <c r="H1801">
        <v>81</v>
      </c>
      <c r="I1801">
        <v>71104010</v>
      </c>
      <c r="J1801">
        <v>21021040</v>
      </c>
      <c r="K1801" t="s">
        <v>121</v>
      </c>
      <c r="L1801" s="4">
        <v>1112.03</v>
      </c>
      <c r="M1801" t="s">
        <v>31</v>
      </c>
      <c r="N1801" s="4">
        <v>1112.03</v>
      </c>
      <c r="O1801" t="s">
        <v>31</v>
      </c>
      <c r="R1801" t="s">
        <v>133</v>
      </c>
      <c r="S1801" t="s">
        <v>1131</v>
      </c>
      <c r="T1801">
        <v>107211</v>
      </c>
      <c r="U1801" t="s">
        <v>123</v>
      </c>
      <c r="X1801" t="s">
        <v>259</v>
      </c>
      <c r="Y1801" s="8">
        <v>4501226797</v>
      </c>
      <c r="Z1801">
        <v>20200125</v>
      </c>
      <c r="AA1801">
        <f t="shared" si="57"/>
        <v>1112.03</v>
      </c>
      <c r="AB1801">
        <f t="shared" si="62"/>
        <v>177.9248</v>
      </c>
      <c r="AC1801">
        <f t="shared" si="63"/>
        <v>1289.9548</v>
      </c>
      <c r="AD1801">
        <v>200127172</v>
      </c>
      <c r="AE1801" t="s">
        <v>666</v>
      </c>
      <c r="AF1801" s="4">
        <f t="shared" si="64"/>
        <v>1289.9548</v>
      </c>
      <c r="AG1801" t="s">
        <v>1146</v>
      </c>
      <c r="AH1801" t="s">
        <v>1123</v>
      </c>
      <c r="AJ1801" t="s">
        <v>1148</v>
      </c>
      <c r="AK1801" t="s">
        <v>1129</v>
      </c>
      <c r="AL1801">
        <v>340255290</v>
      </c>
      <c r="AM1801" t="s">
        <v>135</v>
      </c>
    </row>
    <row r="1802" spans="1:39" x14ac:dyDescent="0.35">
      <c r="A1802">
        <v>3402</v>
      </c>
      <c r="B1802" t="s">
        <v>259</v>
      </c>
      <c r="C1802">
        <v>2020</v>
      </c>
      <c r="D1802" s="1">
        <v>43831</v>
      </c>
      <c r="E1802">
        <v>25</v>
      </c>
      <c r="F1802">
        <v>200076904</v>
      </c>
      <c r="G1802" t="s">
        <v>120</v>
      </c>
      <c r="H1802">
        <v>81</v>
      </c>
      <c r="I1802">
        <v>71104010</v>
      </c>
      <c r="J1802">
        <v>21021040</v>
      </c>
      <c r="K1802" t="s">
        <v>121</v>
      </c>
      <c r="L1802" s="4">
        <v>1024.03</v>
      </c>
      <c r="M1802" t="s">
        <v>31</v>
      </c>
      <c r="N1802" s="4">
        <v>1024.03</v>
      </c>
      <c r="O1802" t="s">
        <v>31</v>
      </c>
      <c r="R1802" t="s">
        <v>133</v>
      </c>
      <c r="S1802" t="s">
        <v>1131</v>
      </c>
      <c r="T1802">
        <v>107211</v>
      </c>
      <c r="U1802" t="s">
        <v>123</v>
      </c>
      <c r="X1802" t="s">
        <v>259</v>
      </c>
      <c r="Y1802" s="8">
        <v>4501226797</v>
      </c>
      <c r="Z1802">
        <v>20200125</v>
      </c>
      <c r="AA1802">
        <f t="shared" si="57"/>
        <v>1024.03</v>
      </c>
      <c r="AB1802">
        <f t="shared" si="62"/>
        <v>163.84479999999999</v>
      </c>
      <c r="AC1802">
        <f t="shared" si="63"/>
        <v>1187.8748000000001</v>
      </c>
      <c r="AD1802">
        <v>200127172</v>
      </c>
      <c r="AE1802" t="s">
        <v>667</v>
      </c>
      <c r="AF1802" s="4">
        <f t="shared" si="64"/>
        <v>1187.8748000000001</v>
      </c>
      <c r="AG1802" t="s">
        <v>1146</v>
      </c>
      <c r="AH1802" t="s">
        <v>1123</v>
      </c>
      <c r="AJ1802" t="s">
        <v>1148</v>
      </c>
      <c r="AK1802" t="s">
        <v>1129</v>
      </c>
      <c r="AL1802">
        <v>340255290</v>
      </c>
      <c r="AM1802" t="s">
        <v>135</v>
      </c>
    </row>
    <row r="1803" spans="1:39" x14ac:dyDescent="0.35">
      <c r="A1803">
        <v>3402</v>
      </c>
      <c r="B1803" t="s">
        <v>259</v>
      </c>
      <c r="C1803">
        <v>2020</v>
      </c>
      <c r="D1803" s="1">
        <v>43831</v>
      </c>
      <c r="E1803">
        <v>27</v>
      </c>
      <c r="F1803">
        <v>200076904</v>
      </c>
      <c r="G1803" t="s">
        <v>120</v>
      </c>
      <c r="H1803">
        <v>81</v>
      </c>
      <c r="I1803">
        <v>71104010</v>
      </c>
      <c r="J1803">
        <v>21021040</v>
      </c>
      <c r="K1803" t="s">
        <v>121</v>
      </c>
      <c r="L1803" s="4">
        <v>2360</v>
      </c>
      <c r="M1803" t="s">
        <v>31</v>
      </c>
      <c r="N1803" s="4">
        <v>2360</v>
      </c>
      <c r="O1803" t="s">
        <v>31</v>
      </c>
      <c r="R1803" t="s">
        <v>133</v>
      </c>
      <c r="S1803" t="s">
        <v>1131</v>
      </c>
      <c r="T1803">
        <v>107211</v>
      </c>
      <c r="U1803" t="s">
        <v>123</v>
      </c>
      <c r="X1803" t="s">
        <v>259</v>
      </c>
      <c r="Y1803" s="8">
        <v>4501226797</v>
      </c>
      <c r="Z1803">
        <v>20200125</v>
      </c>
      <c r="AA1803">
        <f t="shared" si="57"/>
        <v>2360</v>
      </c>
      <c r="AB1803">
        <f t="shared" si="62"/>
        <v>377.6</v>
      </c>
      <c r="AC1803">
        <f t="shared" si="63"/>
        <v>2737.6</v>
      </c>
      <c r="AD1803">
        <v>200127172</v>
      </c>
      <c r="AE1803" t="s">
        <v>668</v>
      </c>
      <c r="AF1803" s="4">
        <f t="shared" si="64"/>
        <v>2737.6</v>
      </c>
      <c r="AG1803" t="s">
        <v>1146</v>
      </c>
      <c r="AH1803" t="s">
        <v>1123</v>
      </c>
      <c r="AJ1803" t="s">
        <v>1148</v>
      </c>
      <c r="AK1803" t="s">
        <v>1129</v>
      </c>
      <c r="AL1803">
        <v>340255290</v>
      </c>
      <c r="AM1803" t="s">
        <v>135</v>
      </c>
    </row>
    <row r="1804" spans="1:39" x14ac:dyDescent="0.35">
      <c r="A1804">
        <v>3402</v>
      </c>
      <c r="B1804" t="s">
        <v>259</v>
      </c>
      <c r="C1804">
        <v>2020</v>
      </c>
      <c r="D1804" s="1">
        <v>43831</v>
      </c>
      <c r="E1804">
        <v>29</v>
      </c>
      <c r="F1804">
        <v>200076904</v>
      </c>
      <c r="G1804" t="s">
        <v>120</v>
      </c>
      <c r="H1804">
        <v>81</v>
      </c>
      <c r="I1804">
        <v>71104010</v>
      </c>
      <c r="J1804">
        <v>21021040</v>
      </c>
      <c r="K1804" t="s">
        <v>121</v>
      </c>
      <c r="L1804" s="4">
        <v>2896.02</v>
      </c>
      <c r="M1804" t="s">
        <v>31</v>
      </c>
      <c r="N1804" s="4">
        <v>2896.02</v>
      </c>
      <c r="O1804" t="s">
        <v>31</v>
      </c>
      <c r="R1804" t="s">
        <v>133</v>
      </c>
      <c r="S1804" t="s">
        <v>1131</v>
      </c>
      <c r="T1804">
        <v>107211</v>
      </c>
      <c r="U1804" t="s">
        <v>123</v>
      </c>
      <c r="X1804" t="s">
        <v>259</v>
      </c>
      <c r="Y1804" s="8">
        <v>4501226797</v>
      </c>
      <c r="Z1804">
        <v>20200125</v>
      </c>
      <c r="AA1804">
        <f t="shared" si="57"/>
        <v>2896.02</v>
      </c>
      <c r="AB1804">
        <f t="shared" si="62"/>
        <v>463.36320000000001</v>
      </c>
      <c r="AC1804">
        <f t="shared" si="63"/>
        <v>3359.3832000000002</v>
      </c>
      <c r="AD1804">
        <v>200127172</v>
      </c>
      <c r="AE1804" t="s">
        <v>669</v>
      </c>
      <c r="AF1804" s="4">
        <f t="shared" si="64"/>
        <v>3359.3832000000002</v>
      </c>
      <c r="AG1804" t="s">
        <v>1146</v>
      </c>
      <c r="AH1804" t="s">
        <v>1123</v>
      </c>
      <c r="AJ1804" t="s">
        <v>1148</v>
      </c>
      <c r="AK1804" t="s">
        <v>1129</v>
      </c>
      <c r="AL1804">
        <v>340255290</v>
      </c>
      <c r="AM1804" t="s">
        <v>135</v>
      </c>
    </row>
    <row r="1805" spans="1:39" x14ac:dyDescent="0.35">
      <c r="A1805">
        <v>3402</v>
      </c>
      <c r="B1805" t="s">
        <v>259</v>
      </c>
      <c r="C1805">
        <v>2020</v>
      </c>
      <c r="D1805" s="1">
        <v>43831</v>
      </c>
      <c r="E1805">
        <v>31</v>
      </c>
      <c r="F1805">
        <v>200076904</v>
      </c>
      <c r="G1805" t="s">
        <v>120</v>
      </c>
      <c r="H1805">
        <v>81</v>
      </c>
      <c r="I1805">
        <v>71104010</v>
      </c>
      <c r="J1805">
        <v>21021040</v>
      </c>
      <c r="K1805" t="s">
        <v>121</v>
      </c>
      <c r="L1805" s="4">
        <v>1648.02</v>
      </c>
      <c r="M1805" t="s">
        <v>31</v>
      </c>
      <c r="N1805" s="4">
        <v>1648.02</v>
      </c>
      <c r="O1805" t="s">
        <v>31</v>
      </c>
      <c r="R1805" t="s">
        <v>133</v>
      </c>
      <c r="S1805" t="s">
        <v>1131</v>
      </c>
      <c r="T1805">
        <v>107211</v>
      </c>
      <c r="U1805" t="s">
        <v>123</v>
      </c>
      <c r="X1805" t="s">
        <v>259</v>
      </c>
      <c r="Y1805" s="8">
        <v>4501226797</v>
      </c>
      <c r="Z1805">
        <v>20200125</v>
      </c>
      <c r="AA1805">
        <f t="shared" si="57"/>
        <v>1648.02</v>
      </c>
      <c r="AB1805">
        <f t="shared" si="62"/>
        <v>263.6832</v>
      </c>
      <c r="AC1805">
        <f t="shared" si="63"/>
        <v>1911.7031999999999</v>
      </c>
      <c r="AD1805">
        <v>200127172</v>
      </c>
      <c r="AE1805" t="s">
        <v>670</v>
      </c>
      <c r="AF1805" s="4">
        <f t="shared" si="64"/>
        <v>1911.7031999999999</v>
      </c>
      <c r="AG1805" t="s">
        <v>1146</v>
      </c>
      <c r="AH1805" t="s">
        <v>1123</v>
      </c>
      <c r="AJ1805" t="s">
        <v>1148</v>
      </c>
      <c r="AK1805" t="s">
        <v>1129</v>
      </c>
      <c r="AL1805">
        <v>340255290</v>
      </c>
      <c r="AM1805" t="s">
        <v>135</v>
      </c>
    </row>
    <row r="1806" spans="1:39" x14ac:dyDescent="0.35">
      <c r="A1806">
        <v>3402</v>
      </c>
      <c r="B1806" t="s">
        <v>259</v>
      </c>
      <c r="C1806">
        <v>2020</v>
      </c>
      <c r="D1806" s="1">
        <v>43831</v>
      </c>
      <c r="E1806">
        <v>33</v>
      </c>
      <c r="F1806">
        <v>200076904</v>
      </c>
      <c r="G1806" t="s">
        <v>120</v>
      </c>
      <c r="H1806">
        <v>81</v>
      </c>
      <c r="I1806">
        <v>71104010</v>
      </c>
      <c r="J1806">
        <v>21021040</v>
      </c>
      <c r="K1806" t="s">
        <v>121</v>
      </c>
      <c r="L1806" s="4">
        <v>2760</v>
      </c>
      <c r="M1806" t="s">
        <v>31</v>
      </c>
      <c r="N1806" s="4">
        <v>2760</v>
      </c>
      <c r="O1806" t="s">
        <v>31</v>
      </c>
      <c r="R1806" t="s">
        <v>133</v>
      </c>
      <c r="S1806" t="s">
        <v>1131</v>
      </c>
      <c r="T1806">
        <v>107211</v>
      </c>
      <c r="U1806" t="s">
        <v>123</v>
      </c>
      <c r="X1806" t="s">
        <v>259</v>
      </c>
      <c r="Y1806" s="8">
        <v>4501226797</v>
      </c>
      <c r="Z1806">
        <v>20200125</v>
      </c>
      <c r="AA1806">
        <f t="shared" si="57"/>
        <v>2760</v>
      </c>
      <c r="AB1806">
        <f t="shared" si="62"/>
        <v>441.6</v>
      </c>
      <c r="AC1806">
        <f t="shared" si="63"/>
        <v>3201.6</v>
      </c>
      <c r="AD1806">
        <v>200127172</v>
      </c>
      <c r="AE1806" t="s">
        <v>671</v>
      </c>
      <c r="AF1806" s="4">
        <f t="shared" si="64"/>
        <v>3201.6</v>
      </c>
      <c r="AG1806" t="s">
        <v>1146</v>
      </c>
      <c r="AH1806" t="s">
        <v>1123</v>
      </c>
      <c r="AJ1806" t="s">
        <v>1148</v>
      </c>
      <c r="AK1806" t="s">
        <v>1129</v>
      </c>
      <c r="AL1806">
        <v>340255290</v>
      </c>
      <c r="AM1806" t="s">
        <v>135</v>
      </c>
    </row>
    <row r="1807" spans="1:39" x14ac:dyDescent="0.35">
      <c r="A1807">
        <v>3402</v>
      </c>
      <c r="B1807" t="s">
        <v>259</v>
      </c>
      <c r="C1807">
        <v>2020</v>
      </c>
      <c r="D1807" s="1">
        <v>43831</v>
      </c>
      <c r="E1807">
        <v>35</v>
      </c>
      <c r="F1807">
        <v>200076904</v>
      </c>
      <c r="G1807" t="s">
        <v>120</v>
      </c>
      <c r="H1807">
        <v>81</v>
      </c>
      <c r="I1807">
        <v>71104010</v>
      </c>
      <c r="J1807">
        <v>21021040</v>
      </c>
      <c r="K1807" t="s">
        <v>121</v>
      </c>
      <c r="L1807" s="4">
        <v>2048.02</v>
      </c>
      <c r="M1807" t="s">
        <v>31</v>
      </c>
      <c r="N1807" s="4">
        <v>2048.02</v>
      </c>
      <c r="O1807" t="s">
        <v>31</v>
      </c>
      <c r="R1807" t="s">
        <v>133</v>
      </c>
      <c r="S1807" t="s">
        <v>1131</v>
      </c>
      <c r="T1807">
        <v>107211</v>
      </c>
      <c r="U1807" t="s">
        <v>123</v>
      </c>
      <c r="X1807" t="s">
        <v>259</v>
      </c>
      <c r="Y1807" s="8">
        <v>4501226797</v>
      </c>
      <c r="Z1807">
        <v>20200125</v>
      </c>
      <c r="AA1807">
        <f t="shared" si="57"/>
        <v>2048.02</v>
      </c>
      <c r="AB1807">
        <f t="shared" si="62"/>
        <v>327.6832</v>
      </c>
      <c r="AC1807">
        <f t="shared" si="63"/>
        <v>2375.7031999999999</v>
      </c>
      <c r="AD1807">
        <v>200127172</v>
      </c>
      <c r="AE1807" t="s">
        <v>672</v>
      </c>
      <c r="AF1807" s="4">
        <f t="shared" si="64"/>
        <v>2375.7031999999999</v>
      </c>
      <c r="AG1807" t="s">
        <v>1146</v>
      </c>
      <c r="AH1807" t="s">
        <v>1123</v>
      </c>
      <c r="AJ1807" t="s">
        <v>1148</v>
      </c>
      <c r="AK1807" t="s">
        <v>1129</v>
      </c>
      <c r="AL1807">
        <v>340255290</v>
      </c>
      <c r="AM1807" t="s">
        <v>135</v>
      </c>
    </row>
    <row r="1808" spans="1:39" x14ac:dyDescent="0.35">
      <c r="A1808">
        <v>3402</v>
      </c>
      <c r="B1808" t="s">
        <v>259</v>
      </c>
      <c r="C1808">
        <v>2020</v>
      </c>
      <c r="D1808" s="1">
        <v>43831</v>
      </c>
      <c r="E1808">
        <v>37</v>
      </c>
      <c r="F1808">
        <v>200076904</v>
      </c>
      <c r="G1808" t="s">
        <v>120</v>
      </c>
      <c r="H1808">
        <v>81</v>
      </c>
      <c r="I1808">
        <v>71104010</v>
      </c>
      <c r="J1808">
        <v>21021040</v>
      </c>
      <c r="K1808" t="s">
        <v>121</v>
      </c>
      <c r="L1808" s="4">
        <v>712.03</v>
      </c>
      <c r="M1808" t="s">
        <v>31</v>
      </c>
      <c r="N1808" s="4">
        <v>712.03</v>
      </c>
      <c r="O1808" t="s">
        <v>31</v>
      </c>
      <c r="R1808" t="s">
        <v>133</v>
      </c>
      <c r="S1808" t="s">
        <v>1131</v>
      </c>
      <c r="T1808">
        <v>107211</v>
      </c>
      <c r="U1808" t="s">
        <v>123</v>
      </c>
      <c r="X1808" t="s">
        <v>259</v>
      </c>
      <c r="Y1808" s="8">
        <v>4501226797</v>
      </c>
      <c r="Z1808">
        <v>20200125</v>
      </c>
      <c r="AA1808">
        <f t="shared" si="57"/>
        <v>712.03</v>
      </c>
      <c r="AB1808">
        <f t="shared" si="62"/>
        <v>113.9248</v>
      </c>
      <c r="AC1808">
        <f t="shared" si="63"/>
        <v>825.95479999999998</v>
      </c>
      <c r="AD1808">
        <v>200127172</v>
      </c>
      <c r="AE1808" t="s">
        <v>673</v>
      </c>
      <c r="AF1808" s="4">
        <f t="shared" si="64"/>
        <v>825.95479999999998</v>
      </c>
      <c r="AG1808" t="s">
        <v>1146</v>
      </c>
      <c r="AH1808" t="s">
        <v>1123</v>
      </c>
      <c r="AJ1808" t="s">
        <v>1148</v>
      </c>
      <c r="AK1808" t="s">
        <v>1129</v>
      </c>
      <c r="AL1808">
        <v>340255290</v>
      </c>
      <c r="AM1808" t="s">
        <v>135</v>
      </c>
    </row>
    <row r="1809" spans="1:39" x14ac:dyDescent="0.35">
      <c r="A1809">
        <v>3402</v>
      </c>
      <c r="B1809" t="s">
        <v>259</v>
      </c>
      <c r="C1809">
        <v>2020</v>
      </c>
      <c r="D1809" s="1">
        <v>43831</v>
      </c>
      <c r="E1809">
        <v>39</v>
      </c>
      <c r="F1809">
        <v>200076904</v>
      </c>
      <c r="G1809" t="s">
        <v>120</v>
      </c>
      <c r="H1809">
        <v>81</v>
      </c>
      <c r="I1809">
        <v>71104010</v>
      </c>
      <c r="J1809">
        <v>21021040</v>
      </c>
      <c r="K1809" t="s">
        <v>121</v>
      </c>
      <c r="L1809" s="4">
        <v>1024.03</v>
      </c>
      <c r="M1809" t="s">
        <v>31</v>
      </c>
      <c r="N1809" s="4">
        <v>1024.03</v>
      </c>
      <c r="O1809" t="s">
        <v>31</v>
      </c>
      <c r="R1809" t="s">
        <v>133</v>
      </c>
      <c r="S1809" t="s">
        <v>1131</v>
      </c>
      <c r="T1809">
        <v>107211</v>
      </c>
      <c r="U1809" t="s">
        <v>123</v>
      </c>
      <c r="X1809" t="s">
        <v>259</v>
      </c>
      <c r="Y1809" s="8">
        <v>4501226797</v>
      </c>
      <c r="Z1809">
        <v>20200125</v>
      </c>
      <c r="AA1809">
        <f t="shared" si="57"/>
        <v>1024.03</v>
      </c>
      <c r="AB1809">
        <f t="shared" si="62"/>
        <v>163.84479999999999</v>
      </c>
      <c r="AC1809">
        <f t="shared" si="63"/>
        <v>1187.8748000000001</v>
      </c>
      <c r="AD1809">
        <v>200127172</v>
      </c>
      <c r="AE1809" t="s">
        <v>674</v>
      </c>
      <c r="AF1809" s="4">
        <f t="shared" si="64"/>
        <v>1187.8748000000001</v>
      </c>
      <c r="AG1809" t="s">
        <v>1146</v>
      </c>
      <c r="AH1809" t="s">
        <v>1123</v>
      </c>
      <c r="AJ1809" t="s">
        <v>1148</v>
      </c>
      <c r="AK1809" t="s">
        <v>1129</v>
      </c>
      <c r="AL1809">
        <v>340255290</v>
      </c>
      <c r="AM1809" t="s">
        <v>135</v>
      </c>
    </row>
    <row r="1810" spans="1:39" x14ac:dyDescent="0.35">
      <c r="A1810">
        <v>3402</v>
      </c>
      <c r="B1810" t="s">
        <v>259</v>
      </c>
      <c r="C1810">
        <v>2020</v>
      </c>
      <c r="D1810" s="1">
        <v>43831</v>
      </c>
      <c r="E1810">
        <v>41</v>
      </c>
      <c r="F1810">
        <v>200076904</v>
      </c>
      <c r="G1810" t="s">
        <v>120</v>
      </c>
      <c r="H1810">
        <v>81</v>
      </c>
      <c r="I1810">
        <v>71104010</v>
      </c>
      <c r="J1810">
        <v>21021040</v>
      </c>
      <c r="K1810" t="s">
        <v>121</v>
      </c>
      <c r="L1810" s="4">
        <v>2048.02</v>
      </c>
      <c r="M1810" t="s">
        <v>31</v>
      </c>
      <c r="N1810" s="4">
        <v>2048.02</v>
      </c>
      <c r="O1810" t="s">
        <v>31</v>
      </c>
      <c r="R1810" t="s">
        <v>133</v>
      </c>
      <c r="S1810" t="s">
        <v>1131</v>
      </c>
      <c r="T1810">
        <v>107211</v>
      </c>
      <c r="U1810" t="s">
        <v>123</v>
      </c>
      <c r="X1810" t="s">
        <v>259</v>
      </c>
      <c r="Y1810" s="8">
        <v>4501226797</v>
      </c>
      <c r="Z1810">
        <v>20200125</v>
      </c>
      <c r="AA1810">
        <f t="shared" ref="AA1810:AA1873" si="65">L1810</f>
        <v>2048.02</v>
      </c>
      <c r="AB1810">
        <f t="shared" si="62"/>
        <v>327.6832</v>
      </c>
      <c r="AC1810">
        <f t="shared" si="63"/>
        <v>2375.7031999999999</v>
      </c>
      <c r="AD1810">
        <v>200127172</v>
      </c>
      <c r="AE1810" t="s">
        <v>675</v>
      </c>
      <c r="AF1810" s="4">
        <f t="shared" si="64"/>
        <v>2375.7031999999999</v>
      </c>
      <c r="AG1810" t="s">
        <v>1146</v>
      </c>
      <c r="AH1810" t="s">
        <v>1123</v>
      </c>
      <c r="AJ1810" t="s">
        <v>1148</v>
      </c>
      <c r="AK1810" t="s">
        <v>1129</v>
      </c>
      <c r="AL1810">
        <v>340255290</v>
      </c>
      <c r="AM1810" t="s">
        <v>135</v>
      </c>
    </row>
    <row r="1811" spans="1:39" x14ac:dyDescent="0.35">
      <c r="A1811">
        <v>3402</v>
      </c>
      <c r="B1811" t="s">
        <v>259</v>
      </c>
      <c r="C1811">
        <v>2020</v>
      </c>
      <c r="D1811" s="1">
        <v>43831</v>
      </c>
      <c r="E1811">
        <v>43</v>
      </c>
      <c r="F1811">
        <v>200076904</v>
      </c>
      <c r="G1811" t="s">
        <v>120</v>
      </c>
      <c r="H1811">
        <v>81</v>
      </c>
      <c r="I1811">
        <v>71104010</v>
      </c>
      <c r="J1811">
        <v>21021040</v>
      </c>
      <c r="K1811" t="s">
        <v>121</v>
      </c>
      <c r="L1811" s="4">
        <v>1960</v>
      </c>
      <c r="M1811" t="s">
        <v>31</v>
      </c>
      <c r="N1811" s="4">
        <v>1960</v>
      </c>
      <c r="O1811" t="s">
        <v>31</v>
      </c>
      <c r="R1811" t="s">
        <v>133</v>
      </c>
      <c r="S1811" t="s">
        <v>1131</v>
      </c>
      <c r="T1811">
        <v>107211</v>
      </c>
      <c r="U1811" t="s">
        <v>123</v>
      </c>
      <c r="X1811" t="s">
        <v>259</v>
      </c>
      <c r="Y1811" s="8">
        <v>4501226797</v>
      </c>
      <c r="Z1811">
        <v>20200125</v>
      </c>
      <c r="AA1811">
        <f t="shared" si="65"/>
        <v>1960</v>
      </c>
      <c r="AB1811">
        <f t="shared" si="62"/>
        <v>313.60000000000002</v>
      </c>
      <c r="AC1811">
        <f t="shared" si="63"/>
        <v>2273.6</v>
      </c>
      <c r="AD1811">
        <v>200127172</v>
      </c>
      <c r="AE1811" t="s">
        <v>676</v>
      </c>
      <c r="AF1811" s="4">
        <f t="shared" si="64"/>
        <v>2273.6</v>
      </c>
      <c r="AG1811" t="s">
        <v>1146</v>
      </c>
      <c r="AH1811" t="s">
        <v>1123</v>
      </c>
      <c r="AJ1811" t="s">
        <v>1148</v>
      </c>
      <c r="AK1811" t="s">
        <v>1129</v>
      </c>
      <c r="AL1811">
        <v>340255290</v>
      </c>
      <c r="AM1811" t="s">
        <v>135</v>
      </c>
    </row>
    <row r="1812" spans="1:39" x14ac:dyDescent="0.35">
      <c r="A1812">
        <v>3402</v>
      </c>
      <c r="B1812" t="s">
        <v>259</v>
      </c>
      <c r="C1812">
        <v>2020</v>
      </c>
      <c r="D1812" s="1">
        <v>43831</v>
      </c>
      <c r="E1812">
        <v>45</v>
      </c>
      <c r="F1812">
        <v>200076904</v>
      </c>
      <c r="G1812" t="s">
        <v>120</v>
      </c>
      <c r="H1812">
        <v>81</v>
      </c>
      <c r="I1812">
        <v>71104010</v>
      </c>
      <c r="J1812">
        <v>21021040</v>
      </c>
      <c r="K1812" t="s">
        <v>121</v>
      </c>
      <c r="L1812" s="4">
        <v>3248.02</v>
      </c>
      <c r="M1812" t="s">
        <v>31</v>
      </c>
      <c r="N1812" s="4">
        <v>3248.02</v>
      </c>
      <c r="O1812" t="s">
        <v>31</v>
      </c>
      <c r="R1812" t="s">
        <v>133</v>
      </c>
      <c r="S1812" t="s">
        <v>1131</v>
      </c>
      <c r="T1812">
        <v>107211</v>
      </c>
      <c r="U1812" t="s">
        <v>123</v>
      </c>
      <c r="X1812" t="s">
        <v>259</v>
      </c>
      <c r="Y1812" s="8">
        <v>4501226797</v>
      </c>
      <c r="Z1812">
        <v>20200125</v>
      </c>
      <c r="AA1812">
        <f t="shared" si="65"/>
        <v>3248.02</v>
      </c>
      <c r="AB1812">
        <f t="shared" si="62"/>
        <v>519.68320000000006</v>
      </c>
      <c r="AC1812">
        <f t="shared" si="63"/>
        <v>3767.7031999999999</v>
      </c>
      <c r="AD1812">
        <v>200127172</v>
      </c>
      <c r="AE1812" t="s">
        <v>677</v>
      </c>
      <c r="AF1812" s="4">
        <f t="shared" si="64"/>
        <v>3767.7031999999999</v>
      </c>
      <c r="AG1812" t="s">
        <v>1146</v>
      </c>
      <c r="AH1812" t="s">
        <v>1123</v>
      </c>
      <c r="AJ1812" t="s">
        <v>1148</v>
      </c>
      <c r="AK1812" t="s">
        <v>1129</v>
      </c>
      <c r="AL1812">
        <v>340255290</v>
      </c>
      <c r="AM1812" t="s">
        <v>135</v>
      </c>
    </row>
    <row r="1813" spans="1:39" x14ac:dyDescent="0.35">
      <c r="A1813">
        <v>3402</v>
      </c>
      <c r="B1813" t="s">
        <v>259</v>
      </c>
      <c r="C1813">
        <v>2020</v>
      </c>
      <c r="D1813" s="1">
        <v>43831</v>
      </c>
      <c r="E1813">
        <v>47</v>
      </c>
      <c r="F1813">
        <v>200076904</v>
      </c>
      <c r="G1813" t="s">
        <v>120</v>
      </c>
      <c r="H1813">
        <v>81</v>
      </c>
      <c r="I1813">
        <v>71104010</v>
      </c>
      <c r="J1813">
        <v>21021040</v>
      </c>
      <c r="K1813" t="s">
        <v>121</v>
      </c>
      <c r="L1813" s="4">
        <v>2048.02</v>
      </c>
      <c r="M1813" t="s">
        <v>31</v>
      </c>
      <c r="N1813" s="4">
        <v>2048.02</v>
      </c>
      <c r="O1813" t="s">
        <v>31</v>
      </c>
      <c r="R1813" t="s">
        <v>133</v>
      </c>
      <c r="S1813" t="s">
        <v>1131</v>
      </c>
      <c r="T1813">
        <v>107211</v>
      </c>
      <c r="U1813" t="s">
        <v>123</v>
      </c>
      <c r="X1813" t="s">
        <v>259</v>
      </c>
      <c r="Y1813" s="8">
        <v>4501226797</v>
      </c>
      <c r="Z1813">
        <v>20200125</v>
      </c>
      <c r="AA1813">
        <f t="shared" si="65"/>
        <v>2048.02</v>
      </c>
      <c r="AB1813">
        <f t="shared" si="62"/>
        <v>327.6832</v>
      </c>
      <c r="AC1813">
        <f t="shared" si="63"/>
        <v>2375.7031999999999</v>
      </c>
      <c r="AD1813">
        <v>200127172</v>
      </c>
      <c r="AE1813" t="s">
        <v>678</v>
      </c>
      <c r="AF1813" s="4">
        <f t="shared" si="64"/>
        <v>2375.7031999999999</v>
      </c>
      <c r="AG1813" t="s">
        <v>1146</v>
      </c>
      <c r="AH1813" t="s">
        <v>1123</v>
      </c>
      <c r="AJ1813" t="s">
        <v>1148</v>
      </c>
      <c r="AK1813" t="s">
        <v>1129</v>
      </c>
      <c r="AL1813">
        <v>340255290</v>
      </c>
      <c r="AM1813" t="s">
        <v>135</v>
      </c>
    </row>
    <row r="1814" spans="1:39" x14ac:dyDescent="0.35">
      <c r="A1814">
        <v>3402</v>
      </c>
      <c r="B1814" t="s">
        <v>259</v>
      </c>
      <c r="C1814">
        <v>2020</v>
      </c>
      <c r="D1814" s="1">
        <v>43831</v>
      </c>
      <c r="E1814">
        <v>49</v>
      </c>
      <c r="F1814">
        <v>200076904</v>
      </c>
      <c r="G1814" t="s">
        <v>120</v>
      </c>
      <c r="H1814">
        <v>81</v>
      </c>
      <c r="I1814">
        <v>71104010</v>
      </c>
      <c r="J1814">
        <v>21021040</v>
      </c>
      <c r="K1814" t="s">
        <v>121</v>
      </c>
      <c r="L1814" s="4">
        <v>2760</v>
      </c>
      <c r="M1814" t="s">
        <v>31</v>
      </c>
      <c r="N1814" s="4">
        <v>2760</v>
      </c>
      <c r="O1814" t="s">
        <v>31</v>
      </c>
      <c r="R1814" t="s">
        <v>133</v>
      </c>
      <c r="S1814" t="s">
        <v>1131</v>
      </c>
      <c r="T1814">
        <v>107211</v>
      </c>
      <c r="U1814" t="s">
        <v>123</v>
      </c>
      <c r="X1814" t="s">
        <v>259</v>
      </c>
      <c r="Y1814" s="8">
        <v>4501226797</v>
      </c>
      <c r="Z1814">
        <v>20200125</v>
      </c>
      <c r="AA1814">
        <f t="shared" si="65"/>
        <v>2760</v>
      </c>
      <c r="AB1814">
        <f t="shared" si="62"/>
        <v>441.6</v>
      </c>
      <c r="AC1814">
        <f t="shared" si="63"/>
        <v>3201.6</v>
      </c>
      <c r="AD1814">
        <v>200127172</v>
      </c>
      <c r="AE1814" t="s">
        <v>679</v>
      </c>
      <c r="AF1814" s="4">
        <f t="shared" si="64"/>
        <v>3201.6</v>
      </c>
      <c r="AG1814" t="s">
        <v>1146</v>
      </c>
      <c r="AH1814" t="s">
        <v>1123</v>
      </c>
      <c r="AJ1814" t="s">
        <v>1148</v>
      </c>
      <c r="AK1814" t="s">
        <v>1129</v>
      </c>
      <c r="AL1814">
        <v>340255290</v>
      </c>
      <c r="AM1814" t="s">
        <v>135</v>
      </c>
    </row>
    <row r="1815" spans="1:39" x14ac:dyDescent="0.35">
      <c r="A1815">
        <v>3402</v>
      </c>
      <c r="B1815" t="s">
        <v>259</v>
      </c>
      <c r="C1815">
        <v>2020</v>
      </c>
      <c r="D1815" s="1">
        <v>43831</v>
      </c>
      <c r="E1815">
        <v>1</v>
      </c>
      <c r="F1815">
        <v>200076905</v>
      </c>
      <c r="G1815" t="s">
        <v>120</v>
      </c>
      <c r="H1815">
        <v>81</v>
      </c>
      <c r="I1815">
        <v>71104010</v>
      </c>
      <c r="J1815">
        <v>21021040</v>
      </c>
      <c r="K1815" t="s">
        <v>121</v>
      </c>
      <c r="L1815" s="4">
        <v>304</v>
      </c>
      <c r="M1815" t="s">
        <v>31</v>
      </c>
      <c r="N1815" s="4">
        <v>304</v>
      </c>
      <c r="O1815" t="s">
        <v>31</v>
      </c>
      <c r="R1815" t="s">
        <v>133</v>
      </c>
      <c r="S1815" t="s">
        <v>1131</v>
      </c>
      <c r="T1815">
        <v>107211</v>
      </c>
      <c r="U1815" t="s">
        <v>123</v>
      </c>
      <c r="X1815" t="s">
        <v>259</v>
      </c>
      <c r="Y1815" s="8">
        <v>4501226797</v>
      </c>
      <c r="Z1815">
        <v>20200125</v>
      </c>
      <c r="AA1815">
        <f t="shared" si="65"/>
        <v>304</v>
      </c>
      <c r="AB1815">
        <f t="shared" si="62"/>
        <v>48.64</v>
      </c>
      <c r="AC1815">
        <f t="shared" si="63"/>
        <v>352.64</v>
      </c>
      <c r="AD1815">
        <v>200127172</v>
      </c>
      <c r="AE1815" t="s">
        <v>680</v>
      </c>
      <c r="AF1815" s="4">
        <f t="shared" si="64"/>
        <v>352.64</v>
      </c>
      <c r="AG1815" t="s">
        <v>1146</v>
      </c>
      <c r="AH1815" t="s">
        <v>1123</v>
      </c>
      <c r="AJ1815" t="s">
        <v>1148</v>
      </c>
      <c r="AK1815" t="s">
        <v>1129</v>
      </c>
      <c r="AL1815">
        <v>340255290</v>
      </c>
      <c r="AM1815" t="s">
        <v>135</v>
      </c>
    </row>
    <row r="1816" spans="1:39" x14ac:dyDescent="0.35">
      <c r="A1816">
        <v>3402</v>
      </c>
      <c r="B1816" t="s">
        <v>259</v>
      </c>
      <c r="C1816">
        <v>2020</v>
      </c>
      <c r="D1816" s="1">
        <v>43831</v>
      </c>
      <c r="E1816">
        <v>3</v>
      </c>
      <c r="F1816">
        <v>200076905</v>
      </c>
      <c r="G1816" t="s">
        <v>120</v>
      </c>
      <c r="H1816">
        <v>81</v>
      </c>
      <c r="I1816">
        <v>71104010</v>
      </c>
      <c r="J1816">
        <v>21021040</v>
      </c>
      <c r="K1816" t="s">
        <v>121</v>
      </c>
      <c r="L1816" s="4">
        <v>0.04</v>
      </c>
      <c r="M1816" t="s">
        <v>31</v>
      </c>
      <c r="N1816" s="4">
        <v>0.04</v>
      </c>
      <c r="O1816" t="s">
        <v>31</v>
      </c>
      <c r="R1816" t="s">
        <v>133</v>
      </c>
      <c r="S1816" t="s">
        <v>1131</v>
      </c>
      <c r="T1816">
        <v>107211</v>
      </c>
      <c r="U1816" t="s">
        <v>123</v>
      </c>
      <c r="X1816" t="s">
        <v>259</v>
      </c>
      <c r="Y1816" s="8">
        <v>4501226797</v>
      </c>
      <c r="Z1816">
        <v>20200125</v>
      </c>
      <c r="AA1816">
        <f t="shared" si="65"/>
        <v>0.04</v>
      </c>
      <c r="AB1816">
        <f t="shared" si="62"/>
        <v>6.4000000000000003E-3</v>
      </c>
      <c r="AC1816">
        <f t="shared" si="63"/>
        <v>4.6400000000000004E-2</v>
      </c>
      <c r="AD1816">
        <v>200127172</v>
      </c>
      <c r="AE1816" t="s">
        <v>681</v>
      </c>
      <c r="AF1816" s="4">
        <f t="shared" si="64"/>
        <v>4.6400000000000004E-2</v>
      </c>
      <c r="AG1816" t="s">
        <v>1146</v>
      </c>
      <c r="AH1816" t="s">
        <v>1123</v>
      </c>
      <c r="AJ1816" t="s">
        <v>1148</v>
      </c>
      <c r="AK1816" t="s">
        <v>1129</v>
      </c>
      <c r="AL1816">
        <v>340255290</v>
      </c>
      <c r="AM1816" t="s">
        <v>135</v>
      </c>
    </row>
    <row r="1817" spans="1:39" x14ac:dyDescent="0.35">
      <c r="A1817">
        <v>3402</v>
      </c>
      <c r="B1817" t="s">
        <v>259</v>
      </c>
      <c r="C1817">
        <v>2020</v>
      </c>
      <c r="D1817" s="1">
        <v>43831</v>
      </c>
      <c r="E1817">
        <v>5</v>
      </c>
      <c r="F1817">
        <v>200076905</v>
      </c>
      <c r="G1817" t="s">
        <v>120</v>
      </c>
      <c r="H1817">
        <v>81</v>
      </c>
      <c r="I1817">
        <v>71104010</v>
      </c>
      <c r="J1817">
        <v>21021040</v>
      </c>
      <c r="K1817" t="s">
        <v>121</v>
      </c>
      <c r="L1817" s="4">
        <v>0.04</v>
      </c>
      <c r="M1817" t="s">
        <v>31</v>
      </c>
      <c r="N1817" s="4">
        <v>0.04</v>
      </c>
      <c r="O1817" t="s">
        <v>31</v>
      </c>
      <c r="R1817" t="s">
        <v>133</v>
      </c>
      <c r="S1817" t="s">
        <v>1131</v>
      </c>
      <c r="T1817">
        <v>107211</v>
      </c>
      <c r="U1817" t="s">
        <v>123</v>
      </c>
      <c r="X1817" t="s">
        <v>259</v>
      </c>
      <c r="Y1817" s="8">
        <v>4501226797</v>
      </c>
      <c r="Z1817">
        <v>20200125</v>
      </c>
      <c r="AA1817">
        <f t="shared" si="65"/>
        <v>0.04</v>
      </c>
      <c r="AB1817">
        <f t="shared" si="62"/>
        <v>6.4000000000000003E-3</v>
      </c>
      <c r="AC1817">
        <f t="shared" si="63"/>
        <v>4.6400000000000004E-2</v>
      </c>
      <c r="AD1817">
        <v>200127172</v>
      </c>
      <c r="AE1817" t="s">
        <v>682</v>
      </c>
      <c r="AF1817" s="4">
        <f t="shared" si="64"/>
        <v>4.6400000000000004E-2</v>
      </c>
      <c r="AG1817" t="s">
        <v>1146</v>
      </c>
      <c r="AH1817" t="s">
        <v>1123</v>
      </c>
      <c r="AJ1817" t="s">
        <v>1148</v>
      </c>
      <c r="AK1817" t="s">
        <v>1129</v>
      </c>
      <c r="AL1817">
        <v>340255290</v>
      </c>
      <c r="AM1817" t="s">
        <v>135</v>
      </c>
    </row>
    <row r="1818" spans="1:39" x14ac:dyDescent="0.35">
      <c r="A1818">
        <v>3402</v>
      </c>
      <c r="B1818" t="s">
        <v>259</v>
      </c>
      <c r="C1818">
        <v>2020</v>
      </c>
      <c r="D1818" s="1">
        <v>43831</v>
      </c>
      <c r="E1818">
        <v>7</v>
      </c>
      <c r="F1818">
        <v>200076905</v>
      </c>
      <c r="G1818" t="s">
        <v>120</v>
      </c>
      <c r="H1818">
        <v>81</v>
      </c>
      <c r="I1818">
        <v>71104010</v>
      </c>
      <c r="J1818">
        <v>21021040</v>
      </c>
      <c r="K1818" t="s">
        <v>121</v>
      </c>
      <c r="L1818" s="4">
        <v>304</v>
      </c>
      <c r="M1818" t="s">
        <v>31</v>
      </c>
      <c r="N1818" s="4">
        <v>304</v>
      </c>
      <c r="O1818" t="s">
        <v>31</v>
      </c>
      <c r="R1818" t="s">
        <v>133</v>
      </c>
      <c r="S1818" t="s">
        <v>1131</v>
      </c>
      <c r="T1818">
        <v>107211</v>
      </c>
      <c r="U1818" t="s">
        <v>123</v>
      </c>
      <c r="X1818" t="s">
        <v>259</v>
      </c>
      <c r="Y1818" s="8">
        <v>4501226797</v>
      </c>
      <c r="Z1818">
        <v>20200125</v>
      </c>
      <c r="AA1818">
        <f t="shared" si="65"/>
        <v>304</v>
      </c>
      <c r="AB1818">
        <f t="shared" si="62"/>
        <v>48.64</v>
      </c>
      <c r="AC1818">
        <f t="shared" si="63"/>
        <v>352.64</v>
      </c>
      <c r="AD1818">
        <v>200127172</v>
      </c>
      <c r="AE1818" t="s">
        <v>683</v>
      </c>
      <c r="AF1818" s="4">
        <f t="shared" si="64"/>
        <v>352.64</v>
      </c>
      <c r="AG1818" t="s">
        <v>1146</v>
      </c>
      <c r="AH1818" t="s">
        <v>1123</v>
      </c>
      <c r="AJ1818" t="s">
        <v>1148</v>
      </c>
      <c r="AK1818" t="s">
        <v>1129</v>
      </c>
      <c r="AL1818">
        <v>340255290</v>
      </c>
      <c r="AM1818" t="s">
        <v>135</v>
      </c>
    </row>
    <row r="1819" spans="1:39" x14ac:dyDescent="0.35">
      <c r="A1819">
        <v>3402</v>
      </c>
      <c r="B1819" t="s">
        <v>259</v>
      </c>
      <c r="C1819">
        <v>2020</v>
      </c>
      <c r="D1819" s="1">
        <v>43831</v>
      </c>
      <c r="E1819">
        <v>9</v>
      </c>
      <c r="F1819">
        <v>200076905</v>
      </c>
      <c r="G1819" t="s">
        <v>120</v>
      </c>
      <c r="H1819">
        <v>81</v>
      </c>
      <c r="I1819">
        <v>71104010</v>
      </c>
      <c r="J1819">
        <v>21021040</v>
      </c>
      <c r="K1819" t="s">
        <v>121</v>
      </c>
      <c r="L1819" s="4">
        <v>0.04</v>
      </c>
      <c r="M1819" t="s">
        <v>31</v>
      </c>
      <c r="N1819" s="4">
        <v>0.04</v>
      </c>
      <c r="O1819" t="s">
        <v>31</v>
      </c>
      <c r="R1819" t="s">
        <v>133</v>
      </c>
      <c r="S1819" t="s">
        <v>1131</v>
      </c>
      <c r="T1819">
        <v>107211</v>
      </c>
      <c r="U1819" t="s">
        <v>123</v>
      </c>
      <c r="X1819" t="s">
        <v>259</v>
      </c>
      <c r="Y1819" s="8">
        <v>4501226797</v>
      </c>
      <c r="Z1819">
        <v>20200125</v>
      </c>
      <c r="AA1819">
        <f t="shared" si="65"/>
        <v>0.04</v>
      </c>
      <c r="AB1819">
        <f t="shared" si="62"/>
        <v>6.4000000000000003E-3</v>
      </c>
      <c r="AC1819">
        <f t="shared" si="63"/>
        <v>4.6400000000000004E-2</v>
      </c>
      <c r="AD1819">
        <v>200127172</v>
      </c>
      <c r="AE1819" t="s">
        <v>684</v>
      </c>
      <c r="AF1819" s="4">
        <f t="shared" si="64"/>
        <v>4.6400000000000004E-2</v>
      </c>
      <c r="AG1819" t="s">
        <v>1146</v>
      </c>
      <c r="AH1819" t="s">
        <v>1123</v>
      </c>
      <c r="AJ1819" t="s">
        <v>1148</v>
      </c>
      <c r="AK1819" t="s">
        <v>1129</v>
      </c>
      <c r="AL1819">
        <v>340255290</v>
      </c>
      <c r="AM1819" t="s">
        <v>135</v>
      </c>
    </row>
    <row r="1820" spans="1:39" x14ac:dyDescent="0.35">
      <c r="A1820">
        <v>3402</v>
      </c>
      <c r="B1820" t="s">
        <v>259</v>
      </c>
      <c r="C1820">
        <v>2020</v>
      </c>
      <c r="D1820" s="1">
        <v>43831</v>
      </c>
      <c r="E1820">
        <v>11</v>
      </c>
      <c r="F1820">
        <v>200076905</v>
      </c>
      <c r="G1820" t="s">
        <v>120</v>
      </c>
      <c r="H1820">
        <v>81</v>
      </c>
      <c r="I1820">
        <v>71104010</v>
      </c>
      <c r="J1820">
        <v>21021040</v>
      </c>
      <c r="K1820" t="s">
        <v>121</v>
      </c>
      <c r="L1820" s="4">
        <v>0.04</v>
      </c>
      <c r="M1820" t="s">
        <v>31</v>
      </c>
      <c r="N1820" s="4">
        <v>0.04</v>
      </c>
      <c r="O1820" t="s">
        <v>31</v>
      </c>
      <c r="R1820" t="s">
        <v>133</v>
      </c>
      <c r="S1820" t="s">
        <v>1131</v>
      </c>
      <c r="T1820">
        <v>107211</v>
      </c>
      <c r="U1820" t="s">
        <v>123</v>
      </c>
      <c r="X1820" t="s">
        <v>259</v>
      </c>
      <c r="Y1820" s="8">
        <v>4501226797</v>
      </c>
      <c r="Z1820">
        <v>20200125</v>
      </c>
      <c r="AA1820">
        <f t="shared" si="65"/>
        <v>0.04</v>
      </c>
      <c r="AB1820">
        <f t="shared" si="62"/>
        <v>6.4000000000000003E-3</v>
      </c>
      <c r="AC1820">
        <f t="shared" si="63"/>
        <v>4.6400000000000004E-2</v>
      </c>
      <c r="AD1820">
        <v>200127172</v>
      </c>
      <c r="AE1820" t="s">
        <v>685</v>
      </c>
      <c r="AF1820" s="4">
        <f t="shared" si="64"/>
        <v>4.6400000000000004E-2</v>
      </c>
      <c r="AG1820" t="s">
        <v>1146</v>
      </c>
      <c r="AH1820" t="s">
        <v>1123</v>
      </c>
      <c r="AJ1820" t="s">
        <v>1148</v>
      </c>
      <c r="AK1820" t="s">
        <v>1129</v>
      </c>
      <c r="AL1820">
        <v>340255290</v>
      </c>
      <c r="AM1820" t="s">
        <v>135</v>
      </c>
    </row>
    <row r="1821" spans="1:39" x14ac:dyDescent="0.35">
      <c r="A1821">
        <v>3402</v>
      </c>
      <c r="B1821" t="s">
        <v>259</v>
      </c>
      <c r="C1821">
        <v>2020</v>
      </c>
      <c r="D1821" s="1">
        <v>43831</v>
      </c>
      <c r="E1821">
        <v>13</v>
      </c>
      <c r="F1821">
        <v>200076905</v>
      </c>
      <c r="G1821" t="s">
        <v>120</v>
      </c>
      <c r="H1821">
        <v>81</v>
      </c>
      <c r="I1821">
        <v>71104010</v>
      </c>
      <c r="J1821">
        <v>21021040</v>
      </c>
      <c r="K1821" t="s">
        <v>121</v>
      </c>
      <c r="L1821" s="4">
        <v>304</v>
      </c>
      <c r="M1821" t="s">
        <v>31</v>
      </c>
      <c r="N1821" s="4">
        <v>304</v>
      </c>
      <c r="O1821" t="s">
        <v>31</v>
      </c>
      <c r="R1821" t="s">
        <v>133</v>
      </c>
      <c r="S1821" t="s">
        <v>1131</v>
      </c>
      <c r="T1821">
        <v>107211</v>
      </c>
      <c r="U1821" t="s">
        <v>123</v>
      </c>
      <c r="X1821" t="s">
        <v>259</v>
      </c>
      <c r="Y1821" s="8">
        <v>4501226797</v>
      </c>
      <c r="Z1821">
        <v>20200125</v>
      </c>
      <c r="AA1821">
        <f t="shared" si="65"/>
        <v>304</v>
      </c>
      <c r="AB1821">
        <f t="shared" si="62"/>
        <v>48.64</v>
      </c>
      <c r="AC1821">
        <f t="shared" si="63"/>
        <v>352.64</v>
      </c>
      <c r="AD1821">
        <v>200127172</v>
      </c>
      <c r="AE1821" t="s">
        <v>686</v>
      </c>
      <c r="AF1821" s="4">
        <f t="shared" si="64"/>
        <v>352.64</v>
      </c>
      <c r="AG1821" t="s">
        <v>1146</v>
      </c>
      <c r="AH1821" t="s">
        <v>1123</v>
      </c>
      <c r="AJ1821" t="s">
        <v>1148</v>
      </c>
      <c r="AK1821" t="s">
        <v>1129</v>
      </c>
      <c r="AL1821">
        <v>340255290</v>
      </c>
      <c r="AM1821" t="s">
        <v>135</v>
      </c>
    </row>
    <row r="1822" spans="1:39" x14ac:dyDescent="0.35">
      <c r="A1822">
        <v>3402</v>
      </c>
      <c r="B1822" t="s">
        <v>259</v>
      </c>
      <c r="C1822">
        <v>2020</v>
      </c>
      <c r="D1822" s="1">
        <v>43831</v>
      </c>
      <c r="E1822">
        <v>15</v>
      </c>
      <c r="F1822">
        <v>200076905</v>
      </c>
      <c r="G1822" t="s">
        <v>120</v>
      </c>
      <c r="H1822">
        <v>81</v>
      </c>
      <c r="I1822">
        <v>71104010</v>
      </c>
      <c r="J1822">
        <v>21021040</v>
      </c>
      <c r="K1822" t="s">
        <v>121</v>
      </c>
      <c r="L1822" s="4">
        <v>0.04</v>
      </c>
      <c r="M1822" t="s">
        <v>31</v>
      </c>
      <c r="N1822" s="4">
        <v>0.04</v>
      </c>
      <c r="O1822" t="s">
        <v>31</v>
      </c>
      <c r="R1822" t="s">
        <v>133</v>
      </c>
      <c r="S1822" t="s">
        <v>1131</v>
      </c>
      <c r="T1822">
        <v>107211</v>
      </c>
      <c r="U1822" t="s">
        <v>123</v>
      </c>
      <c r="X1822" t="s">
        <v>259</v>
      </c>
      <c r="Y1822" s="8">
        <v>4501226797</v>
      </c>
      <c r="Z1822">
        <v>20200125</v>
      </c>
      <c r="AA1822">
        <f t="shared" si="65"/>
        <v>0.04</v>
      </c>
      <c r="AB1822">
        <f t="shared" si="62"/>
        <v>6.4000000000000003E-3</v>
      </c>
      <c r="AC1822">
        <f t="shared" si="63"/>
        <v>4.6400000000000004E-2</v>
      </c>
      <c r="AD1822">
        <v>200127172</v>
      </c>
      <c r="AE1822" t="s">
        <v>687</v>
      </c>
      <c r="AF1822" s="4">
        <f t="shared" si="64"/>
        <v>4.6400000000000004E-2</v>
      </c>
      <c r="AG1822" t="s">
        <v>1146</v>
      </c>
      <c r="AH1822" t="s">
        <v>1123</v>
      </c>
      <c r="AJ1822" t="s">
        <v>1148</v>
      </c>
      <c r="AK1822" t="s">
        <v>1129</v>
      </c>
      <c r="AL1822">
        <v>340255290</v>
      </c>
      <c r="AM1822" t="s">
        <v>135</v>
      </c>
    </row>
    <row r="1823" spans="1:39" x14ac:dyDescent="0.35">
      <c r="A1823">
        <v>3402</v>
      </c>
      <c r="B1823" t="s">
        <v>259</v>
      </c>
      <c r="C1823">
        <v>2020</v>
      </c>
      <c r="D1823" s="1">
        <v>43831</v>
      </c>
      <c r="E1823">
        <v>17</v>
      </c>
      <c r="F1823">
        <v>200076905</v>
      </c>
      <c r="G1823" t="s">
        <v>120</v>
      </c>
      <c r="H1823">
        <v>81</v>
      </c>
      <c r="I1823">
        <v>71104010</v>
      </c>
      <c r="J1823">
        <v>21021040</v>
      </c>
      <c r="K1823" t="s">
        <v>121</v>
      </c>
      <c r="L1823" s="4">
        <v>0.04</v>
      </c>
      <c r="M1823" t="s">
        <v>31</v>
      </c>
      <c r="N1823" s="4">
        <v>0.04</v>
      </c>
      <c r="O1823" t="s">
        <v>31</v>
      </c>
      <c r="R1823" t="s">
        <v>133</v>
      </c>
      <c r="S1823" t="s">
        <v>1131</v>
      </c>
      <c r="T1823">
        <v>107211</v>
      </c>
      <c r="U1823" t="s">
        <v>123</v>
      </c>
      <c r="X1823" t="s">
        <v>259</v>
      </c>
      <c r="Y1823" s="8">
        <v>4501226797</v>
      </c>
      <c r="Z1823">
        <v>20200125</v>
      </c>
      <c r="AA1823">
        <f t="shared" si="65"/>
        <v>0.04</v>
      </c>
      <c r="AB1823">
        <f t="shared" si="62"/>
        <v>6.4000000000000003E-3</v>
      </c>
      <c r="AC1823">
        <f t="shared" si="63"/>
        <v>4.6400000000000004E-2</v>
      </c>
      <c r="AD1823">
        <v>200127172</v>
      </c>
      <c r="AE1823" t="s">
        <v>688</v>
      </c>
      <c r="AF1823" s="4">
        <f t="shared" si="64"/>
        <v>4.6400000000000004E-2</v>
      </c>
      <c r="AG1823" t="s">
        <v>1146</v>
      </c>
      <c r="AH1823" t="s">
        <v>1123</v>
      </c>
      <c r="AJ1823" t="s">
        <v>1148</v>
      </c>
      <c r="AK1823" t="s">
        <v>1129</v>
      </c>
      <c r="AL1823">
        <v>340255290</v>
      </c>
      <c r="AM1823" t="s">
        <v>135</v>
      </c>
    </row>
    <row r="1824" spans="1:39" x14ac:dyDescent="0.35">
      <c r="A1824">
        <v>3402</v>
      </c>
      <c r="B1824" t="s">
        <v>259</v>
      </c>
      <c r="C1824">
        <v>2020</v>
      </c>
      <c r="D1824" s="1">
        <v>43831</v>
      </c>
      <c r="E1824">
        <v>19</v>
      </c>
      <c r="F1824">
        <v>200076905</v>
      </c>
      <c r="G1824" t="s">
        <v>120</v>
      </c>
      <c r="H1824">
        <v>81</v>
      </c>
      <c r="I1824">
        <v>71104010</v>
      </c>
      <c r="J1824">
        <v>21021040</v>
      </c>
      <c r="K1824" t="s">
        <v>121</v>
      </c>
      <c r="L1824" s="4">
        <v>304</v>
      </c>
      <c r="M1824" t="s">
        <v>31</v>
      </c>
      <c r="N1824" s="4">
        <v>304</v>
      </c>
      <c r="O1824" t="s">
        <v>31</v>
      </c>
      <c r="R1824" t="s">
        <v>133</v>
      </c>
      <c r="S1824" t="s">
        <v>1131</v>
      </c>
      <c r="T1824">
        <v>107211</v>
      </c>
      <c r="U1824" t="s">
        <v>123</v>
      </c>
      <c r="X1824" t="s">
        <v>259</v>
      </c>
      <c r="Y1824" s="8">
        <v>4501226797</v>
      </c>
      <c r="Z1824">
        <v>20200125</v>
      </c>
      <c r="AA1824">
        <f t="shared" si="65"/>
        <v>304</v>
      </c>
      <c r="AB1824">
        <f t="shared" si="62"/>
        <v>48.64</v>
      </c>
      <c r="AC1824">
        <f t="shared" si="63"/>
        <v>352.64</v>
      </c>
      <c r="AD1824">
        <v>200127172</v>
      </c>
      <c r="AE1824" t="s">
        <v>689</v>
      </c>
      <c r="AF1824" s="4">
        <f t="shared" si="64"/>
        <v>352.64</v>
      </c>
      <c r="AG1824" t="s">
        <v>1146</v>
      </c>
      <c r="AH1824" t="s">
        <v>1123</v>
      </c>
      <c r="AJ1824" t="s">
        <v>1148</v>
      </c>
      <c r="AK1824" t="s">
        <v>1129</v>
      </c>
      <c r="AL1824">
        <v>340255290</v>
      </c>
      <c r="AM1824" t="s">
        <v>135</v>
      </c>
    </row>
    <row r="1825" spans="1:39" x14ac:dyDescent="0.35">
      <c r="A1825">
        <v>3402</v>
      </c>
      <c r="B1825" t="s">
        <v>259</v>
      </c>
      <c r="C1825">
        <v>2020</v>
      </c>
      <c r="D1825" s="1">
        <v>43831</v>
      </c>
      <c r="E1825">
        <v>21</v>
      </c>
      <c r="F1825">
        <v>200076905</v>
      </c>
      <c r="G1825" t="s">
        <v>120</v>
      </c>
      <c r="H1825">
        <v>81</v>
      </c>
      <c r="I1825">
        <v>71104010</v>
      </c>
      <c r="J1825">
        <v>21021040</v>
      </c>
      <c r="K1825" t="s">
        <v>121</v>
      </c>
      <c r="L1825" s="4">
        <v>0.04</v>
      </c>
      <c r="M1825" t="s">
        <v>31</v>
      </c>
      <c r="N1825" s="4">
        <v>0.04</v>
      </c>
      <c r="O1825" t="s">
        <v>31</v>
      </c>
      <c r="R1825" t="s">
        <v>133</v>
      </c>
      <c r="S1825" t="s">
        <v>1131</v>
      </c>
      <c r="T1825">
        <v>107211</v>
      </c>
      <c r="U1825" t="s">
        <v>123</v>
      </c>
      <c r="X1825" t="s">
        <v>259</v>
      </c>
      <c r="Y1825" s="8">
        <v>4501226797</v>
      </c>
      <c r="Z1825">
        <v>20200125</v>
      </c>
      <c r="AA1825">
        <f t="shared" si="65"/>
        <v>0.04</v>
      </c>
      <c r="AB1825">
        <f t="shared" si="62"/>
        <v>6.4000000000000003E-3</v>
      </c>
      <c r="AC1825">
        <f t="shared" si="63"/>
        <v>4.6400000000000004E-2</v>
      </c>
      <c r="AD1825">
        <v>200127172</v>
      </c>
      <c r="AE1825" t="s">
        <v>690</v>
      </c>
      <c r="AF1825" s="4">
        <f t="shared" si="64"/>
        <v>4.6400000000000004E-2</v>
      </c>
      <c r="AG1825" t="s">
        <v>1146</v>
      </c>
      <c r="AH1825" t="s">
        <v>1123</v>
      </c>
      <c r="AJ1825" t="s">
        <v>1148</v>
      </c>
      <c r="AK1825" t="s">
        <v>1129</v>
      </c>
      <c r="AL1825">
        <v>340255290</v>
      </c>
      <c r="AM1825" t="s">
        <v>135</v>
      </c>
    </row>
    <row r="1826" spans="1:39" x14ac:dyDescent="0.35">
      <c r="A1826">
        <v>3402</v>
      </c>
      <c r="B1826" t="s">
        <v>259</v>
      </c>
      <c r="C1826">
        <v>2020</v>
      </c>
      <c r="D1826" s="1">
        <v>43831</v>
      </c>
      <c r="E1826">
        <v>23</v>
      </c>
      <c r="F1826">
        <v>200076905</v>
      </c>
      <c r="G1826" t="s">
        <v>120</v>
      </c>
      <c r="H1826">
        <v>81</v>
      </c>
      <c r="I1826">
        <v>71104010</v>
      </c>
      <c r="J1826">
        <v>21021040</v>
      </c>
      <c r="K1826" t="s">
        <v>121</v>
      </c>
      <c r="L1826" s="4">
        <v>0.04</v>
      </c>
      <c r="M1826" t="s">
        <v>31</v>
      </c>
      <c r="N1826" s="4">
        <v>0.04</v>
      </c>
      <c r="O1826" t="s">
        <v>31</v>
      </c>
      <c r="R1826" t="s">
        <v>133</v>
      </c>
      <c r="S1826" t="s">
        <v>1131</v>
      </c>
      <c r="T1826">
        <v>107211</v>
      </c>
      <c r="U1826" t="s">
        <v>123</v>
      </c>
      <c r="X1826" t="s">
        <v>259</v>
      </c>
      <c r="Y1826" s="8">
        <v>4501226797</v>
      </c>
      <c r="Z1826">
        <v>20200125</v>
      </c>
      <c r="AA1826">
        <f t="shared" si="65"/>
        <v>0.04</v>
      </c>
      <c r="AB1826">
        <f t="shared" si="62"/>
        <v>6.4000000000000003E-3</v>
      </c>
      <c r="AC1826">
        <f t="shared" si="63"/>
        <v>4.6400000000000004E-2</v>
      </c>
      <c r="AD1826">
        <v>200127172</v>
      </c>
      <c r="AE1826" t="s">
        <v>691</v>
      </c>
      <c r="AF1826" s="4">
        <f t="shared" si="64"/>
        <v>4.6400000000000004E-2</v>
      </c>
      <c r="AG1826" t="s">
        <v>1146</v>
      </c>
      <c r="AH1826" t="s">
        <v>1123</v>
      </c>
      <c r="AJ1826" t="s">
        <v>1148</v>
      </c>
      <c r="AK1826" t="s">
        <v>1129</v>
      </c>
      <c r="AL1826">
        <v>340255290</v>
      </c>
      <c r="AM1826" t="s">
        <v>135</v>
      </c>
    </row>
    <row r="1827" spans="1:39" x14ac:dyDescent="0.35">
      <c r="A1827">
        <v>3402</v>
      </c>
      <c r="B1827" t="s">
        <v>259</v>
      </c>
      <c r="C1827">
        <v>2020</v>
      </c>
      <c r="D1827" s="1">
        <v>43831</v>
      </c>
      <c r="E1827">
        <v>25</v>
      </c>
      <c r="F1827">
        <v>200076905</v>
      </c>
      <c r="G1827" t="s">
        <v>120</v>
      </c>
      <c r="H1827">
        <v>81</v>
      </c>
      <c r="I1827">
        <v>71104010</v>
      </c>
      <c r="J1827">
        <v>21021040</v>
      </c>
      <c r="K1827" t="s">
        <v>121</v>
      </c>
      <c r="L1827" s="4">
        <v>0.04</v>
      </c>
      <c r="M1827" t="s">
        <v>31</v>
      </c>
      <c r="N1827" s="4">
        <v>0.04</v>
      </c>
      <c r="O1827" t="s">
        <v>31</v>
      </c>
      <c r="R1827" t="s">
        <v>133</v>
      </c>
      <c r="S1827" t="s">
        <v>1131</v>
      </c>
      <c r="T1827">
        <v>107211</v>
      </c>
      <c r="U1827" t="s">
        <v>123</v>
      </c>
      <c r="X1827" t="s">
        <v>259</v>
      </c>
      <c r="Y1827" s="8">
        <v>4501226797</v>
      </c>
      <c r="Z1827">
        <v>20200125</v>
      </c>
      <c r="AA1827">
        <f t="shared" si="65"/>
        <v>0.04</v>
      </c>
      <c r="AB1827">
        <f t="shared" si="62"/>
        <v>6.4000000000000003E-3</v>
      </c>
      <c r="AC1827">
        <f t="shared" si="63"/>
        <v>4.6400000000000004E-2</v>
      </c>
      <c r="AD1827">
        <v>200127172</v>
      </c>
      <c r="AE1827" t="s">
        <v>692</v>
      </c>
      <c r="AF1827" s="4">
        <f t="shared" si="64"/>
        <v>4.6400000000000004E-2</v>
      </c>
      <c r="AG1827" t="s">
        <v>1146</v>
      </c>
      <c r="AH1827" t="s">
        <v>1123</v>
      </c>
      <c r="AJ1827" t="s">
        <v>1148</v>
      </c>
      <c r="AK1827" t="s">
        <v>1129</v>
      </c>
      <c r="AL1827">
        <v>340255290</v>
      </c>
      <c r="AM1827" t="s">
        <v>135</v>
      </c>
    </row>
    <row r="1828" spans="1:39" x14ac:dyDescent="0.35">
      <c r="A1828">
        <v>3402</v>
      </c>
      <c r="B1828" t="s">
        <v>259</v>
      </c>
      <c r="C1828">
        <v>2020</v>
      </c>
      <c r="D1828" s="1">
        <v>43831</v>
      </c>
      <c r="E1828">
        <v>27</v>
      </c>
      <c r="F1828">
        <v>200076905</v>
      </c>
      <c r="G1828" t="s">
        <v>120</v>
      </c>
      <c r="H1828">
        <v>81</v>
      </c>
      <c r="I1828">
        <v>71104010</v>
      </c>
      <c r="J1828">
        <v>21021040</v>
      </c>
      <c r="K1828" t="s">
        <v>121</v>
      </c>
      <c r="L1828" s="4">
        <v>304</v>
      </c>
      <c r="M1828" t="s">
        <v>31</v>
      </c>
      <c r="N1828" s="4">
        <v>304</v>
      </c>
      <c r="O1828" t="s">
        <v>31</v>
      </c>
      <c r="R1828" t="s">
        <v>133</v>
      </c>
      <c r="S1828" t="s">
        <v>1131</v>
      </c>
      <c r="T1828">
        <v>107211</v>
      </c>
      <c r="U1828" t="s">
        <v>123</v>
      </c>
      <c r="X1828" t="s">
        <v>259</v>
      </c>
      <c r="Y1828" s="8">
        <v>4501226797</v>
      </c>
      <c r="Z1828">
        <v>20200125</v>
      </c>
      <c r="AA1828">
        <f t="shared" si="65"/>
        <v>304</v>
      </c>
      <c r="AB1828">
        <f t="shared" si="62"/>
        <v>48.64</v>
      </c>
      <c r="AC1828">
        <f t="shared" si="63"/>
        <v>352.64</v>
      </c>
      <c r="AD1828">
        <v>200127172</v>
      </c>
      <c r="AE1828" t="s">
        <v>693</v>
      </c>
      <c r="AF1828" s="4">
        <f t="shared" si="64"/>
        <v>352.64</v>
      </c>
      <c r="AG1828" t="s">
        <v>1146</v>
      </c>
      <c r="AH1828" t="s">
        <v>1123</v>
      </c>
      <c r="AJ1828" t="s">
        <v>1148</v>
      </c>
      <c r="AK1828" t="s">
        <v>1129</v>
      </c>
      <c r="AL1828">
        <v>340255290</v>
      </c>
      <c r="AM1828" t="s">
        <v>135</v>
      </c>
    </row>
    <row r="1829" spans="1:39" x14ac:dyDescent="0.35">
      <c r="A1829">
        <v>3402</v>
      </c>
      <c r="B1829" t="s">
        <v>259</v>
      </c>
      <c r="C1829">
        <v>2020</v>
      </c>
      <c r="D1829" s="1">
        <v>43831</v>
      </c>
      <c r="E1829">
        <v>29</v>
      </c>
      <c r="F1829">
        <v>200076905</v>
      </c>
      <c r="G1829" t="s">
        <v>120</v>
      </c>
      <c r="H1829">
        <v>81</v>
      </c>
      <c r="I1829">
        <v>71104010</v>
      </c>
      <c r="J1829">
        <v>21021040</v>
      </c>
      <c r="K1829" t="s">
        <v>121</v>
      </c>
      <c r="L1829" s="4">
        <v>0.04</v>
      </c>
      <c r="M1829" t="s">
        <v>31</v>
      </c>
      <c r="N1829" s="4">
        <v>0.04</v>
      </c>
      <c r="O1829" t="s">
        <v>31</v>
      </c>
      <c r="R1829" t="s">
        <v>133</v>
      </c>
      <c r="S1829" t="s">
        <v>1131</v>
      </c>
      <c r="T1829">
        <v>107211</v>
      </c>
      <c r="U1829" t="s">
        <v>123</v>
      </c>
      <c r="X1829" t="s">
        <v>259</v>
      </c>
      <c r="Y1829" s="8">
        <v>4501226797</v>
      </c>
      <c r="Z1829">
        <v>20200125</v>
      </c>
      <c r="AA1829">
        <f t="shared" si="65"/>
        <v>0.04</v>
      </c>
      <c r="AB1829">
        <f t="shared" ref="AB1829:AB1839" si="66">AA1829*0.16</f>
        <v>6.4000000000000003E-3</v>
      </c>
      <c r="AC1829">
        <f t="shared" ref="AC1829:AC1839" si="67">AA1829+AB1829</f>
        <v>4.6400000000000004E-2</v>
      </c>
      <c r="AD1829">
        <v>200127172</v>
      </c>
      <c r="AE1829" t="s">
        <v>694</v>
      </c>
      <c r="AF1829" s="4">
        <f t="shared" ref="AF1829:AF1839" si="68">AC1829</f>
        <v>4.6400000000000004E-2</v>
      </c>
      <c r="AG1829" t="s">
        <v>1146</v>
      </c>
      <c r="AH1829" t="s">
        <v>1123</v>
      </c>
      <c r="AJ1829" t="s">
        <v>1148</v>
      </c>
      <c r="AK1829" t="s">
        <v>1129</v>
      </c>
      <c r="AL1829">
        <v>340255290</v>
      </c>
      <c r="AM1829" t="s">
        <v>135</v>
      </c>
    </row>
    <row r="1830" spans="1:39" x14ac:dyDescent="0.35">
      <c r="A1830">
        <v>3402</v>
      </c>
      <c r="B1830" t="s">
        <v>259</v>
      </c>
      <c r="C1830">
        <v>2020</v>
      </c>
      <c r="D1830" s="1">
        <v>43831</v>
      </c>
      <c r="E1830">
        <v>31</v>
      </c>
      <c r="F1830">
        <v>200076905</v>
      </c>
      <c r="G1830" t="s">
        <v>120</v>
      </c>
      <c r="H1830">
        <v>81</v>
      </c>
      <c r="I1830">
        <v>71104010</v>
      </c>
      <c r="J1830">
        <v>21021040</v>
      </c>
      <c r="K1830" t="s">
        <v>121</v>
      </c>
      <c r="L1830" s="4">
        <v>304</v>
      </c>
      <c r="M1830" t="s">
        <v>31</v>
      </c>
      <c r="N1830" s="4">
        <v>304</v>
      </c>
      <c r="O1830" t="s">
        <v>31</v>
      </c>
      <c r="R1830" t="s">
        <v>133</v>
      </c>
      <c r="S1830" t="s">
        <v>1131</v>
      </c>
      <c r="T1830">
        <v>107211</v>
      </c>
      <c r="U1830" t="s">
        <v>123</v>
      </c>
      <c r="X1830" t="s">
        <v>259</v>
      </c>
      <c r="Y1830" s="8">
        <v>4501226797</v>
      </c>
      <c r="Z1830">
        <v>20200125</v>
      </c>
      <c r="AA1830">
        <f t="shared" si="65"/>
        <v>304</v>
      </c>
      <c r="AB1830">
        <f t="shared" si="66"/>
        <v>48.64</v>
      </c>
      <c r="AC1830">
        <f t="shared" si="67"/>
        <v>352.64</v>
      </c>
      <c r="AD1830">
        <v>200127172</v>
      </c>
      <c r="AE1830" t="s">
        <v>695</v>
      </c>
      <c r="AF1830" s="4">
        <f t="shared" si="68"/>
        <v>352.64</v>
      </c>
      <c r="AG1830" t="s">
        <v>1146</v>
      </c>
      <c r="AH1830" t="s">
        <v>1123</v>
      </c>
      <c r="AJ1830" t="s">
        <v>1148</v>
      </c>
      <c r="AK1830" t="s">
        <v>1129</v>
      </c>
      <c r="AL1830">
        <v>340255290</v>
      </c>
      <c r="AM1830" t="s">
        <v>135</v>
      </c>
    </row>
    <row r="1831" spans="1:39" x14ac:dyDescent="0.35">
      <c r="A1831">
        <v>3402</v>
      </c>
      <c r="B1831" t="s">
        <v>259</v>
      </c>
      <c r="C1831">
        <v>2020</v>
      </c>
      <c r="D1831" s="1">
        <v>43831</v>
      </c>
      <c r="E1831">
        <v>33</v>
      </c>
      <c r="F1831">
        <v>200076905</v>
      </c>
      <c r="G1831" t="s">
        <v>120</v>
      </c>
      <c r="H1831">
        <v>81</v>
      </c>
      <c r="I1831">
        <v>71104010</v>
      </c>
      <c r="J1831">
        <v>21021040</v>
      </c>
      <c r="K1831" t="s">
        <v>121</v>
      </c>
      <c r="L1831" s="4">
        <v>0.04</v>
      </c>
      <c r="M1831" t="s">
        <v>31</v>
      </c>
      <c r="N1831" s="4">
        <v>0.04</v>
      </c>
      <c r="O1831" t="s">
        <v>31</v>
      </c>
      <c r="R1831" t="s">
        <v>133</v>
      </c>
      <c r="S1831" t="s">
        <v>1131</v>
      </c>
      <c r="T1831">
        <v>107211</v>
      </c>
      <c r="U1831" t="s">
        <v>123</v>
      </c>
      <c r="X1831" t="s">
        <v>259</v>
      </c>
      <c r="Y1831" s="8">
        <v>4501226797</v>
      </c>
      <c r="Z1831">
        <v>20200125</v>
      </c>
      <c r="AA1831">
        <f t="shared" si="65"/>
        <v>0.04</v>
      </c>
      <c r="AB1831">
        <f t="shared" si="66"/>
        <v>6.4000000000000003E-3</v>
      </c>
      <c r="AC1831">
        <f t="shared" si="67"/>
        <v>4.6400000000000004E-2</v>
      </c>
      <c r="AD1831">
        <v>200127172</v>
      </c>
      <c r="AE1831" t="s">
        <v>696</v>
      </c>
      <c r="AF1831" s="4">
        <f t="shared" si="68"/>
        <v>4.6400000000000004E-2</v>
      </c>
      <c r="AG1831" t="s">
        <v>1146</v>
      </c>
      <c r="AH1831" t="s">
        <v>1123</v>
      </c>
      <c r="AJ1831" t="s">
        <v>1148</v>
      </c>
      <c r="AK1831" t="s">
        <v>1129</v>
      </c>
      <c r="AL1831">
        <v>340255290</v>
      </c>
      <c r="AM1831" t="s">
        <v>135</v>
      </c>
    </row>
    <row r="1832" spans="1:39" x14ac:dyDescent="0.35">
      <c r="A1832">
        <v>3402</v>
      </c>
      <c r="B1832" t="s">
        <v>259</v>
      </c>
      <c r="C1832">
        <v>2020</v>
      </c>
      <c r="D1832" s="1">
        <v>43831</v>
      </c>
      <c r="E1832">
        <v>35</v>
      </c>
      <c r="F1832">
        <v>200076905</v>
      </c>
      <c r="G1832" t="s">
        <v>120</v>
      </c>
      <c r="H1832">
        <v>81</v>
      </c>
      <c r="I1832">
        <v>71104010</v>
      </c>
      <c r="J1832">
        <v>21021040</v>
      </c>
      <c r="K1832" t="s">
        <v>121</v>
      </c>
      <c r="L1832" s="4">
        <v>304</v>
      </c>
      <c r="M1832" t="s">
        <v>31</v>
      </c>
      <c r="N1832" s="4">
        <v>304</v>
      </c>
      <c r="O1832" t="s">
        <v>31</v>
      </c>
      <c r="R1832" t="s">
        <v>133</v>
      </c>
      <c r="S1832" t="s">
        <v>1131</v>
      </c>
      <c r="T1832">
        <v>107211</v>
      </c>
      <c r="U1832" t="s">
        <v>123</v>
      </c>
      <c r="X1832" t="s">
        <v>259</v>
      </c>
      <c r="Y1832" s="8">
        <v>4501226797</v>
      </c>
      <c r="Z1832">
        <v>20200125</v>
      </c>
      <c r="AA1832">
        <f t="shared" si="65"/>
        <v>304</v>
      </c>
      <c r="AB1832">
        <f t="shared" si="66"/>
        <v>48.64</v>
      </c>
      <c r="AC1832">
        <f t="shared" si="67"/>
        <v>352.64</v>
      </c>
      <c r="AD1832">
        <v>200127172</v>
      </c>
      <c r="AE1832" t="s">
        <v>697</v>
      </c>
      <c r="AF1832" s="4">
        <f t="shared" si="68"/>
        <v>352.64</v>
      </c>
      <c r="AG1832" t="s">
        <v>1146</v>
      </c>
      <c r="AH1832" t="s">
        <v>1123</v>
      </c>
      <c r="AJ1832" t="s">
        <v>1148</v>
      </c>
      <c r="AK1832" t="s">
        <v>1129</v>
      </c>
      <c r="AL1832">
        <v>340255290</v>
      </c>
      <c r="AM1832" t="s">
        <v>135</v>
      </c>
    </row>
    <row r="1833" spans="1:39" x14ac:dyDescent="0.35">
      <c r="A1833">
        <v>3402</v>
      </c>
      <c r="B1833" t="s">
        <v>259</v>
      </c>
      <c r="C1833">
        <v>2020</v>
      </c>
      <c r="D1833" s="1">
        <v>43831</v>
      </c>
      <c r="E1833">
        <v>37</v>
      </c>
      <c r="F1833">
        <v>200076905</v>
      </c>
      <c r="G1833" t="s">
        <v>120</v>
      </c>
      <c r="H1833">
        <v>81</v>
      </c>
      <c r="I1833">
        <v>71104010</v>
      </c>
      <c r="J1833">
        <v>21021040</v>
      </c>
      <c r="K1833" t="s">
        <v>121</v>
      </c>
      <c r="L1833" s="4">
        <v>0.04</v>
      </c>
      <c r="M1833" t="s">
        <v>31</v>
      </c>
      <c r="N1833" s="4">
        <v>0.04</v>
      </c>
      <c r="O1833" t="s">
        <v>31</v>
      </c>
      <c r="R1833" t="s">
        <v>133</v>
      </c>
      <c r="S1833" t="s">
        <v>1131</v>
      </c>
      <c r="T1833">
        <v>107211</v>
      </c>
      <c r="U1833" t="s">
        <v>123</v>
      </c>
      <c r="X1833" t="s">
        <v>259</v>
      </c>
      <c r="Y1833" s="8">
        <v>4501226797</v>
      </c>
      <c r="Z1833">
        <v>20200125</v>
      </c>
      <c r="AA1833">
        <f t="shared" si="65"/>
        <v>0.04</v>
      </c>
      <c r="AB1833">
        <f t="shared" si="66"/>
        <v>6.4000000000000003E-3</v>
      </c>
      <c r="AC1833">
        <f t="shared" si="67"/>
        <v>4.6400000000000004E-2</v>
      </c>
      <c r="AD1833">
        <v>200127172</v>
      </c>
      <c r="AE1833" t="s">
        <v>698</v>
      </c>
      <c r="AF1833" s="4">
        <f t="shared" si="68"/>
        <v>4.6400000000000004E-2</v>
      </c>
      <c r="AG1833" t="s">
        <v>1146</v>
      </c>
      <c r="AH1833" t="s">
        <v>1123</v>
      </c>
      <c r="AJ1833" t="s">
        <v>1148</v>
      </c>
      <c r="AK1833" t="s">
        <v>1129</v>
      </c>
      <c r="AL1833">
        <v>340255290</v>
      </c>
      <c r="AM1833" t="s">
        <v>135</v>
      </c>
    </row>
    <row r="1834" spans="1:39" x14ac:dyDescent="0.35">
      <c r="A1834">
        <v>3402</v>
      </c>
      <c r="B1834" t="s">
        <v>259</v>
      </c>
      <c r="C1834">
        <v>2020</v>
      </c>
      <c r="D1834" s="1">
        <v>43831</v>
      </c>
      <c r="E1834">
        <v>39</v>
      </c>
      <c r="F1834">
        <v>200076905</v>
      </c>
      <c r="G1834" t="s">
        <v>120</v>
      </c>
      <c r="H1834">
        <v>81</v>
      </c>
      <c r="I1834">
        <v>71104010</v>
      </c>
      <c r="J1834">
        <v>21021040</v>
      </c>
      <c r="K1834" t="s">
        <v>121</v>
      </c>
      <c r="L1834" s="4">
        <v>0.04</v>
      </c>
      <c r="M1834" t="s">
        <v>31</v>
      </c>
      <c r="N1834" s="4">
        <v>0.04</v>
      </c>
      <c r="O1834" t="s">
        <v>31</v>
      </c>
      <c r="R1834" t="s">
        <v>133</v>
      </c>
      <c r="S1834" t="s">
        <v>1131</v>
      </c>
      <c r="T1834">
        <v>107211</v>
      </c>
      <c r="U1834" t="s">
        <v>123</v>
      </c>
      <c r="X1834" t="s">
        <v>259</v>
      </c>
      <c r="Y1834" s="8">
        <v>4501226797</v>
      </c>
      <c r="Z1834">
        <v>20200125</v>
      </c>
      <c r="AA1834">
        <f t="shared" si="65"/>
        <v>0.04</v>
      </c>
      <c r="AB1834">
        <f t="shared" si="66"/>
        <v>6.4000000000000003E-3</v>
      </c>
      <c r="AC1834">
        <f t="shared" si="67"/>
        <v>4.6400000000000004E-2</v>
      </c>
      <c r="AD1834">
        <v>200127172</v>
      </c>
      <c r="AE1834" t="s">
        <v>699</v>
      </c>
      <c r="AF1834" s="4">
        <f t="shared" si="68"/>
        <v>4.6400000000000004E-2</v>
      </c>
      <c r="AG1834" t="s">
        <v>1146</v>
      </c>
      <c r="AH1834" t="s">
        <v>1123</v>
      </c>
      <c r="AJ1834" t="s">
        <v>1148</v>
      </c>
      <c r="AK1834" t="s">
        <v>1129</v>
      </c>
      <c r="AL1834">
        <v>340255290</v>
      </c>
      <c r="AM1834" t="s">
        <v>135</v>
      </c>
    </row>
    <row r="1835" spans="1:39" x14ac:dyDescent="0.35">
      <c r="A1835">
        <v>3402</v>
      </c>
      <c r="B1835" t="s">
        <v>259</v>
      </c>
      <c r="C1835">
        <v>2020</v>
      </c>
      <c r="D1835" s="1">
        <v>43831</v>
      </c>
      <c r="E1835">
        <v>41</v>
      </c>
      <c r="F1835">
        <v>200076905</v>
      </c>
      <c r="G1835" t="s">
        <v>120</v>
      </c>
      <c r="H1835">
        <v>81</v>
      </c>
      <c r="I1835">
        <v>71104010</v>
      </c>
      <c r="J1835">
        <v>21021040</v>
      </c>
      <c r="K1835" t="s">
        <v>121</v>
      </c>
      <c r="L1835" s="4">
        <v>304</v>
      </c>
      <c r="M1835" t="s">
        <v>31</v>
      </c>
      <c r="N1835" s="4">
        <v>304</v>
      </c>
      <c r="O1835" t="s">
        <v>31</v>
      </c>
      <c r="R1835" t="s">
        <v>133</v>
      </c>
      <c r="S1835" t="s">
        <v>1131</v>
      </c>
      <c r="T1835">
        <v>107211</v>
      </c>
      <c r="U1835" t="s">
        <v>123</v>
      </c>
      <c r="X1835" t="s">
        <v>259</v>
      </c>
      <c r="Y1835" s="8">
        <v>4501226797</v>
      </c>
      <c r="Z1835">
        <v>20200125</v>
      </c>
      <c r="AA1835">
        <f t="shared" si="65"/>
        <v>304</v>
      </c>
      <c r="AB1835">
        <f t="shared" si="66"/>
        <v>48.64</v>
      </c>
      <c r="AC1835">
        <f t="shared" si="67"/>
        <v>352.64</v>
      </c>
      <c r="AD1835">
        <v>200127172</v>
      </c>
      <c r="AE1835" t="s">
        <v>700</v>
      </c>
      <c r="AF1835" s="4">
        <f t="shared" si="68"/>
        <v>352.64</v>
      </c>
      <c r="AG1835" t="s">
        <v>1146</v>
      </c>
      <c r="AH1835" t="s">
        <v>1123</v>
      </c>
      <c r="AJ1835" t="s">
        <v>1148</v>
      </c>
      <c r="AK1835" t="s">
        <v>1129</v>
      </c>
      <c r="AL1835">
        <v>340255290</v>
      </c>
      <c r="AM1835" t="s">
        <v>135</v>
      </c>
    </row>
    <row r="1836" spans="1:39" x14ac:dyDescent="0.35">
      <c r="A1836">
        <v>3402</v>
      </c>
      <c r="B1836" t="s">
        <v>259</v>
      </c>
      <c r="C1836">
        <v>2020</v>
      </c>
      <c r="D1836" s="1">
        <v>43831</v>
      </c>
      <c r="E1836">
        <v>43</v>
      </c>
      <c r="F1836">
        <v>200076905</v>
      </c>
      <c r="G1836" t="s">
        <v>120</v>
      </c>
      <c r="H1836">
        <v>81</v>
      </c>
      <c r="I1836">
        <v>71104010</v>
      </c>
      <c r="J1836">
        <v>21021040</v>
      </c>
      <c r="K1836" t="s">
        <v>121</v>
      </c>
      <c r="L1836" s="4">
        <v>0.04</v>
      </c>
      <c r="M1836" t="s">
        <v>31</v>
      </c>
      <c r="N1836" s="4">
        <v>0.04</v>
      </c>
      <c r="O1836" t="s">
        <v>31</v>
      </c>
      <c r="R1836" t="s">
        <v>133</v>
      </c>
      <c r="S1836" t="s">
        <v>1131</v>
      </c>
      <c r="T1836">
        <v>107211</v>
      </c>
      <c r="U1836" t="s">
        <v>123</v>
      </c>
      <c r="X1836" t="s">
        <v>259</v>
      </c>
      <c r="Y1836" s="8">
        <v>4501226797</v>
      </c>
      <c r="Z1836">
        <v>20200125</v>
      </c>
      <c r="AA1836">
        <f t="shared" si="65"/>
        <v>0.04</v>
      </c>
      <c r="AB1836">
        <f t="shared" si="66"/>
        <v>6.4000000000000003E-3</v>
      </c>
      <c r="AC1836">
        <f t="shared" si="67"/>
        <v>4.6400000000000004E-2</v>
      </c>
      <c r="AD1836">
        <v>200127172</v>
      </c>
      <c r="AE1836" t="s">
        <v>701</v>
      </c>
      <c r="AF1836" s="4">
        <f t="shared" si="68"/>
        <v>4.6400000000000004E-2</v>
      </c>
      <c r="AG1836" t="s">
        <v>1146</v>
      </c>
      <c r="AH1836" t="s">
        <v>1123</v>
      </c>
      <c r="AJ1836" t="s">
        <v>1148</v>
      </c>
      <c r="AK1836" t="s">
        <v>1129</v>
      </c>
      <c r="AL1836">
        <v>340255290</v>
      </c>
      <c r="AM1836" t="s">
        <v>135</v>
      </c>
    </row>
    <row r="1837" spans="1:39" x14ac:dyDescent="0.35">
      <c r="A1837">
        <v>3402</v>
      </c>
      <c r="B1837" t="s">
        <v>259</v>
      </c>
      <c r="C1837">
        <v>2020</v>
      </c>
      <c r="D1837" s="1">
        <v>43831</v>
      </c>
      <c r="E1837">
        <v>45</v>
      </c>
      <c r="F1837">
        <v>200076905</v>
      </c>
      <c r="G1837" t="s">
        <v>120</v>
      </c>
      <c r="H1837">
        <v>81</v>
      </c>
      <c r="I1837">
        <v>71104010</v>
      </c>
      <c r="J1837">
        <v>21021040</v>
      </c>
      <c r="K1837" t="s">
        <v>121</v>
      </c>
      <c r="L1837" s="4">
        <v>304</v>
      </c>
      <c r="M1837" t="s">
        <v>31</v>
      </c>
      <c r="N1837" s="4">
        <v>304</v>
      </c>
      <c r="O1837" t="s">
        <v>31</v>
      </c>
      <c r="R1837" t="s">
        <v>133</v>
      </c>
      <c r="S1837" t="s">
        <v>1131</v>
      </c>
      <c r="T1837">
        <v>107211</v>
      </c>
      <c r="U1837" t="s">
        <v>123</v>
      </c>
      <c r="X1837" t="s">
        <v>259</v>
      </c>
      <c r="Y1837" s="8">
        <v>4501226797</v>
      </c>
      <c r="Z1837">
        <v>20200125</v>
      </c>
      <c r="AA1837">
        <f t="shared" si="65"/>
        <v>304</v>
      </c>
      <c r="AB1837">
        <f t="shared" si="66"/>
        <v>48.64</v>
      </c>
      <c r="AC1837">
        <f t="shared" si="67"/>
        <v>352.64</v>
      </c>
      <c r="AD1837">
        <v>200127172</v>
      </c>
      <c r="AE1837" t="s">
        <v>702</v>
      </c>
      <c r="AF1837" s="4">
        <f t="shared" si="68"/>
        <v>352.64</v>
      </c>
      <c r="AG1837" t="s">
        <v>1146</v>
      </c>
      <c r="AH1837" t="s">
        <v>1123</v>
      </c>
      <c r="AJ1837" t="s">
        <v>1148</v>
      </c>
      <c r="AK1837" t="s">
        <v>1129</v>
      </c>
      <c r="AL1837">
        <v>340255290</v>
      </c>
      <c r="AM1837" t="s">
        <v>135</v>
      </c>
    </row>
    <row r="1838" spans="1:39" x14ac:dyDescent="0.35">
      <c r="A1838">
        <v>3402</v>
      </c>
      <c r="B1838" t="s">
        <v>259</v>
      </c>
      <c r="C1838">
        <v>2020</v>
      </c>
      <c r="D1838" s="1">
        <v>43831</v>
      </c>
      <c r="E1838">
        <v>47</v>
      </c>
      <c r="F1838">
        <v>200076905</v>
      </c>
      <c r="G1838" t="s">
        <v>120</v>
      </c>
      <c r="H1838">
        <v>81</v>
      </c>
      <c r="I1838">
        <v>71104010</v>
      </c>
      <c r="J1838">
        <v>21021040</v>
      </c>
      <c r="K1838" t="s">
        <v>121</v>
      </c>
      <c r="L1838" s="4">
        <v>0.04</v>
      </c>
      <c r="M1838" t="s">
        <v>31</v>
      </c>
      <c r="N1838" s="4">
        <v>0.04</v>
      </c>
      <c r="O1838" t="s">
        <v>31</v>
      </c>
      <c r="R1838" t="s">
        <v>133</v>
      </c>
      <c r="S1838" t="s">
        <v>1131</v>
      </c>
      <c r="T1838">
        <v>107211</v>
      </c>
      <c r="U1838" t="s">
        <v>123</v>
      </c>
      <c r="X1838" t="s">
        <v>259</v>
      </c>
      <c r="Y1838" s="8">
        <v>4501226797</v>
      </c>
      <c r="Z1838">
        <v>20200125</v>
      </c>
      <c r="AA1838">
        <f t="shared" si="65"/>
        <v>0.04</v>
      </c>
      <c r="AB1838">
        <f t="shared" si="66"/>
        <v>6.4000000000000003E-3</v>
      </c>
      <c r="AC1838">
        <f t="shared" si="67"/>
        <v>4.6400000000000004E-2</v>
      </c>
      <c r="AD1838">
        <v>200127172</v>
      </c>
      <c r="AE1838" t="s">
        <v>703</v>
      </c>
      <c r="AF1838" s="4">
        <f t="shared" si="68"/>
        <v>4.6400000000000004E-2</v>
      </c>
      <c r="AG1838" t="s">
        <v>1146</v>
      </c>
      <c r="AH1838" t="s">
        <v>1123</v>
      </c>
      <c r="AJ1838" t="s">
        <v>1148</v>
      </c>
      <c r="AK1838" t="s">
        <v>1129</v>
      </c>
      <c r="AL1838">
        <v>340255290</v>
      </c>
      <c r="AM1838" t="s">
        <v>135</v>
      </c>
    </row>
    <row r="1839" spans="1:39" x14ac:dyDescent="0.35">
      <c r="A1839">
        <v>3402</v>
      </c>
      <c r="B1839" t="s">
        <v>259</v>
      </c>
      <c r="C1839">
        <v>2020</v>
      </c>
      <c r="D1839" s="1">
        <v>43831</v>
      </c>
      <c r="E1839">
        <v>49</v>
      </c>
      <c r="F1839">
        <v>200076905</v>
      </c>
      <c r="G1839" t="s">
        <v>120</v>
      </c>
      <c r="H1839">
        <v>81</v>
      </c>
      <c r="I1839">
        <v>71104010</v>
      </c>
      <c r="J1839">
        <v>21021040</v>
      </c>
      <c r="K1839" t="s">
        <v>121</v>
      </c>
      <c r="L1839" s="4">
        <v>0.04</v>
      </c>
      <c r="M1839" t="s">
        <v>31</v>
      </c>
      <c r="N1839" s="4">
        <v>0.04</v>
      </c>
      <c r="O1839" t="s">
        <v>31</v>
      </c>
      <c r="R1839" t="s">
        <v>133</v>
      </c>
      <c r="S1839" t="s">
        <v>1131</v>
      </c>
      <c r="T1839">
        <v>107211</v>
      </c>
      <c r="U1839" t="s">
        <v>123</v>
      </c>
      <c r="X1839" t="s">
        <v>259</v>
      </c>
      <c r="Y1839" s="8">
        <v>4501226797</v>
      </c>
      <c r="Z1839">
        <v>20200125</v>
      </c>
      <c r="AA1839">
        <f t="shared" si="65"/>
        <v>0.04</v>
      </c>
      <c r="AB1839">
        <f t="shared" si="66"/>
        <v>6.4000000000000003E-3</v>
      </c>
      <c r="AC1839">
        <f t="shared" si="67"/>
        <v>4.6400000000000004E-2</v>
      </c>
      <c r="AD1839">
        <v>200127172</v>
      </c>
      <c r="AE1839" t="s">
        <v>704</v>
      </c>
      <c r="AF1839" s="4">
        <f t="shared" si="68"/>
        <v>4.6400000000000004E-2</v>
      </c>
      <c r="AG1839" t="s">
        <v>1146</v>
      </c>
      <c r="AH1839" t="s">
        <v>1123</v>
      </c>
      <c r="AJ1839" t="s">
        <v>1148</v>
      </c>
      <c r="AK1839" t="s">
        <v>1129</v>
      </c>
      <c r="AL1839">
        <v>340255290</v>
      </c>
      <c r="AM1839" t="s">
        <v>135</v>
      </c>
    </row>
    <row r="1840" spans="1:39" x14ac:dyDescent="0.35">
      <c r="A1840">
        <v>3402</v>
      </c>
      <c r="B1840" t="s">
        <v>259</v>
      </c>
      <c r="C1840">
        <v>2020</v>
      </c>
      <c r="D1840" s="1">
        <v>43831</v>
      </c>
      <c r="E1840">
        <v>1</v>
      </c>
      <c r="F1840">
        <v>200076906</v>
      </c>
      <c r="G1840" t="s">
        <v>120</v>
      </c>
      <c r="H1840">
        <v>81</v>
      </c>
      <c r="I1840">
        <v>71104010</v>
      </c>
      <c r="J1840">
        <v>21021040</v>
      </c>
      <c r="K1840" t="s">
        <v>121</v>
      </c>
      <c r="L1840" s="4">
        <v>121.6</v>
      </c>
      <c r="M1840" t="s">
        <v>31</v>
      </c>
      <c r="N1840" s="4">
        <v>121.6</v>
      </c>
      <c r="O1840" t="s">
        <v>31</v>
      </c>
      <c r="R1840" t="s">
        <v>137</v>
      </c>
      <c r="S1840" t="s">
        <v>1131</v>
      </c>
      <c r="T1840">
        <v>107211</v>
      </c>
      <c r="U1840" t="s">
        <v>123</v>
      </c>
      <c r="X1840" t="s">
        <v>259</v>
      </c>
      <c r="Y1840" s="8">
        <v>4501226813</v>
      </c>
      <c r="Z1840">
        <v>20200125</v>
      </c>
      <c r="AA1840">
        <f t="shared" si="65"/>
        <v>121.6</v>
      </c>
      <c r="AB1840">
        <f t="shared" ref="AB1840:AB1897" si="69">AA1840*0.16</f>
        <v>19.456</v>
      </c>
      <c r="AC1840">
        <f t="shared" ref="AC1840:AC1897" si="70">AA1840+AB1840</f>
        <v>141.05599999999998</v>
      </c>
      <c r="AD1840">
        <v>200211626</v>
      </c>
      <c r="AE1840" t="s">
        <v>705</v>
      </c>
      <c r="AF1840" s="4">
        <f t="shared" ref="AF1840:AF1897" si="71">AC1840</f>
        <v>141.05599999999998</v>
      </c>
      <c r="AG1840" t="s">
        <v>1150</v>
      </c>
      <c r="AH1840" t="s">
        <v>1123</v>
      </c>
      <c r="AJ1840" t="s">
        <v>1148</v>
      </c>
      <c r="AK1840" t="s">
        <v>1129</v>
      </c>
      <c r="AL1840">
        <v>340255290</v>
      </c>
      <c r="AM1840" t="s">
        <v>135</v>
      </c>
    </row>
    <row r="1841" spans="1:39" x14ac:dyDescent="0.35">
      <c r="A1841">
        <v>3402</v>
      </c>
      <c r="B1841" t="s">
        <v>259</v>
      </c>
      <c r="C1841">
        <v>2020</v>
      </c>
      <c r="D1841" s="1">
        <v>43831</v>
      </c>
      <c r="E1841">
        <v>3</v>
      </c>
      <c r="F1841">
        <v>200076906</v>
      </c>
      <c r="G1841" t="s">
        <v>120</v>
      </c>
      <c r="H1841">
        <v>81</v>
      </c>
      <c r="I1841">
        <v>71104010</v>
      </c>
      <c r="J1841">
        <v>21021040</v>
      </c>
      <c r="K1841" t="s">
        <v>121</v>
      </c>
      <c r="L1841" s="4">
        <v>125.4</v>
      </c>
      <c r="M1841" t="s">
        <v>31</v>
      </c>
      <c r="N1841" s="4">
        <v>125.4</v>
      </c>
      <c r="O1841" t="s">
        <v>31</v>
      </c>
      <c r="R1841" t="s">
        <v>137</v>
      </c>
      <c r="S1841" t="s">
        <v>1131</v>
      </c>
      <c r="T1841">
        <v>107211</v>
      </c>
      <c r="U1841" t="s">
        <v>123</v>
      </c>
      <c r="X1841" t="s">
        <v>259</v>
      </c>
      <c r="Y1841" s="8">
        <v>4501226813</v>
      </c>
      <c r="Z1841">
        <v>20200125</v>
      </c>
      <c r="AA1841">
        <f t="shared" si="65"/>
        <v>125.4</v>
      </c>
      <c r="AB1841">
        <f t="shared" si="69"/>
        <v>20.064</v>
      </c>
      <c r="AC1841">
        <f t="shared" si="70"/>
        <v>145.464</v>
      </c>
      <c r="AD1841">
        <v>200211626</v>
      </c>
      <c r="AE1841" t="s">
        <v>706</v>
      </c>
      <c r="AF1841" s="4">
        <f t="shared" si="71"/>
        <v>145.464</v>
      </c>
      <c r="AG1841" t="s">
        <v>1150</v>
      </c>
      <c r="AH1841" t="s">
        <v>1123</v>
      </c>
      <c r="AJ1841" t="s">
        <v>1148</v>
      </c>
      <c r="AK1841" t="s">
        <v>1129</v>
      </c>
      <c r="AL1841">
        <v>340255290</v>
      </c>
      <c r="AM1841" t="s">
        <v>135</v>
      </c>
    </row>
    <row r="1842" spans="1:39" x14ac:dyDescent="0.35">
      <c r="A1842">
        <v>3402</v>
      </c>
      <c r="B1842" t="s">
        <v>259</v>
      </c>
      <c r="C1842">
        <v>2020</v>
      </c>
      <c r="D1842" s="1">
        <v>43831</v>
      </c>
      <c r="E1842">
        <v>5</v>
      </c>
      <c r="F1842">
        <v>200076906</v>
      </c>
      <c r="G1842" t="s">
        <v>120</v>
      </c>
      <c r="H1842">
        <v>81</v>
      </c>
      <c r="I1842">
        <v>71104010</v>
      </c>
      <c r="J1842">
        <v>21021040</v>
      </c>
      <c r="K1842" t="s">
        <v>121</v>
      </c>
      <c r="L1842" s="4">
        <v>117.8</v>
      </c>
      <c r="M1842" t="s">
        <v>31</v>
      </c>
      <c r="N1842" s="4">
        <v>117.8</v>
      </c>
      <c r="O1842" t="s">
        <v>31</v>
      </c>
      <c r="R1842" t="s">
        <v>137</v>
      </c>
      <c r="S1842" t="s">
        <v>1131</v>
      </c>
      <c r="T1842">
        <v>107211</v>
      </c>
      <c r="U1842" t="s">
        <v>123</v>
      </c>
      <c r="X1842" t="s">
        <v>259</v>
      </c>
      <c r="Y1842" s="8">
        <v>4501226813</v>
      </c>
      <c r="Z1842">
        <v>20200125</v>
      </c>
      <c r="AA1842">
        <f t="shared" si="65"/>
        <v>117.8</v>
      </c>
      <c r="AB1842">
        <f t="shared" si="69"/>
        <v>18.847999999999999</v>
      </c>
      <c r="AC1842">
        <f t="shared" si="70"/>
        <v>136.648</v>
      </c>
      <c r="AD1842">
        <v>200211626</v>
      </c>
      <c r="AE1842" t="s">
        <v>707</v>
      </c>
      <c r="AF1842" s="4">
        <f t="shared" si="71"/>
        <v>136.648</v>
      </c>
      <c r="AG1842" t="s">
        <v>1150</v>
      </c>
      <c r="AH1842" t="s">
        <v>1123</v>
      </c>
      <c r="AJ1842" t="s">
        <v>1148</v>
      </c>
      <c r="AK1842" t="s">
        <v>1129</v>
      </c>
      <c r="AL1842">
        <v>340255290</v>
      </c>
      <c r="AM1842" t="s">
        <v>135</v>
      </c>
    </row>
    <row r="1843" spans="1:39" x14ac:dyDescent="0.35">
      <c r="A1843">
        <v>3402</v>
      </c>
      <c r="B1843" t="s">
        <v>259</v>
      </c>
      <c r="C1843">
        <v>2020</v>
      </c>
      <c r="D1843" s="1">
        <v>43831</v>
      </c>
      <c r="E1843">
        <v>7</v>
      </c>
      <c r="F1843">
        <v>200076906</v>
      </c>
      <c r="G1843" t="s">
        <v>120</v>
      </c>
      <c r="H1843">
        <v>81</v>
      </c>
      <c r="I1843">
        <v>71104010</v>
      </c>
      <c r="J1843">
        <v>21021040</v>
      </c>
      <c r="K1843" t="s">
        <v>121</v>
      </c>
      <c r="L1843" s="4">
        <v>110.2</v>
      </c>
      <c r="M1843" t="s">
        <v>31</v>
      </c>
      <c r="N1843" s="4">
        <v>110.2</v>
      </c>
      <c r="O1843" t="s">
        <v>31</v>
      </c>
      <c r="R1843" t="s">
        <v>137</v>
      </c>
      <c r="S1843" t="s">
        <v>1131</v>
      </c>
      <c r="T1843">
        <v>107211</v>
      </c>
      <c r="U1843" t="s">
        <v>123</v>
      </c>
      <c r="X1843" t="s">
        <v>259</v>
      </c>
      <c r="Y1843" s="8">
        <v>4501226813</v>
      </c>
      <c r="Z1843">
        <v>20200125</v>
      </c>
      <c r="AA1843">
        <f t="shared" si="65"/>
        <v>110.2</v>
      </c>
      <c r="AB1843">
        <f t="shared" si="69"/>
        <v>17.632000000000001</v>
      </c>
      <c r="AC1843">
        <f t="shared" si="70"/>
        <v>127.83200000000001</v>
      </c>
      <c r="AD1843">
        <v>200211626</v>
      </c>
      <c r="AE1843" t="s">
        <v>708</v>
      </c>
      <c r="AF1843" s="4">
        <f t="shared" si="71"/>
        <v>127.83200000000001</v>
      </c>
      <c r="AG1843" t="s">
        <v>1150</v>
      </c>
      <c r="AH1843" t="s">
        <v>1123</v>
      </c>
      <c r="AJ1843" t="s">
        <v>1148</v>
      </c>
      <c r="AK1843" t="s">
        <v>1129</v>
      </c>
      <c r="AL1843">
        <v>340255290</v>
      </c>
      <c r="AM1843" t="s">
        <v>135</v>
      </c>
    </row>
    <row r="1844" spans="1:39" x14ac:dyDescent="0.35">
      <c r="A1844">
        <v>3402</v>
      </c>
      <c r="B1844" t="s">
        <v>259</v>
      </c>
      <c r="C1844">
        <v>2020</v>
      </c>
      <c r="D1844" s="1">
        <v>43831</v>
      </c>
      <c r="E1844">
        <v>9</v>
      </c>
      <c r="F1844">
        <v>200076906</v>
      </c>
      <c r="G1844" t="s">
        <v>120</v>
      </c>
      <c r="H1844">
        <v>81</v>
      </c>
      <c r="I1844">
        <v>71104010</v>
      </c>
      <c r="J1844">
        <v>21021040</v>
      </c>
      <c r="K1844" t="s">
        <v>121</v>
      </c>
      <c r="L1844" s="4">
        <v>110.2</v>
      </c>
      <c r="M1844" t="s">
        <v>31</v>
      </c>
      <c r="N1844" s="4">
        <v>110.2</v>
      </c>
      <c r="O1844" t="s">
        <v>31</v>
      </c>
      <c r="R1844" t="s">
        <v>137</v>
      </c>
      <c r="S1844" t="s">
        <v>1131</v>
      </c>
      <c r="T1844">
        <v>107211</v>
      </c>
      <c r="U1844" t="s">
        <v>123</v>
      </c>
      <c r="X1844" t="s">
        <v>259</v>
      </c>
      <c r="Y1844" s="8">
        <v>4501226813</v>
      </c>
      <c r="Z1844">
        <v>20200125</v>
      </c>
      <c r="AA1844">
        <f t="shared" si="65"/>
        <v>110.2</v>
      </c>
      <c r="AB1844">
        <f t="shared" si="69"/>
        <v>17.632000000000001</v>
      </c>
      <c r="AC1844">
        <f t="shared" si="70"/>
        <v>127.83200000000001</v>
      </c>
      <c r="AD1844">
        <v>200211626</v>
      </c>
      <c r="AE1844" t="s">
        <v>709</v>
      </c>
      <c r="AF1844" s="4">
        <f t="shared" si="71"/>
        <v>127.83200000000001</v>
      </c>
      <c r="AG1844" t="s">
        <v>1150</v>
      </c>
      <c r="AH1844" t="s">
        <v>1123</v>
      </c>
      <c r="AJ1844" t="s">
        <v>1148</v>
      </c>
      <c r="AK1844" t="s">
        <v>1129</v>
      </c>
      <c r="AL1844">
        <v>340255290</v>
      </c>
      <c r="AM1844" t="s">
        <v>135</v>
      </c>
    </row>
    <row r="1845" spans="1:39" x14ac:dyDescent="0.35">
      <c r="A1845">
        <v>3402</v>
      </c>
      <c r="B1845" t="s">
        <v>259</v>
      </c>
      <c r="C1845">
        <v>2020</v>
      </c>
      <c r="D1845" s="1">
        <v>43831</v>
      </c>
      <c r="E1845">
        <v>11</v>
      </c>
      <c r="F1845">
        <v>200076906</v>
      </c>
      <c r="G1845" t="s">
        <v>120</v>
      </c>
      <c r="H1845">
        <v>81</v>
      </c>
      <c r="I1845">
        <v>71104010</v>
      </c>
      <c r="J1845">
        <v>21021040</v>
      </c>
      <c r="K1845" t="s">
        <v>121</v>
      </c>
      <c r="L1845" s="4">
        <v>117.8</v>
      </c>
      <c r="M1845" t="s">
        <v>31</v>
      </c>
      <c r="N1845" s="4">
        <v>117.8</v>
      </c>
      <c r="O1845" t="s">
        <v>31</v>
      </c>
      <c r="R1845" t="s">
        <v>137</v>
      </c>
      <c r="S1845" t="s">
        <v>1131</v>
      </c>
      <c r="T1845">
        <v>107211</v>
      </c>
      <c r="U1845" t="s">
        <v>123</v>
      </c>
      <c r="X1845" t="s">
        <v>259</v>
      </c>
      <c r="Y1845" s="8">
        <v>4501226813</v>
      </c>
      <c r="Z1845">
        <v>20200125</v>
      </c>
      <c r="AA1845">
        <f t="shared" si="65"/>
        <v>117.8</v>
      </c>
      <c r="AB1845">
        <f t="shared" si="69"/>
        <v>18.847999999999999</v>
      </c>
      <c r="AC1845">
        <f t="shared" si="70"/>
        <v>136.648</v>
      </c>
      <c r="AD1845">
        <v>200211626</v>
      </c>
      <c r="AE1845" t="s">
        <v>710</v>
      </c>
      <c r="AF1845" s="4">
        <f t="shared" si="71"/>
        <v>136.648</v>
      </c>
      <c r="AG1845" t="s">
        <v>1150</v>
      </c>
      <c r="AH1845" t="s">
        <v>1123</v>
      </c>
      <c r="AJ1845" t="s">
        <v>1148</v>
      </c>
      <c r="AK1845" t="s">
        <v>1129</v>
      </c>
      <c r="AL1845">
        <v>340255290</v>
      </c>
      <c r="AM1845" t="s">
        <v>135</v>
      </c>
    </row>
    <row r="1846" spans="1:39" x14ac:dyDescent="0.35">
      <c r="A1846">
        <v>3402</v>
      </c>
      <c r="B1846" t="s">
        <v>259</v>
      </c>
      <c r="C1846">
        <v>2020</v>
      </c>
      <c r="D1846" s="1">
        <v>43831</v>
      </c>
      <c r="E1846">
        <v>13</v>
      </c>
      <c r="F1846">
        <v>200076906</v>
      </c>
      <c r="G1846" t="s">
        <v>120</v>
      </c>
      <c r="H1846">
        <v>81</v>
      </c>
      <c r="I1846">
        <v>71104010</v>
      </c>
      <c r="J1846">
        <v>21021040</v>
      </c>
      <c r="K1846" t="s">
        <v>121</v>
      </c>
      <c r="L1846" s="4">
        <v>125.4</v>
      </c>
      <c r="M1846" t="s">
        <v>31</v>
      </c>
      <c r="N1846" s="4">
        <v>125.4</v>
      </c>
      <c r="O1846" t="s">
        <v>31</v>
      </c>
      <c r="R1846" t="s">
        <v>137</v>
      </c>
      <c r="S1846" t="s">
        <v>1131</v>
      </c>
      <c r="T1846">
        <v>107211</v>
      </c>
      <c r="U1846" t="s">
        <v>123</v>
      </c>
      <c r="X1846" t="s">
        <v>259</v>
      </c>
      <c r="Y1846" s="8">
        <v>4501226813</v>
      </c>
      <c r="Z1846">
        <v>20200125</v>
      </c>
      <c r="AA1846">
        <f t="shared" si="65"/>
        <v>125.4</v>
      </c>
      <c r="AB1846">
        <f t="shared" si="69"/>
        <v>20.064</v>
      </c>
      <c r="AC1846">
        <f t="shared" si="70"/>
        <v>145.464</v>
      </c>
      <c r="AD1846">
        <v>200211626</v>
      </c>
      <c r="AE1846" t="s">
        <v>711</v>
      </c>
      <c r="AF1846" s="4">
        <f t="shared" si="71"/>
        <v>145.464</v>
      </c>
      <c r="AG1846" t="s">
        <v>1150</v>
      </c>
      <c r="AH1846" t="s">
        <v>1123</v>
      </c>
      <c r="AJ1846" t="s">
        <v>1148</v>
      </c>
      <c r="AK1846" t="s">
        <v>1129</v>
      </c>
      <c r="AL1846">
        <v>340255290</v>
      </c>
      <c r="AM1846" t="s">
        <v>135</v>
      </c>
    </row>
    <row r="1847" spans="1:39" x14ac:dyDescent="0.35">
      <c r="A1847">
        <v>3402</v>
      </c>
      <c r="B1847" t="s">
        <v>259</v>
      </c>
      <c r="C1847">
        <v>2020</v>
      </c>
      <c r="D1847" s="1">
        <v>43831</v>
      </c>
      <c r="E1847">
        <v>15</v>
      </c>
      <c r="F1847">
        <v>200076906</v>
      </c>
      <c r="G1847" t="s">
        <v>120</v>
      </c>
      <c r="H1847">
        <v>81</v>
      </c>
      <c r="I1847">
        <v>71104010</v>
      </c>
      <c r="J1847">
        <v>21021040</v>
      </c>
      <c r="K1847" t="s">
        <v>121</v>
      </c>
      <c r="L1847" s="4">
        <v>106.4</v>
      </c>
      <c r="M1847" t="s">
        <v>31</v>
      </c>
      <c r="N1847" s="4">
        <v>106.4</v>
      </c>
      <c r="O1847" t="s">
        <v>31</v>
      </c>
      <c r="R1847" t="s">
        <v>137</v>
      </c>
      <c r="S1847" t="s">
        <v>1131</v>
      </c>
      <c r="T1847">
        <v>107211</v>
      </c>
      <c r="U1847" t="s">
        <v>123</v>
      </c>
      <c r="X1847" t="s">
        <v>259</v>
      </c>
      <c r="Y1847" s="8">
        <v>4501226813</v>
      </c>
      <c r="Z1847">
        <v>20200125</v>
      </c>
      <c r="AA1847">
        <f t="shared" si="65"/>
        <v>106.4</v>
      </c>
      <c r="AB1847">
        <f t="shared" si="69"/>
        <v>17.024000000000001</v>
      </c>
      <c r="AC1847">
        <f t="shared" si="70"/>
        <v>123.42400000000001</v>
      </c>
      <c r="AD1847">
        <v>200211626</v>
      </c>
      <c r="AE1847" t="s">
        <v>712</v>
      </c>
      <c r="AF1847" s="4">
        <f t="shared" si="71"/>
        <v>123.42400000000001</v>
      </c>
      <c r="AG1847" t="s">
        <v>1150</v>
      </c>
      <c r="AH1847" t="s">
        <v>1123</v>
      </c>
      <c r="AJ1847" t="s">
        <v>1148</v>
      </c>
      <c r="AK1847" t="s">
        <v>1129</v>
      </c>
      <c r="AL1847">
        <v>340255290</v>
      </c>
      <c r="AM1847" t="s">
        <v>135</v>
      </c>
    </row>
    <row r="1848" spans="1:39" x14ac:dyDescent="0.35">
      <c r="A1848">
        <v>3402</v>
      </c>
      <c r="B1848" t="s">
        <v>259</v>
      </c>
      <c r="C1848">
        <v>2020</v>
      </c>
      <c r="D1848" s="1">
        <v>43831</v>
      </c>
      <c r="E1848">
        <v>17</v>
      </c>
      <c r="F1848">
        <v>200076906</v>
      </c>
      <c r="G1848" t="s">
        <v>120</v>
      </c>
      <c r="H1848">
        <v>81</v>
      </c>
      <c r="I1848">
        <v>71104010</v>
      </c>
      <c r="J1848">
        <v>21021040</v>
      </c>
      <c r="K1848" t="s">
        <v>121</v>
      </c>
      <c r="L1848" s="4">
        <v>110.2</v>
      </c>
      <c r="M1848" t="s">
        <v>31</v>
      </c>
      <c r="N1848" s="4">
        <v>110.2</v>
      </c>
      <c r="O1848" t="s">
        <v>31</v>
      </c>
      <c r="R1848" t="s">
        <v>137</v>
      </c>
      <c r="S1848" t="s">
        <v>1131</v>
      </c>
      <c r="T1848">
        <v>107211</v>
      </c>
      <c r="U1848" t="s">
        <v>123</v>
      </c>
      <c r="X1848" t="s">
        <v>259</v>
      </c>
      <c r="Y1848" s="8">
        <v>4501226813</v>
      </c>
      <c r="Z1848">
        <v>20200125</v>
      </c>
      <c r="AA1848">
        <f t="shared" si="65"/>
        <v>110.2</v>
      </c>
      <c r="AB1848">
        <f t="shared" si="69"/>
        <v>17.632000000000001</v>
      </c>
      <c r="AC1848">
        <f t="shared" si="70"/>
        <v>127.83200000000001</v>
      </c>
      <c r="AD1848">
        <v>200211626</v>
      </c>
      <c r="AE1848" t="s">
        <v>713</v>
      </c>
      <c r="AF1848" s="4">
        <f t="shared" si="71"/>
        <v>127.83200000000001</v>
      </c>
      <c r="AG1848" t="s">
        <v>1150</v>
      </c>
      <c r="AH1848" t="s">
        <v>1123</v>
      </c>
      <c r="AJ1848" t="s">
        <v>1148</v>
      </c>
      <c r="AK1848" t="s">
        <v>1129</v>
      </c>
      <c r="AL1848">
        <v>340255290</v>
      </c>
      <c r="AM1848" t="s">
        <v>135</v>
      </c>
    </row>
    <row r="1849" spans="1:39" x14ac:dyDescent="0.35">
      <c r="A1849">
        <v>3402</v>
      </c>
      <c r="B1849" t="s">
        <v>259</v>
      </c>
      <c r="C1849">
        <v>2020</v>
      </c>
      <c r="D1849" s="1">
        <v>43831</v>
      </c>
      <c r="E1849">
        <v>19</v>
      </c>
      <c r="F1849">
        <v>200076906</v>
      </c>
      <c r="G1849" t="s">
        <v>120</v>
      </c>
      <c r="H1849">
        <v>81</v>
      </c>
      <c r="I1849">
        <v>71104010</v>
      </c>
      <c r="J1849">
        <v>21021040</v>
      </c>
      <c r="K1849" t="s">
        <v>121</v>
      </c>
      <c r="L1849" s="4">
        <v>121.6</v>
      </c>
      <c r="M1849" t="s">
        <v>31</v>
      </c>
      <c r="N1849" s="4">
        <v>121.6</v>
      </c>
      <c r="O1849" t="s">
        <v>31</v>
      </c>
      <c r="R1849" t="s">
        <v>137</v>
      </c>
      <c r="S1849" t="s">
        <v>1131</v>
      </c>
      <c r="T1849">
        <v>107211</v>
      </c>
      <c r="U1849" t="s">
        <v>123</v>
      </c>
      <c r="X1849" t="s">
        <v>259</v>
      </c>
      <c r="Y1849" s="8">
        <v>4501226813</v>
      </c>
      <c r="Z1849">
        <v>20200125</v>
      </c>
      <c r="AA1849">
        <f t="shared" si="65"/>
        <v>121.6</v>
      </c>
      <c r="AB1849">
        <f t="shared" si="69"/>
        <v>19.456</v>
      </c>
      <c r="AC1849">
        <f t="shared" si="70"/>
        <v>141.05599999999998</v>
      </c>
      <c r="AD1849">
        <v>200211626</v>
      </c>
      <c r="AE1849" t="s">
        <v>714</v>
      </c>
      <c r="AF1849" s="4">
        <f t="shared" si="71"/>
        <v>141.05599999999998</v>
      </c>
      <c r="AG1849" t="s">
        <v>1150</v>
      </c>
      <c r="AH1849" t="s">
        <v>1123</v>
      </c>
      <c r="AJ1849" t="s">
        <v>1148</v>
      </c>
      <c r="AK1849" t="s">
        <v>1129</v>
      </c>
      <c r="AL1849">
        <v>340255290</v>
      </c>
      <c r="AM1849" t="s">
        <v>135</v>
      </c>
    </row>
    <row r="1850" spans="1:39" x14ac:dyDescent="0.35">
      <c r="A1850">
        <v>3402</v>
      </c>
      <c r="B1850" t="s">
        <v>259</v>
      </c>
      <c r="C1850">
        <v>2020</v>
      </c>
      <c r="D1850" s="1">
        <v>43831</v>
      </c>
      <c r="E1850">
        <v>21</v>
      </c>
      <c r="F1850">
        <v>200076906</v>
      </c>
      <c r="G1850" t="s">
        <v>120</v>
      </c>
      <c r="H1850">
        <v>81</v>
      </c>
      <c r="I1850">
        <v>71104010</v>
      </c>
      <c r="J1850">
        <v>21021040</v>
      </c>
      <c r="K1850" t="s">
        <v>121</v>
      </c>
      <c r="L1850" s="4">
        <v>117.8</v>
      </c>
      <c r="M1850" t="s">
        <v>31</v>
      </c>
      <c r="N1850" s="4">
        <v>117.8</v>
      </c>
      <c r="O1850" t="s">
        <v>31</v>
      </c>
      <c r="R1850" t="s">
        <v>137</v>
      </c>
      <c r="S1850" t="s">
        <v>1131</v>
      </c>
      <c r="T1850">
        <v>107211</v>
      </c>
      <c r="U1850" t="s">
        <v>123</v>
      </c>
      <c r="X1850" t="s">
        <v>259</v>
      </c>
      <c r="Y1850" s="8">
        <v>4501226813</v>
      </c>
      <c r="Z1850">
        <v>20200125</v>
      </c>
      <c r="AA1850">
        <f t="shared" si="65"/>
        <v>117.8</v>
      </c>
      <c r="AB1850">
        <f t="shared" si="69"/>
        <v>18.847999999999999</v>
      </c>
      <c r="AC1850">
        <f t="shared" si="70"/>
        <v>136.648</v>
      </c>
      <c r="AD1850">
        <v>200211626</v>
      </c>
      <c r="AE1850" t="s">
        <v>715</v>
      </c>
      <c r="AF1850" s="4">
        <f t="shared" si="71"/>
        <v>136.648</v>
      </c>
      <c r="AG1850" t="s">
        <v>1150</v>
      </c>
      <c r="AH1850" t="s">
        <v>1123</v>
      </c>
      <c r="AJ1850" t="s">
        <v>1148</v>
      </c>
      <c r="AK1850" t="s">
        <v>1129</v>
      </c>
      <c r="AL1850">
        <v>340255290</v>
      </c>
      <c r="AM1850" t="s">
        <v>135</v>
      </c>
    </row>
    <row r="1851" spans="1:39" x14ac:dyDescent="0.35">
      <c r="A1851">
        <v>3402</v>
      </c>
      <c r="B1851" t="s">
        <v>259</v>
      </c>
      <c r="C1851">
        <v>2020</v>
      </c>
      <c r="D1851" s="1">
        <v>43831</v>
      </c>
      <c r="E1851">
        <v>1</v>
      </c>
      <c r="F1851">
        <v>200076925</v>
      </c>
      <c r="G1851" t="s">
        <v>120</v>
      </c>
      <c r="H1851">
        <v>81</v>
      </c>
      <c r="I1851">
        <v>71104010</v>
      </c>
      <c r="J1851">
        <v>21021040</v>
      </c>
      <c r="K1851" t="s">
        <v>121</v>
      </c>
      <c r="L1851" s="4">
        <v>117.8</v>
      </c>
      <c r="M1851" t="s">
        <v>31</v>
      </c>
      <c r="N1851" s="4">
        <v>117.8</v>
      </c>
      <c r="O1851" t="s">
        <v>31</v>
      </c>
      <c r="R1851" t="s">
        <v>137</v>
      </c>
      <c r="S1851" t="s">
        <v>1131</v>
      </c>
      <c r="T1851">
        <v>107211</v>
      </c>
      <c r="U1851" t="s">
        <v>123</v>
      </c>
      <c r="X1851" t="s">
        <v>259</v>
      </c>
      <c r="Y1851" s="8">
        <v>4501226813</v>
      </c>
      <c r="Z1851">
        <v>20200125</v>
      </c>
      <c r="AA1851">
        <f t="shared" si="65"/>
        <v>117.8</v>
      </c>
      <c r="AB1851">
        <f t="shared" si="69"/>
        <v>18.847999999999999</v>
      </c>
      <c r="AC1851">
        <f t="shared" si="70"/>
        <v>136.648</v>
      </c>
      <c r="AD1851">
        <v>200211626</v>
      </c>
      <c r="AE1851" t="s">
        <v>716</v>
      </c>
      <c r="AF1851" s="4">
        <f t="shared" si="71"/>
        <v>136.648</v>
      </c>
      <c r="AG1851" t="s">
        <v>1150</v>
      </c>
      <c r="AH1851" t="s">
        <v>1123</v>
      </c>
      <c r="AJ1851" t="s">
        <v>1148</v>
      </c>
      <c r="AK1851" t="s">
        <v>1129</v>
      </c>
      <c r="AL1851">
        <v>340255290</v>
      </c>
      <c r="AM1851" t="s">
        <v>135</v>
      </c>
    </row>
    <row r="1852" spans="1:39" x14ac:dyDescent="0.35">
      <c r="A1852">
        <v>3402</v>
      </c>
      <c r="B1852" t="s">
        <v>259</v>
      </c>
      <c r="C1852">
        <v>2020</v>
      </c>
      <c r="D1852" s="1">
        <v>43831</v>
      </c>
      <c r="E1852">
        <v>3</v>
      </c>
      <c r="F1852">
        <v>200076925</v>
      </c>
      <c r="G1852" t="s">
        <v>120</v>
      </c>
      <c r="H1852">
        <v>81</v>
      </c>
      <c r="I1852">
        <v>71104010</v>
      </c>
      <c r="J1852">
        <v>21021040</v>
      </c>
      <c r="K1852" t="s">
        <v>121</v>
      </c>
      <c r="L1852" s="4">
        <v>117.8</v>
      </c>
      <c r="M1852" t="s">
        <v>31</v>
      </c>
      <c r="N1852" s="4">
        <v>117.8</v>
      </c>
      <c r="O1852" t="s">
        <v>31</v>
      </c>
      <c r="R1852" t="s">
        <v>137</v>
      </c>
      <c r="S1852" t="s">
        <v>1131</v>
      </c>
      <c r="T1852">
        <v>107211</v>
      </c>
      <c r="U1852" t="s">
        <v>123</v>
      </c>
      <c r="X1852" t="s">
        <v>259</v>
      </c>
      <c r="Y1852" s="8">
        <v>4501226813</v>
      </c>
      <c r="Z1852">
        <v>20200125</v>
      </c>
      <c r="AA1852">
        <f t="shared" si="65"/>
        <v>117.8</v>
      </c>
      <c r="AB1852">
        <f t="shared" si="69"/>
        <v>18.847999999999999</v>
      </c>
      <c r="AC1852">
        <f t="shared" si="70"/>
        <v>136.648</v>
      </c>
      <c r="AD1852">
        <v>200211626</v>
      </c>
      <c r="AE1852" t="s">
        <v>716</v>
      </c>
      <c r="AF1852" s="4">
        <f t="shared" si="71"/>
        <v>136.648</v>
      </c>
      <c r="AG1852" t="s">
        <v>1150</v>
      </c>
      <c r="AH1852" t="s">
        <v>1123</v>
      </c>
      <c r="AJ1852" t="s">
        <v>1148</v>
      </c>
      <c r="AK1852" t="s">
        <v>1129</v>
      </c>
      <c r="AL1852">
        <v>340255290</v>
      </c>
      <c r="AM1852" t="s">
        <v>135</v>
      </c>
    </row>
    <row r="1853" spans="1:39" x14ac:dyDescent="0.35">
      <c r="A1853">
        <v>3402</v>
      </c>
      <c r="B1853" t="s">
        <v>259</v>
      </c>
      <c r="C1853">
        <v>2020</v>
      </c>
      <c r="D1853" s="1">
        <v>43831</v>
      </c>
      <c r="E1853">
        <v>5</v>
      </c>
      <c r="F1853">
        <v>200076925</v>
      </c>
      <c r="G1853" t="s">
        <v>120</v>
      </c>
      <c r="H1853">
        <v>81</v>
      </c>
      <c r="I1853">
        <v>71104010</v>
      </c>
      <c r="J1853">
        <v>21021040</v>
      </c>
      <c r="K1853" t="s">
        <v>121</v>
      </c>
      <c r="L1853" s="4">
        <v>114</v>
      </c>
      <c r="M1853" t="s">
        <v>31</v>
      </c>
      <c r="N1853" s="4">
        <v>114</v>
      </c>
      <c r="O1853" t="s">
        <v>31</v>
      </c>
      <c r="R1853" t="s">
        <v>137</v>
      </c>
      <c r="S1853" t="s">
        <v>1131</v>
      </c>
      <c r="T1853">
        <v>107211</v>
      </c>
      <c r="U1853" t="s">
        <v>123</v>
      </c>
      <c r="X1853" t="s">
        <v>259</v>
      </c>
      <c r="Y1853" s="8">
        <v>4501226813</v>
      </c>
      <c r="Z1853">
        <v>20200125</v>
      </c>
      <c r="AA1853">
        <f t="shared" si="65"/>
        <v>114</v>
      </c>
      <c r="AB1853">
        <f t="shared" si="69"/>
        <v>18.240000000000002</v>
      </c>
      <c r="AC1853">
        <f t="shared" si="70"/>
        <v>132.24</v>
      </c>
      <c r="AD1853">
        <v>200211626</v>
      </c>
      <c r="AE1853" t="s">
        <v>717</v>
      </c>
      <c r="AF1853" s="4">
        <f t="shared" si="71"/>
        <v>132.24</v>
      </c>
      <c r="AG1853" t="s">
        <v>1150</v>
      </c>
      <c r="AH1853" t="s">
        <v>1123</v>
      </c>
      <c r="AJ1853" t="s">
        <v>1148</v>
      </c>
      <c r="AK1853" t="s">
        <v>1129</v>
      </c>
      <c r="AL1853">
        <v>340255290</v>
      </c>
      <c r="AM1853" t="s">
        <v>135</v>
      </c>
    </row>
    <row r="1854" spans="1:39" x14ac:dyDescent="0.35">
      <c r="A1854">
        <v>3402</v>
      </c>
      <c r="B1854" t="s">
        <v>259</v>
      </c>
      <c r="C1854">
        <v>2020</v>
      </c>
      <c r="D1854" s="1">
        <v>43831</v>
      </c>
      <c r="E1854">
        <v>7</v>
      </c>
      <c r="F1854">
        <v>200076925</v>
      </c>
      <c r="G1854" t="s">
        <v>120</v>
      </c>
      <c r="H1854">
        <v>81</v>
      </c>
      <c r="I1854">
        <v>71104010</v>
      </c>
      <c r="J1854">
        <v>21021040</v>
      </c>
      <c r="K1854" t="s">
        <v>121</v>
      </c>
      <c r="L1854" s="4">
        <v>114</v>
      </c>
      <c r="M1854" t="s">
        <v>31</v>
      </c>
      <c r="N1854" s="4">
        <v>114</v>
      </c>
      <c r="O1854" t="s">
        <v>31</v>
      </c>
      <c r="R1854" t="s">
        <v>137</v>
      </c>
      <c r="S1854" t="s">
        <v>1131</v>
      </c>
      <c r="T1854">
        <v>107211</v>
      </c>
      <c r="U1854" t="s">
        <v>123</v>
      </c>
      <c r="X1854" t="s">
        <v>259</v>
      </c>
      <c r="Y1854" s="8">
        <v>4501226813</v>
      </c>
      <c r="Z1854">
        <v>20200125</v>
      </c>
      <c r="AA1854">
        <f t="shared" si="65"/>
        <v>114</v>
      </c>
      <c r="AB1854">
        <f t="shared" si="69"/>
        <v>18.240000000000002</v>
      </c>
      <c r="AC1854">
        <f t="shared" si="70"/>
        <v>132.24</v>
      </c>
      <c r="AD1854">
        <v>200211626</v>
      </c>
      <c r="AE1854" t="s">
        <v>718</v>
      </c>
      <c r="AF1854" s="4">
        <f t="shared" si="71"/>
        <v>132.24</v>
      </c>
      <c r="AG1854" t="s">
        <v>1150</v>
      </c>
      <c r="AH1854" t="s">
        <v>1123</v>
      </c>
      <c r="AJ1854" t="s">
        <v>1148</v>
      </c>
      <c r="AK1854" t="s">
        <v>1129</v>
      </c>
      <c r="AL1854">
        <v>340255290</v>
      </c>
      <c r="AM1854" t="s">
        <v>135</v>
      </c>
    </row>
    <row r="1855" spans="1:39" x14ac:dyDescent="0.35">
      <c r="A1855">
        <v>3402</v>
      </c>
      <c r="B1855" t="s">
        <v>259</v>
      </c>
      <c r="C1855">
        <v>2020</v>
      </c>
      <c r="D1855" s="1">
        <v>43831</v>
      </c>
      <c r="E1855">
        <v>9</v>
      </c>
      <c r="F1855">
        <v>200076925</v>
      </c>
      <c r="G1855" t="s">
        <v>120</v>
      </c>
      <c r="H1855">
        <v>81</v>
      </c>
      <c r="I1855">
        <v>71104010</v>
      </c>
      <c r="J1855">
        <v>21021040</v>
      </c>
      <c r="K1855" t="s">
        <v>121</v>
      </c>
      <c r="L1855" s="4">
        <v>117.8</v>
      </c>
      <c r="M1855" t="s">
        <v>31</v>
      </c>
      <c r="N1855" s="4">
        <v>117.8</v>
      </c>
      <c r="O1855" t="s">
        <v>31</v>
      </c>
      <c r="R1855" t="s">
        <v>137</v>
      </c>
      <c r="S1855" t="s">
        <v>1131</v>
      </c>
      <c r="T1855">
        <v>107211</v>
      </c>
      <c r="U1855" t="s">
        <v>123</v>
      </c>
      <c r="X1855" t="s">
        <v>259</v>
      </c>
      <c r="Y1855" s="8">
        <v>4501226813</v>
      </c>
      <c r="Z1855">
        <v>20200125</v>
      </c>
      <c r="AA1855">
        <f t="shared" si="65"/>
        <v>117.8</v>
      </c>
      <c r="AB1855">
        <f t="shared" si="69"/>
        <v>18.847999999999999</v>
      </c>
      <c r="AC1855">
        <f t="shared" si="70"/>
        <v>136.648</v>
      </c>
      <c r="AD1855">
        <v>200211626</v>
      </c>
      <c r="AE1855" t="s">
        <v>719</v>
      </c>
      <c r="AF1855" s="4">
        <f t="shared" si="71"/>
        <v>136.648</v>
      </c>
      <c r="AG1855" t="s">
        <v>1150</v>
      </c>
      <c r="AH1855" t="s">
        <v>1123</v>
      </c>
      <c r="AJ1855" t="s">
        <v>1148</v>
      </c>
      <c r="AK1855" t="s">
        <v>1129</v>
      </c>
      <c r="AL1855">
        <v>340255290</v>
      </c>
      <c r="AM1855" t="s">
        <v>135</v>
      </c>
    </row>
    <row r="1856" spans="1:39" x14ac:dyDescent="0.35">
      <c r="A1856">
        <v>3402</v>
      </c>
      <c r="B1856" t="s">
        <v>259</v>
      </c>
      <c r="C1856">
        <v>2020</v>
      </c>
      <c r="D1856" s="1">
        <v>43831</v>
      </c>
      <c r="E1856">
        <v>1</v>
      </c>
      <c r="F1856">
        <v>200076926</v>
      </c>
      <c r="G1856" t="s">
        <v>120</v>
      </c>
      <c r="H1856">
        <v>91</v>
      </c>
      <c r="I1856">
        <v>71104010</v>
      </c>
      <c r="J1856">
        <v>21021040</v>
      </c>
      <c r="K1856" t="s">
        <v>121</v>
      </c>
      <c r="L1856" s="4">
        <v>117.8</v>
      </c>
      <c r="M1856" t="s">
        <v>31</v>
      </c>
      <c r="N1856" s="4">
        <v>117.8</v>
      </c>
      <c r="O1856" t="s">
        <v>31</v>
      </c>
      <c r="R1856" t="s">
        <v>137</v>
      </c>
      <c r="S1856" t="s">
        <v>1131</v>
      </c>
      <c r="T1856">
        <v>107211</v>
      </c>
      <c r="U1856" t="s">
        <v>123</v>
      </c>
      <c r="X1856" t="s">
        <v>259</v>
      </c>
      <c r="Y1856" s="8">
        <v>4501226813</v>
      </c>
      <c r="Z1856">
        <v>20200125</v>
      </c>
      <c r="AA1856">
        <f t="shared" si="65"/>
        <v>117.8</v>
      </c>
      <c r="AB1856">
        <f t="shared" si="69"/>
        <v>18.847999999999999</v>
      </c>
      <c r="AC1856">
        <f t="shared" si="70"/>
        <v>136.648</v>
      </c>
      <c r="AD1856">
        <v>200211626</v>
      </c>
      <c r="AE1856" t="s">
        <v>716</v>
      </c>
      <c r="AF1856" s="4">
        <f t="shared" si="71"/>
        <v>136.648</v>
      </c>
      <c r="AG1856" t="s">
        <v>1150</v>
      </c>
      <c r="AH1856" t="s">
        <v>1123</v>
      </c>
      <c r="AJ1856" t="s">
        <v>1148</v>
      </c>
      <c r="AK1856" t="s">
        <v>1129</v>
      </c>
      <c r="AL1856">
        <v>340255290</v>
      </c>
      <c r="AM1856" t="s">
        <v>135</v>
      </c>
    </row>
    <row r="1857" spans="1:39" x14ac:dyDescent="0.35">
      <c r="A1857">
        <v>3402</v>
      </c>
      <c r="B1857" t="s">
        <v>259</v>
      </c>
      <c r="C1857">
        <v>2020</v>
      </c>
      <c r="D1857" s="1">
        <v>43831</v>
      </c>
      <c r="E1857">
        <v>1</v>
      </c>
      <c r="F1857">
        <v>200076927</v>
      </c>
      <c r="G1857" t="s">
        <v>120</v>
      </c>
      <c r="H1857">
        <v>81</v>
      </c>
      <c r="I1857">
        <v>71104010</v>
      </c>
      <c r="J1857">
        <v>21021040</v>
      </c>
      <c r="K1857" t="s">
        <v>121</v>
      </c>
      <c r="L1857" s="4">
        <v>117.8</v>
      </c>
      <c r="M1857" t="s">
        <v>31</v>
      </c>
      <c r="N1857" s="4">
        <v>117.8</v>
      </c>
      <c r="O1857" t="s">
        <v>31</v>
      </c>
      <c r="R1857" t="s">
        <v>137</v>
      </c>
      <c r="S1857" t="s">
        <v>1131</v>
      </c>
      <c r="T1857">
        <v>107211</v>
      </c>
      <c r="U1857" t="s">
        <v>123</v>
      </c>
      <c r="X1857" t="s">
        <v>259</v>
      </c>
      <c r="Y1857" s="8">
        <v>4501226813</v>
      </c>
      <c r="Z1857">
        <v>20200125</v>
      </c>
      <c r="AA1857">
        <f t="shared" si="65"/>
        <v>117.8</v>
      </c>
      <c r="AB1857">
        <f t="shared" si="69"/>
        <v>18.847999999999999</v>
      </c>
      <c r="AC1857">
        <f t="shared" si="70"/>
        <v>136.648</v>
      </c>
      <c r="AD1857">
        <v>200211626</v>
      </c>
      <c r="AE1857" t="s">
        <v>717</v>
      </c>
      <c r="AF1857" s="4">
        <f t="shared" si="71"/>
        <v>136.648</v>
      </c>
      <c r="AG1857" t="s">
        <v>1150</v>
      </c>
      <c r="AH1857" t="s">
        <v>1123</v>
      </c>
      <c r="AJ1857" t="s">
        <v>1148</v>
      </c>
      <c r="AK1857" t="s">
        <v>1129</v>
      </c>
      <c r="AL1857">
        <v>340255290</v>
      </c>
      <c r="AM1857" t="s">
        <v>135</v>
      </c>
    </row>
    <row r="1858" spans="1:39" x14ac:dyDescent="0.35">
      <c r="A1858">
        <v>3402</v>
      </c>
      <c r="B1858" t="s">
        <v>259</v>
      </c>
      <c r="C1858">
        <v>2020</v>
      </c>
      <c r="D1858" s="1">
        <v>43831</v>
      </c>
      <c r="E1858">
        <v>1</v>
      </c>
      <c r="F1858">
        <v>200076928</v>
      </c>
      <c r="G1858" t="s">
        <v>120</v>
      </c>
      <c r="H1858">
        <v>91</v>
      </c>
      <c r="I1858">
        <v>71104010</v>
      </c>
      <c r="J1858">
        <v>21021040</v>
      </c>
      <c r="K1858" t="s">
        <v>121</v>
      </c>
      <c r="L1858" s="4">
        <v>114</v>
      </c>
      <c r="M1858" t="s">
        <v>31</v>
      </c>
      <c r="N1858" s="4">
        <v>114</v>
      </c>
      <c r="O1858" t="s">
        <v>31</v>
      </c>
      <c r="R1858" t="s">
        <v>137</v>
      </c>
      <c r="S1858" t="s">
        <v>1131</v>
      </c>
      <c r="T1858">
        <v>107211</v>
      </c>
      <c r="U1858" t="s">
        <v>123</v>
      </c>
      <c r="X1858" t="s">
        <v>259</v>
      </c>
      <c r="Y1858" s="8">
        <v>4501226813</v>
      </c>
      <c r="Z1858">
        <v>20200125</v>
      </c>
      <c r="AA1858">
        <f t="shared" si="65"/>
        <v>114</v>
      </c>
      <c r="AB1858">
        <f t="shared" si="69"/>
        <v>18.240000000000002</v>
      </c>
      <c r="AC1858">
        <f t="shared" si="70"/>
        <v>132.24</v>
      </c>
      <c r="AD1858">
        <v>200211626</v>
      </c>
      <c r="AE1858" t="s">
        <v>717</v>
      </c>
      <c r="AF1858" s="4">
        <f t="shared" si="71"/>
        <v>132.24</v>
      </c>
      <c r="AG1858" t="s">
        <v>1150</v>
      </c>
      <c r="AH1858" t="s">
        <v>1123</v>
      </c>
      <c r="AJ1858" t="s">
        <v>1148</v>
      </c>
      <c r="AK1858" t="s">
        <v>1129</v>
      </c>
      <c r="AL1858">
        <v>340255290</v>
      </c>
      <c r="AM1858" t="s">
        <v>135</v>
      </c>
    </row>
    <row r="1859" spans="1:39" x14ac:dyDescent="0.35">
      <c r="A1859">
        <v>3402</v>
      </c>
      <c r="B1859" t="s">
        <v>259</v>
      </c>
      <c r="C1859">
        <v>2020</v>
      </c>
      <c r="D1859" s="1">
        <v>43831</v>
      </c>
      <c r="E1859">
        <v>1</v>
      </c>
      <c r="F1859">
        <v>200076929</v>
      </c>
      <c r="G1859" t="s">
        <v>120</v>
      </c>
      <c r="H1859">
        <v>81</v>
      </c>
      <c r="I1859">
        <v>71104010</v>
      </c>
      <c r="J1859">
        <v>21021040</v>
      </c>
      <c r="K1859" t="s">
        <v>121</v>
      </c>
      <c r="L1859" s="4">
        <v>114</v>
      </c>
      <c r="M1859" t="s">
        <v>31</v>
      </c>
      <c r="N1859" s="4">
        <v>114</v>
      </c>
      <c r="O1859" t="s">
        <v>31</v>
      </c>
      <c r="R1859" t="s">
        <v>137</v>
      </c>
      <c r="S1859" t="s">
        <v>1131</v>
      </c>
      <c r="T1859">
        <v>107211</v>
      </c>
      <c r="U1859" t="s">
        <v>123</v>
      </c>
      <c r="X1859" t="s">
        <v>259</v>
      </c>
      <c r="Y1859" s="8">
        <v>4501226813</v>
      </c>
      <c r="Z1859">
        <v>20200125</v>
      </c>
      <c r="AA1859">
        <f t="shared" si="65"/>
        <v>114</v>
      </c>
      <c r="AB1859">
        <f t="shared" si="69"/>
        <v>18.240000000000002</v>
      </c>
      <c r="AC1859">
        <f t="shared" si="70"/>
        <v>132.24</v>
      </c>
      <c r="AD1859">
        <v>200211626</v>
      </c>
      <c r="AE1859" t="s">
        <v>718</v>
      </c>
      <c r="AF1859" s="4">
        <f t="shared" si="71"/>
        <v>132.24</v>
      </c>
      <c r="AG1859" t="s">
        <v>1150</v>
      </c>
      <c r="AH1859" t="s">
        <v>1123</v>
      </c>
      <c r="AJ1859" t="s">
        <v>1148</v>
      </c>
      <c r="AK1859" t="s">
        <v>1129</v>
      </c>
      <c r="AL1859">
        <v>340255290</v>
      </c>
      <c r="AM1859" t="s">
        <v>135</v>
      </c>
    </row>
    <row r="1860" spans="1:39" x14ac:dyDescent="0.35">
      <c r="A1860">
        <v>3402</v>
      </c>
      <c r="B1860" t="s">
        <v>259</v>
      </c>
      <c r="C1860">
        <v>2020</v>
      </c>
      <c r="D1860" s="1">
        <v>43831</v>
      </c>
      <c r="E1860">
        <v>1</v>
      </c>
      <c r="F1860">
        <v>200076930</v>
      </c>
      <c r="G1860" t="s">
        <v>120</v>
      </c>
      <c r="H1860">
        <v>91</v>
      </c>
      <c r="I1860">
        <v>71104010</v>
      </c>
      <c r="J1860">
        <v>21021040</v>
      </c>
      <c r="K1860" t="s">
        <v>121</v>
      </c>
      <c r="L1860" s="4">
        <v>114</v>
      </c>
      <c r="M1860" t="s">
        <v>31</v>
      </c>
      <c r="N1860" s="4">
        <v>114</v>
      </c>
      <c r="O1860" t="s">
        <v>31</v>
      </c>
      <c r="R1860" t="s">
        <v>137</v>
      </c>
      <c r="S1860" t="s">
        <v>1131</v>
      </c>
      <c r="T1860">
        <v>107211</v>
      </c>
      <c r="U1860" t="s">
        <v>123</v>
      </c>
      <c r="X1860" t="s">
        <v>259</v>
      </c>
      <c r="Y1860" s="8">
        <v>4501226813</v>
      </c>
      <c r="Z1860">
        <v>20200125</v>
      </c>
      <c r="AA1860">
        <f t="shared" si="65"/>
        <v>114</v>
      </c>
      <c r="AB1860">
        <f t="shared" si="69"/>
        <v>18.240000000000002</v>
      </c>
      <c r="AC1860">
        <f t="shared" si="70"/>
        <v>132.24</v>
      </c>
      <c r="AD1860">
        <v>200211626</v>
      </c>
      <c r="AE1860" t="s">
        <v>718</v>
      </c>
      <c r="AF1860" s="4">
        <f t="shared" si="71"/>
        <v>132.24</v>
      </c>
      <c r="AG1860" t="s">
        <v>1150</v>
      </c>
      <c r="AH1860" t="s">
        <v>1123</v>
      </c>
      <c r="AJ1860" t="s">
        <v>1148</v>
      </c>
      <c r="AK1860" t="s">
        <v>1129</v>
      </c>
      <c r="AL1860">
        <v>340255290</v>
      </c>
      <c r="AM1860" t="s">
        <v>135</v>
      </c>
    </row>
    <row r="1861" spans="1:39" x14ac:dyDescent="0.35">
      <c r="A1861">
        <v>3402</v>
      </c>
      <c r="B1861" t="s">
        <v>259</v>
      </c>
      <c r="C1861">
        <v>2020</v>
      </c>
      <c r="D1861" s="1">
        <v>43831</v>
      </c>
      <c r="E1861">
        <v>1</v>
      </c>
      <c r="F1861">
        <v>200076931</v>
      </c>
      <c r="G1861" t="s">
        <v>120</v>
      </c>
      <c r="H1861">
        <v>81</v>
      </c>
      <c r="I1861">
        <v>71104010</v>
      </c>
      <c r="J1861">
        <v>21021040</v>
      </c>
      <c r="K1861" t="s">
        <v>121</v>
      </c>
      <c r="L1861" s="4">
        <v>114</v>
      </c>
      <c r="M1861" t="s">
        <v>31</v>
      </c>
      <c r="N1861" s="4">
        <v>114</v>
      </c>
      <c r="O1861" t="s">
        <v>31</v>
      </c>
      <c r="R1861" t="s">
        <v>137</v>
      </c>
      <c r="S1861" t="s">
        <v>1131</v>
      </c>
      <c r="T1861">
        <v>107211</v>
      </c>
      <c r="U1861" t="s">
        <v>123</v>
      </c>
      <c r="X1861" t="s">
        <v>259</v>
      </c>
      <c r="Y1861" s="8">
        <v>4501226813</v>
      </c>
      <c r="Z1861">
        <v>20200125</v>
      </c>
      <c r="AA1861">
        <f t="shared" si="65"/>
        <v>114</v>
      </c>
      <c r="AB1861">
        <f t="shared" si="69"/>
        <v>18.240000000000002</v>
      </c>
      <c r="AC1861">
        <f t="shared" si="70"/>
        <v>132.24</v>
      </c>
      <c r="AD1861">
        <v>200211626</v>
      </c>
      <c r="AE1861" t="s">
        <v>719</v>
      </c>
      <c r="AF1861" s="4">
        <f t="shared" si="71"/>
        <v>132.24</v>
      </c>
      <c r="AG1861" t="s">
        <v>1150</v>
      </c>
      <c r="AH1861" t="s">
        <v>1123</v>
      </c>
      <c r="AJ1861" t="s">
        <v>1148</v>
      </c>
      <c r="AK1861" t="s">
        <v>1129</v>
      </c>
      <c r="AL1861">
        <v>340255290</v>
      </c>
      <c r="AM1861" t="s">
        <v>135</v>
      </c>
    </row>
    <row r="1862" spans="1:39" x14ac:dyDescent="0.35">
      <c r="A1862">
        <v>3402</v>
      </c>
      <c r="B1862" t="s">
        <v>259</v>
      </c>
      <c r="C1862">
        <v>2020</v>
      </c>
      <c r="D1862" s="1">
        <v>43831</v>
      </c>
      <c r="E1862">
        <v>1</v>
      </c>
      <c r="F1862">
        <v>200076932</v>
      </c>
      <c r="G1862" t="s">
        <v>120</v>
      </c>
      <c r="H1862">
        <v>91</v>
      </c>
      <c r="I1862">
        <v>71104010</v>
      </c>
      <c r="J1862">
        <v>21021040</v>
      </c>
      <c r="K1862" t="s">
        <v>121</v>
      </c>
      <c r="L1862" s="4">
        <v>117.8</v>
      </c>
      <c r="M1862" t="s">
        <v>31</v>
      </c>
      <c r="N1862" s="4">
        <v>117.8</v>
      </c>
      <c r="O1862" t="s">
        <v>31</v>
      </c>
      <c r="R1862" t="s">
        <v>137</v>
      </c>
      <c r="S1862" t="s">
        <v>1131</v>
      </c>
      <c r="T1862">
        <v>107211</v>
      </c>
      <c r="U1862" t="s">
        <v>123</v>
      </c>
      <c r="X1862" t="s">
        <v>259</v>
      </c>
      <c r="Y1862" s="8">
        <v>4501226813</v>
      </c>
      <c r="Z1862">
        <v>20200125</v>
      </c>
      <c r="AA1862">
        <f t="shared" si="65"/>
        <v>117.8</v>
      </c>
      <c r="AB1862">
        <f t="shared" si="69"/>
        <v>18.847999999999999</v>
      </c>
      <c r="AC1862">
        <f t="shared" si="70"/>
        <v>136.648</v>
      </c>
      <c r="AD1862">
        <v>200211626</v>
      </c>
      <c r="AE1862" t="s">
        <v>719</v>
      </c>
      <c r="AF1862" s="4">
        <f t="shared" si="71"/>
        <v>136.648</v>
      </c>
      <c r="AG1862" t="s">
        <v>1150</v>
      </c>
      <c r="AH1862" t="s">
        <v>1123</v>
      </c>
      <c r="AJ1862" t="s">
        <v>1148</v>
      </c>
      <c r="AK1862" t="s">
        <v>1129</v>
      </c>
      <c r="AL1862">
        <v>340255290</v>
      </c>
      <c r="AM1862" t="s">
        <v>135</v>
      </c>
    </row>
    <row r="1863" spans="1:39" x14ac:dyDescent="0.35">
      <c r="A1863">
        <v>3402</v>
      </c>
      <c r="B1863" t="s">
        <v>259</v>
      </c>
      <c r="C1863">
        <v>2020</v>
      </c>
      <c r="D1863" s="1">
        <v>43831</v>
      </c>
      <c r="E1863">
        <v>1</v>
      </c>
      <c r="F1863">
        <v>200076933</v>
      </c>
      <c r="G1863" t="s">
        <v>120</v>
      </c>
      <c r="H1863">
        <v>81</v>
      </c>
      <c r="I1863">
        <v>71104010</v>
      </c>
      <c r="J1863">
        <v>21021040</v>
      </c>
      <c r="K1863" t="s">
        <v>121</v>
      </c>
      <c r="L1863" s="4">
        <v>117.8</v>
      </c>
      <c r="M1863" t="s">
        <v>31</v>
      </c>
      <c r="N1863" s="4">
        <v>117.8</v>
      </c>
      <c r="O1863" t="s">
        <v>31</v>
      </c>
      <c r="R1863" t="s">
        <v>137</v>
      </c>
      <c r="S1863" t="s">
        <v>1131</v>
      </c>
      <c r="T1863">
        <v>107211</v>
      </c>
      <c r="U1863" t="s">
        <v>123</v>
      </c>
      <c r="X1863" t="s">
        <v>259</v>
      </c>
      <c r="Y1863" s="8">
        <v>4501226813</v>
      </c>
      <c r="Z1863">
        <v>20200125</v>
      </c>
      <c r="AA1863">
        <f t="shared" si="65"/>
        <v>117.8</v>
      </c>
      <c r="AB1863">
        <f t="shared" si="69"/>
        <v>18.847999999999999</v>
      </c>
      <c r="AC1863">
        <f t="shared" si="70"/>
        <v>136.648</v>
      </c>
      <c r="AD1863">
        <v>200211626</v>
      </c>
      <c r="AE1863" t="s">
        <v>720</v>
      </c>
      <c r="AF1863" s="4">
        <f t="shared" si="71"/>
        <v>136.648</v>
      </c>
      <c r="AG1863" t="s">
        <v>1150</v>
      </c>
      <c r="AH1863" t="s">
        <v>1123</v>
      </c>
      <c r="AJ1863" t="s">
        <v>1148</v>
      </c>
      <c r="AK1863" t="s">
        <v>1129</v>
      </c>
      <c r="AL1863">
        <v>340255290</v>
      </c>
      <c r="AM1863" t="s">
        <v>135</v>
      </c>
    </row>
    <row r="1864" spans="1:39" x14ac:dyDescent="0.35">
      <c r="A1864">
        <v>3402</v>
      </c>
      <c r="B1864" t="s">
        <v>259</v>
      </c>
      <c r="C1864">
        <v>2020</v>
      </c>
      <c r="D1864" s="1">
        <v>43831</v>
      </c>
      <c r="E1864">
        <v>1</v>
      </c>
      <c r="F1864">
        <v>200076934</v>
      </c>
      <c r="G1864" t="s">
        <v>120</v>
      </c>
      <c r="H1864">
        <v>81</v>
      </c>
      <c r="I1864">
        <v>71104010</v>
      </c>
      <c r="J1864">
        <v>21021040</v>
      </c>
      <c r="K1864" t="s">
        <v>121</v>
      </c>
      <c r="L1864" s="4">
        <v>110.2</v>
      </c>
      <c r="M1864" t="s">
        <v>31</v>
      </c>
      <c r="N1864" s="4">
        <v>110.2</v>
      </c>
      <c r="O1864" t="s">
        <v>31</v>
      </c>
      <c r="R1864" t="s">
        <v>137</v>
      </c>
      <c r="S1864" t="s">
        <v>1131</v>
      </c>
      <c r="T1864">
        <v>107211</v>
      </c>
      <c r="U1864" t="s">
        <v>123</v>
      </c>
      <c r="X1864" t="s">
        <v>259</v>
      </c>
      <c r="Y1864" s="8">
        <v>4501226813</v>
      </c>
      <c r="Z1864">
        <v>20200125</v>
      </c>
      <c r="AA1864">
        <f t="shared" si="65"/>
        <v>110.2</v>
      </c>
      <c r="AB1864">
        <f t="shared" si="69"/>
        <v>17.632000000000001</v>
      </c>
      <c r="AC1864">
        <f t="shared" si="70"/>
        <v>127.83200000000001</v>
      </c>
      <c r="AD1864">
        <v>200211626</v>
      </c>
      <c r="AE1864" t="s">
        <v>721</v>
      </c>
      <c r="AF1864" s="4">
        <f t="shared" si="71"/>
        <v>127.83200000000001</v>
      </c>
      <c r="AG1864" t="s">
        <v>1150</v>
      </c>
      <c r="AH1864" t="s">
        <v>1123</v>
      </c>
      <c r="AJ1864" t="s">
        <v>1148</v>
      </c>
      <c r="AK1864" t="s">
        <v>1129</v>
      </c>
      <c r="AL1864">
        <v>340255290</v>
      </c>
      <c r="AM1864" t="s">
        <v>135</v>
      </c>
    </row>
    <row r="1865" spans="1:39" x14ac:dyDescent="0.35">
      <c r="A1865">
        <v>3402</v>
      </c>
      <c r="B1865" t="s">
        <v>259</v>
      </c>
      <c r="C1865">
        <v>2020</v>
      </c>
      <c r="D1865" s="1">
        <v>43831</v>
      </c>
      <c r="E1865">
        <v>3</v>
      </c>
      <c r="F1865">
        <v>200076934</v>
      </c>
      <c r="G1865" t="s">
        <v>120</v>
      </c>
      <c r="H1865">
        <v>81</v>
      </c>
      <c r="I1865">
        <v>71104010</v>
      </c>
      <c r="J1865">
        <v>21021040</v>
      </c>
      <c r="K1865" t="s">
        <v>121</v>
      </c>
      <c r="L1865" s="4">
        <v>121.6</v>
      </c>
      <c r="M1865" t="s">
        <v>31</v>
      </c>
      <c r="N1865" s="4">
        <v>121.6</v>
      </c>
      <c r="O1865" t="s">
        <v>31</v>
      </c>
      <c r="R1865" t="s">
        <v>137</v>
      </c>
      <c r="S1865" t="s">
        <v>1131</v>
      </c>
      <c r="T1865">
        <v>107211</v>
      </c>
      <c r="U1865" t="s">
        <v>123</v>
      </c>
      <c r="X1865" t="s">
        <v>259</v>
      </c>
      <c r="Y1865" s="8">
        <v>4501226813</v>
      </c>
      <c r="Z1865">
        <v>20200125</v>
      </c>
      <c r="AA1865">
        <f t="shared" si="65"/>
        <v>121.6</v>
      </c>
      <c r="AB1865">
        <f t="shared" si="69"/>
        <v>19.456</v>
      </c>
      <c r="AC1865">
        <f t="shared" si="70"/>
        <v>141.05599999999998</v>
      </c>
      <c r="AD1865">
        <v>200211626</v>
      </c>
      <c r="AE1865" t="s">
        <v>722</v>
      </c>
      <c r="AF1865" s="4">
        <f t="shared" si="71"/>
        <v>141.05599999999998</v>
      </c>
      <c r="AG1865" t="s">
        <v>1150</v>
      </c>
      <c r="AH1865" t="s">
        <v>1123</v>
      </c>
      <c r="AJ1865" t="s">
        <v>1148</v>
      </c>
      <c r="AK1865" t="s">
        <v>1129</v>
      </c>
      <c r="AL1865">
        <v>340255290</v>
      </c>
      <c r="AM1865" t="s">
        <v>135</v>
      </c>
    </row>
    <row r="1866" spans="1:39" x14ac:dyDescent="0.35">
      <c r="A1866">
        <v>3402</v>
      </c>
      <c r="B1866" t="s">
        <v>259</v>
      </c>
      <c r="C1866">
        <v>2020</v>
      </c>
      <c r="D1866" s="1">
        <v>43831</v>
      </c>
      <c r="E1866">
        <v>5</v>
      </c>
      <c r="F1866">
        <v>200076934</v>
      </c>
      <c r="G1866" t="s">
        <v>120</v>
      </c>
      <c r="H1866">
        <v>81</v>
      </c>
      <c r="I1866">
        <v>71104010</v>
      </c>
      <c r="J1866">
        <v>21021040</v>
      </c>
      <c r="K1866" t="s">
        <v>121</v>
      </c>
      <c r="L1866" s="4">
        <v>114</v>
      </c>
      <c r="M1866" t="s">
        <v>31</v>
      </c>
      <c r="N1866" s="4">
        <v>114</v>
      </c>
      <c r="O1866" t="s">
        <v>31</v>
      </c>
      <c r="R1866" t="s">
        <v>137</v>
      </c>
      <c r="S1866" t="s">
        <v>1131</v>
      </c>
      <c r="T1866">
        <v>107211</v>
      </c>
      <c r="U1866" t="s">
        <v>123</v>
      </c>
      <c r="X1866" t="s">
        <v>259</v>
      </c>
      <c r="Y1866" s="8">
        <v>4501226813</v>
      </c>
      <c r="Z1866">
        <v>20200125</v>
      </c>
      <c r="AA1866">
        <f t="shared" si="65"/>
        <v>114</v>
      </c>
      <c r="AB1866">
        <f t="shared" si="69"/>
        <v>18.240000000000002</v>
      </c>
      <c r="AC1866">
        <f t="shared" si="70"/>
        <v>132.24</v>
      </c>
      <c r="AD1866">
        <v>200211626</v>
      </c>
      <c r="AE1866" t="s">
        <v>723</v>
      </c>
      <c r="AF1866" s="4">
        <f t="shared" si="71"/>
        <v>132.24</v>
      </c>
      <c r="AG1866" t="s">
        <v>1150</v>
      </c>
      <c r="AH1866" t="s">
        <v>1123</v>
      </c>
      <c r="AJ1866" t="s">
        <v>1148</v>
      </c>
      <c r="AK1866" t="s">
        <v>1129</v>
      </c>
      <c r="AL1866">
        <v>340255290</v>
      </c>
      <c r="AM1866" t="s">
        <v>135</v>
      </c>
    </row>
    <row r="1867" spans="1:39" x14ac:dyDescent="0.35">
      <c r="A1867">
        <v>3402</v>
      </c>
      <c r="B1867" t="s">
        <v>259</v>
      </c>
      <c r="C1867">
        <v>2020</v>
      </c>
      <c r="D1867" s="1">
        <v>43831</v>
      </c>
      <c r="E1867">
        <v>7</v>
      </c>
      <c r="F1867">
        <v>200076934</v>
      </c>
      <c r="G1867" t="s">
        <v>120</v>
      </c>
      <c r="H1867">
        <v>81</v>
      </c>
      <c r="I1867">
        <v>71104010</v>
      </c>
      <c r="J1867">
        <v>21021040</v>
      </c>
      <c r="K1867" t="s">
        <v>121</v>
      </c>
      <c r="L1867" s="4">
        <v>117.8</v>
      </c>
      <c r="M1867" t="s">
        <v>31</v>
      </c>
      <c r="N1867" s="4">
        <v>117.8</v>
      </c>
      <c r="O1867" t="s">
        <v>31</v>
      </c>
      <c r="R1867" t="s">
        <v>137</v>
      </c>
      <c r="S1867" t="s">
        <v>1131</v>
      </c>
      <c r="T1867">
        <v>107211</v>
      </c>
      <c r="U1867" t="s">
        <v>123</v>
      </c>
      <c r="X1867" t="s">
        <v>259</v>
      </c>
      <c r="Y1867" s="8">
        <v>4501226813</v>
      </c>
      <c r="Z1867">
        <v>20200125</v>
      </c>
      <c r="AA1867">
        <f t="shared" si="65"/>
        <v>117.8</v>
      </c>
      <c r="AB1867">
        <f t="shared" si="69"/>
        <v>18.847999999999999</v>
      </c>
      <c r="AC1867">
        <f t="shared" si="70"/>
        <v>136.648</v>
      </c>
      <c r="AD1867">
        <v>200211626</v>
      </c>
      <c r="AE1867" t="s">
        <v>724</v>
      </c>
      <c r="AF1867" s="4">
        <f t="shared" si="71"/>
        <v>136.648</v>
      </c>
      <c r="AG1867" t="s">
        <v>1150</v>
      </c>
      <c r="AH1867" t="s">
        <v>1123</v>
      </c>
      <c r="AJ1867" t="s">
        <v>1148</v>
      </c>
      <c r="AK1867" t="s">
        <v>1129</v>
      </c>
      <c r="AL1867">
        <v>340255290</v>
      </c>
      <c r="AM1867" t="s">
        <v>135</v>
      </c>
    </row>
    <row r="1868" spans="1:39" x14ac:dyDescent="0.35">
      <c r="A1868">
        <v>3402</v>
      </c>
      <c r="B1868" t="s">
        <v>259</v>
      </c>
      <c r="C1868">
        <v>2020</v>
      </c>
      <c r="D1868" s="1">
        <v>43831</v>
      </c>
      <c r="E1868">
        <v>9</v>
      </c>
      <c r="F1868">
        <v>200076934</v>
      </c>
      <c r="G1868" t="s">
        <v>120</v>
      </c>
      <c r="H1868">
        <v>81</v>
      </c>
      <c r="I1868">
        <v>71104010</v>
      </c>
      <c r="J1868">
        <v>21021040</v>
      </c>
      <c r="K1868" t="s">
        <v>121</v>
      </c>
      <c r="L1868" s="4">
        <v>117.8</v>
      </c>
      <c r="M1868" t="s">
        <v>31</v>
      </c>
      <c r="N1868" s="4">
        <v>117.8</v>
      </c>
      <c r="O1868" t="s">
        <v>31</v>
      </c>
      <c r="R1868" t="s">
        <v>137</v>
      </c>
      <c r="S1868" t="s">
        <v>1131</v>
      </c>
      <c r="T1868">
        <v>107211</v>
      </c>
      <c r="U1868" t="s">
        <v>123</v>
      </c>
      <c r="X1868" t="s">
        <v>259</v>
      </c>
      <c r="Y1868" s="8">
        <v>4501226813</v>
      </c>
      <c r="Z1868">
        <v>20200125</v>
      </c>
      <c r="AA1868">
        <f t="shared" si="65"/>
        <v>117.8</v>
      </c>
      <c r="AB1868">
        <f t="shared" si="69"/>
        <v>18.847999999999999</v>
      </c>
      <c r="AC1868">
        <f t="shared" si="70"/>
        <v>136.648</v>
      </c>
      <c r="AD1868">
        <v>200211626</v>
      </c>
      <c r="AE1868" t="s">
        <v>725</v>
      </c>
      <c r="AF1868" s="4">
        <f t="shared" si="71"/>
        <v>136.648</v>
      </c>
      <c r="AG1868" t="s">
        <v>1150</v>
      </c>
      <c r="AH1868" t="s">
        <v>1123</v>
      </c>
      <c r="AJ1868" t="s">
        <v>1148</v>
      </c>
      <c r="AK1868" t="s">
        <v>1129</v>
      </c>
      <c r="AL1868">
        <v>340255290</v>
      </c>
      <c r="AM1868" t="s">
        <v>135</v>
      </c>
    </row>
    <row r="1869" spans="1:39" x14ac:dyDescent="0.35">
      <c r="A1869">
        <v>3402</v>
      </c>
      <c r="B1869" t="s">
        <v>259</v>
      </c>
      <c r="C1869">
        <v>2020</v>
      </c>
      <c r="D1869" s="1">
        <v>43831</v>
      </c>
      <c r="E1869">
        <v>11</v>
      </c>
      <c r="F1869">
        <v>200076934</v>
      </c>
      <c r="G1869" t="s">
        <v>120</v>
      </c>
      <c r="H1869">
        <v>81</v>
      </c>
      <c r="I1869">
        <v>71104010</v>
      </c>
      <c r="J1869">
        <v>21021040</v>
      </c>
      <c r="K1869" t="s">
        <v>121</v>
      </c>
      <c r="L1869" s="4">
        <v>117.8</v>
      </c>
      <c r="M1869" t="s">
        <v>31</v>
      </c>
      <c r="N1869" s="4">
        <v>117.8</v>
      </c>
      <c r="O1869" t="s">
        <v>31</v>
      </c>
      <c r="R1869" t="s">
        <v>137</v>
      </c>
      <c r="S1869" t="s">
        <v>1131</v>
      </c>
      <c r="T1869">
        <v>107211</v>
      </c>
      <c r="U1869" t="s">
        <v>123</v>
      </c>
      <c r="X1869" t="s">
        <v>259</v>
      </c>
      <c r="Y1869" s="8">
        <v>4501226813</v>
      </c>
      <c r="Z1869">
        <v>20200125</v>
      </c>
      <c r="AA1869">
        <f t="shared" si="65"/>
        <v>117.8</v>
      </c>
      <c r="AB1869">
        <f t="shared" si="69"/>
        <v>18.847999999999999</v>
      </c>
      <c r="AC1869">
        <f t="shared" si="70"/>
        <v>136.648</v>
      </c>
      <c r="AD1869">
        <v>200211626</v>
      </c>
      <c r="AE1869" t="s">
        <v>726</v>
      </c>
      <c r="AF1869" s="4">
        <f t="shared" si="71"/>
        <v>136.648</v>
      </c>
      <c r="AG1869" t="s">
        <v>1150</v>
      </c>
      <c r="AH1869" t="s">
        <v>1123</v>
      </c>
      <c r="AJ1869" t="s">
        <v>1148</v>
      </c>
      <c r="AK1869" t="s">
        <v>1129</v>
      </c>
      <c r="AL1869">
        <v>340255290</v>
      </c>
      <c r="AM1869" t="s">
        <v>135</v>
      </c>
    </row>
    <row r="1870" spans="1:39" x14ac:dyDescent="0.35">
      <c r="A1870">
        <v>3402</v>
      </c>
      <c r="B1870" t="s">
        <v>259</v>
      </c>
      <c r="C1870">
        <v>2020</v>
      </c>
      <c r="D1870" s="1">
        <v>43831</v>
      </c>
      <c r="E1870">
        <v>1</v>
      </c>
      <c r="F1870">
        <v>200076936</v>
      </c>
      <c r="G1870" t="s">
        <v>120</v>
      </c>
      <c r="H1870">
        <v>81</v>
      </c>
      <c r="I1870">
        <v>71104010</v>
      </c>
      <c r="J1870">
        <v>21021040</v>
      </c>
      <c r="K1870" t="s">
        <v>121</v>
      </c>
      <c r="L1870" s="4">
        <v>114</v>
      </c>
      <c r="M1870" t="s">
        <v>31</v>
      </c>
      <c r="N1870" s="4">
        <v>114</v>
      </c>
      <c r="O1870" t="s">
        <v>31</v>
      </c>
      <c r="R1870" t="s">
        <v>137</v>
      </c>
      <c r="S1870" t="s">
        <v>1131</v>
      </c>
      <c r="T1870">
        <v>107211</v>
      </c>
      <c r="U1870" t="s">
        <v>123</v>
      </c>
      <c r="X1870" t="s">
        <v>259</v>
      </c>
      <c r="Y1870" s="8">
        <v>4501226813</v>
      </c>
      <c r="Z1870">
        <v>20200125</v>
      </c>
      <c r="AA1870">
        <f t="shared" si="65"/>
        <v>114</v>
      </c>
      <c r="AB1870">
        <f t="shared" si="69"/>
        <v>18.240000000000002</v>
      </c>
      <c r="AC1870">
        <f t="shared" si="70"/>
        <v>132.24</v>
      </c>
      <c r="AD1870">
        <v>200211626</v>
      </c>
      <c r="AE1870" t="s">
        <v>727</v>
      </c>
      <c r="AF1870" s="4">
        <f t="shared" si="71"/>
        <v>132.24</v>
      </c>
      <c r="AG1870" t="s">
        <v>1150</v>
      </c>
      <c r="AH1870" t="s">
        <v>1123</v>
      </c>
      <c r="AJ1870" t="s">
        <v>1148</v>
      </c>
      <c r="AK1870" t="s">
        <v>1129</v>
      </c>
      <c r="AL1870">
        <v>340255290</v>
      </c>
      <c r="AM1870" t="s">
        <v>135</v>
      </c>
    </row>
    <row r="1871" spans="1:39" x14ac:dyDescent="0.35">
      <c r="A1871">
        <v>3402</v>
      </c>
      <c r="B1871" t="s">
        <v>259</v>
      </c>
      <c r="C1871">
        <v>2020</v>
      </c>
      <c r="D1871" s="1">
        <v>43831</v>
      </c>
      <c r="E1871">
        <v>3</v>
      </c>
      <c r="F1871">
        <v>200076936</v>
      </c>
      <c r="G1871" t="s">
        <v>120</v>
      </c>
      <c r="H1871">
        <v>81</v>
      </c>
      <c r="I1871">
        <v>71104010</v>
      </c>
      <c r="J1871">
        <v>21021040</v>
      </c>
      <c r="K1871" t="s">
        <v>121</v>
      </c>
      <c r="L1871" s="4">
        <v>117.8</v>
      </c>
      <c r="M1871" t="s">
        <v>31</v>
      </c>
      <c r="N1871" s="4">
        <v>117.8</v>
      </c>
      <c r="O1871" t="s">
        <v>31</v>
      </c>
      <c r="R1871" t="s">
        <v>137</v>
      </c>
      <c r="S1871" t="s">
        <v>1131</v>
      </c>
      <c r="T1871">
        <v>107211</v>
      </c>
      <c r="U1871" t="s">
        <v>123</v>
      </c>
      <c r="X1871" t="s">
        <v>259</v>
      </c>
      <c r="Y1871" s="8">
        <v>4501226813</v>
      </c>
      <c r="Z1871">
        <v>20200125</v>
      </c>
      <c r="AA1871">
        <f t="shared" si="65"/>
        <v>117.8</v>
      </c>
      <c r="AB1871">
        <f t="shared" si="69"/>
        <v>18.847999999999999</v>
      </c>
      <c r="AC1871">
        <f t="shared" si="70"/>
        <v>136.648</v>
      </c>
      <c r="AD1871">
        <v>200211626</v>
      </c>
      <c r="AE1871" t="s">
        <v>728</v>
      </c>
      <c r="AF1871" s="4">
        <f t="shared" si="71"/>
        <v>136.648</v>
      </c>
      <c r="AG1871" t="s">
        <v>1150</v>
      </c>
      <c r="AH1871" t="s">
        <v>1123</v>
      </c>
      <c r="AJ1871" t="s">
        <v>1148</v>
      </c>
      <c r="AK1871" t="s">
        <v>1129</v>
      </c>
      <c r="AL1871">
        <v>340255290</v>
      </c>
      <c r="AM1871" t="s">
        <v>135</v>
      </c>
    </row>
    <row r="1872" spans="1:39" x14ac:dyDescent="0.35">
      <c r="A1872">
        <v>3402</v>
      </c>
      <c r="B1872" t="s">
        <v>259</v>
      </c>
      <c r="C1872">
        <v>2020</v>
      </c>
      <c r="D1872" s="1">
        <v>43831</v>
      </c>
      <c r="E1872">
        <v>5</v>
      </c>
      <c r="F1872">
        <v>200076936</v>
      </c>
      <c r="G1872" t="s">
        <v>120</v>
      </c>
      <c r="H1872">
        <v>81</v>
      </c>
      <c r="I1872">
        <v>71104010</v>
      </c>
      <c r="J1872">
        <v>21021040</v>
      </c>
      <c r="K1872" t="s">
        <v>121</v>
      </c>
      <c r="L1872" s="4">
        <v>117.8</v>
      </c>
      <c r="M1872" t="s">
        <v>31</v>
      </c>
      <c r="N1872" s="4">
        <v>117.8</v>
      </c>
      <c r="O1872" t="s">
        <v>31</v>
      </c>
      <c r="R1872" t="s">
        <v>137</v>
      </c>
      <c r="S1872" t="s">
        <v>1131</v>
      </c>
      <c r="T1872">
        <v>107211</v>
      </c>
      <c r="U1872" t="s">
        <v>123</v>
      </c>
      <c r="X1872" t="s">
        <v>259</v>
      </c>
      <c r="Y1872" s="8">
        <v>4501226813</v>
      </c>
      <c r="Z1872">
        <v>20200125</v>
      </c>
      <c r="AA1872">
        <f t="shared" si="65"/>
        <v>117.8</v>
      </c>
      <c r="AB1872">
        <f t="shared" si="69"/>
        <v>18.847999999999999</v>
      </c>
      <c r="AC1872">
        <f t="shared" si="70"/>
        <v>136.648</v>
      </c>
      <c r="AD1872">
        <v>200211626</v>
      </c>
      <c r="AE1872" t="s">
        <v>729</v>
      </c>
      <c r="AF1872" s="4">
        <f t="shared" si="71"/>
        <v>136.648</v>
      </c>
      <c r="AG1872" t="s">
        <v>1150</v>
      </c>
      <c r="AH1872" t="s">
        <v>1123</v>
      </c>
      <c r="AJ1872" t="s">
        <v>1148</v>
      </c>
      <c r="AK1872" t="s">
        <v>1129</v>
      </c>
      <c r="AL1872">
        <v>340255290</v>
      </c>
      <c r="AM1872" t="s">
        <v>135</v>
      </c>
    </row>
    <row r="1873" spans="1:39" x14ac:dyDescent="0.35">
      <c r="A1873">
        <v>3402</v>
      </c>
      <c r="B1873" t="s">
        <v>259</v>
      </c>
      <c r="C1873">
        <v>2020</v>
      </c>
      <c r="D1873" s="1">
        <v>43831</v>
      </c>
      <c r="E1873">
        <v>1</v>
      </c>
      <c r="F1873">
        <v>200076937</v>
      </c>
      <c r="G1873" t="s">
        <v>120</v>
      </c>
      <c r="H1873">
        <v>81</v>
      </c>
      <c r="I1873">
        <v>71104010</v>
      </c>
      <c r="J1873">
        <v>21021040</v>
      </c>
      <c r="K1873" t="s">
        <v>121</v>
      </c>
      <c r="L1873" s="4">
        <v>9</v>
      </c>
      <c r="M1873" t="s">
        <v>31</v>
      </c>
      <c r="N1873" s="4">
        <v>9</v>
      </c>
      <c r="O1873" t="s">
        <v>31</v>
      </c>
      <c r="R1873" t="s">
        <v>137</v>
      </c>
      <c r="S1873" t="s">
        <v>1131</v>
      </c>
      <c r="T1873">
        <v>107211</v>
      </c>
      <c r="U1873" t="s">
        <v>123</v>
      </c>
      <c r="X1873" t="s">
        <v>259</v>
      </c>
      <c r="Y1873" s="8">
        <v>4501226813</v>
      </c>
      <c r="Z1873">
        <v>20200125</v>
      </c>
      <c r="AA1873">
        <f t="shared" si="65"/>
        <v>9</v>
      </c>
      <c r="AB1873">
        <f t="shared" si="69"/>
        <v>1.44</v>
      </c>
      <c r="AC1873">
        <f t="shared" si="70"/>
        <v>10.44</v>
      </c>
      <c r="AD1873">
        <v>200211626</v>
      </c>
      <c r="AE1873" t="s">
        <v>730</v>
      </c>
      <c r="AF1873" s="4">
        <f t="shared" si="71"/>
        <v>10.44</v>
      </c>
      <c r="AG1873" t="s">
        <v>1150</v>
      </c>
      <c r="AH1873" t="s">
        <v>1123</v>
      </c>
      <c r="AJ1873" t="s">
        <v>1148</v>
      </c>
      <c r="AK1873" t="s">
        <v>1129</v>
      </c>
      <c r="AL1873">
        <v>340255290</v>
      </c>
      <c r="AM1873" t="s">
        <v>135</v>
      </c>
    </row>
    <row r="1874" spans="1:39" x14ac:dyDescent="0.35">
      <c r="A1874">
        <v>3402</v>
      </c>
      <c r="B1874" t="s">
        <v>259</v>
      </c>
      <c r="C1874">
        <v>2020</v>
      </c>
      <c r="D1874" s="1">
        <v>43831</v>
      </c>
      <c r="E1874">
        <v>3</v>
      </c>
      <c r="F1874">
        <v>200076937</v>
      </c>
      <c r="G1874" t="s">
        <v>120</v>
      </c>
      <c r="H1874">
        <v>81</v>
      </c>
      <c r="I1874">
        <v>71104010</v>
      </c>
      <c r="J1874">
        <v>21021040</v>
      </c>
      <c r="K1874" t="s">
        <v>121</v>
      </c>
      <c r="L1874" s="4">
        <v>0.05</v>
      </c>
      <c r="M1874" t="s">
        <v>31</v>
      </c>
      <c r="N1874" s="4">
        <v>0.05</v>
      </c>
      <c r="O1874" t="s">
        <v>31</v>
      </c>
      <c r="R1874" t="s">
        <v>137</v>
      </c>
      <c r="S1874" t="s">
        <v>1131</v>
      </c>
      <c r="T1874">
        <v>107211</v>
      </c>
      <c r="U1874" t="s">
        <v>123</v>
      </c>
      <c r="X1874" t="s">
        <v>259</v>
      </c>
      <c r="Y1874" s="8">
        <v>4501226813</v>
      </c>
      <c r="Z1874">
        <v>20200125</v>
      </c>
      <c r="AA1874">
        <f t="shared" ref="AA1874:AA1937" si="72">L1874</f>
        <v>0.05</v>
      </c>
      <c r="AB1874">
        <f t="shared" si="69"/>
        <v>8.0000000000000002E-3</v>
      </c>
      <c r="AC1874">
        <f t="shared" si="70"/>
        <v>5.8000000000000003E-2</v>
      </c>
      <c r="AD1874">
        <v>200211626</v>
      </c>
      <c r="AE1874" t="s">
        <v>731</v>
      </c>
      <c r="AF1874" s="4">
        <f t="shared" si="71"/>
        <v>5.8000000000000003E-2</v>
      </c>
      <c r="AG1874" t="s">
        <v>1150</v>
      </c>
      <c r="AH1874" t="s">
        <v>1123</v>
      </c>
      <c r="AJ1874" t="s">
        <v>1148</v>
      </c>
      <c r="AK1874" t="s">
        <v>1129</v>
      </c>
      <c r="AL1874">
        <v>340255290</v>
      </c>
      <c r="AM1874" t="s">
        <v>135</v>
      </c>
    </row>
    <row r="1875" spans="1:39" x14ac:dyDescent="0.35">
      <c r="A1875">
        <v>3402</v>
      </c>
      <c r="B1875" t="s">
        <v>259</v>
      </c>
      <c r="C1875">
        <v>2020</v>
      </c>
      <c r="D1875" s="1">
        <v>43831</v>
      </c>
      <c r="E1875">
        <v>5</v>
      </c>
      <c r="F1875">
        <v>200076937</v>
      </c>
      <c r="G1875" t="s">
        <v>120</v>
      </c>
      <c r="H1875">
        <v>81</v>
      </c>
      <c r="I1875">
        <v>71104010</v>
      </c>
      <c r="J1875">
        <v>21021040</v>
      </c>
      <c r="K1875" t="s">
        <v>121</v>
      </c>
      <c r="L1875" s="4">
        <v>31.5</v>
      </c>
      <c r="M1875" t="s">
        <v>31</v>
      </c>
      <c r="N1875" s="4">
        <v>31.5</v>
      </c>
      <c r="O1875" t="s">
        <v>31</v>
      </c>
      <c r="R1875" t="s">
        <v>137</v>
      </c>
      <c r="S1875" t="s">
        <v>1131</v>
      </c>
      <c r="T1875">
        <v>107211</v>
      </c>
      <c r="U1875" t="s">
        <v>123</v>
      </c>
      <c r="X1875" t="s">
        <v>259</v>
      </c>
      <c r="Y1875" s="8">
        <v>4501226813</v>
      </c>
      <c r="Z1875">
        <v>20200125</v>
      </c>
      <c r="AA1875">
        <f t="shared" si="72"/>
        <v>31.5</v>
      </c>
      <c r="AB1875">
        <f t="shared" si="69"/>
        <v>5.04</v>
      </c>
      <c r="AC1875">
        <f t="shared" si="70"/>
        <v>36.54</v>
      </c>
      <c r="AD1875">
        <v>200211626</v>
      </c>
      <c r="AE1875" t="s">
        <v>732</v>
      </c>
      <c r="AF1875" s="4">
        <f t="shared" si="71"/>
        <v>36.54</v>
      </c>
      <c r="AG1875" t="s">
        <v>1150</v>
      </c>
      <c r="AH1875" t="s">
        <v>1123</v>
      </c>
      <c r="AJ1875" t="s">
        <v>1148</v>
      </c>
      <c r="AK1875" t="s">
        <v>1129</v>
      </c>
      <c r="AL1875">
        <v>340255290</v>
      </c>
      <c r="AM1875" t="s">
        <v>135</v>
      </c>
    </row>
    <row r="1876" spans="1:39" x14ac:dyDescent="0.35">
      <c r="A1876">
        <v>3402</v>
      </c>
      <c r="B1876" t="s">
        <v>259</v>
      </c>
      <c r="C1876">
        <v>2020</v>
      </c>
      <c r="D1876" s="1">
        <v>43831</v>
      </c>
      <c r="E1876">
        <v>7</v>
      </c>
      <c r="F1876">
        <v>200076937</v>
      </c>
      <c r="G1876" t="s">
        <v>120</v>
      </c>
      <c r="H1876">
        <v>81</v>
      </c>
      <c r="I1876">
        <v>71104010</v>
      </c>
      <c r="J1876">
        <v>21021040</v>
      </c>
      <c r="K1876" t="s">
        <v>121</v>
      </c>
      <c r="L1876" s="4">
        <v>31.5</v>
      </c>
      <c r="M1876" t="s">
        <v>31</v>
      </c>
      <c r="N1876" s="4">
        <v>31.5</v>
      </c>
      <c r="O1876" t="s">
        <v>31</v>
      </c>
      <c r="R1876" t="s">
        <v>137</v>
      </c>
      <c r="S1876" t="s">
        <v>1131</v>
      </c>
      <c r="T1876">
        <v>107211</v>
      </c>
      <c r="U1876" t="s">
        <v>123</v>
      </c>
      <c r="X1876" t="s">
        <v>259</v>
      </c>
      <c r="Y1876" s="8">
        <v>4501226813</v>
      </c>
      <c r="Z1876">
        <v>20200125</v>
      </c>
      <c r="AA1876">
        <f t="shared" si="72"/>
        <v>31.5</v>
      </c>
      <c r="AB1876">
        <f t="shared" si="69"/>
        <v>5.04</v>
      </c>
      <c r="AC1876">
        <f t="shared" si="70"/>
        <v>36.54</v>
      </c>
      <c r="AD1876">
        <v>200211626</v>
      </c>
      <c r="AE1876" t="s">
        <v>733</v>
      </c>
      <c r="AF1876" s="4">
        <f t="shared" si="71"/>
        <v>36.54</v>
      </c>
      <c r="AG1876" t="s">
        <v>1150</v>
      </c>
      <c r="AH1876" t="s">
        <v>1123</v>
      </c>
      <c r="AJ1876" t="s">
        <v>1148</v>
      </c>
      <c r="AK1876" t="s">
        <v>1129</v>
      </c>
      <c r="AL1876">
        <v>340255290</v>
      </c>
      <c r="AM1876" t="s">
        <v>135</v>
      </c>
    </row>
    <row r="1877" spans="1:39" x14ac:dyDescent="0.35">
      <c r="A1877">
        <v>3402</v>
      </c>
      <c r="B1877" t="s">
        <v>259</v>
      </c>
      <c r="C1877">
        <v>2020</v>
      </c>
      <c r="D1877" s="1">
        <v>43831</v>
      </c>
      <c r="E1877">
        <v>9</v>
      </c>
      <c r="F1877">
        <v>200076937</v>
      </c>
      <c r="G1877" t="s">
        <v>120</v>
      </c>
      <c r="H1877">
        <v>81</v>
      </c>
      <c r="I1877">
        <v>71104010</v>
      </c>
      <c r="J1877">
        <v>21021040</v>
      </c>
      <c r="K1877" t="s">
        <v>121</v>
      </c>
      <c r="L1877" s="4">
        <v>13.5</v>
      </c>
      <c r="M1877" t="s">
        <v>31</v>
      </c>
      <c r="N1877" s="4">
        <v>13.5</v>
      </c>
      <c r="O1877" t="s">
        <v>31</v>
      </c>
      <c r="R1877" t="s">
        <v>137</v>
      </c>
      <c r="S1877" t="s">
        <v>1131</v>
      </c>
      <c r="T1877">
        <v>107211</v>
      </c>
      <c r="U1877" t="s">
        <v>123</v>
      </c>
      <c r="X1877" t="s">
        <v>259</v>
      </c>
      <c r="Y1877" s="8">
        <v>4501226813</v>
      </c>
      <c r="Z1877">
        <v>20200125</v>
      </c>
      <c r="AA1877">
        <f t="shared" si="72"/>
        <v>13.5</v>
      </c>
      <c r="AB1877">
        <f t="shared" si="69"/>
        <v>2.16</v>
      </c>
      <c r="AC1877">
        <f t="shared" si="70"/>
        <v>15.66</v>
      </c>
      <c r="AD1877">
        <v>200211626</v>
      </c>
      <c r="AE1877" t="s">
        <v>734</v>
      </c>
      <c r="AF1877" s="4">
        <f t="shared" si="71"/>
        <v>15.66</v>
      </c>
      <c r="AG1877" t="s">
        <v>1150</v>
      </c>
      <c r="AH1877" t="s">
        <v>1123</v>
      </c>
      <c r="AJ1877" t="s">
        <v>1148</v>
      </c>
      <c r="AK1877" t="s">
        <v>1129</v>
      </c>
      <c r="AL1877">
        <v>340255290</v>
      </c>
      <c r="AM1877" t="s">
        <v>135</v>
      </c>
    </row>
    <row r="1878" spans="1:39" x14ac:dyDescent="0.35">
      <c r="A1878">
        <v>3402</v>
      </c>
      <c r="B1878" t="s">
        <v>259</v>
      </c>
      <c r="C1878">
        <v>2020</v>
      </c>
      <c r="D1878" s="1">
        <v>43831</v>
      </c>
      <c r="E1878">
        <v>11</v>
      </c>
      <c r="F1878">
        <v>200076937</v>
      </c>
      <c r="G1878" t="s">
        <v>120</v>
      </c>
      <c r="H1878">
        <v>81</v>
      </c>
      <c r="I1878">
        <v>71104010</v>
      </c>
      <c r="J1878">
        <v>21021040</v>
      </c>
      <c r="K1878" t="s">
        <v>121</v>
      </c>
      <c r="L1878" s="4">
        <v>9</v>
      </c>
      <c r="M1878" t="s">
        <v>31</v>
      </c>
      <c r="N1878" s="4">
        <v>9</v>
      </c>
      <c r="O1878" t="s">
        <v>31</v>
      </c>
      <c r="R1878" t="s">
        <v>137</v>
      </c>
      <c r="S1878" t="s">
        <v>1131</v>
      </c>
      <c r="T1878">
        <v>107211</v>
      </c>
      <c r="U1878" t="s">
        <v>123</v>
      </c>
      <c r="X1878" t="s">
        <v>259</v>
      </c>
      <c r="Y1878" s="8">
        <v>4501226813</v>
      </c>
      <c r="Z1878">
        <v>20200125</v>
      </c>
      <c r="AA1878">
        <f t="shared" si="72"/>
        <v>9</v>
      </c>
      <c r="AB1878">
        <f t="shared" si="69"/>
        <v>1.44</v>
      </c>
      <c r="AC1878">
        <f t="shared" si="70"/>
        <v>10.44</v>
      </c>
      <c r="AD1878">
        <v>200211626</v>
      </c>
      <c r="AE1878" t="s">
        <v>735</v>
      </c>
      <c r="AF1878" s="4">
        <f t="shared" si="71"/>
        <v>10.44</v>
      </c>
      <c r="AG1878" t="s">
        <v>1150</v>
      </c>
      <c r="AH1878" t="s">
        <v>1123</v>
      </c>
      <c r="AJ1878" t="s">
        <v>1148</v>
      </c>
      <c r="AK1878" t="s">
        <v>1129</v>
      </c>
      <c r="AL1878">
        <v>340255290</v>
      </c>
      <c r="AM1878" t="s">
        <v>135</v>
      </c>
    </row>
    <row r="1879" spans="1:39" x14ac:dyDescent="0.35">
      <c r="A1879">
        <v>3402</v>
      </c>
      <c r="B1879" t="s">
        <v>259</v>
      </c>
      <c r="C1879">
        <v>2020</v>
      </c>
      <c r="D1879" s="1">
        <v>43831</v>
      </c>
      <c r="E1879">
        <v>13</v>
      </c>
      <c r="F1879">
        <v>200076937</v>
      </c>
      <c r="G1879" t="s">
        <v>120</v>
      </c>
      <c r="H1879">
        <v>81</v>
      </c>
      <c r="I1879">
        <v>71104010</v>
      </c>
      <c r="J1879">
        <v>21021040</v>
      </c>
      <c r="K1879" t="s">
        <v>121</v>
      </c>
      <c r="L1879" s="4">
        <v>4.5</v>
      </c>
      <c r="M1879" t="s">
        <v>31</v>
      </c>
      <c r="N1879" s="4">
        <v>4.5</v>
      </c>
      <c r="O1879" t="s">
        <v>31</v>
      </c>
      <c r="R1879" t="s">
        <v>137</v>
      </c>
      <c r="S1879" t="s">
        <v>1131</v>
      </c>
      <c r="T1879">
        <v>107211</v>
      </c>
      <c r="U1879" t="s">
        <v>123</v>
      </c>
      <c r="X1879" t="s">
        <v>259</v>
      </c>
      <c r="Y1879" s="8">
        <v>4501226813</v>
      </c>
      <c r="Z1879">
        <v>20200125</v>
      </c>
      <c r="AA1879">
        <f t="shared" si="72"/>
        <v>4.5</v>
      </c>
      <c r="AB1879">
        <f t="shared" si="69"/>
        <v>0.72</v>
      </c>
      <c r="AC1879">
        <f t="shared" si="70"/>
        <v>5.22</v>
      </c>
      <c r="AD1879">
        <v>200211626</v>
      </c>
      <c r="AE1879" t="s">
        <v>736</v>
      </c>
      <c r="AF1879" s="4">
        <f t="shared" si="71"/>
        <v>5.22</v>
      </c>
      <c r="AG1879" t="s">
        <v>1150</v>
      </c>
      <c r="AH1879" t="s">
        <v>1123</v>
      </c>
      <c r="AJ1879" t="s">
        <v>1148</v>
      </c>
      <c r="AK1879" t="s">
        <v>1129</v>
      </c>
      <c r="AL1879">
        <v>340255290</v>
      </c>
      <c r="AM1879" t="s">
        <v>135</v>
      </c>
    </row>
    <row r="1880" spans="1:39" x14ac:dyDescent="0.35">
      <c r="A1880">
        <v>3402</v>
      </c>
      <c r="B1880" t="s">
        <v>259</v>
      </c>
      <c r="C1880">
        <v>2020</v>
      </c>
      <c r="D1880" s="1">
        <v>43831</v>
      </c>
      <c r="E1880">
        <v>15</v>
      </c>
      <c r="F1880">
        <v>200076937</v>
      </c>
      <c r="G1880" t="s">
        <v>120</v>
      </c>
      <c r="H1880">
        <v>81</v>
      </c>
      <c r="I1880">
        <v>71104010</v>
      </c>
      <c r="J1880">
        <v>21021040</v>
      </c>
      <c r="K1880" t="s">
        <v>121</v>
      </c>
      <c r="L1880" s="4">
        <v>0.05</v>
      </c>
      <c r="M1880" t="s">
        <v>31</v>
      </c>
      <c r="N1880" s="4">
        <v>0.05</v>
      </c>
      <c r="O1880" t="s">
        <v>31</v>
      </c>
      <c r="R1880" t="s">
        <v>137</v>
      </c>
      <c r="S1880" t="s">
        <v>1131</v>
      </c>
      <c r="T1880">
        <v>107211</v>
      </c>
      <c r="U1880" t="s">
        <v>123</v>
      </c>
      <c r="X1880" t="s">
        <v>259</v>
      </c>
      <c r="Y1880" s="8">
        <v>4501226813</v>
      </c>
      <c r="Z1880">
        <v>20200125</v>
      </c>
      <c r="AA1880">
        <f t="shared" si="72"/>
        <v>0.05</v>
      </c>
      <c r="AB1880">
        <f t="shared" si="69"/>
        <v>8.0000000000000002E-3</v>
      </c>
      <c r="AC1880">
        <f t="shared" si="70"/>
        <v>5.8000000000000003E-2</v>
      </c>
      <c r="AD1880">
        <v>200211626</v>
      </c>
      <c r="AE1880" t="s">
        <v>737</v>
      </c>
      <c r="AF1880" s="4">
        <f t="shared" si="71"/>
        <v>5.8000000000000003E-2</v>
      </c>
      <c r="AG1880" t="s">
        <v>1150</v>
      </c>
      <c r="AH1880" t="s">
        <v>1123</v>
      </c>
      <c r="AJ1880" t="s">
        <v>1148</v>
      </c>
      <c r="AK1880" t="s">
        <v>1129</v>
      </c>
      <c r="AL1880">
        <v>340255290</v>
      </c>
      <c r="AM1880" t="s">
        <v>135</v>
      </c>
    </row>
    <row r="1881" spans="1:39" x14ac:dyDescent="0.35">
      <c r="A1881">
        <v>3402</v>
      </c>
      <c r="B1881" t="s">
        <v>259</v>
      </c>
      <c r="C1881">
        <v>2020</v>
      </c>
      <c r="D1881" s="1">
        <v>43831</v>
      </c>
      <c r="E1881">
        <v>17</v>
      </c>
      <c r="F1881">
        <v>200076937</v>
      </c>
      <c r="G1881" t="s">
        <v>120</v>
      </c>
      <c r="H1881">
        <v>81</v>
      </c>
      <c r="I1881">
        <v>71104010</v>
      </c>
      <c r="J1881">
        <v>21021040</v>
      </c>
      <c r="K1881" t="s">
        <v>121</v>
      </c>
      <c r="L1881" s="4">
        <v>0.05</v>
      </c>
      <c r="M1881" t="s">
        <v>31</v>
      </c>
      <c r="N1881" s="4">
        <v>0.05</v>
      </c>
      <c r="O1881" t="s">
        <v>31</v>
      </c>
      <c r="R1881" t="s">
        <v>137</v>
      </c>
      <c r="S1881" t="s">
        <v>1131</v>
      </c>
      <c r="T1881">
        <v>107211</v>
      </c>
      <c r="U1881" t="s">
        <v>123</v>
      </c>
      <c r="X1881" t="s">
        <v>259</v>
      </c>
      <c r="Y1881" s="8">
        <v>4501226813</v>
      </c>
      <c r="Z1881">
        <v>20200125</v>
      </c>
      <c r="AA1881">
        <f t="shared" si="72"/>
        <v>0.05</v>
      </c>
      <c r="AB1881">
        <f t="shared" si="69"/>
        <v>8.0000000000000002E-3</v>
      </c>
      <c r="AC1881">
        <f t="shared" si="70"/>
        <v>5.8000000000000003E-2</v>
      </c>
      <c r="AD1881">
        <v>200211626</v>
      </c>
      <c r="AE1881" t="s">
        <v>738</v>
      </c>
      <c r="AF1881" s="4">
        <f t="shared" si="71"/>
        <v>5.8000000000000003E-2</v>
      </c>
      <c r="AG1881" t="s">
        <v>1150</v>
      </c>
      <c r="AH1881" t="s">
        <v>1123</v>
      </c>
      <c r="AJ1881" t="s">
        <v>1148</v>
      </c>
      <c r="AK1881" t="s">
        <v>1129</v>
      </c>
      <c r="AL1881">
        <v>340255290</v>
      </c>
      <c r="AM1881" t="s">
        <v>135</v>
      </c>
    </row>
    <row r="1882" spans="1:39" x14ac:dyDescent="0.35">
      <c r="A1882">
        <v>3402</v>
      </c>
      <c r="B1882" t="s">
        <v>259</v>
      </c>
      <c r="C1882">
        <v>2020</v>
      </c>
      <c r="D1882" s="1">
        <v>43831</v>
      </c>
      <c r="E1882">
        <v>19</v>
      </c>
      <c r="F1882">
        <v>200076937</v>
      </c>
      <c r="G1882" t="s">
        <v>120</v>
      </c>
      <c r="H1882">
        <v>81</v>
      </c>
      <c r="I1882">
        <v>71104010</v>
      </c>
      <c r="J1882">
        <v>21021040</v>
      </c>
      <c r="K1882" t="s">
        <v>121</v>
      </c>
      <c r="L1882" s="4">
        <v>4.5</v>
      </c>
      <c r="M1882" t="s">
        <v>31</v>
      </c>
      <c r="N1882" s="4">
        <v>4.5</v>
      </c>
      <c r="O1882" t="s">
        <v>31</v>
      </c>
      <c r="R1882" t="s">
        <v>137</v>
      </c>
      <c r="S1882" t="s">
        <v>1131</v>
      </c>
      <c r="T1882">
        <v>107211</v>
      </c>
      <c r="U1882" t="s">
        <v>123</v>
      </c>
      <c r="X1882" t="s">
        <v>259</v>
      </c>
      <c r="Y1882" s="8">
        <v>4501226813</v>
      </c>
      <c r="Z1882">
        <v>20200125</v>
      </c>
      <c r="AA1882">
        <f t="shared" si="72"/>
        <v>4.5</v>
      </c>
      <c r="AB1882">
        <f t="shared" si="69"/>
        <v>0.72</v>
      </c>
      <c r="AC1882">
        <f t="shared" si="70"/>
        <v>5.22</v>
      </c>
      <c r="AD1882">
        <v>200211626</v>
      </c>
      <c r="AE1882" t="s">
        <v>739</v>
      </c>
      <c r="AF1882" s="4">
        <f t="shared" si="71"/>
        <v>5.22</v>
      </c>
      <c r="AG1882" t="s">
        <v>1150</v>
      </c>
      <c r="AH1882" t="s">
        <v>1123</v>
      </c>
      <c r="AJ1882" t="s">
        <v>1148</v>
      </c>
      <c r="AK1882" t="s">
        <v>1129</v>
      </c>
      <c r="AL1882">
        <v>340255290</v>
      </c>
      <c r="AM1882" t="s">
        <v>135</v>
      </c>
    </row>
    <row r="1883" spans="1:39" x14ac:dyDescent="0.35">
      <c r="A1883">
        <v>3402</v>
      </c>
      <c r="B1883" t="s">
        <v>259</v>
      </c>
      <c r="C1883">
        <v>2020</v>
      </c>
      <c r="D1883" s="1">
        <v>43831</v>
      </c>
      <c r="E1883">
        <v>21</v>
      </c>
      <c r="F1883">
        <v>200076937</v>
      </c>
      <c r="G1883" t="s">
        <v>120</v>
      </c>
      <c r="H1883">
        <v>81</v>
      </c>
      <c r="I1883">
        <v>71104010</v>
      </c>
      <c r="J1883">
        <v>21021040</v>
      </c>
      <c r="K1883" t="s">
        <v>121</v>
      </c>
      <c r="L1883" s="4">
        <v>0.05</v>
      </c>
      <c r="M1883" t="s">
        <v>31</v>
      </c>
      <c r="N1883" s="4">
        <v>0.05</v>
      </c>
      <c r="O1883" t="s">
        <v>31</v>
      </c>
      <c r="R1883" t="s">
        <v>137</v>
      </c>
      <c r="S1883" t="s">
        <v>1131</v>
      </c>
      <c r="T1883">
        <v>107211</v>
      </c>
      <c r="U1883" t="s">
        <v>123</v>
      </c>
      <c r="X1883" t="s">
        <v>259</v>
      </c>
      <c r="Y1883" s="8">
        <v>4501226813</v>
      </c>
      <c r="Z1883">
        <v>20200125</v>
      </c>
      <c r="AA1883">
        <f t="shared" si="72"/>
        <v>0.05</v>
      </c>
      <c r="AB1883">
        <f t="shared" si="69"/>
        <v>8.0000000000000002E-3</v>
      </c>
      <c r="AC1883">
        <f t="shared" si="70"/>
        <v>5.8000000000000003E-2</v>
      </c>
      <c r="AD1883">
        <v>200211626</v>
      </c>
      <c r="AE1883" t="s">
        <v>740</v>
      </c>
      <c r="AF1883" s="4">
        <f t="shared" si="71"/>
        <v>5.8000000000000003E-2</v>
      </c>
      <c r="AG1883" t="s">
        <v>1150</v>
      </c>
      <c r="AH1883" t="s">
        <v>1123</v>
      </c>
      <c r="AJ1883" t="s">
        <v>1148</v>
      </c>
      <c r="AK1883" t="s">
        <v>1129</v>
      </c>
      <c r="AL1883">
        <v>340255290</v>
      </c>
      <c r="AM1883" t="s">
        <v>135</v>
      </c>
    </row>
    <row r="1884" spans="1:39" x14ac:dyDescent="0.35">
      <c r="A1884">
        <v>3402</v>
      </c>
      <c r="B1884" t="s">
        <v>259</v>
      </c>
      <c r="C1884">
        <v>2020</v>
      </c>
      <c r="D1884" s="1">
        <v>43831</v>
      </c>
      <c r="E1884">
        <v>23</v>
      </c>
      <c r="F1884">
        <v>200076937</v>
      </c>
      <c r="G1884" t="s">
        <v>120</v>
      </c>
      <c r="H1884">
        <v>81</v>
      </c>
      <c r="I1884">
        <v>71104010</v>
      </c>
      <c r="J1884">
        <v>21021040</v>
      </c>
      <c r="K1884" t="s">
        <v>121</v>
      </c>
      <c r="L1884" s="4">
        <v>0.05</v>
      </c>
      <c r="M1884" t="s">
        <v>31</v>
      </c>
      <c r="N1884" s="4">
        <v>0.05</v>
      </c>
      <c r="O1884" t="s">
        <v>31</v>
      </c>
      <c r="R1884" t="s">
        <v>137</v>
      </c>
      <c r="S1884" t="s">
        <v>1131</v>
      </c>
      <c r="T1884">
        <v>107211</v>
      </c>
      <c r="U1884" t="s">
        <v>123</v>
      </c>
      <c r="X1884" t="s">
        <v>259</v>
      </c>
      <c r="Y1884" s="8">
        <v>4501226813</v>
      </c>
      <c r="Z1884">
        <v>20200125</v>
      </c>
      <c r="AA1884">
        <f t="shared" si="72"/>
        <v>0.05</v>
      </c>
      <c r="AB1884">
        <f t="shared" si="69"/>
        <v>8.0000000000000002E-3</v>
      </c>
      <c r="AC1884">
        <f t="shared" si="70"/>
        <v>5.8000000000000003E-2</v>
      </c>
      <c r="AD1884">
        <v>200211626</v>
      </c>
      <c r="AE1884" t="s">
        <v>741</v>
      </c>
      <c r="AF1884" s="4">
        <f t="shared" si="71"/>
        <v>5.8000000000000003E-2</v>
      </c>
      <c r="AG1884" t="s">
        <v>1150</v>
      </c>
      <c r="AH1884" t="s">
        <v>1123</v>
      </c>
      <c r="AJ1884" t="s">
        <v>1148</v>
      </c>
      <c r="AK1884" t="s">
        <v>1129</v>
      </c>
      <c r="AL1884">
        <v>340255290</v>
      </c>
      <c r="AM1884" t="s">
        <v>135</v>
      </c>
    </row>
    <row r="1885" spans="1:39" x14ac:dyDescent="0.35">
      <c r="A1885">
        <v>3402</v>
      </c>
      <c r="B1885" t="s">
        <v>259</v>
      </c>
      <c r="C1885">
        <v>2020</v>
      </c>
      <c r="D1885" s="1">
        <v>43831</v>
      </c>
      <c r="E1885">
        <v>25</v>
      </c>
      <c r="F1885">
        <v>200076937</v>
      </c>
      <c r="G1885" t="s">
        <v>120</v>
      </c>
      <c r="H1885">
        <v>81</v>
      </c>
      <c r="I1885">
        <v>71104010</v>
      </c>
      <c r="J1885">
        <v>21021040</v>
      </c>
      <c r="K1885" t="s">
        <v>121</v>
      </c>
      <c r="L1885" s="4">
        <v>0.05</v>
      </c>
      <c r="M1885" t="s">
        <v>31</v>
      </c>
      <c r="N1885" s="4">
        <v>0.05</v>
      </c>
      <c r="O1885" t="s">
        <v>31</v>
      </c>
      <c r="R1885" t="s">
        <v>137</v>
      </c>
      <c r="S1885" t="s">
        <v>1131</v>
      </c>
      <c r="T1885">
        <v>107211</v>
      </c>
      <c r="U1885" t="s">
        <v>123</v>
      </c>
      <c r="X1885" t="s">
        <v>259</v>
      </c>
      <c r="Y1885" s="8">
        <v>4501226813</v>
      </c>
      <c r="Z1885">
        <v>20200125</v>
      </c>
      <c r="AA1885">
        <f t="shared" si="72"/>
        <v>0.05</v>
      </c>
      <c r="AB1885">
        <f t="shared" si="69"/>
        <v>8.0000000000000002E-3</v>
      </c>
      <c r="AC1885">
        <f t="shared" si="70"/>
        <v>5.8000000000000003E-2</v>
      </c>
      <c r="AD1885">
        <v>200211626</v>
      </c>
      <c r="AE1885" t="s">
        <v>742</v>
      </c>
      <c r="AF1885" s="4">
        <f t="shared" si="71"/>
        <v>5.8000000000000003E-2</v>
      </c>
      <c r="AG1885" t="s">
        <v>1150</v>
      </c>
      <c r="AH1885" t="s">
        <v>1123</v>
      </c>
      <c r="AJ1885" t="s">
        <v>1148</v>
      </c>
      <c r="AK1885" t="s">
        <v>1129</v>
      </c>
      <c r="AL1885">
        <v>340255290</v>
      </c>
      <c r="AM1885" t="s">
        <v>135</v>
      </c>
    </row>
    <row r="1886" spans="1:39" x14ac:dyDescent="0.35">
      <c r="A1886">
        <v>3402</v>
      </c>
      <c r="B1886" t="s">
        <v>259</v>
      </c>
      <c r="C1886">
        <v>2020</v>
      </c>
      <c r="D1886" s="1">
        <v>43831</v>
      </c>
      <c r="E1886">
        <v>27</v>
      </c>
      <c r="F1886">
        <v>200076937</v>
      </c>
      <c r="G1886" t="s">
        <v>120</v>
      </c>
      <c r="H1886">
        <v>81</v>
      </c>
      <c r="I1886">
        <v>71104010</v>
      </c>
      <c r="J1886">
        <v>21021040</v>
      </c>
      <c r="K1886" t="s">
        <v>121</v>
      </c>
      <c r="L1886" s="4">
        <v>4.5</v>
      </c>
      <c r="M1886" t="s">
        <v>31</v>
      </c>
      <c r="N1886" s="4">
        <v>4.5</v>
      </c>
      <c r="O1886" t="s">
        <v>31</v>
      </c>
      <c r="R1886" t="s">
        <v>137</v>
      </c>
      <c r="S1886" t="s">
        <v>1131</v>
      </c>
      <c r="T1886">
        <v>107211</v>
      </c>
      <c r="U1886" t="s">
        <v>123</v>
      </c>
      <c r="X1886" t="s">
        <v>259</v>
      </c>
      <c r="Y1886" s="8">
        <v>4501226813</v>
      </c>
      <c r="Z1886">
        <v>20200125</v>
      </c>
      <c r="AA1886">
        <f t="shared" si="72"/>
        <v>4.5</v>
      </c>
      <c r="AB1886">
        <f t="shared" si="69"/>
        <v>0.72</v>
      </c>
      <c r="AC1886">
        <f t="shared" si="70"/>
        <v>5.22</v>
      </c>
      <c r="AD1886">
        <v>200211626</v>
      </c>
      <c r="AE1886" t="s">
        <v>743</v>
      </c>
      <c r="AF1886" s="4">
        <f t="shared" si="71"/>
        <v>5.22</v>
      </c>
      <c r="AG1886" t="s">
        <v>1150</v>
      </c>
      <c r="AH1886" t="s">
        <v>1123</v>
      </c>
      <c r="AJ1886" t="s">
        <v>1148</v>
      </c>
      <c r="AK1886" t="s">
        <v>1129</v>
      </c>
      <c r="AL1886">
        <v>340255290</v>
      </c>
      <c r="AM1886" t="s">
        <v>135</v>
      </c>
    </row>
    <row r="1887" spans="1:39" x14ac:dyDescent="0.35">
      <c r="A1887">
        <v>3402</v>
      </c>
      <c r="B1887" t="s">
        <v>259</v>
      </c>
      <c r="C1887">
        <v>2020</v>
      </c>
      <c r="D1887" s="1">
        <v>43831</v>
      </c>
      <c r="E1887">
        <v>29</v>
      </c>
      <c r="F1887">
        <v>200076937</v>
      </c>
      <c r="G1887" t="s">
        <v>120</v>
      </c>
      <c r="H1887">
        <v>81</v>
      </c>
      <c r="I1887">
        <v>71104010</v>
      </c>
      <c r="J1887">
        <v>21021040</v>
      </c>
      <c r="K1887" t="s">
        <v>121</v>
      </c>
      <c r="L1887" s="4">
        <v>0.05</v>
      </c>
      <c r="M1887" t="s">
        <v>31</v>
      </c>
      <c r="N1887" s="4">
        <v>0.05</v>
      </c>
      <c r="O1887" t="s">
        <v>31</v>
      </c>
      <c r="R1887" t="s">
        <v>137</v>
      </c>
      <c r="S1887" t="s">
        <v>1131</v>
      </c>
      <c r="T1887">
        <v>107211</v>
      </c>
      <c r="U1887" t="s">
        <v>123</v>
      </c>
      <c r="X1887" t="s">
        <v>259</v>
      </c>
      <c r="Y1887" s="8">
        <v>4501226813</v>
      </c>
      <c r="Z1887">
        <v>20200125</v>
      </c>
      <c r="AA1887">
        <f t="shared" si="72"/>
        <v>0.05</v>
      </c>
      <c r="AB1887">
        <f t="shared" si="69"/>
        <v>8.0000000000000002E-3</v>
      </c>
      <c r="AC1887">
        <f t="shared" si="70"/>
        <v>5.8000000000000003E-2</v>
      </c>
      <c r="AD1887">
        <v>200211626</v>
      </c>
      <c r="AE1887" t="s">
        <v>744</v>
      </c>
      <c r="AF1887" s="4">
        <f t="shared" si="71"/>
        <v>5.8000000000000003E-2</v>
      </c>
      <c r="AG1887" t="s">
        <v>1150</v>
      </c>
      <c r="AH1887" t="s">
        <v>1123</v>
      </c>
      <c r="AJ1887" t="s">
        <v>1148</v>
      </c>
      <c r="AK1887" t="s">
        <v>1129</v>
      </c>
      <c r="AL1887">
        <v>340255290</v>
      </c>
      <c r="AM1887" t="s">
        <v>135</v>
      </c>
    </row>
    <row r="1888" spans="1:39" x14ac:dyDescent="0.35">
      <c r="A1888">
        <v>3402</v>
      </c>
      <c r="B1888" t="s">
        <v>259</v>
      </c>
      <c r="C1888">
        <v>2020</v>
      </c>
      <c r="D1888" s="1">
        <v>43831</v>
      </c>
      <c r="E1888">
        <v>31</v>
      </c>
      <c r="F1888">
        <v>200076937</v>
      </c>
      <c r="G1888" t="s">
        <v>120</v>
      </c>
      <c r="H1888">
        <v>81</v>
      </c>
      <c r="I1888">
        <v>71104010</v>
      </c>
      <c r="J1888">
        <v>21021040</v>
      </c>
      <c r="K1888" t="s">
        <v>121</v>
      </c>
      <c r="L1888" s="4">
        <v>0.05</v>
      </c>
      <c r="M1888" t="s">
        <v>31</v>
      </c>
      <c r="N1888" s="4">
        <v>0.05</v>
      </c>
      <c r="O1888" t="s">
        <v>31</v>
      </c>
      <c r="R1888" t="s">
        <v>137</v>
      </c>
      <c r="S1888" t="s">
        <v>1131</v>
      </c>
      <c r="T1888">
        <v>107211</v>
      </c>
      <c r="U1888" t="s">
        <v>123</v>
      </c>
      <c r="X1888" t="s">
        <v>259</v>
      </c>
      <c r="Y1888" s="8">
        <v>4501226813</v>
      </c>
      <c r="Z1888">
        <v>20200125</v>
      </c>
      <c r="AA1888">
        <f t="shared" si="72"/>
        <v>0.05</v>
      </c>
      <c r="AB1888">
        <f t="shared" si="69"/>
        <v>8.0000000000000002E-3</v>
      </c>
      <c r="AC1888">
        <f t="shared" si="70"/>
        <v>5.8000000000000003E-2</v>
      </c>
      <c r="AD1888">
        <v>200211626</v>
      </c>
      <c r="AE1888" t="s">
        <v>745</v>
      </c>
      <c r="AF1888" s="4">
        <f t="shared" si="71"/>
        <v>5.8000000000000003E-2</v>
      </c>
      <c r="AG1888" t="s">
        <v>1150</v>
      </c>
      <c r="AH1888" t="s">
        <v>1123</v>
      </c>
      <c r="AJ1888" t="s">
        <v>1148</v>
      </c>
      <c r="AK1888" t="s">
        <v>1129</v>
      </c>
      <c r="AL1888">
        <v>340255290</v>
      </c>
      <c r="AM1888" t="s">
        <v>135</v>
      </c>
    </row>
    <row r="1889" spans="1:39" x14ac:dyDescent="0.35">
      <c r="A1889">
        <v>3402</v>
      </c>
      <c r="B1889" t="s">
        <v>259</v>
      </c>
      <c r="C1889">
        <v>2020</v>
      </c>
      <c r="D1889" s="1">
        <v>43831</v>
      </c>
      <c r="E1889">
        <v>33</v>
      </c>
      <c r="F1889">
        <v>200076937</v>
      </c>
      <c r="G1889" t="s">
        <v>120</v>
      </c>
      <c r="H1889">
        <v>81</v>
      </c>
      <c r="I1889">
        <v>71104010</v>
      </c>
      <c r="J1889">
        <v>21021040</v>
      </c>
      <c r="K1889" t="s">
        <v>121</v>
      </c>
      <c r="L1889" s="4">
        <v>0.05</v>
      </c>
      <c r="M1889" t="s">
        <v>31</v>
      </c>
      <c r="N1889" s="4">
        <v>0.05</v>
      </c>
      <c r="O1889" t="s">
        <v>31</v>
      </c>
      <c r="R1889" t="s">
        <v>137</v>
      </c>
      <c r="S1889" t="s">
        <v>1131</v>
      </c>
      <c r="T1889">
        <v>107211</v>
      </c>
      <c r="U1889" t="s">
        <v>123</v>
      </c>
      <c r="X1889" t="s">
        <v>259</v>
      </c>
      <c r="Y1889" s="8">
        <v>4501226813</v>
      </c>
      <c r="Z1889">
        <v>20200125</v>
      </c>
      <c r="AA1889">
        <f t="shared" si="72"/>
        <v>0.05</v>
      </c>
      <c r="AB1889">
        <f t="shared" si="69"/>
        <v>8.0000000000000002E-3</v>
      </c>
      <c r="AC1889">
        <f t="shared" si="70"/>
        <v>5.8000000000000003E-2</v>
      </c>
      <c r="AD1889">
        <v>200211626</v>
      </c>
      <c r="AE1889" t="s">
        <v>746</v>
      </c>
      <c r="AF1889" s="4">
        <f t="shared" si="71"/>
        <v>5.8000000000000003E-2</v>
      </c>
      <c r="AG1889" t="s">
        <v>1150</v>
      </c>
      <c r="AH1889" t="s">
        <v>1123</v>
      </c>
      <c r="AJ1889" t="s">
        <v>1148</v>
      </c>
      <c r="AK1889" t="s">
        <v>1129</v>
      </c>
      <c r="AL1889">
        <v>340255290</v>
      </c>
      <c r="AM1889" t="s">
        <v>135</v>
      </c>
    </row>
    <row r="1890" spans="1:39" x14ac:dyDescent="0.35">
      <c r="A1890">
        <v>3402</v>
      </c>
      <c r="B1890" t="s">
        <v>259</v>
      </c>
      <c r="C1890">
        <v>2020</v>
      </c>
      <c r="D1890" s="1">
        <v>43831</v>
      </c>
      <c r="E1890">
        <v>35</v>
      </c>
      <c r="F1890">
        <v>200076937</v>
      </c>
      <c r="G1890" t="s">
        <v>120</v>
      </c>
      <c r="H1890">
        <v>81</v>
      </c>
      <c r="I1890">
        <v>71104010</v>
      </c>
      <c r="J1890">
        <v>21021040</v>
      </c>
      <c r="K1890" t="s">
        <v>121</v>
      </c>
      <c r="L1890" s="4">
        <v>4.5</v>
      </c>
      <c r="M1890" t="s">
        <v>31</v>
      </c>
      <c r="N1890" s="4">
        <v>4.5</v>
      </c>
      <c r="O1890" t="s">
        <v>31</v>
      </c>
      <c r="R1890" t="s">
        <v>137</v>
      </c>
      <c r="S1890" t="s">
        <v>1131</v>
      </c>
      <c r="T1890">
        <v>107211</v>
      </c>
      <c r="U1890" t="s">
        <v>123</v>
      </c>
      <c r="X1890" t="s">
        <v>259</v>
      </c>
      <c r="Y1890" s="8">
        <v>4501226813</v>
      </c>
      <c r="Z1890">
        <v>20200125</v>
      </c>
      <c r="AA1890">
        <f t="shared" si="72"/>
        <v>4.5</v>
      </c>
      <c r="AB1890">
        <f t="shared" si="69"/>
        <v>0.72</v>
      </c>
      <c r="AC1890">
        <f t="shared" si="70"/>
        <v>5.22</v>
      </c>
      <c r="AD1890">
        <v>200211626</v>
      </c>
      <c r="AE1890" t="s">
        <v>747</v>
      </c>
      <c r="AF1890" s="4">
        <f t="shared" si="71"/>
        <v>5.22</v>
      </c>
      <c r="AG1890" t="s">
        <v>1150</v>
      </c>
      <c r="AH1890" t="s">
        <v>1123</v>
      </c>
      <c r="AJ1890" t="s">
        <v>1148</v>
      </c>
      <c r="AK1890" t="s">
        <v>1129</v>
      </c>
      <c r="AL1890">
        <v>340255290</v>
      </c>
      <c r="AM1890" t="s">
        <v>135</v>
      </c>
    </row>
    <row r="1891" spans="1:39" x14ac:dyDescent="0.35">
      <c r="A1891">
        <v>3402</v>
      </c>
      <c r="B1891" t="s">
        <v>259</v>
      </c>
      <c r="C1891">
        <v>2020</v>
      </c>
      <c r="D1891" s="1">
        <v>43831</v>
      </c>
      <c r="E1891">
        <v>37</v>
      </c>
      <c r="F1891">
        <v>200076937</v>
      </c>
      <c r="G1891" t="s">
        <v>120</v>
      </c>
      <c r="H1891">
        <v>81</v>
      </c>
      <c r="I1891">
        <v>71104010</v>
      </c>
      <c r="J1891">
        <v>21021040</v>
      </c>
      <c r="K1891" t="s">
        <v>121</v>
      </c>
      <c r="L1891" s="4">
        <v>0.05</v>
      </c>
      <c r="M1891" t="s">
        <v>31</v>
      </c>
      <c r="N1891" s="4">
        <v>0.05</v>
      </c>
      <c r="O1891" t="s">
        <v>31</v>
      </c>
      <c r="R1891" t="s">
        <v>137</v>
      </c>
      <c r="S1891" t="s">
        <v>1131</v>
      </c>
      <c r="T1891">
        <v>107211</v>
      </c>
      <c r="U1891" t="s">
        <v>123</v>
      </c>
      <c r="X1891" t="s">
        <v>259</v>
      </c>
      <c r="Y1891" s="8">
        <v>4501226813</v>
      </c>
      <c r="Z1891">
        <v>20200125</v>
      </c>
      <c r="AA1891">
        <f t="shared" si="72"/>
        <v>0.05</v>
      </c>
      <c r="AB1891">
        <f t="shared" si="69"/>
        <v>8.0000000000000002E-3</v>
      </c>
      <c r="AC1891">
        <f t="shared" si="70"/>
        <v>5.8000000000000003E-2</v>
      </c>
      <c r="AD1891">
        <v>200211626</v>
      </c>
      <c r="AE1891" t="s">
        <v>748</v>
      </c>
      <c r="AF1891" s="4">
        <f t="shared" si="71"/>
        <v>5.8000000000000003E-2</v>
      </c>
      <c r="AG1891" t="s">
        <v>1150</v>
      </c>
      <c r="AH1891" t="s">
        <v>1123</v>
      </c>
      <c r="AJ1891" t="s">
        <v>1148</v>
      </c>
      <c r="AK1891" t="s">
        <v>1129</v>
      </c>
      <c r="AL1891">
        <v>340255290</v>
      </c>
      <c r="AM1891" t="s">
        <v>135</v>
      </c>
    </row>
    <row r="1892" spans="1:39" x14ac:dyDescent="0.35">
      <c r="A1892">
        <v>3402</v>
      </c>
      <c r="B1892" t="s">
        <v>259</v>
      </c>
      <c r="C1892">
        <v>2020</v>
      </c>
      <c r="D1892" s="1">
        <v>43831</v>
      </c>
      <c r="E1892">
        <v>39</v>
      </c>
      <c r="F1892">
        <v>200076937</v>
      </c>
      <c r="G1892" t="s">
        <v>120</v>
      </c>
      <c r="H1892">
        <v>81</v>
      </c>
      <c r="I1892">
        <v>71104010</v>
      </c>
      <c r="J1892">
        <v>21021040</v>
      </c>
      <c r="K1892" t="s">
        <v>121</v>
      </c>
      <c r="L1892" s="4">
        <v>4.5</v>
      </c>
      <c r="M1892" t="s">
        <v>31</v>
      </c>
      <c r="N1892" s="4">
        <v>4.5</v>
      </c>
      <c r="O1892" t="s">
        <v>31</v>
      </c>
      <c r="R1892" t="s">
        <v>137</v>
      </c>
      <c r="S1892" t="s">
        <v>1131</v>
      </c>
      <c r="T1892">
        <v>107211</v>
      </c>
      <c r="U1892" t="s">
        <v>123</v>
      </c>
      <c r="X1892" t="s">
        <v>259</v>
      </c>
      <c r="Y1892" s="8">
        <v>4501226813</v>
      </c>
      <c r="Z1892">
        <v>20200125</v>
      </c>
      <c r="AA1892">
        <f t="shared" si="72"/>
        <v>4.5</v>
      </c>
      <c r="AB1892">
        <f t="shared" si="69"/>
        <v>0.72</v>
      </c>
      <c r="AC1892">
        <f t="shared" si="70"/>
        <v>5.22</v>
      </c>
      <c r="AD1892">
        <v>200211626</v>
      </c>
      <c r="AE1892" t="s">
        <v>749</v>
      </c>
      <c r="AF1892" s="4">
        <f t="shared" si="71"/>
        <v>5.22</v>
      </c>
      <c r="AG1892" t="s">
        <v>1150</v>
      </c>
      <c r="AH1892" t="s">
        <v>1123</v>
      </c>
      <c r="AJ1892" t="s">
        <v>1148</v>
      </c>
      <c r="AK1892" t="s">
        <v>1129</v>
      </c>
      <c r="AL1892">
        <v>340255290</v>
      </c>
      <c r="AM1892" t="s">
        <v>135</v>
      </c>
    </row>
    <row r="1893" spans="1:39" x14ac:dyDescent="0.35">
      <c r="A1893">
        <v>3402</v>
      </c>
      <c r="B1893" t="s">
        <v>259</v>
      </c>
      <c r="C1893">
        <v>2020</v>
      </c>
      <c r="D1893" s="1">
        <v>43831</v>
      </c>
      <c r="E1893">
        <v>41</v>
      </c>
      <c r="F1893">
        <v>200076937</v>
      </c>
      <c r="G1893" t="s">
        <v>120</v>
      </c>
      <c r="H1893">
        <v>81</v>
      </c>
      <c r="I1893">
        <v>71104010</v>
      </c>
      <c r="J1893">
        <v>21021040</v>
      </c>
      <c r="K1893" t="s">
        <v>121</v>
      </c>
      <c r="L1893" s="4">
        <v>0.05</v>
      </c>
      <c r="M1893" t="s">
        <v>31</v>
      </c>
      <c r="N1893" s="4">
        <v>0.05</v>
      </c>
      <c r="O1893" t="s">
        <v>31</v>
      </c>
      <c r="R1893" t="s">
        <v>137</v>
      </c>
      <c r="S1893" t="s">
        <v>1131</v>
      </c>
      <c r="T1893">
        <v>107211</v>
      </c>
      <c r="U1893" t="s">
        <v>123</v>
      </c>
      <c r="X1893" t="s">
        <v>259</v>
      </c>
      <c r="Y1893" s="8">
        <v>4501226813</v>
      </c>
      <c r="Z1893">
        <v>20200125</v>
      </c>
      <c r="AA1893">
        <f t="shared" si="72"/>
        <v>0.05</v>
      </c>
      <c r="AB1893">
        <f t="shared" si="69"/>
        <v>8.0000000000000002E-3</v>
      </c>
      <c r="AC1893">
        <f t="shared" si="70"/>
        <v>5.8000000000000003E-2</v>
      </c>
      <c r="AD1893">
        <v>200211626</v>
      </c>
      <c r="AE1893" t="s">
        <v>750</v>
      </c>
      <c r="AF1893" s="4">
        <f t="shared" si="71"/>
        <v>5.8000000000000003E-2</v>
      </c>
      <c r="AG1893" t="s">
        <v>1150</v>
      </c>
      <c r="AH1893" t="s">
        <v>1123</v>
      </c>
      <c r="AJ1893" t="s">
        <v>1148</v>
      </c>
      <c r="AK1893" t="s">
        <v>1129</v>
      </c>
      <c r="AL1893">
        <v>340255290</v>
      </c>
      <c r="AM1893" t="s">
        <v>135</v>
      </c>
    </row>
    <row r="1894" spans="1:39" x14ac:dyDescent="0.35">
      <c r="A1894">
        <v>3402</v>
      </c>
      <c r="B1894" t="s">
        <v>259</v>
      </c>
      <c r="C1894">
        <v>2020</v>
      </c>
      <c r="D1894" s="1">
        <v>43831</v>
      </c>
      <c r="E1894">
        <v>43</v>
      </c>
      <c r="F1894">
        <v>200076937</v>
      </c>
      <c r="G1894" t="s">
        <v>120</v>
      </c>
      <c r="H1894">
        <v>81</v>
      </c>
      <c r="I1894">
        <v>71104010</v>
      </c>
      <c r="J1894">
        <v>21021040</v>
      </c>
      <c r="K1894" t="s">
        <v>121</v>
      </c>
      <c r="L1894" s="4">
        <v>0.05</v>
      </c>
      <c r="M1894" t="s">
        <v>31</v>
      </c>
      <c r="N1894" s="4">
        <v>0.05</v>
      </c>
      <c r="O1894" t="s">
        <v>31</v>
      </c>
      <c r="R1894" t="s">
        <v>137</v>
      </c>
      <c r="S1894" t="s">
        <v>1131</v>
      </c>
      <c r="T1894">
        <v>107211</v>
      </c>
      <c r="U1894" t="s">
        <v>123</v>
      </c>
      <c r="X1894" t="s">
        <v>259</v>
      </c>
      <c r="Y1894" s="8">
        <v>4501226813</v>
      </c>
      <c r="Z1894">
        <v>20200125</v>
      </c>
      <c r="AA1894">
        <f t="shared" si="72"/>
        <v>0.05</v>
      </c>
      <c r="AB1894">
        <f t="shared" si="69"/>
        <v>8.0000000000000002E-3</v>
      </c>
      <c r="AC1894">
        <f t="shared" si="70"/>
        <v>5.8000000000000003E-2</v>
      </c>
      <c r="AD1894">
        <v>200211626</v>
      </c>
      <c r="AE1894" t="s">
        <v>751</v>
      </c>
      <c r="AF1894" s="4">
        <f t="shared" si="71"/>
        <v>5.8000000000000003E-2</v>
      </c>
      <c r="AG1894" t="s">
        <v>1150</v>
      </c>
      <c r="AH1894" t="s">
        <v>1123</v>
      </c>
      <c r="AJ1894" t="s">
        <v>1148</v>
      </c>
      <c r="AK1894" t="s">
        <v>1129</v>
      </c>
      <c r="AL1894">
        <v>340255290</v>
      </c>
      <c r="AM1894" t="s">
        <v>135</v>
      </c>
    </row>
    <row r="1895" spans="1:39" x14ac:dyDescent="0.35">
      <c r="A1895">
        <v>3402</v>
      </c>
      <c r="B1895" t="s">
        <v>259</v>
      </c>
      <c r="C1895">
        <v>2020</v>
      </c>
      <c r="D1895" s="1">
        <v>43831</v>
      </c>
      <c r="E1895">
        <v>45</v>
      </c>
      <c r="F1895">
        <v>200076937</v>
      </c>
      <c r="G1895" t="s">
        <v>120</v>
      </c>
      <c r="H1895">
        <v>81</v>
      </c>
      <c r="I1895">
        <v>71104010</v>
      </c>
      <c r="J1895">
        <v>21021040</v>
      </c>
      <c r="K1895" t="s">
        <v>121</v>
      </c>
      <c r="L1895" s="4">
        <v>0.05</v>
      </c>
      <c r="M1895" t="s">
        <v>31</v>
      </c>
      <c r="N1895" s="4">
        <v>0.05</v>
      </c>
      <c r="O1895" t="s">
        <v>31</v>
      </c>
      <c r="R1895" t="s">
        <v>137</v>
      </c>
      <c r="S1895" t="s">
        <v>1131</v>
      </c>
      <c r="T1895">
        <v>107211</v>
      </c>
      <c r="U1895" t="s">
        <v>123</v>
      </c>
      <c r="X1895" t="s">
        <v>259</v>
      </c>
      <c r="Y1895" s="8">
        <v>4501226813</v>
      </c>
      <c r="Z1895">
        <v>20200125</v>
      </c>
      <c r="AA1895">
        <f t="shared" si="72"/>
        <v>0.05</v>
      </c>
      <c r="AB1895">
        <f t="shared" si="69"/>
        <v>8.0000000000000002E-3</v>
      </c>
      <c r="AC1895">
        <f t="shared" si="70"/>
        <v>5.8000000000000003E-2</v>
      </c>
      <c r="AD1895">
        <v>200211626</v>
      </c>
      <c r="AE1895" t="s">
        <v>752</v>
      </c>
      <c r="AF1895" s="4">
        <f t="shared" si="71"/>
        <v>5.8000000000000003E-2</v>
      </c>
      <c r="AG1895" t="s">
        <v>1150</v>
      </c>
      <c r="AH1895" t="s">
        <v>1123</v>
      </c>
      <c r="AJ1895" t="s">
        <v>1148</v>
      </c>
      <c r="AK1895" t="s">
        <v>1129</v>
      </c>
      <c r="AL1895">
        <v>340255290</v>
      </c>
      <c r="AM1895" t="s">
        <v>135</v>
      </c>
    </row>
    <row r="1896" spans="1:39" x14ac:dyDescent="0.35">
      <c r="A1896">
        <v>3402</v>
      </c>
      <c r="B1896" t="s">
        <v>259</v>
      </c>
      <c r="C1896">
        <v>2020</v>
      </c>
      <c r="D1896" s="1">
        <v>43831</v>
      </c>
      <c r="E1896">
        <v>47</v>
      </c>
      <c r="F1896">
        <v>200076937</v>
      </c>
      <c r="G1896" t="s">
        <v>120</v>
      </c>
      <c r="H1896">
        <v>81</v>
      </c>
      <c r="I1896">
        <v>71104010</v>
      </c>
      <c r="J1896">
        <v>21021040</v>
      </c>
      <c r="K1896" t="s">
        <v>121</v>
      </c>
      <c r="L1896" s="4">
        <v>4.5</v>
      </c>
      <c r="M1896" t="s">
        <v>31</v>
      </c>
      <c r="N1896" s="4">
        <v>4.5</v>
      </c>
      <c r="O1896" t="s">
        <v>31</v>
      </c>
      <c r="R1896" t="s">
        <v>137</v>
      </c>
      <c r="S1896" t="s">
        <v>1131</v>
      </c>
      <c r="T1896">
        <v>107211</v>
      </c>
      <c r="U1896" t="s">
        <v>123</v>
      </c>
      <c r="X1896" t="s">
        <v>259</v>
      </c>
      <c r="Y1896" s="8">
        <v>4501226813</v>
      </c>
      <c r="Z1896">
        <v>20200125</v>
      </c>
      <c r="AA1896">
        <f t="shared" si="72"/>
        <v>4.5</v>
      </c>
      <c r="AB1896">
        <f t="shared" si="69"/>
        <v>0.72</v>
      </c>
      <c r="AC1896">
        <f t="shared" si="70"/>
        <v>5.22</v>
      </c>
      <c r="AD1896">
        <v>200211626</v>
      </c>
      <c r="AE1896" t="s">
        <v>753</v>
      </c>
      <c r="AF1896" s="4">
        <f t="shared" si="71"/>
        <v>5.22</v>
      </c>
      <c r="AG1896" t="s">
        <v>1150</v>
      </c>
      <c r="AH1896" t="s">
        <v>1123</v>
      </c>
      <c r="AJ1896" t="s">
        <v>1148</v>
      </c>
      <c r="AK1896" t="s">
        <v>1129</v>
      </c>
      <c r="AL1896">
        <v>340255290</v>
      </c>
      <c r="AM1896" t="s">
        <v>135</v>
      </c>
    </row>
    <row r="1897" spans="1:39" x14ac:dyDescent="0.35">
      <c r="A1897">
        <v>3402</v>
      </c>
      <c r="B1897" t="s">
        <v>259</v>
      </c>
      <c r="C1897">
        <v>2020</v>
      </c>
      <c r="D1897" s="1">
        <v>43831</v>
      </c>
      <c r="E1897">
        <v>49</v>
      </c>
      <c r="F1897">
        <v>200076937</v>
      </c>
      <c r="G1897" t="s">
        <v>120</v>
      </c>
      <c r="H1897">
        <v>81</v>
      </c>
      <c r="I1897">
        <v>71104010</v>
      </c>
      <c r="J1897">
        <v>21021040</v>
      </c>
      <c r="K1897" t="s">
        <v>121</v>
      </c>
      <c r="L1897" s="4">
        <v>0.05</v>
      </c>
      <c r="M1897" t="s">
        <v>31</v>
      </c>
      <c r="N1897" s="4">
        <v>0.05</v>
      </c>
      <c r="O1897" t="s">
        <v>31</v>
      </c>
      <c r="R1897" t="s">
        <v>137</v>
      </c>
      <c r="S1897" t="s">
        <v>1131</v>
      </c>
      <c r="T1897">
        <v>107211</v>
      </c>
      <c r="U1897" t="s">
        <v>123</v>
      </c>
      <c r="X1897" t="s">
        <v>259</v>
      </c>
      <c r="Y1897" s="8">
        <v>4501226813</v>
      </c>
      <c r="Z1897">
        <v>20200125</v>
      </c>
      <c r="AA1897">
        <f t="shared" si="72"/>
        <v>0.05</v>
      </c>
      <c r="AB1897">
        <f t="shared" si="69"/>
        <v>8.0000000000000002E-3</v>
      </c>
      <c r="AC1897">
        <f t="shared" si="70"/>
        <v>5.8000000000000003E-2</v>
      </c>
      <c r="AD1897">
        <v>200211626</v>
      </c>
      <c r="AE1897" t="s">
        <v>754</v>
      </c>
      <c r="AF1897" s="4">
        <f t="shared" si="71"/>
        <v>5.8000000000000003E-2</v>
      </c>
      <c r="AG1897" t="s">
        <v>1150</v>
      </c>
      <c r="AH1897" t="s">
        <v>1123</v>
      </c>
      <c r="AJ1897" t="s">
        <v>1148</v>
      </c>
      <c r="AK1897" t="s">
        <v>1129</v>
      </c>
      <c r="AL1897">
        <v>340255290</v>
      </c>
      <c r="AM1897" t="s">
        <v>135</v>
      </c>
    </row>
    <row r="1898" spans="1:39" x14ac:dyDescent="0.35">
      <c r="A1898">
        <v>3403</v>
      </c>
      <c r="B1898" t="s">
        <v>258</v>
      </c>
      <c r="C1898">
        <v>2020</v>
      </c>
      <c r="D1898" s="1">
        <v>43831</v>
      </c>
      <c r="E1898">
        <v>1</v>
      </c>
      <c r="F1898">
        <v>300013587</v>
      </c>
      <c r="G1898" t="s">
        <v>96</v>
      </c>
      <c r="H1898">
        <v>40</v>
      </c>
      <c r="I1898">
        <v>71105130</v>
      </c>
      <c r="J1898">
        <v>21021040</v>
      </c>
      <c r="K1898" t="s">
        <v>305</v>
      </c>
      <c r="L1898" s="4">
        <v>1293.75</v>
      </c>
      <c r="M1898" t="s">
        <v>54</v>
      </c>
      <c r="N1898" s="4">
        <v>24194.03</v>
      </c>
      <c r="O1898" t="s">
        <v>31</v>
      </c>
      <c r="P1898" t="s">
        <v>98</v>
      </c>
      <c r="X1898" t="s">
        <v>93</v>
      </c>
      <c r="Y1898"/>
      <c r="Z1898" t="s">
        <v>755</v>
      </c>
      <c r="AA1898">
        <f t="shared" si="72"/>
        <v>1293.75</v>
      </c>
      <c r="AC1898"/>
      <c r="AE1898" t="s">
        <v>326</v>
      </c>
      <c r="AF1898"/>
      <c r="AL1898">
        <v>340321790</v>
      </c>
      <c r="AM1898" t="s">
        <v>78</v>
      </c>
    </row>
    <row r="1899" spans="1:39" x14ac:dyDescent="0.35">
      <c r="A1899">
        <v>3403</v>
      </c>
      <c r="B1899" t="s">
        <v>427</v>
      </c>
      <c r="C1899">
        <v>2020</v>
      </c>
      <c r="D1899" s="1">
        <v>43831</v>
      </c>
      <c r="E1899">
        <v>1</v>
      </c>
      <c r="F1899">
        <v>300016946</v>
      </c>
      <c r="G1899" t="s">
        <v>96</v>
      </c>
      <c r="H1899">
        <v>40</v>
      </c>
      <c r="I1899">
        <v>71105060</v>
      </c>
      <c r="J1899">
        <v>21021040</v>
      </c>
      <c r="K1899" t="s">
        <v>238</v>
      </c>
      <c r="L1899" s="4">
        <v>4869.07</v>
      </c>
      <c r="M1899" t="s">
        <v>31</v>
      </c>
      <c r="N1899" s="4">
        <v>4869.07</v>
      </c>
      <c r="O1899" t="s">
        <v>31</v>
      </c>
      <c r="P1899" t="s">
        <v>211</v>
      </c>
      <c r="X1899" t="s">
        <v>47</v>
      </c>
      <c r="Y1899"/>
      <c r="Z1899" t="s">
        <v>756</v>
      </c>
      <c r="AA1899">
        <f t="shared" si="72"/>
        <v>4869.07</v>
      </c>
      <c r="AC1899"/>
      <c r="AE1899" t="s">
        <v>430</v>
      </c>
      <c r="AF1899"/>
      <c r="AL1899">
        <v>340321790</v>
      </c>
      <c r="AM1899" t="s">
        <v>534</v>
      </c>
    </row>
    <row r="1900" spans="1:39" x14ac:dyDescent="0.35">
      <c r="A1900">
        <v>3407</v>
      </c>
      <c r="B1900" t="s">
        <v>28</v>
      </c>
      <c r="C1900">
        <v>2020</v>
      </c>
      <c r="D1900" s="1">
        <v>43831</v>
      </c>
      <c r="E1900">
        <v>1</v>
      </c>
      <c r="F1900">
        <v>700041054</v>
      </c>
      <c r="G1900" t="s">
        <v>101</v>
      </c>
      <c r="H1900">
        <v>40</v>
      </c>
      <c r="I1900">
        <v>71102010</v>
      </c>
      <c r="J1900">
        <v>71111040</v>
      </c>
      <c r="K1900" t="s">
        <v>187</v>
      </c>
      <c r="L1900" s="4">
        <v>79.02</v>
      </c>
      <c r="M1900" t="s">
        <v>54</v>
      </c>
      <c r="N1900" s="4">
        <v>1582.7</v>
      </c>
      <c r="O1900" t="s">
        <v>31</v>
      </c>
      <c r="X1900" t="s">
        <v>35</v>
      </c>
      <c r="Y1900" t="s">
        <v>375</v>
      </c>
      <c r="Z1900" t="s">
        <v>376</v>
      </c>
      <c r="AA1900">
        <f t="shared" si="72"/>
        <v>79.02</v>
      </c>
      <c r="AC1900"/>
      <c r="AE1900" t="s">
        <v>377</v>
      </c>
      <c r="AF1900"/>
      <c r="AL1900">
        <v>340719290</v>
      </c>
      <c r="AM1900" t="s">
        <v>217</v>
      </c>
    </row>
    <row r="1901" spans="1:39" x14ac:dyDescent="0.35">
      <c r="A1901">
        <v>3400</v>
      </c>
      <c r="B1901" t="s">
        <v>61</v>
      </c>
      <c r="C1901">
        <v>2020</v>
      </c>
      <c r="D1901" s="1">
        <v>43831</v>
      </c>
      <c r="E1901">
        <v>1</v>
      </c>
      <c r="F1901">
        <v>100008857</v>
      </c>
      <c r="G1901" t="s">
        <v>96</v>
      </c>
      <c r="H1901">
        <v>40</v>
      </c>
      <c r="I1901">
        <v>71105060</v>
      </c>
      <c r="J1901">
        <v>21021040</v>
      </c>
      <c r="K1901" t="s">
        <v>238</v>
      </c>
      <c r="L1901" s="4">
        <v>7500</v>
      </c>
      <c r="M1901" t="s">
        <v>31</v>
      </c>
      <c r="N1901" s="4">
        <v>7500</v>
      </c>
      <c r="O1901" t="s">
        <v>31</v>
      </c>
      <c r="P1901" t="s">
        <v>211</v>
      </c>
      <c r="X1901" t="s">
        <v>61</v>
      </c>
      <c r="Y1901"/>
      <c r="Z1901" t="s">
        <v>757</v>
      </c>
      <c r="AA1901">
        <f t="shared" si="72"/>
        <v>7500</v>
      </c>
      <c r="AC1901"/>
      <c r="AE1901" t="s">
        <v>758</v>
      </c>
      <c r="AF1901"/>
      <c r="AL1901">
        <v>340051150</v>
      </c>
      <c r="AM1901" t="s">
        <v>78</v>
      </c>
    </row>
    <row r="1902" spans="1:39" x14ac:dyDescent="0.35">
      <c r="A1902">
        <v>3407</v>
      </c>
      <c r="B1902" t="s">
        <v>57</v>
      </c>
      <c r="C1902">
        <v>2020</v>
      </c>
      <c r="D1902" s="1">
        <v>43831</v>
      </c>
      <c r="E1902">
        <v>13</v>
      </c>
      <c r="F1902">
        <v>700033146</v>
      </c>
      <c r="G1902" t="s">
        <v>101</v>
      </c>
      <c r="H1902">
        <v>50</v>
      </c>
      <c r="I1902">
        <v>71105120</v>
      </c>
      <c r="J1902">
        <v>11610080</v>
      </c>
      <c r="K1902" t="s">
        <v>268</v>
      </c>
      <c r="L1902" s="4">
        <v>12540</v>
      </c>
      <c r="M1902" t="s">
        <v>54</v>
      </c>
      <c r="N1902" s="4">
        <v>235415.93</v>
      </c>
      <c r="O1902" t="s">
        <v>31</v>
      </c>
      <c r="X1902" t="s">
        <v>83</v>
      </c>
      <c r="Y1902" t="s">
        <v>759</v>
      </c>
      <c r="Z1902" t="s">
        <v>760</v>
      </c>
      <c r="AA1902">
        <f t="shared" si="72"/>
        <v>12540</v>
      </c>
      <c r="AC1902"/>
      <c r="AE1902" t="s">
        <v>761</v>
      </c>
      <c r="AF1902"/>
      <c r="AL1902">
        <v>340746390</v>
      </c>
      <c r="AM1902" t="s">
        <v>217</v>
      </c>
    </row>
    <row r="1903" spans="1:39" x14ac:dyDescent="0.35">
      <c r="A1903">
        <v>3407</v>
      </c>
      <c r="B1903" t="s">
        <v>57</v>
      </c>
      <c r="C1903">
        <v>2020</v>
      </c>
      <c r="D1903" s="1">
        <v>43831</v>
      </c>
      <c r="E1903">
        <v>14</v>
      </c>
      <c r="F1903">
        <v>700033146</v>
      </c>
      <c r="G1903" t="s">
        <v>101</v>
      </c>
      <c r="H1903">
        <v>40</v>
      </c>
      <c r="I1903">
        <v>71105120</v>
      </c>
      <c r="J1903">
        <v>71105120</v>
      </c>
      <c r="K1903" t="s">
        <v>268</v>
      </c>
      <c r="L1903" s="4">
        <v>1045</v>
      </c>
      <c r="M1903" t="s">
        <v>54</v>
      </c>
      <c r="N1903" s="4">
        <v>19617.93</v>
      </c>
      <c r="O1903" t="s">
        <v>31</v>
      </c>
      <c r="X1903" t="s">
        <v>83</v>
      </c>
      <c r="Y1903" t="s">
        <v>759</v>
      </c>
      <c r="Z1903" t="s">
        <v>760</v>
      </c>
      <c r="AA1903">
        <f t="shared" si="72"/>
        <v>1045</v>
      </c>
      <c r="AC1903"/>
      <c r="AE1903" t="s">
        <v>762</v>
      </c>
      <c r="AF1903"/>
      <c r="AL1903">
        <v>340746390</v>
      </c>
      <c r="AM1903" t="s">
        <v>217</v>
      </c>
    </row>
    <row r="1904" spans="1:39" x14ac:dyDescent="0.35">
      <c r="A1904">
        <v>3409</v>
      </c>
      <c r="B1904" t="s">
        <v>55</v>
      </c>
      <c r="C1904">
        <v>2020</v>
      </c>
      <c r="D1904" s="1">
        <v>43831</v>
      </c>
      <c r="E1904">
        <v>3</v>
      </c>
      <c r="F1904">
        <v>900008124</v>
      </c>
      <c r="G1904" t="s">
        <v>226</v>
      </c>
      <c r="H1904">
        <v>50</v>
      </c>
      <c r="I1904">
        <v>71106150</v>
      </c>
      <c r="J1904">
        <v>21230140</v>
      </c>
      <c r="K1904" t="s">
        <v>102</v>
      </c>
      <c r="L1904">
        <v>38735.589999999997</v>
      </c>
      <c r="M1904" t="s">
        <v>54</v>
      </c>
      <c r="N1904">
        <v>729979.94</v>
      </c>
      <c r="O1904" t="s">
        <v>31</v>
      </c>
      <c r="W1904">
        <v>100100275</v>
      </c>
      <c r="X1904" t="s">
        <v>258</v>
      </c>
      <c r="Y1904" t="s">
        <v>344</v>
      </c>
      <c r="Z1904" t="s">
        <v>345</v>
      </c>
      <c r="AA1904">
        <f t="shared" si="72"/>
        <v>38735.589999999997</v>
      </c>
      <c r="AC1904"/>
      <c r="AE1904" t="s">
        <v>763</v>
      </c>
      <c r="AF1904"/>
      <c r="AL1904">
        <v>340981990</v>
      </c>
      <c r="AM1904" t="s">
        <v>208</v>
      </c>
    </row>
    <row r="1905" spans="1:39" x14ac:dyDescent="0.35">
      <c r="A1905">
        <v>3409</v>
      </c>
      <c r="B1905" t="s">
        <v>55</v>
      </c>
      <c r="C1905">
        <v>2020</v>
      </c>
      <c r="D1905" s="1">
        <v>43831</v>
      </c>
      <c r="E1905">
        <v>3</v>
      </c>
      <c r="F1905">
        <v>900006650</v>
      </c>
      <c r="G1905" t="s">
        <v>120</v>
      </c>
      <c r="H1905">
        <v>81</v>
      </c>
      <c r="I1905">
        <v>71106150</v>
      </c>
      <c r="J1905">
        <v>21021040</v>
      </c>
      <c r="K1905" t="s">
        <v>102</v>
      </c>
      <c r="L1905" s="4">
        <v>38735.589999999997</v>
      </c>
      <c r="M1905" t="s">
        <v>54</v>
      </c>
      <c r="N1905" s="4">
        <v>727957.94</v>
      </c>
      <c r="O1905" t="s">
        <v>31</v>
      </c>
      <c r="R1905" t="s">
        <v>1121</v>
      </c>
      <c r="S1905">
        <v>270972527</v>
      </c>
      <c r="T1905">
        <v>200497</v>
      </c>
      <c r="U1905" t="s">
        <v>348</v>
      </c>
      <c r="X1905" t="s">
        <v>55</v>
      </c>
      <c r="Y1905" s="10" t="s">
        <v>1174</v>
      </c>
      <c r="Z1905" t="s">
        <v>345</v>
      </c>
      <c r="AA1905">
        <f t="shared" si="72"/>
        <v>38735.589999999997</v>
      </c>
      <c r="AB1905">
        <v>0</v>
      </c>
      <c r="AC1905">
        <f>AA1905</f>
        <v>38735.589999999997</v>
      </c>
      <c r="AD1905">
        <v>900006711</v>
      </c>
      <c r="AE1905" t="s">
        <v>349</v>
      </c>
      <c r="AF1905" s="4">
        <f>AC1905</f>
        <v>38735.589999999997</v>
      </c>
      <c r="AG1905" t="s">
        <v>1175</v>
      </c>
      <c r="AH1905" t="s">
        <v>1123</v>
      </c>
      <c r="AI1905">
        <v>900203553</v>
      </c>
      <c r="AJ1905" t="s">
        <v>1125</v>
      </c>
      <c r="AK1905" t="s">
        <v>1124</v>
      </c>
      <c r="AL1905">
        <v>340981990</v>
      </c>
      <c r="AM1905" t="s">
        <v>185</v>
      </c>
    </row>
    <row r="1906" spans="1:39" x14ac:dyDescent="0.35">
      <c r="A1906">
        <v>3403</v>
      </c>
      <c r="B1906" t="s">
        <v>28</v>
      </c>
      <c r="C1906">
        <v>2020</v>
      </c>
      <c r="D1906" s="1">
        <v>43831</v>
      </c>
      <c r="E1906">
        <v>3</v>
      </c>
      <c r="F1906">
        <v>300018475</v>
      </c>
      <c r="G1906" t="s">
        <v>764</v>
      </c>
      <c r="H1906">
        <v>91</v>
      </c>
      <c r="I1906">
        <v>71106040</v>
      </c>
      <c r="J1906">
        <v>21021040</v>
      </c>
      <c r="K1906" t="s">
        <v>125</v>
      </c>
      <c r="L1906" s="4">
        <v>0</v>
      </c>
      <c r="M1906" t="s">
        <v>54</v>
      </c>
      <c r="N1906" s="4">
        <v>60.35</v>
      </c>
      <c r="O1906" t="s">
        <v>31</v>
      </c>
      <c r="P1906" t="s">
        <v>98</v>
      </c>
      <c r="X1906" t="s">
        <v>35</v>
      </c>
      <c r="Y1906">
        <v>2292349</v>
      </c>
      <c r="Z1906">
        <v>20200131</v>
      </c>
      <c r="AA1906">
        <f t="shared" si="72"/>
        <v>0</v>
      </c>
      <c r="AC1906"/>
      <c r="AF1906"/>
      <c r="AL1906">
        <v>340321990</v>
      </c>
      <c r="AM1906" t="s">
        <v>765</v>
      </c>
    </row>
    <row r="1907" spans="1:39" x14ac:dyDescent="0.35">
      <c r="A1907">
        <v>3403</v>
      </c>
      <c r="B1907" t="s">
        <v>28</v>
      </c>
      <c r="C1907">
        <v>2020</v>
      </c>
      <c r="D1907" s="1">
        <v>43831</v>
      </c>
      <c r="E1907">
        <v>3</v>
      </c>
      <c r="F1907">
        <v>300018477</v>
      </c>
      <c r="G1907" t="s">
        <v>764</v>
      </c>
      <c r="H1907">
        <v>91</v>
      </c>
      <c r="I1907">
        <v>71106150</v>
      </c>
      <c r="J1907">
        <v>21021040</v>
      </c>
      <c r="K1907" t="s">
        <v>102</v>
      </c>
      <c r="L1907" s="4">
        <v>0</v>
      </c>
      <c r="M1907" t="s">
        <v>54</v>
      </c>
      <c r="N1907" s="4">
        <v>578.47</v>
      </c>
      <c r="O1907" t="s">
        <v>31</v>
      </c>
      <c r="P1907" t="s">
        <v>98</v>
      </c>
      <c r="X1907" t="s">
        <v>35</v>
      </c>
      <c r="Y1907" t="s">
        <v>766</v>
      </c>
      <c r="Z1907">
        <v>20200131</v>
      </c>
      <c r="AA1907">
        <f t="shared" si="72"/>
        <v>0</v>
      </c>
      <c r="AC1907"/>
      <c r="AF1907"/>
      <c r="AL1907">
        <v>340321790</v>
      </c>
      <c r="AM1907" t="s">
        <v>765</v>
      </c>
    </row>
    <row r="1908" spans="1:39" x14ac:dyDescent="0.35">
      <c r="A1908">
        <v>3403</v>
      </c>
      <c r="B1908" t="s">
        <v>28</v>
      </c>
      <c r="C1908">
        <v>2020</v>
      </c>
      <c r="D1908" s="1">
        <v>43831</v>
      </c>
      <c r="E1908">
        <v>3</v>
      </c>
      <c r="F1908">
        <v>300018510</v>
      </c>
      <c r="G1908" t="s">
        <v>764</v>
      </c>
      <c r="H1908">
        <v>91</v>
      </c>
      <c r="I1908">
        <v>71105130</v>
      </c>
      <c r="J1908">
        <v>21021040</v>
      </c>
      <c r="K1908" t="s">
        <v>305</v>
      </c>
      <c r="L1908" s="4">
        <v>0</v>
      </c>
      <c r="M1908" t="s">
        <v>54</v>
      </c>
      <c r="N1908" s="4">
        <v>118.36</v>
      </c>
      <c r="O1908" t="s">
        <v>31</v>
      </c>
      <c r="P1908" t="s">
        <v>98</v>
      </c>
      <c r="X1908" t="s">
        <v>35</v>
      </c>
      <c r="Y1908" t="s">
        <v>767</v>
      </c>
      <c r="Z1908">
        <v>20200131</v>
      </c>
      <c r="AA1908">
        <f t="shared" si="72"/>
        <v>0</v>
      </c>
      <c r="AC1908"/>
      <c r="AF1908"/>
      <c r="AL1908">
        <v>340321790</v>
      </c>
      <c r="AM1908" t="s">
        <v>765</v>
      </c>
    </row>
    <row r="1909" spans="1:39" x14ac:dyDescent="0.35">
      <c r="A1909">
        <v>3403</v>
      </c>
      <c r="B1909" t="s">
        <v>28</v>
      </c>
      <c r="C1909">
        <v>2020</v>
      </c>
      <c r="D1909" s="1">
        <v>43831</v>
      </c>
      <c r="E1909">
        <v>3</v>
      </c>
      <c r="F1909">
        <v>300020317</v>
      </c>
      <c r="G1909" t="s">
        <v>764</v>
      </c>
      <c r="H1909">
        <v>81</v>
      </c>
      <c r="I1909">
        <v>71106040</v>
      </c>
      <c r="J1909">
        <v>600623</v>
      </c>
      <c r="K1909" t="s">
        <v>125</v>
      </c>
      <c r="L1909" s="4">
        <v>0</v>
      </c>
      <c r="M1909" t="s">
        <v>54</v>
      </c>
      <c r="N1909" s="4">
        <v>68.69</v>
      </c>
      <c r="O1909" t="s">
        <v>31</v>
      </c>
      <c r="P1909" t="s">
        <v>211</v>
      </c>
      <c r="R1909" t="s">
        <v>223</v>
      </c>
      <c r="X1909" t="s">
        <v>72</v>
      </c>
      <c r="Y1909" t="s">
        <v>224</v>
      </c>
      <c r="Z1909">
        <v>20200131</v>
      </c>
      <c r="AA1909">
        <f t="shared" si="72"/>
        <v>0</v>
      </c>
      <c r="AC1909"/>
      <c r="AF1909"/>
      <c r="AL1909">
        <v>340310190</v>
      </c>
      <c r="AM1909" t="s">
        <v>765</v>
      </c>
    </row>
    <row r="1910" spans="1:39" x14ac:dyDescent="0.35">
      <c r="A1910">
        <v>3401</v>
      </c>
      <c r="B1910" t="s">
        <v>39</v>
      </c>
      <c r="C1910">
        <v>2020</v>
      </c>
      <c r="D1910" s="1">
        <v>43831</v>
      </c>
      <c r="E1910">
        <v>3</v>
      </c>
      <c r="F1910">
        <v>100019672</v>
      </c>
      <c r="G1910" t="s">
        <v>764</v>
      </c>
      <c r="H1910">
        <v>91</v>
      </c>
      <c r="I1910">
        <v>71106150</v>
      </c>
      <c r="J1910">
        <v>21021040</v>
      </c>
      <c r="K1910" t="s">
        <v>102</v>
      </c>
      <c r="L1910" s="4">
        <v>0</v>
      </c>
      <c r="M1910" t="s">
        <v>54</v>
      </c>
      <c r="N1910" s="4">
        <v>385.44</v>
      </c>
      <c r="O1910" t="s">
        <v>31</v>
      </c>
      <c r="P1910" t="s">
        <v>98</v>
      </c>
      <c r="X1910" t="s">
        <v>55</v>
      </c>
      <c r="Y1910" t="s">
        <v>768</v>
      </c>
      <c r="Z1910">
        <v>20200115</v>
      </c>
      <c r="AA1910">
        <f t="shared" si="72"/>
        <v>0</v>
      </c>
      <c r="AC1910"/>
      <c r="AF1910"/>
      <c r="AL1910">
        <v>340121790</v>
      </c>
      <c r="AM1910" t="s">
        <v>414</v>
      </c>
    </row>
    <row r="1911" spans="1:39" x14ac:dyDescent="0.35">
      <c r="A1911">
        <v>3407</v>
      </c>
      <c r="B1911" t="s">
        <v>352</v>
      </c>
      <c r="C1911">
        <v>2020</v>
      </c>
      <c r="D1911" s="1">
        <v>43831</v>
      </c>
      <c r="E1911">
        <v>1</v>
      </c>
      <c r="F1911">
        <v>700034710</v>
      </c>
      <c r="G1911" t="s">
        <v>101</v>
      </c>
      <c r="H1911">
        <v>40</v>
      </c>
      <c r="I1911">
        <v>71105120</v>
      </c>
      <c r="J1911">
        <v>71105120</v>
      </c>
      <c r="K1911" t="s">
        <v>268</v>
      </c>
      <c r="L1911" s="4">
        <v>380</v>
      </c>
      <c r="M1911" t="s">
        <v>54</v>
      </c>
      <c r="N1911" s="4">
        <v>7175.05</v>
      </c>
      <c r="O1911" t="s">
        <v>31</v>
      </c>
      <c r="X1911" t="s">
        <v>62</v>
      </c>
      <c r="Y1911" t="s">
        <v>769</v>
      </c>
      <c r="Z1911" t="s">
        <v>770</v>
      </c>
      <c r="AA1911">
        <f t="shared" si="72"/>
        <v>380</v>
      </c>
      <c r="AC1911"/>
      <c r="AE1911" t="s">
        <v>771</v>
      </c>
      <c r="AF1911"/>
      <c r="AL1911">
        <v>340715190</v>
      </c>
      <c r="AM1911" t="s">
        <v>217</v>
      </c>
    </row>
    <row r="1912" spans="1:39" x14ac:dyDescent="0.35">
      <c r="A1912">
        <v>3407</v>
      </c>
      <c r="B1912" t="s">
        <v>352</v>
      </c>
      <c r="C1912">
        <v>2020</v>
      </c>
      <c r="D1912" s="1">
        <v>43831</v>
      </c>
      <c r="E1912">
        <v>2</v>
      </c>
      <c r="F1912">
        <v>700034710</v>
      </c>
      <c r="G1912" t="s">
        <v>101</v>
      </c>
      <c r="H1912">
        <v>50</v>
      </c>
      <c r="I1912">
        <v>71105120</v>
      </c>
      <c r="J1912">
        <v>71105120</v>
      </c>
      <c r="K1912" t="s">
        <v>268</v>
      </c>
      <c r="L1912" s="4">
        <v>380</v>
      </c>
      <c r="M1912" t="s">
        <v>54</v>
      </c>
      <c r="N1912" s="4">
        <v>7175.05</v>
      </c>
      <c r="O1912" t="s">
        <v>31</v>
      </c>
      <c r="X1912" t="s">
        <v>62</v>
      </c>
      <c r="Y1912" t="s">
        <v>769</v>
      </c>
      <c r="Z1912" t="s">
        <v>770</v>
      </c>
      <c r="AA1912">
        <f t="shared" si="72"/>
        <v>380</v>
      </c>
      <c r="AC1912"/>
      <c r="AE1912" t="s">
        <v>771</v>
      </c>
      <c r="AF1912"/>
      <c r="AL1912">
        <v>340753290</v>
      </c>
      <c r="AM1912" t="s">
        <v>217</v>
      </c>
    </row>
    <row r="1913" spans="1:39" x14ac:dyDescent="0.35">
      <c r="A1913">
        <v>3401</v>
      </c>
      <c r="B1913" t="s">
        <v>55</v>
      </c>
      <c r="C1913">
        <v>2020</v>
      </c>
      <c r="D1913" s="1">
        <v>43831</v>
      </c>
      <c r="E1913">
        <v>1</v>
      </c>
      <c r="F1913">
        <v>100019743</v>
      </c>
      <c r="G1913" t="s">
        <v>120</v>
      </c>
      <c r="H1913">
        <v>81</v>
      </c>
      <c r="I1913">
        <v>71106040</v>
      </c>
      <c r="J1913">
        <v>21021040</v>
      </c>
      <c r="K1913" t="s">
        <v>125</v>
      </c>
      <c r="L1913" s="4">
        <v>624616.09</v>
      </c>
      <c r="M1913" t="s">
        <v>31</v>
      </c>
      <c r="N1913" s="4">
        <v>624616.09</v>
      </c>
      <c r="O1913" t="s">
        <v>31</v>
      </c>
      <c r="R1913" t="s">
        <v>1121</v>
      </c>
      <c r="S1913" t="s">
        <v>1140</v>
      </c>
      <c r="T1913">
        <v>600271</v>
      </c>
      <c r="U1913" t="s">
        <v>772</v>
      </c>
      <c r="X1913" t="s">
        <v>55</v>
      </c>
      <c r="Y1913" s="8">
        <v>1548693071</v>
      </c>
      <c r="Z1913">
        <v>20200120</v>
      </c>
      <c r="AA1913">
        <f t="shared" si="72"/>
        <v>624616.09</v>
      </c>
      <c r="AB1913">
        <v>0</v>
      </c>
      <c r="AC1913">
        <f>AA1913</f>
        <v>624616.09</v>
      </c>
      <c r="AD1913">
        <v>100021561</v>
      </c>
      <c r="AE1913" t="s">
        <v>773</v>
      </c>
      <c r="AF1913" s="4">
        <f>AC1913</f>
        <v>624616.09</v>
      </c>
      <c r="AG1913" t="s">
        <v>61</v>
      </c>
      <c r="AH1913" t="s">
        <v>1123</v>
      </c>
      <c r="AI1913">
        <v>100023220</v>
      </c>
      <c r="AJ1913" t="s">
        <v>1136</v>
      </c>
      <c r="AK1913" t="s">
        <v>1135</v>
      </c>
      <c r="AL1913">
        <v>340121790</v>
      </c>
      <c r="AM1913" t="s">
        <v>129</v>
      </c>
    </row>
    <row r="1914" spans="1:39" x14ac:dyDescent="0.35">
      <c r="A1914">
        <v>3401</v>
      </c>
      <c r="B1914" t="s">
        <v>55</v>
      </c>
      <c r="C1914">
        <v>2020</v>
      </c>
      <c r="D1914" s="1">
        <v>43831</v>
      </c>
      <c r="E1914">
        <v>1</v>
      </c>
      <c r="F1914">
        <v>100019746</v>
      </c>
      <c r="G1914" t="s">
        <v>120</v>
      </c>
      <c r="H1914">
        <v>81</v>
      </c>
      <c r="I1914">
        <v>71106040</v>
      </c>
      <c r="J1914">
        <v>21021040</v>
      </c>
      <c r="K1914" t="s">
        <v>125</v>
      </c>
      <c r="L1914" s="4">
        <v>13470.26</v>
      </c>
      <c r="M1914" t="s">
        <v>31</v>
      </c>
      <c r="N1914" s="4">
        <v>13470.26</v>
      </c>
      <c r="O1914" t="s">
        <v>31</v>
      </c>
      <c r="R1914" t="s">
        <v>774</v>
      </c>
      <c r="T1914">
        <v>800407</v>
      </c>
      <c r="U1914" t="s">
        <v>775</v>
      </c>
      <c r="X1914" t="s">
        <v>55</v>
      </c>
      <c r="Y1914" s="8" t="s">
        <v>776</v>
      </c>
      <c r="Z1914">
        <v>20200120</v>
      </c>
      <c r="AA1914">
        <f t="shared" si="72"/>
        <v>13470.26</v>
      </c>
      <c r="AB1914">
        <f>AA1914*0.16</f>
        <v>2155.2416000000003</v>
      </c>
      <c r="AC1914">
        <f>AA1914+AB1914</f>
        <v>15625.5016</v>
      </c>
      <c r="AD1914">
        <v>100021585</v>
      </c>
      <c r="AE1914" t="s">
        <v>777</v>
      </c>
      <c r="AF1914" s="4">
        <f>AC1914</f>
        <v>15625.5016</v>
      </c>
      <c r="AG1914" t="s">
        <v>1144</v>
      </c>
      <c r="AH1914" t="s">
        <v>1123</v>
      </c>
      <c r="AI1914">
        <v>100058969</v>
      </c>
      <c r="AK1914" t="s">
        <v>1136</v>
      </c>
      <c r="AL1914">
        <v>340121790</v>
      </c>
      <c r="AM1914" t="s">
        <v>129</v>
      </c>
    </row>
    <row r="1915" spans="1:39" x14ac:dyDescent="0.35">
      <c r="A1915">
        <v>3403</v>
      </c>
      <c r="B1915" t="s">
        <v>55</v>
      </c>
      <c r="C1915">
        <v>2020</v>
      </c>
      <c r="D1915" s="1">
        <v>43831</v>
      </c>
      <c r="E1915">
        <v>1</v>
      </c>
      <c r="F1915">
        <v>300010941</v>
      </c>
      <c r="G1915" t="s">
        <v>120</v>
      </c>
      <c r="H1915">
        <v>81</v>
      </c>
      <c r="I1915">
        <v>71105130</v>
      </c>
      <c r="J1915">
        <v>21021040</v>
      </c>
      <c r="K1915" t="s">
        <v>305</v>
      </c>
      <c r="L1915" s="4">
        <v>1371.47</v>
      </c>
      <c r="M1915" t="s">
        <v>54</v>
      </c>
      <c r="N1915" s="4">
        <v>25774.04</v>
      </c>
      <c r="O1915" t="s">
        <v>31</v>
      </c>
      <c r="R1915" t="s">
        <v>1121</v>
      </c>
      <c r="S1915">
        <v>593416526</v>
      </c>
      <c r="T1915">
        <v>602304</v>
      </c>
      <c r="U1915" t="s">
        <v>628</v>
      </c>
      <c r="X1915" t="s">
        <v>55</v>
      </c>
      <c r="Y1915" s="8" t="s">
        <v>767</v>
      </c>
      <c r="Z1915">
        <v>20200120</v>
      </c>
      <c r="AA1915">
        <f t="shared" si="72"/>
        <v>1371.47</v>
      </c>
      <c r="AB1915">
        <v>0</v>
      </c>
      <c r="AC1915">
        <f>AA1915</f>
        <v>1371.47</v>
      </c>
      <c r="AD1915">
        <v>300018510</v>
      </c>
      <c r="AE1915" t="s">
        <v>778</v>
      </c>
      <c r="AF1915" s="4">
        <f>AC1915</f>
        <v>1371.47</v>
      </c>
      <c r="AG1915" t="s">
        <v>1176</v>
      </c>
      <c r="AH1915" t="s">
        <v>1123</v>
      </c>
      <c r="AI1915">
        <v>300041199</v>
      </c>
      <c r="AJ1915" t="s">
        <v>1125</v>
      </c>
      <c r="AK1915" t="s">
        <v>1124</v>
      </c>
      <c r="AL1915">
        <v>340321790</v>
      </c>
      <c r="AM1915" t="s">
        <v>222</v>
      </c>
    </row>
    <row r="1916" spans="1:39" x14ac:dyDescent="0.35">
      <c r="A1916">
        <v>3401</v>
      </c>
      <c r="B1916" t="s">
        <v>55</v>
      </c>
      <c r="C1916">
        <v>2020</v>
      </c>
      <c r="D1916" s="1">
        <v>43831</v>
      </c>
      <c r="E1916">
        <v>1</v>
      </c>
      <c r="F1916">
        <v>100019477</v>
      </c>
      <c r="G1916" t="s">
        <v>120</v>
      </c>
      <c r="H1916">
        <v>81</v>
      </c>
      <c r="I1916">
        <v>71104010</v>
      </c>
      <c r="J1916">
        <v>21021040</v>
      </c>
      <c r="K1916" t="s">
        <v>121</v>
      </c>
      <c r="L1916" s="4">
        <v>50848</v>
      </c>
      <c r="M1916" t="s">
        <v>31</v>
      </c>
      <c r="N1916" s="4">
        <v>50848</v>
      </c>
      <c r="O1916" t="s">
        <v>31</v>
      </c>
      <c r="R1916" t="s">
        <v>122</v>
      </c>
      <c r="S1916" t="s">
        <v>1131</v>
      </c>
      <c r="T1916">
        <v>107211</v>
      </c>
      <c r="U1916" t="s">
        <v>123</v>
      </c>
      <c r="X1916" t="s">
        <v>55</v>
      </c>
      <c r="Y1916" s="8">
        <v>4501216248</v>
      </c>
      <c r="Z1916" t="s">
        <v>1127</v>
      </c>
      <c r="AA1916">
        <f t="shared" si="72"/>
        <v>50848</v>
      </c>
      <c r="AC1916"/>
      <c r="AD1916">
        <v>100036889</v>
      </c>
      <c r="AE1916" t="s">
        <v>1128</v>
      </c>
      <c r="AG1916" t="s">
        <v>51</v>
      </c>
      <c r="AH1916" t="s">
        <v>1123</v>
      </c>
      <c r="AI1916">
        <v>100036917</v>
      </c>
      <c r="AJ1916" t="s">
        <v>1148</v>
      </c>
      <c r="AK1916" t="s">
        <v>1129</v>
      </c>
      <c r="AL1916">
        <v>340118590</v>
      </c>
      <c r="AM1916" t="s">
        <v>124</v>
      </c>
    </row>
    <row r="1917" spans="1:39" x14ac:dyDescent="0.35">
      <c r="A1917">
        <v>3401</v>
      </c>
      <c r="B1917" t="s">
        <v>55</v>
      </c>
      <c r="C1917">
        <v>2020</v>
      </c>
      <c r="D1917" s="1">
        <v>43831</v>
      </c>
      <c r="E1917">
        <v>1</v>
      </c>
      <c r="F1917">
        <v>100019478</v>
      </c>
      <c r="G1917" t="s">
        <v>120</v>
      </c>
      <c r="H1917">
        <v>81</v>
      </c>
      <c r="I1917">
        <v>71104010</v>
      </c>
      <c r="J1917">
        <v>21021040</v>
      </c>
      <c r="K1917" t="s">
        <v>121</v>
      </c>
      <c r="L1917" s="4">
        <v>42672</v>
      </c>
      <c r="M1917" t="s">
        <v>31</v>
      </c>
      <c r="N1917" s="4">
        <v>42672</v>
      </c>
      <c r="O1917" t="s">
        <v>31</v>
      </c>
      <c r="R1917" t="s">
        <v>122</v>
      </c>
      <c r="S1917" t="s">
        <v>1131</v>
      </c>
      <c r="T1917">
        <v>107211</v>
      </c>
      <c r="U1917" t="s">
        <v>123</v>
      </c>
      <c r="X1917" t="s">
        <v>55</v>
      </c>
      <c r="Y1917" s="8">
        <v>4501216248</v>
      </c>
      <c r="Z1917" t="s">
        <v>1127</v>
      </c>
      <c r="AA1917">
        <f t="shared" si="72"/>
        <v>42672</v>
      </c>
      <c r="AC1917"/>
      <c r="AD1917">
        <v>100036889</v>
      </c>
      <c r="AE1917" t="s">
        <v>1128</v>
      </c>
      <c r="AG1917" t="s">
        <v>51</v>
      </c>
      <c r="AH1917" t="s">
        <v>1123</v>
      </c>
      <c r="AI1917">
        <v>100036917</v>
      </c>
      <c r="AJ1917" t="s">
        <v>1148</v>
      </c>
      <c r="AK1917" t="s">
        <v>1129</v>
      </c>
      <c r="AL1917">
        <v>340118590</v>
      </c>
      <c r="AM1917" t="s">
        <v>124</v>
      </c>
    </row>
    <row r="1918" spans="1:39" x14ac:dyDescent="0.35">
      <c r="A1918">
        <v>3401</v>
      </c>
      <c r="B1918" t="s">
        <v>55</v>
      </c>
      <c r="C1918">
        <v>2020</v>
      </c>
      <c r="D1918" s="1">
        <v>43831</v>
      </c>
      <c r="E1918">
        <v>1</v>
      </c>
      <c r="F1918">
        <v>100019480</v>
      </c>
      <c r="G1918" t="s">
        <v>120</v>
      </c>
      <c r="H1918">
        <v>81</v>
      </c>
      <c r="I1918">
        <v>71104010</v>
      </c>
      <c r="J1918">
        <v>21021040</v>
      </c>
      <c r="K1918" t="s">
        <v>121</v>
      </c>
      <c r="L1918" s="4">
        <v>54936</v>
      </c>
      <c r="M1918" t="s">
        <v>31</v>
      </c>
      <c r="N1918" s="4">
        <v>54936</v>
      </c>
      <c r="O1918" t="s">
        <v>31</v>
      </c>
      <c r="R1918" t="s">
        <v>122</v>
      </c>
      <c r="S1918" t="s">
        <v>1131</v>
      </c>
      <c r="T1918">
        <v>107211</v>
      </c>
      <c r="U1918" t="s">
        <v>123</v>
      </c>
      <c r="X1918" t="s">
        <v>55</v>
      </c>
      <c r="Y1918" s="8">
        <v>4501216248</v>
      </c>
      <c r="Z1918" t="s">
        <v>1127</v>
      </c>
      <c r="AA1918">
        <f t="shared" si="72"/>
        <v>54936</v>
      </c>
      <c r="AC1918"/>
      <c r="AD1918">
        <v>100036889</v>
      </c>
      <c r="AE1918" t="s">
        <v>1128</v>
      </c>
      <c r="AG1918" t="s">
        <v>51</v>
      </c>
      <c r="AH1918" t="s">
        <v>1123</v>
      </c>
      <c r="AI1918">
        <v>100036917</v>
      </c>
      <c r="AJ1918" t="s">
        <v>1148</v>
      </c>
      <c r="AK1918" t="s">
        <v>1129</v>
      </c>
      <c r="AL1918">
        <v>340118590</v>
      </c>
      <c r="AM1918" t="s">
        <v>124</v>
      </c>
    </row>
    <row r="1919" spans="1:39" x14ac:dyDescent="0.35">
      <c r="A1919">
        <v>3406</v>
      </c>
      <c r="B1919" t="s">
        <v>55</v>
      </c>
      <c r="C1919">
        <v>2020</v>
      </c>
      <c r="D1919" s="1">
        <v>43831</v>
      </c>
      <c r="E1919">
        <v>1</v>
      </c>
      <c r="F1919">
        <v>600018996</v>
      </c>
      <c r="G1919" t="s">
        <v>120</v>
      </c>
      <c r="H1919">
        <v>81</v>
      </c>
      <c r="I1919">
        <v>71106040</v>
      </c>
      <c r="J1919">
        <v>21021040</v>
      </c>
      <c r="K1919" t="s">
        <v>125</v>
      </c>
      <c r="L1919" s="4">
        <v>18186</v>
      </c>
      <c r="M1919" t="s">
        <v>54</v>
      </c>
      <c r="N1919" s="4">
        <v>341769.5</v>
      </c>
      <c r="O1919" t="s">
        <v>31</v>
      </c>
      <c r="R1919" t="s">
        <v>1121</v>
      </c>
      <c r="S1919">
        <v>183439718</v>
      </c>
      <c r="T1919">
        <v>800875</v>
      </c>
      <c r="U1919" t="s">
        <v>780</v>
      </c>
      <c r="X1919" t="s">
        <v>55</v>
      </c>
      <c r="Y1919" s="8" t="s">
        <v>781</v>
      </c>
      <c r="Z1919">
        <v>4501222975</v>
      </c>
      <c r="AA1919">
        <f t="shared" si="72"/>
        <v>18186</v>
      </c>
      <c r="AB1919">
        <v>0</v>
      </c>
      <c r="AC1919">
        <f>AA1919</f>
        <v>18186</v>
      </c>
      <c r="AD1919">
        <v>600025891</v>
      </c>
      <c r="AE1919" t="s">
        <v>782</v>
      </c>
      <c r="AF1919" s="4">
        <f>AC1919</f>
        <v>18186</v>
      </c>
      <c r="AG1919" t="s">
        <v>1126</v>
      </c>
      <c r="AH1919" t="s">
        <v>1123</v>
      </c>
      <c r="AI1919">
        <v>600040070</v>
      </c>
      <c r="AJ1919" t="s">
        <v>1125</v>
      </c>
      <c r="AK1919" t="s">
        <v>1124</v>
      </c>
      <c r="AL1919">
        <v>340621790</v>
      </c>
      <c r="AM1919" t="s">
        <v>149</v>
      </c>
    </row>
    <row r="1920" spans="1:39" x14ac:dyDescent="0.35">
      <c r="A1920">
        <v>3403</v>
      </c>
      <c r="B1920" t="s">
        <v>55</v>
      </c>
      <c r="C1920">
        <v>2020</v>
      </c>
      <c r="D1920" s="1">
        <v>43831</v>
      </c>
      <c r="E1920">
        <v>1</v>
      </c>
      <c r="F1920">
        <v>300011122</v>
      </c>
      <c r="G1920" t="s">
        <v>120</v>
      </c>
      <c r="H1920">
        <v>81</v>
      </c>
      <c r="I1920">
        <v>71106150</v>
      </c>
      <c r="J1920">
        <v>21021040</v>
      </c>
      <c r="K1920" t="s">
        <v>102</v>
      </c>
      <c r="L1920" s="4">
        <v>4529.8900000000003</v>
      </c>
      <c r="M1920" t="s">
        <v>54</v>
      </c>
      <c r="N1920" s="4">
        <v>85130.22</v>
      </c>
      <c r="O1920" t="s">
        <v>31</v>
      </c>
      <c r="R1920" t="s">
        <v>1121</v>
      </c>
      <c r="S1920">
        <v>593383972</v>
      </c>
      <c r="T1920">
        <v>600226</v>
      </c>
      <c r="U1920" t="s">
        <v>126</v>
      </c>
      <c r="X1920" t="s">
        <v>55</v>
      </c>
      <c r="Y1920" s="8">
        <v>4501224049</v>
      </c>
      <c r="Z1920" t="s">
        <v>1041</v>
      </c>
      <c r="AA1920">
        <f t="shared" si="72"/>
        <v>4529.8900000000003</v>
      </c>
      <c r="AB1920">
        <v>0</v>
      </c>
      <c r="AC1920">
        <f>AA1920</f>
        <v>4529.8900000000003</v>
      </c>
      <c r="AD1920">
        <v>300012072</v>
      </c>
      <c r="AE1920" t="s">
        <v>783</v>
      </c>
      <c r="AF1920" s="4">
        <f>AC1920/1.25</f>
        <v>3623.9120000000003</v>
      </c>
      <c r="AG1920" t="s">
        <v>1152</v>
      </c>
      <c r="AH1920" t="s">
        <v>1123</v>
      </c>
      <c r="AI1920">
        <v>300238841</v>
      </c>
      <c r="AJ1920" t="s">
        <v>1125</v>
      </c>
      <c r="AK1920" t="s">
        <v>1124</v>
      </c>
      <c r="AL1920">
        <v>340321790</v>
      </c>
      <c r="AM1920" t="s">
        <v>534</v>
      </c>
    </row>
    <row r="1921" spans="1:39" x14ac:dyDescent="0.35">
      <c r="A1921">
        <v>3406</v>
      </c>
      <c r="B1921" t="s">
        <v>55</v>
      </c>
      <c r="C1921">
        <v>2020</v>
      </c>
      <c r="D1921" s="1">
        <v>43831</v>
      </c>
      <c r="E1921">
        <v>1</v>
      </c>
      <c r="F1921">
        <v>600019090</v>
      </c>
      <c r="G1921" t="s">
        <v>120</v>
      </c>
      <c r="H1921">
        <v>81</v>
      </c>
      <c r="I1921">
        <v>71105120</v>
      </c>
      <c r="J1921">
        <v>21021040</v>
      </c>
      <c r="K1921" t="s">
        <v>268</v>
      </c>
      <c r="L1921" s="4">
        <v>380</v>
      </c>
      <c r="M1921" t="s">
        <v>54</v>
      </c>
      <c r="N1921" s="4">
        <v>7141.34</v>
      </c>
      <c r="O1921" t="s">
        <v>31</v>
      </c>
      <c r="R1921" t="s">
        <v>1121</v>
      </c>
      <c r="S1921">
        <v>453325398</v>
      </c>
      <c r="T1921">
        <v>101653</v>
      </c>
      <c r="U1921" t="s">
        <v>784</v>
      </c>
      <c r="X1921" t="s">
        <v>55</v>
      </c>
      <c r="Y1921" s="8" t="s">
        <v>785</v>
      </c>
      <c r="Z1921">
        <v>20200120</v>
      </c>
      <c r="AA1921">
        <f t="shared" si="72"/>
        <v>380</v>
      </c>
      <c r="AB1921">
        <v>0</v>
      </c>
      <c r="AC1921">
        <f>AA1921</f>
        <v>380</v>
      </c>
      <c r="AD1921">
        <v>600025900</v>
      </c>
      <c r="AE1921" t="s">
        <v>786</v>
      </c>
      <c r="AF1921" s="4">
        <f>AC1921</f>
        <v>380</v>
      </c>
      <c r="AG1921" t="s">
        <v>1126</v>
      </c>
      <c r="AH1921" t="s">
        <v>1123</v>
      </c>
      <c r="AI1921">
        <v>600040066</v>
      </c>
      <c r="AJ1921" t="s">
        <v>1125</v>
      </c>
      <c r="AK1921" t="s">
        <v>1124</v>
      </c>
      <c r="AL1921">
        <v>340615190</v>
      </c>
      <c r="AM1921" t="s">
        <v>149</v>
      </c>
    </row>
    <row r="1922" spans="1:39" x14ac:dyDescent="0.35">
      <c r="A1922">
        <v>3403</v>
      </c>
      <c r="B1922" t="s">
        <v>55</v>
      </c>
      <c r="C1922">
        <v>2020</v>
      </c>
      <c r="D1922" s="1">
        <v>43831</v>
      </c>
      <c r="E1922">
        <v>1</v>
      </c>
      <c r="F1922">
        <v>300011135</v>
      </c>
      <c r="G1922" t="s">
        <v>120</v>
      </c>
      <c r="H1922">
        <v>81</v>
      </c>
      <c r="I1922">
        <v>71106150</v>
      </c>
      <c r="J1922">
        <v>21021040</v>
      </c>
      <c r="K1922" t="s">
        <v>102</v>
      </c>
      <c r="L1922" s="4">
        <v>6703.01</v>
      </c>
      <c r="M1922" t="s">
        <v>54</v>
      </c>
      <c r="N1922" s="4">
        <v>125969.67</v>
      </c>
      <c r="O1922" t="s">
        <v>31</v>
      </c>
      <c r="R1922" t="s">
        <v>1121</v>
      </c>
      <c r="S1922">
        <v>593383972</v>
      </c>
      <c r="T1922">
        <v>600226</v>
      </c>
      <c r="U1922" t="s">
        <v>126</v>
      </c>
      <c r="X1922" t="s">
        <v>55</v>
      </c>
      <c r="Y1922" s="8">
        <v>4501222799</v>
      </c>
      <c r="Z1922" t="s">
        <v>766</v>
      </c>
      <c r="AA1922">
        <f t="shared" si="72"/>
        <v>6703.01</v>
      </c>
      <c r="AB1922">
        <v>0</v>
      </c>
      <c r="AC1922">
        <f>AA1922</f>
        <v>6703.01</v>
      </c>
      <c r="AD1922">
        <v>300018477</v>
      </c>
      <c r="AE1922" t="s">
        <v>787</v>
      </c>
      <c r="AF1922" s="4">
        <f>AC1922/1.25</f>
        <v>5362.4080000000004</v>
      </c>
      <c r="AG1922" t="s">
        <v>1152</v>
      </c>
      <c r="AH1922" t="s">
        <v>1123</v>
      </c>
      <c r="AI1922">
        <v>300238841</v>
      </c>
      <c r="AJ1922" t="s">
        <v>1125</v>
      </c>
      <c r="AK1922" t="s">
        <v>1124</v>
      </c>
      <c r="AL1922">
        <v>340321790</v>
      </c>
      <c r="AM1922" t="s">
        <v>534</v>
      </c>
    </row>
    <row r="1923" spans="1:39" x14ac:dyDescent="0.35">
      <c r="A1923">
        <v>3403</v>
      </c>
      <c r="B1923" t="s">
        <v>55</v>
      </c>
      <c r="C1923">
        <v>2020</v>
      </c>
      <c r="D1923" s="1">
        <v>43831</v>
      </c>
      <c r="E1923">
        <v>1</v>
      </c>
      <c r="F1923">
        <v>300011153</v>
      </c>
      <c r="G1923" t="s">
        <v>120</v>
      </c>
      <c r="H1923">
        <v>81</v>
      </c>
      <c r="I1923">
        <v>71105120</v>
      </c>
      <c r="J1923">
        <v>21021040</v>
      </c>
      <c r="K1923" t="s">
        <v>268</v>
      </c>
      <c r="L1923" s="4">
        <v>20629.82</v>
      </c>
      <c r="M1923" t="s">
        <v>31</v>
      </c>
      <c r="N1923" s="4">
        <v>20629.82</v>
      </c>
      <c r="O1923" t="s">
        <v>31</v>
      </c>
      <c r="R1923" t="s">
        <v>788</v>
      </c>
      <c r="S1923" t="s">
        <v>1170</v>
      </c>
      <c r="T1923">
        <v>109480</v>
      </c>
      <c r="U1923" t="s">
        <v>789</v>
      </c>
      <c r="X1923" t="s">
        <v>55</v>
      </c>
      <c r="Y1923" s="8" t="s">
        <v>790</v>
      </c>
      <c r="Z1923">
        <v>4501216760</v>
      </c>
      <c r="AA1923">
        <f t="shared" si="72"/>
        <v>20629.82</v>
      </c>
      <c r="AB1923">
        <f>AA1923*0.16</f>
        <v>3300.7712000000001</v>
      </c>
      <c r="AC1923">
        <f>AA1923+AB1923</f>
        <v>23930.591199999999</v>
      </c>
      <c r="AD1923">
        <v>300011714</v>
      </c>
      <c r="AE1923" t="s">
        <v>791</v>
      </c>
      <c r="AF1923" s="4">
        <f>AC1923</f>
        <v>23930.591199999999</v>
      </c>
      <c r="AG1923" t="s">
        <v>1146</v>
      </c>
      <c r="AH1923" t="s">
        <v>1123</v>
      </c>
      <c r="AI1923">
        <v>300022039</v>
      </c>
      <c r="AJ1923" t="s">
        <v>1136</v>
      </c>
      <c r="AK1923" t="s">
        <v>1135</v>
      </c>
      <c r="AL1923">
        <v>340325790</v>
      </c>
      <c r="AM1923" t="s">
        <v>222</v>
      </c>
    </row>
    <row r="1924" spans="1:39" x14ac:dyDescent="0.35">
      <c r="A1924">
        <v>3402</v>
      </c>
      <c r="B1924" t="s">
        <v>43</v>
      </c>
      <c r="C1924">
        <v>2020</v>
      </c>
      <c r="D1924" s="1">
        <v>43831</v>
      </c>
      <c r="E1924">
        <v>1</v>
      </c>
      <c r="F1924">
        <v>200042522</v>
      </c>
      <c r="G1924" t="s">
        <v>120</v>
      </c>
      <c r="H1924">
        <v>81</v>
      </c>
      <c r="I1924">
        <v>71105060</v>
      </c>
      <c r="J1924">
        <v>21021040</v>
      </c>
      <c r="K1924" t="s">
        <v>238</v>
      </c>
      <c r="L1924" s="4">
        <v>4875</v>
      </c>
      <c r="M1924" t="s">
        <v>31</v>
      </c>
      <c r="N1924" s="4">
        <v>4875</v>
      </c>
      <c r="O1924" t="s">
        <v>31</v>
      </c>
      <c r="R1924" t="s">
        <v>792</v>
      </c>
      <c r="T1924">
        <v>101476</v>
      </c>
      <c r="U1924" t="s">
        <v>249</v>
      </c>
      <c r="X1924" t="s">
        <v>43</v>
      </c>
      <c r="Y1924" s="8" t="s">
        <v>793</v>
      </c>
      <c r="Z1924">
        <v>20200116</v>
      </c>
      <c r="AA1924">
        <f t="shared" si="72"/>
        <v>4875</v>
      </c>
      <c r="AB1924">
        <f>AA1924*0.16</f>
        <v>780</v>
      </c>
      <c r="AC1924">
        <f>AA1924+AB1924</f>
        <v>5655</v>
      </c>
      <c r="AD1924">
        <v>200047512</v>
      </c>
      <c r="AE1924" t="s">
        <v>794</v>
      </c>
      <c r="AF1924" s="4">
        <f>AC1924</f>
        <v>5655</v>
      </c>
      <c r="AG1924" t="s">
        <v>28</v>
      </c>
      <c r="AH1924" t="s">
        <v>1123</v>
      </c>
      <c r="AI1924">
        <v>200102219</v>
      </c>
      <c r="AJ1924" t="s">
        <v>1136</v>
      </c>
      <c r="AK1924" t="s">
        <v>1135</v>
      </c>
      <c r="AL1924">
        <v>340253290</v>
      </c>
      <c r="AM1924" t="s">
        <v>135</v>
      </c>
    </row>
    <row r="1925" spans="1:39" x14ac:dyDescent="0.35">
      <c r="A1925">
        <v>3407</v>
      </c>
      <c r="B1925" t="s">
        <v>43</v>
      </c>
      <c r="C1925">
        <v>2020</v>
      </c>
      <c r="D1925" s="1">
        <v>43831</v>
      </c>
      <c r="E1925">
        <v>1</v>
      </c>
      <c r="F1925">
        <v>700016216</v>
      </c>
      <c r="G1925" t="s">
        <v>120</v>
      </c>
      <c r="H1925">
        <v>81</v>
      </c>
      <c r="I1925">
        <v>71105130</v>
      </c>
      <c r="J1925">
        <v>21021040</v>
      </c>
      <c r="K1925" t="s">
        <v>305</v>
      </c>
      <c r="L1925" s="4">
        <v>881.15</v>
      </c>
      <c r="M1925" t="s">
        <v>54</v>
      </c>
      <c r="N1925" s="4">
        <v>16576.189999999999</v>
      </c>
      <c r="O1925" t="s">
        <v>31</v>
      </c>
      <c r="R1925" t="s">
        <v>1121</v>
      </c>
      <c r="S1925">
        <v>593416526</v>
      </c>
      <c r="T1925">
        <v>602304</v>
      </c>
      <c r="U1925" t="s">
        <v>628</v>
      </c>
      <c r="X1925" t="s">
        <v>43</v>
      </c>
      <c r="Y1925" s="8" t="s">
        <v>795</v>
      </c>
      <c r="Z1925">
        <v>20200116</v>
      </c>
      <c r="AA1925">
        <f t="shared" si="72"/>
        <v>881.15</v>
      </c>
      <c r="AB1925">
        <v>0</v>
      </c>
      <c r="AC1925">
        <f>AA1925</f>
        <v>881.15</v>
      </c>
      <c r="AD1925">
        <v>700016468</v>
      </c>
      <c r="AE1925" t="s">
        <v>796</v>
      </c>
      <c r="AF1925" s="4">
        <f>AC1925</f>
        <v>881.15</v>
      </c>
      <c r="AG1925" t="s">
        <v>1144</v>
      </c>
      <c r="AH1925" t="s">
        <v>1123</v>
      </c>
      <c r="AI1925">
        <v>700076457</v>
      </c>
      <c r="AJ1925" t="s">
        <v>1125</v>
      </c>
      <c r="AK1925" t="s">
        <v>1124</v>
      </c>
      <c r="AL1925">
        <v>340721790</v>
      </c>
      <c r="AM1925" t="s">
        <v>244</v>
      </c>
    </row>
    <row r="1926" spans="1:39" x14ac:dyDescent="0.35">
      <c r="A1926">
        <v>3400</v>
      </c>
      <c r="B1926" t="s">
        <v>43</v>
      </c>
      <c r="C1926">
        <v>2020</v>
      </c>
      <c r="D1926" s="1">
        <v>43831</v>
      </c>
      <c r="E1926">
        <v>1</v>
      </c>
      <c r="F1926">
        <v>100004815</v>
      </c>
      <c r="G1926" t="s">
        <v>120</v>
      </c>
      <c r="H1926">
        <v>81</v>
      </c>
      <c r="I1926">
        <v>71105120</v>
      </c>
      <c r="J1926">
        <v>21021040</v>
      </c>
      <c r="K1926" t="s">
        <v>268</v>
      </c>
      <c r="L1926" s="4">
        <v>760</v>
      </c>
      <c r="M1926" t="s">
        <v>54</v>
      </c>
      <c r="N1926" s="4">
        <v>14297.12</v>
      </c>
      <c r="O1926" t="s">
        <v>31</v>
      </c>
      <c r="R1926" t="s">
        <v>1121</v>
      </c>
      <c r="S1926">
        <v>453325398</v>
      </c>
      <c r="T1926">
        <v>101653</v>
      </c>
      <c r="U1926" t="s">
        <v>784</v>
      </c>
      <c r="X1926" t="s">
        <v>43</v>
      </c>
      <c r="Y1926" s="8" t="s">
        <v>797</v>
      </c>
      <c r="Z1926">
        <v>20200116</v>
      </c>
      <c r="AA1926">
        <f t="shared" si="72"/>
        <v>760</v>
      </c>
      <c r="AB1926">
        <v>0</v>
      </c>
      <c r="AC1926">
        <f t="shared" ref="AC1926:AC1927" si="73">AA1926</f>
        <v>760</v>
      </c>
      <c r="AD1926">
        <v>100014789</v>
      </c>
      <c r="AE1926" t="s">
        <v>798</v>
      </c>
      <c r="AF1926" s="4">
        <f t="shared" ref="AF1926:AF1927" si="74">AC1926</f>
        <v>760</v>
      </c>
      <c r="AG1926" t="s">
        <v>1157</v>
      </c>
      <c r="AH1926" t="s">
        <v>1123</v>
      </c>
      <c r="AI1926">
        <v>100168494</v>
      </c>
      <c r="AJ1926" t="s">
        <v>1125</v>
      </c>
      <c r="AK1926" t="s">
        <v>1124</v>
      </c>
      <c r="AL1926">
        <v>340099350</v>
      </c>
      <c r="AM1926" t="s">
        <v>799</v>
      </c>
    </row>
    <row r="1927" spans="1:39" x14ac:dyDescent="0.35">
      <c r="A1927">
        <v>3400</v>
      </c>
      <c r="B1927" t="s">
        <v>43</v>
      </c>
      <c r="C1927">
        <v>2020</v>
      </c>
      <c r="D1927" s="1">
        <v>43831</v>
      </c>
      <c r="E1927">
        <v>1</v>
      </c>
      <c r="F1927">
        <v>100004816</v>
      </c>
      <c r="G1927" t="s">
        <v>120</v>
      </c>
      <c r="H1927">
        <v>81</v>
      </c>
      <c r="I1927">
        <v>71105120</v>
      </c>
      <c r="J1927">
        <v>21021040</v>
      </c>
      <c r="K1927" t="s">
        <v>268</v>
      </c>
      <c r="L1927" s="4">
        <v>400</v>
      </c>
      <c r="M1927" t="s">
        <v>54</v>
      </c>
      <c r="N1927" s="4">
        <v>7524.8</v>
      </c>
      <c r="O1927" t="s">
        <v>31</v>
      </c>
      <c r="R1927" t="s">
        <v>1121</v>
      </c>
      <c r="S1927">
        <v>453325398</v>
      </c>
      <c r="T1927">
        <v>101653</v>
      </c>
      <c r="U1927" t="s">
        <v>784</v>
      </c>
      <c r="X1927" t="s">
        <v>43</v>
      </c>
      <c r="Y1927" s="8" t="s">
        <v>800</v>
      </c>
      <c r="Z1927">
        <v>20200116</v>
      </c>
      <c r="AA1927">
        <f t="shared" si="72"/>
        <v>400</v>
      </c>
      <c r="AB1927">
        <v>0</v>
      </c>
      <c r="AC1927">
        <f t="shared" si="73"/>
        <v>400</v>
      </c>
      <c r="AD1927">
        <v>100014790</v>
      </c>
      <c r="AE1927" t="s">
        <v>801</v>
      </c>
      <c r="AF1927" s="4">
        <f t="shared" si="74"/>
        <v>400</v>
      </c>
      <c r="AG1927" t="s">
        <v>1144</v>
      </c>
      <c r="AH1927" t="s">
        <v>1123</v>
      </c>
      <c r="AI1927">
        <v>100019945</v>
      </c>
      <c r="AJ1927" t="s">
        <v>1125</v>
      </c>
      <c r="AK1927" t="s">
        <v>1124</v>
      </c>
      <c r="AL1927">
        <v>340099350</v>
      </c>
      <c r="AM1927" t="s">
        <v>799</v>
      </c>
    </row>
    <row r="1928" spans="1:39" x14ac:dyDescent="0.35">
      <c r="A1928">
        <v>3401</v>
      </c>
      <c r="B1928" t="s">
        <v>43</v>
      </c>
      <c r="C1928">
        <v>2020</v>
      </c>
      <c r="D1928" s="1">
        <v>43831</v>
      </c>
      <c r="E1928">
        <v>1</v>
      </c>
      <c r="F1928">
        <v>100015703</v>
      </c>
      <c r="G1928" t="s">
        <v>120</v>
      </c>
      <c r="H1928">
        <v>81</v>
      </c>
      <c r="I1928">
        <v>71104010</v>
      </c>
      <c r="J1928">
        <v>21021040</v>
      </c>
      <c r="K1928" t="s">
        <v>121</v>
      </c>
      <c r="L1928" s="4">
        <v>50484</v>
      </c>
      <c r="M1928" t="s">
        <v>31</v>
      </c>
      <c r="N1928" s="4">
        <v>50484</v>
      </c>
      <c r="O1928" t="s">
        <v>31</v>
      </c>
      <c r="R1928" t="s">
        <v>122</v>
      </c>
      <c r="S1928" t="s">
        <v>1131</v>
      </c>
      <c r="T1928">
        <v>107211</v>
      </c>
      <c r="U1928" t="s">
        <v>123</v>
      </c>
      <c r="X1928" t="s">
        <v>43</v>
      </c>
      <c r="Y1928" s="8">
        <v>4501216248</v>
      </c>
      <c r="Z1928" t="s">
        <v>1127</v>
      </c>
      <c r="AA1928">
        <f t="shared" si="72"/>
        <v>50484</v>
      </c>
      <c r="AC1928"/>
      <c r="AD1928">
        <v>100036889</v>
      </c>
      <c r="AE1928" t="s">
        <v>1128</v>
      </c>
      <c r="AG1928" t="s">
        <v>51</v>
      </c>
      <c r="AH1928" t="s">
        <v>1123</v>
      </c>
      <c r="AI1928">
        <v>100036917</v>
      </c>
      <c r="AJ1928" t="s">
        <v>1148</v>
      </c>
      <c r="AK1928" t="s">
        <v>1129</v>
      </c>
      <c r="AL1928">
        <v>340118590</v>
      </c>
      <c r="AM1928" t="s">
        <v>124</v>
      </c>
    </row>
    <row r="1929" spans="1:39" x14ac:dyDescent="0.35">
      <c r="A1929">
        <v>3403</v>
      </c>
      <c r="B1929" t="s">
        <v>43</v>
      </c>
      <c r="C1929">
        <v>2020</v>
      </c>
      <c r="D1929" s="1">
        <v>43831</v>
      </c>
      <c r="E1929">
        <v>1</v>
      </c>
      <c r="F1929">
        <v>300008809</v>
      </c>
      <c r="G1929" t="s">
        <v>120</v>
      </c>
      <c r="H1929">
        <v>81</v>
      </c>
      <c r="I1929">
        <v>71105120</v>
      </c>
      <c r="J1929">
        <v>21021040</v>
      </c>
      <c r="K1929" t="s">
        <v>268</v>
      </c>
      <c r="L1929" s="4">
        <v>237.5</v>
      </c>
      <c r="M1929" t="s">
        <v>54</v>
      </c>
      <c r="N1929" s="4">
        <v>4467.8500000000004</v>
      </c>
      <c r="O1929" t="s">
        <v>31</v>
      </c>
      <c r="R1929" t="s">
        <v>1121</v>
      </c>
      <c r="S1929">
        <v>453325398</v>
      </c>
      <c r="T1929">
        <v>101653</v>
      </c>
      <c r="U1929" t="s">
        <v>784</v>
      </c>
      <c r="X1929" t="s">
        <v>43</v>
      </c>
      <c r="Y1929" s="8" t="s">
        <v>802</v>
      </c>
      <c r="Z1929">
        <v>20200116</v>
      </c>
      <c r="AA1929">
        <f t="shared" si="72"/>
        <v>237.5</v>
      </c>
      <c r="AB1929">
        <v>0</v>
      </c>
      <c r="AC1929">
        <f>AA1929</f>
        <v>237.5</v>
      </c>
      <c r="AD1929">
        <v>300008820</v>
      </c>
      <c r="AE1929" t="s">
        <v>803</v>
      </c>
      <c r="AF1929" s="4">
        <f>AC1929</f>
        <v>237.5</v>
      </c>
      <c r="AG1929" t="s">
        <v>1157</v>
      </c>
      <c r="AH1929" t="s">
        <v>1123</v>
      </c>
      <c r="AI1929">
        <v>300231884</v>
      </c>
      <c r="AJ1929" t="s">
        <v>1125</v>
      </c>
      <c r="AK1929" t="s">
        <v>1124</v>
      </c>
      <c r="AL1929">
        <v>340315190</v>
      </c>
      <c r="AM1929" t="s">
        <v>222</v>
      </c>
    </row>
    <row r="1930" spans="1:39" x14ac:dyDescent="0.35">
      <c r="A1930">
        <v>3403</v>
      </c>
      <c r="B1930" t="s">
        <v>86</v>
      </c>
      <c r="C1930">
        <v>2020</v>
      </c>
      <c r="D1930" s="1">
        <v>43831</v>
      </c>
      <c r="E1930">
        <v>3</v>
      </c>
      <c r="F1930">
        <v>300003511</v>
      </c>
      <c r="G1930" t="s">
        <v>804</v>
      </c>
      <c r="H1930">
        <v>40</v>
      </c>
      <c r="I1930">
        <v>74010070</v>
      </c>
      <c r="J1930">
        <v>604244</v>
      </c>
      <c r="K1930" t="s">
        <v>49</v>
      </c>
      <c r="L1930" s="4">
        <v>3</v>
      </c>
      <c r="M1930" t="s">
        <v>31</v>
      </c>
      <c r="N1930" s="4">
        <v>3</v>
      </c>
      <c r="O1930" t="s">
        <v>31</v>
      </c>
      <c r="P1930" t="s">
        <v>98</v>
      </c>
      <c r="X1930" t="s">
        <v>86</v>
      </c>
      <c r="Y1930" t="s">
        <v>805</v>
      </c>
      <c r="Z1930">
        <v>20200107</v>
      </c>
      <c r="AA1930">
        <f t="shared" si="72"/>
        <v>3</v>
      </c>
      <c r="AC1930"/>
      <c r="AE1930" t="s">
        <v>806</v>
      </c>
      <c r="AF1930"/>
      <c r="AL1930">
        <v>340340390</v>
      </c>
      <c r="AM1930" t="s">
        <v>765</v>
      </c>
    </row>
    <row r="1931" spans="1:39" x14ac:dyDescent="0.35">
      <c r="A1931">
        <v>3401</v>
      </c>
      <c r="B1931" t="s">
        <v>86</v>
      </c>
      <c r="C1931">
        <v>2020</v>
      </c>
      <c r="D1931" s="1">
        <v>43831</v>
      </c>
      <c r="E1931">
        <v>1</v>
      </c>
      <c r="F1931">
        <v>100005690</v>
      </c>
      <c r="G1931" t="s">
        <v>120</v>
      </c>
      <c r="H1931">
        <v>81</v>
      </c>
      <c r="I1931">
        <v>71105120</v>
      </c>
      <c r="J1931">
        <v>21021040</v>
      </c>
      <c r="K1931" t="s">
        <v>268</v>
      </c>
      <c r="L1931" s="4">
        <v>380</v>
      </c>
      <c r="M1931" t="s">
        <v>54</v>
      </c>
      <c r="N1931" s="4">
        <v>7169.57</v>
      </c>
      <c r="O1931" t="s">
        <v>31</v>
      </c>
      <c r="R1931" t="s">
        <v>1121</v>
      </c>
      <c r="S1931">
        <v>453325398</v>
      </c>
      <c r="T1931">
        <v>101653</v>
      </c>
      <c r="U1931" t="s">
        <v>784</v>
      </c>
      <c r="X1931" t="s">
        <v>86</v>
      </c>
      <c r="Y1931" s="8" t="s">
        <v>807</v>
      </c>
      <c r="Z1931" t="s">
        <v>807</v>
      </c>
      <c r="AA1931">
        <f t="shared" si="72"/>
        <v>380</v>
      </c>
      <c r="AB1931">
        <v>0</v>
      </c>
      <c r="AC1931">
        <f>AA1931</f>
        <v>380</v>
      </c>
      <c r="AD1931">
        <v>100006710</v>
      </c>
      <c r="AE1931" t="s">
        <v>808</v>
      </c>
      <c r="AF1931" s="4">
        <f>AC1931</f>
        <v>380</v>
      </c>
      <c r="AG1931" t="s">
        <v>1126</v>
      </c>
      <c r="AH1931" t="s">
        <v>1123</v>
      </c>
      <c r="AI1931">
        <v>100049136</v>
      </c>
      <c r="AJ1931" t="s">
        <v>1125</v>
      </c>
      <c r="AK1931" t="s">
        <v>1124</v>
      </c>
      <c r="AL1931">
        <v>340153290</v>
      </c>
      <c r="AM1931" t="s">
        <v>129</v>
      </c>
    </row>
    <row r="1932" spans="1:39" x14ac:dyDescent="0.35">
      <c r="A1932">
        <v>3401</v>
      </c>
      <c r="B1932" t="s">
        <v>86</v>
      </c>
      <c r="C1932">
        <v>2020</v>
      </c>
      <c r="D1932" s="1">
        <v>43831</v>
      </c>
      <c r="E1932">
        <v>1</v>
      </c>
      <c r="F1932">
        <v>100005696</v>
      </c>
      <c r="G1932" t="s">
        <v>120</v>
      </c>
      <c r="H1932">
        <v>81</v>
      </c>
      <c r="I1932">
        <v>71105120</v>
      </c>
      <c r="J1932">
        <v>21021040</v>
      </c>
      <c r="K1932" t="s">
        <v>268</v>
      </c>
      <c r="L1932" s="4">
        <v>380</v>
      </c>
      <c r="M1932" t="s">
        <v>54</v>
      </c>
      <c r="N1932" s="4">
        <v>7169.57</v>
      </c>
      <c r="O1932" t="s">
        <v>31</v>
      </c>
      <c r="R1932" t="s">
        <v>1121</v>
      </c>
      <c r="S1932">
        <v>453325398</v>
      </c>
      <c r="T1932">
        <v>101653</v>
      </c>
      <c r="U1932" t="s">
        <v>784</v>
      </c>
      <c r="X1932" t="s">
        <v>86</v>
      </c>
      <c r="Y1932" s="8" t="s">
        <v>807</v>
      </c>
      <c r="Z1932" t="s">
        <v>807</v>
      </c>
      <c r="AA1932">
        <f t="shared" si="72"/>
        <v>380</v>
      </c>
      <c r="AB1932">
        <v>0</v>
      </c>
      <c r="AC1932">
        <f t="shared" ref="AC1932" si="75">AA1932</f>
        <v>380</v>
      </c>
      <c r="AD1932">
        <v>100006710</v>
      </c>
      <c r="AE1932" t="s">
        <v>809</v>
      </c>
      <c r="AF1932" s="4">
        <f t="shared" ref="AF1932" si="76">AC1932</f>
        <v>380</v>
      </c>
      <c r="AG1932" t="s">
        <v>1126</v>
      </c>
      <c r="AH1932" t="s">
        <v>1123</v>
      </c>
      <c r="AI1932">
        <v>100049136</v>
      </c>
      <c r="AJ1932" t="s">
        <v>1125</v>
      </c>
      <c r="AK1932" t="s">
        <v>1124</v>
      </c>
      <c r="AL1932">
        <v>340115190</v>
      </c>
      <c r="AM1932" t="s">
        <v>129</v>
      </c>
    </row>
    <row r="1933" spans="1:39" x14ac:dyDescent="0.35">
      <c r="A1933">
        <v>3409</v>
      </c>
      <c r="B1933" t="s">
        <v>86</v>
      </c>
      <c r="C1933">
        <v>2020</v>
      </c>
      <c r="D1933" s="1">
        <v>43831</v>
      </c>
      <c r="E1933">
        <v>1</v>
      </c>
      <c r="F1933">
        <v>900002227</v>
      </c>
      <c r="G1933" t="s">
        <v>120</v>
      </c>
      <c r="H1933">
        <v>81</v>
      </c>
      <c r="I1933">
        <v>71105120</v>
      </c>
      <c r="J1933">
        <v>21021040</v>
      </c>
      <c r="K1933" t="s">
        <v>268</v>
      </c>
      <c r="L1933" s="4">
        <v>18560</v>
      </c>
      <c r="M1933" t="s">
        <v>31</v>
      </c>
      <c r="N1933" s="4">
        <v>18560</v>
      </c>
      <c r="O1933" t="s">
        <v>31</v>
      </c>
      <c r="R1933" t="s">
        <v>810</v>
      </c>
      <c r="S1933" t="s">
        <v>1156</v>
      </c>
      <c r="T1933">
        <v>100730</v>
      </c>
      <c r="U1933" t="s">
        <v>811</v>
      </c>
      <c r="X1933" t="s">
        <v>86</v>
      </c>
      <c r="Y1933" s="8">
        <v>2966</v>
      </c>
      <c r="Z1933">
        <v>20200107</v>
      </c>
      <c r="AA1933">
        <f t="shared" si="72"/>
        <v>18560</v>
      </c>
      <c r="AB1933">
        <f>AA1933*0.16</f>
        <v>2969.6</v>
      </c>
      <c r="AC1933">
        <f>AA1933+AB1933</f>
        <v>21529.599999999999</v>
      </c>
      <c r="AD1933">
        <v>900002230</v>
      </c>
      <c r="AE1933" t="s">
        <v>812</v>
      </c>
      <c r="AF1933" s="4">
        <f>AC1933</f>
        <v>21529.599999999999</v>
      </c>
      <c r="AG1933" t="s">
        <v>1146</v>
      </c>
      <c r="AH1933" t="s">
        <v>1123</v>
      </c>
      <c r="AJ1933" t="s">
        <v>1136</v>
      </c>
      <c r="AK1933" t="s">
        <v>1135</v>
      </c>
      <c r="AL1933">
        <v>340914190</v>
      </c>
      <c r="AM1933" t="s">
        <v>185</v>
      </c>
    </row>
    <row r="1934" spans="1:39" x14ac:dyDescent="0.35">
      <c r="A1934">
        <v>3400</v>
      </c>
      <c r="B1934" t="s">
        <v>86</v>
      </c>
      <c r="C1934">
        <v>2020</v>
      </c>
      <c r="D1934" s="1">
        <v>43831</v>
      </c>
      <c r="E1934">
        <v>1</v>
      </c>
      <c r="F1934">
        <v>100003618</v>
      </c>
      <c r="G1934" t="s">
        <v>101</v>
      </c>
      <c r="H1934">
        <v>40</v>
      </c>
      <c r="I1934">
        <v>71105060</v>
      </c>
      <c r="J1934">
        <v>21021040</v>
      </c>
      <c r="K1934" t="s">
        <v>238</v>
      </c>
      <c r="L1934" s="4">
        <v>250000</v>
      </c>
      <c r="M1934" t="s">
        <v>31</v>
      </c>
      <c r="N1934" s="4">
        <v>250000</v>
      </c>
      <c r="O1934" t="s">
        <v>31</v>
      </c>
      <c r="P1934" t="s">
        <v>211</v>
      </c>
      <c r="X1934" t="s">
        <v>57</v>
      </c>
      <c r="Y1934" t="s">
        <v>813</v>
      </c>
      <c r="Z1934">
        <v>20200107</v>
      </c>
      <c r="AA1934">
        <f t="shared" si="72"/>
        <v>250000</v>
      </c>
      <c r="AC1934"/>
      <c r="AE1934" t="s">
        <v>814</v>
      </c>
      <c r="AF1934"/>
      <c r="AL1934">
        <v>340049150</v>
      </c>
      <c r="AM1934" t="s">
        <v>214</v>
      </c>
    </row>
    <row r="1935" spans="1:39" x14ac:dyDescent="0.35">
      <c r="A1935">
        <v>3407</v>
      </c>
      <c r="B1935" t="s">
        <v>86</v>
      </c>
      <c r="C1935">
        <v>2020</v>
      </c>
      <c r="D1935" s="1">
        <v>43831</v>
      </c>
      <c r="E1935">
        <v>1</v>
      </c>
      <c r="F1935">
        <v>700006688</v>
      </c>
      <c r="G1935" t="s">
        <v>120</v>
      </c>
      <c r="H1935">
        <v>81</v>
      </c>
      <c r="I1935">
        <v>71105120</v>
      </c>
      <c r="J1935">
        <v>21021040</v>
      </c>
      <c r="K1935" t="s">
        <v>268</v>
      </c>
      <c r="L1935" s="4">
        <v>18560.099999999999</v>
      </c>
      <c r="M1935" t="s">
        <v>31</v>
      </c>
      <c r="N1935" s="4">
        <v>18560.099999999999</v>
      </c>
      <c r="O1935" t="s">
        <v>31</v>
      </c>
      <c r="R1935" t="s">
        <v>815</v>
      </c>
      <c r="S1935" t="s">
        <v>1156</v>
      </c>
      <c r="T1935">
        <v>100730</v>
      </c>
      <c r="U1935" t="s">
        <v>811</v>
      </c>
      <c r="X1935" t="s">
        <v>86</v>
      </c>
      <c r="Y1935" s="8">
        <v>2965</v>
      </c>
      <c r="Z1935">
        <v>20200107</v>
      </c>
      <c r="AA1935">
        <f t="shared" si="72"/>
        <v>18560.099999999999</v>
      </c>
      <c r="AB1935">
        <f>AA1935*0.16</f>
        <v>2969.616</v>
      </c>
      <c r="AC1935">
        <f>AA1935+AB1935</f>
        <v>21529.716</v>
      </c>
      <c r="AD1935">
        <v>700006703</v>
      </c>
      <c r="AE1935" t="s">
        <v>816</v>
      </c>
      <c r="AF1935" s="4">
        <f>AC1935</f>
        <v>21529.716</v>
      </c>
      <c r="AG1935" t="s">
        <v>1146</v>
      </c>
      <c r="AH1935" t="s">
        <v>1123</v>
      </c>
      <c r="AJ1935" t="s">
        <v>1136</v>
      </c>
      <c r="AK1935" t="s">
        <v>1135</v>
      </c>
      <c r="AL1935">
        <v>340714190</v>
      </c>
      <c r="AM1935" t="s">
        <v>244</v>
      </c>
    </row>
    <row r="1936" spans="1:39" x14ac:dyDescent="0.35">
      <c r="A1936">
        <v>3401</v>
      </c>
      <c r="B1936" t="s">
        <v>427</v>
      </c>
      <c r="C1936">
        <v>2020</v>
      </c>
      <c r="D1936" s="1">
        <v>43831</v>
      </c>
      <c r="E1936">
        <v>1</v>
      </c>
      <c r="F1936">
        <v>100006641</v>
      </c>
      <c r="G1936" t="s">
        <v>101</v>
      </c>
      <c r="H1936">
        <v>40</v>
      </c>
      <c r="I1936">
        <v>71105120</v>
      </c>
      <c r="J1936">
        <v>11612010</v>
      </c>
      <c r="K1936" t="s">
        <v>268</v>
      </c>
      <c r="L1936" s="4">
        <v>620</v>
      </c>
      <c r="M1936" t="s">
        <v>54</v>
      </c>
      <c r="N1936" s="4">
        <v>11701.07</v>
      </c>
      <c r="O1936" t="s">
        <v>31</v>
      </c>
      <c r="P1936" t="s">
        <v>98</v>
      </c>
      <c r="X1936" t="s">
        <v>88</v>
      </c>
      <c r="Y1936" t="s">
        <v>817</v>
      </c>
      <c r="Z1936">
        <v>20200101</v>
      </c>
      <c r="AA1936">
        <f t="shared" si="72"/>
        <v>620</v>
      </c>
      <c r="AC1936"/>
      <c r="AE1936" t="s">
        <v>818</v>
      </c>
      <c r="AF1936"/>
      <c r="AL1936">
        <v>340119290</v>
      </c>
      <c r="AM1936" t="s">
        <v>503</v>
      </c>
    </row>
    <row r="1937" spans="1:39" x14ac:dyDescent="0.35">
      <c r="A1937">
        <v>3401</v>
      </c>
      <c r="B1937" t="s">
        <v>427</v>
      </c>
      <c r="C1937">
        <v>2020</v>
      </c>
      <c r="D1937" s="1">
        <v>43831</v>
      </c>
      <c r="E1937">
        <v>3</v>
      </c>
      <c r="F1937">
        <v>100006641</v>
      </c>
      <c r="G1937" t="s">
        <v>101</v>
      </c>
      <c r="H1937">
        <v>40</v>
      </c>
      <c r="I1937">
        <v>71105120</v>
      </c>
      <c r="J1937">
        <v>11612010</v>
      </c>
      <c r="K1937" t="s">
        <v>268</v>
      </c>
      <c r="L1937" s="4">
        <v>1450</v>
      </c>
      <c r="M1937" t="s">
        <v>54</v>
      </c>
      <c r="N1937" s="4">
        <v>27365.42</v>
      </c>
      <c r="O1937" t="s">
        <v>31</v>
      </c>
      <c r="P1937" t="s">
        <v>98</v>
      </c>
      <c r="X1937" t="s">
        <v>88</v>
      </c>
      <c r="Y1937" t="s">
        <v>817</v>
      </c>
      <c r="Z1937">
        <v>20200101</v>
      </c>
      <c r="AA1937">
        <f t="shared" si="72"/>
        <v>1450</v>
      </c>
      <c r="AC1937"/>
      <c r="AE1937" t="s">
        <v>819</v>
      </c>
      <c r="AF1937"/>
      <c r="AL1937">
        <v>340121790</v>
      </c>
      <c r="AM1937" t="s">
        <v>503</v>
      </c>
    </row>
    <row r="1938" spans="1:39" x14ac:dyDescent="0.35">
      <c r="A1938">
        <v>3401</v>
      </c>
      <c r="B1938" t="s">
        <v>427</v>
      </c>
      <c r="C1938">
        <v>2020</v>
      </c>
      <c r="D1938" s="1">
        <v>43831</v>
      </c>
      <c r="E1938">
        <v>5</v>
      </c>
      <c r="F1938">
        <v>100006641</v>
      </c>
      <c r="G1938" t="s">
        <v>101</v>
      </c>
      <c r="H1938">
        <v>40</v>
      </c>
      <c r="I1938">
        <v>71105120</v>
      </c>
      <c r="J1938">
        <v>11612010</v>
      </c>
      <c r="K1938" t="s">
        <v>268</v>
      </c>
      <c r="L1938" s="4">
        <v>69.430000000000007</v>
      </c>
      <c r="M1938" t="s">
        <v>54</v>
      </c>
      <c r="N1938" s="4">
        <v>1310.33</v>
      </c>
      <c r="O1938" t="s">
        <v>31</v>
      </c>
      <c r="P1938" t="s">
        <v>98</v>
      </c>
      <c r="X1938" t="s">
        <v>88</v>
      </c>
      <c r="Y1938" t="s">
        <v>817</v>
      </c>
      <c r="Z1938">
        <v>20200101</v>
      </c>
      <c r="AA1938">
        <f t="shared" ref="AA1938:AC2001" si="77">L1938</f>
        <v>69.430000000000007</v>
      </c>
      <c r="AC1938"/>
      <c r="AE1938" t="s">
        <v>820</v>
      </c>
      <c r="AF1938"/>
      <c r="AL1938">
        <v>340146390</v>
      </c>
      <c r="AM1938" t="s">
        <v>503</v>
      </c>
    </row>
    <row r="1939" spans="1:39" x14ac:dyDescent="0.35">
      <c r="A1939">
        <v>3401</v>
      </c>
      <c r="B1939" t="s">
        <v>427</v>
      </c>
      <c r="C1939">
        <v>2020</v>
      </c>
      <c r="D1939" s="1">
        <v>43831</v>
      </c>
      <c r="E1939">
        <v>7</v>
      </c>
      <c r="F1939">
        <v>100006641</v>
      </c>
      <c r="G1939" t="s">
        <v>101</v>
      </c>
      <c r="H1939">
        <v>40</v>
      </c>
      <c r="I1939">
        <v>71105120</v>
      </c>
      <c r="J1939">
        <v>11612010</v>
      </c>
      <c r="K1939" t="s">
        <v>268</v>
      </c>
      <c r="L1939" s="4">
        <v>88.22</v>
      </c>
      <c r="M1939" t="s">
        <v>54</v>
      </c>
      <c r="N1939" s="4">
        <v>1664.95</v>
      </c>
      <c r="O1939" t="s">
        <v>31</v>
      </c>
      <c r="P1939" t="s">
        <v>98</v>
      </c>
      <c r="X1939" t="s">
        <v>88</v>
      </c>
      <c r="Y1939" t="s">
        <v>817</v>
      </c>
      <c r="Z1939">
        <v>20200101</v>
      </c>
      <c r="AA1939">
        <f t="shared" si="77"/>
        <v>88.22</v>
      </c>
      <c r="AC1939"/>
      <c r="AE1939" t="s">
        <v>821</v>
      </c>
      <c r="AF1939"/>
      <c r="AL1939">
        <v>340125190</v>
      </c>
      <c r="AM1939" t="s">
        <v>503</v>
      </c>
    </row>
    <row r="1940" spans="1:39" x14ac:dyDescent="0.35">
      <c r="A1940">
        <v>3401</v>
      </c>
      <c r="B1940" t="s">
        <v>427</v>
      </c>
      <c r="C1940">
        <v>2020</v>
      </c>
      <c r="D1940" s="1">
        <v>43831</v>
      </c>
      <c r="E1940">
        <v>11</v>
      </c>
      <c r="F1940">
        <v>100006641</v>
      </c>
      <c r="G1940" t="s">
        <v>101</v>
      </c>
      <c r="H1940">
        <v>40</v>
      </c>
      <c r="I1940">
        <v>71105120</v>
      </c>
      <c r="J1940">
        <v>11612010</v>
      </c>
      <c r="K1940" t="s">
        <v>268</v>
      </c>
      <c r="L1940" s="4">
        <v>360</v>
      </c>
      <c r="M1940" t="s">
        <v>54</v>
      </c>
      <c r="N1940" s="4">
        <v>6794.17</v>
      </c>
      <c r="O1940" t="s">
        <v>31</v>
      </c>
      <c r="P1940" t="s">
        <v>98</v>
      </c>
      <c r="X1940" t="s">
        <v>88</v>
      </c>
      <c r="Y1940" t="s">
        <v>817</v>
      </c>
      <c r="Z1940">
        <v>20200101</v>
      </c>
      <c r="AA1940">
        <f t="shared" si="77"/>
        <v>360</v>
      </c>
      <c r="AC1940"/>
      <c r="AE1940" t="s">
        <v>822</v>
      </c>
      <c r="AF1940"/>
      <c r="AL1940">
        <v>340146390</v>
      </c>
      <c r="AM1940" t="s">
        <v>503</v>
      </c>
    </row>
    <row r="1941" spans="1:39" x14ac:dyDescent="0.35">
      <c r="A1941">
        <v>3401</v>
      </c>
      <c r="B1941" t="s">
        <v>427</v>
      </c>
      <c r="C1941">
        <v>2020</v>
      </c>
      <c r="D1941" s="1">
        <v>43831</v>
      </c>
      <c r="E1941">
        <v>15</v>
      </c>
      <c r="F1941">
        <v>100006641</v>
      </c>
      <c r="G1941" t="s">
        <v>101</v>
      </c>
      <c r="H1941">
        <v>40</v>
      </c>
      <c r="I1941">
        <v>71105060</v>
      </c>
      <c r="J1941">
        <v>11612010</v>
      </c>
      <c r="K1941" t="s">
        <v>238</v>
      </c>
      <c r="L1941" s="4">
        <v>8402.66</v>
      </c>
      <c r="M1941" t="s">
        <v>54</v>
      </c>
      <c r="N1941" s="4">
        <v>158580.88</v>
      </c>
      <c r="O1941" t="s">
        <v>31</v>
      </c>
      <c r="P1941" t="s">
        <v>98</v>
      </c>
      <c r="X1941" t="s">
        <v>88</v>
      </c>
      <c r="Y1941" t="s">
        <v>817</v>
      </c>
      <c r="Z1941">
        <v>20200101</v>
      </c>
      <c r="AA1941">
        <f t="shared" si="77"/>
        <v>8402.66</v>
      </c>
      <c r="AC1941"/>
      <c r="AE1941" t="s">
        <v>823</v>
      </c>
      <c r="AF1941"/>
      <c r="AL1941">
        <v>340151190</v>
      </c>
      <c r="AM1941" t="s">
        <v>503</v>
      </c>
    </row>
    <row r="1942" spans="1:39" x14ac:dyDescent="0.35">
      <c r="A1942">
        <v>3402</v>
      </c>
      <c r="B1942" t="s">
        <v>427</v>
      </c>
      <c r="C1942">
        <v>2020</v>
      </c>
      <c r="D1942" s="1">
        <v>43831</v>
      </c>
      <c r="E1942">
        <v>1</v>
      </c>
      <c r="F1942">
        <v>200057448</v>
      </c>
      <c r="G1942" t="s">
        <v>101</v>
      </c>
      <c r="H1942">
        <v>40</v>
      </c>
      <c r="I1942">
        <v>71105120</v>
      </c>
      <c r="J1942">
        <v>11610090</v>
      </c>
      <c r="K1942" t="s">
        <v>268</v>
      </c>
      <c r="L1942" s="4">
        <v>606.45000000000005</v>
      </c>
      <c r="M1942" t="s">
        <v>54</v>
      </c>
      <c r="N1942" s="4">
        <v>11803.34</v>
      </c>
      <c r="O1942" t="s">
        <v>31</v>
      </c>
      <c r="X1942" t="s">
        <v>55</v>
      </c>
      <c r="Y1942"/>
      <c r="Z1942">
        <v>20200101</v>
      </c>
      <c r="AA1942">
        <f t="shared" si="77"/>
        <v>606.45000000000005</v>
      </c>
      <c r="AC1942"/>
      <c r="AE1942" t="s">
        <v>824</v>
      </c>
      <c r="AF1942"/>
      <c r="AL1942">
        <v>340246390</v>
      </c>
      <c r="AM1942" t="s">
        <v>825</v>
      </c>
    </row>
    <row r="1943" spans="1:39" x14ac:dyDescent="0.35">
      <c r="A1943">
        <v>3402</v>
      </c>
      <c r="B1943" t="s">
        <v>427</v>
      </c>
      <c r="C1943">
        <v>2020</v>
      </c>
      <c r="D1943" s="1">
        <v>43831</v>
      </c>
      <c r="E1943">
        <v>1</v>
      </c>
      <c r="F1943">
        <v>200057451</v>
      </c>
      <c r="G1943" t="s">
        <v>101</v>
      </c>
      <c r="H1943">
        <v>40</v>
      </c>
      <c r="I1943">
        <v>71105120</v>
      </c>
      <c r="J1943">
        <v>11610090</v>
      </c>
      <c r="K1943" t="s">
        <v>268</v>
      </c>
      <c r="L1943" s="4">
        <v>1567.67</v>
      </c>
      <c r="M1943" t="s">
        <v>54</v>
      </c>
      <c r="N1943" s="4">
        <v>30290.05</v>
      </c>
      <c r="O1943" t="s">
        <v>31</v>
      </c>
      <c r="X1943" t="s">
        <v>55</v>
      </c>
      <c r="Y1943"/>
      <c r="Z1943">
        <v>20200101</v>
      </c>
      <c r="AA1943">
        <f t="shared" si="77"/>
        <v>1567.67</v>
      </c>
      <c r="AC1943"/>
      <c r="AE1943" t="s">
        <v>826</v>
      </c>
      <c r="AF1943"/>
      <c r="AL1943">
        <v>340246390</v>
      </c>
      <c r="AM1943" t="s">
        <v>825</v>
      </c>
    </row>
    <row r="1944" spans="1:39" x14ac:dyDescent="0.35">
      <c r="A1944">
        <v>3402</v>
      </c>
      <c r="B1944" t="s">
        <v>427</v>
      </c>
      <c r="C1944">
        <v>2020</v>
      </c>
      <c r="D1944" s="1">
        <v>43831</v>
      </c>
      <c r="E1944">
        <v>1</v>
      </c>
      <c r="F1944">
        <v>200057481</v>
      </c>
      <c r="G1944" t="s">
        <v>101</v>
      </c>
      <c r="H1944">
        <v>40</v>
      </c>
      <c r="I1944">
        <v>71105120</v>
      </c>
      <c r="J1944">
        <v>11610090</v>
      </c>
      <c r="K1944" t="s">
        <v>268</v>
      </c>
      <c r="L1944" s="4">
        <v>564.49</v>
      </c>
      <c r="M1944" t="s">
        <v>54</v>
      </c>
      <c r="N1944" s="4">
        <v>10784.58</v>
      </c>
      <c r="O1944" t="s">
        <v>31</v>
      </c>
      <c r="X1944" t="s">
        <v>55</v>
      </c>
      <c r="Y1944"/>
      <c r="Z1944">
        <v>20200101</v>
      </c>
      <c r="AA1944">
        <f t="shared" si="77"/>
        <v>564.49</v>
      </c>
      <c r="AC1944"/>
      <c r="AE1944" t="s">
        <v>827</v>
      </c>
      <c r="AF1944"/>
      <c r="AL1944">
        <v>340246390</v>
      </c>
      <c r="AM1944" t="s">
        <v>825</v>
      </c>
    </row>
    <row r="1945" spans="1:39" x14ac:dyDescent="0.35">
      <c r="A1945">
        <v>3407</v>
      </c>
      <c r="B1945" t="s">
        <v>427</v>
      </c>
      <c r="C1945">
        <v>2020</v>
      </c>
      <c r="D1945" s="1">
        <v>43831</v>
      </c>
      <c r="E1945">
        <v>3</v>
      </c>
      <c r="F1945">
        <v>700034789</v>
      </c>
      <c r="G1945" t="s">
        <v>101</v>
      </c>
      <c r="H1945">
        <v>40</v>
      </c>
      <c r="I1945">
        <v>71105120</v>
      </c>
      <c r="J1945">
        <v>11610080</v>
      </c>
      <c r="K1945" t="s">
        <v>268</v>
      </c>
      <c r="L1945">
        <v>538.33000000000004</v>
      </c>
      <c r="M1945" t="s">
        <v>54</v>
      </c>
      <c r="N1945">
        <v>10159.74</v>
      </c>
      <c r="O1945" t="s">
        <v>31</v>
      </c>
      <c r="W1945">
        <v>700039177</v>
      </c>
      <c r="X1945" t="s">
        <v>62</v>
      </c>
      <c r="Y1945" t="s">
        <v>828</v>
      </c>
      <c r="Z1945">
        <v>20200101</v>
      </c>
      <c r="AA1945">
        <f t="shared" si="77"/>
        <v>538.33000000000004</v>
      </c>
      <c r="AC1945"/>
      <c r="AF1945"/>
      <c r="AL1945">
        <v>340743690</v>
      </c>
      <c r="AM1945" t="s">
        <v>217</v>
      </c>
    </row>
    <row r="1946" spans="1:39" x14ac:dyDescent="0.35">
      <c r="A1946">
        <v>3407</v>
      </c>
      <c r="B1946" t="s">
        <v>427</v>
      </c>
      <c r="C1946">
        <v>2020</v>
      </c>
      <c r="D1946" s="1">
        <v>43831</v>
      </c>
      <c r="E1946">
        <v>3</v>
      </c>
      <c r="F1946">
        <v>700039177</v>
      </c>
      <c r="G1946" t="s">
        <v>226</v>
      </c>
      <c r="H1946">
        <v>50</v>
      </c>
      <c r="I1946">
        <v>71105120</v>
      </c>
      <c r="J1946">
        <v>11610080</v>
      </c>
      <c r="K1946" t="s">
        <v>268</v>
      </c>
      <c r="L1946">
        <v>538.33000000000004</v>
      </c>
      <c r="M1946" t="s">
        <v>54</v>
      </c>
      <c r="N1946">
        <v>10159.74</v>
      </c>
      <c r="O1946" t="s">
        <v>31</v>
      </c>
      <c r="W1946">
        <v>700034789</v>
      </c>
      <c r="X1946" t="s">
        <v>28</v>
      </c>
      <c r="Y1946" t="s">
        <v>828</v>
      </c>
      <c r="Z1946">
        <v>20200101</v>
      </c>
      <c r="AA1946">
        <f t="shared" si="77"/>
        <v>538.33000000000004</v>
      </c>
      <c r="AC1946"/>
      <c r="AF1946"/>
      <c r="AL1946">
        <v>340743690</v>
      </c>
      <c r="AM1946" t="s">
        <v>217</v>
      </c>
    </row>
    <row r="1947" spans="1:39" x14ac:dyDescent="0.35">
      <c r="A1947">
        <v>3400</v>
      </c>
      <c r="B1947" t="s">
        <v>427</v>
      </c>
      <c r="C1947">
        <v>2020</v>
      </c>
      <c r="D1947" s="1">
        <v>43831</v>
      </c>
      <c r="E1947">
        <v>4</v>
      </c>
      <c r="F1947">
        <v>100010716</v>
      </c>
      <c r="G1947" t="s">
        <v>101</v>
      </c>
      <c r="H1947">
        <v>40</v>
      </c>
      <c r="I1947">
        <v>74010070</v>
      </c>
      <c r="J1947">
        <v>11310040</v>
      </c>
      <c r="K1947" t="s">
        <v>49</v>
      </c>
      <c r="L1947">
        <v>42.68</v>
      </c>
      <c r="M1947" t="s">
        <v>31</v>
      </c>
      <c r="N1947">
        <v>42.68</v>
      </c>
      <c r="O1947" t="s">
        <v>31</v>
      </c>
      <c r="P1947" t="s">
        <v>50</v>
      </c>
      <c r="W1947">
        <v>100011275</v>
      </c>
      <c r="X1947" t="s">
        <v>28</v>
      </c>
      <c r="Y1947" t="s">
        <v>829</v>
      </c>
      <c r="Z1947">
        <v>20200101</v>
      </c>
      <c r="AA1947">
        <f t="shared" si="77"/>
        <v>42.68</v>
      </c>
      <c r="AC1947"/>
      <c r="AE1947" t="s">
        <v>830</v>
      </c>
      <c r="AF1947"/>
      <c r="AL1947">
        <v>340040450</v>
      </c>
      <c r="AM1947" t="s">
        <v>214</v>
      </c>
    </row>
    <row r="1948" spans="1:39" x14ac:dyDescent="0.35">
      <c r="A1948">
        <v>3409</v>
      </c>
      <c r="B1948" t="s">
        <v>427</v>
      </c>
      <c r="C1948">
        <v>2020</v>
      </c>
      <c r="D1948" s="1">
        <v>43831</v>
      </c>
      <c r="E1948">
        <v>1</v>
      </c>
      <c r="F1948">
        <v>900011624</v>
      </c>
      <c r="G1948" t="s">
        <v>120</v>
      </c>
      <c r="H1948">
        <v>81</v>
      </c>
      <c r="I1948">
        <v>71106040</v>
      </c>
      <c r="J1948">
        <v>21021040</v>
      </c>
      <c r="K1948" t="s">
        <v>125</v>
      </c>
      <c r="L1948" s="4">
        <v>2197.4899999999998</v>
      </c>
      <c r="M1948" t="s">
        <v>54</v>
      </c>
      <c r="N1948" s="4">
        <v>41472.57</v>
      </c>
      <c r="O1948" t="s">
        <v>31</v>
      </c>
      <c r="R1948" t="s">
        <v>1121</v>
      </c>
      <c r="S1948">
        <v>752738581</v>
      </c>
      <c r="T1948">
        <v>602358</v>
      </c>
      <c r="U1948" t="s">
        <v>130</v>
      </c>
      <c r="X1948" t="s">
        <v>35</v>
      </c>
      <c r="Y1948" s="8">
        <v>2282587</v>
      </c>
      <c r="Z1948">
        <v>20200101</v>
      </c>
      <c r="AA1948">
        <f t="shared" si="77"/>
        <v>2197.4899999999998</v>
      </c>
      <c r="AB1948">
        <v>0</v>
      </c>
      <c r="AC1948">
        <f>AA1948</f>
        <v>2197.4899999999998</v>
      </c>
      <c r="AD1948">
        <v>900012547</v>
      </c>
      <c r="AE1948" t="s">
        <v>831</v>
      </c>
      <c r="AF1948" s="4">
        <f>AC1948</f>
        <v>2197.4899999999998</v>
      </c>
      <c r="AG1948" t="s">
        <v>1146</v>
      </c>
      <c r="AH1948" t="s">
        <v>1123</v>
      </c>
      <c r="AI1948">
        <v>900014325</v>
      </c>
      <c r="AJ1948" t="s">
        <v>1125</v>
      </c>
      <c r="AK1948" t="s">
        <v>1124</v>
      </c>
      <c r="AL1948">
        <v>340921790</v>
      </c>
      <c r="AM1948" t="s">
        <v>185</v>
      </c>
    </row>
    <row r="1949" spans="1:39" x14ac:dyDescent="0.35">
      <c r="A1949">
        <v>3400</v>
      </c>
      <c r="B1949" t="s">
        <v>427</v>
      </c>
      <c r="C1949">
        <v>2020</v>
      </c>
      <c r="D1949" s="1">
        <v>43831</v>
      </c>
      <c r="E1949">
        <v>4</v>
      </c>
      <c r="F1949">
        <v>100011276</v>
      </c>
      <c r="G1949" t="s">
        <v>101</v>
      </c>
      <c r="H1949">
        <v>40</v>
      </c>
      <c r="I1949">
        <v>74010070</v>
      </c>
      <c r="J1949">
        <v>11310040</v>
      </c>
      <c r="K1949" t="s">
        <v>49</v>
      </c>
      <c r="L1949" s="4">
        <v>42.68</v>
      </c>
      <c r="M1949" t="s">
        <v>31</v>
      </c>
      <c r="N1949" s="4">
        <v>42.68</v>
      </c>
      <c r="O1949" t="s">
        <v>31</v>
      </c>
      <c r="P1949" t="s">
        <v>50</v>
      </c>
      <c r="X1949" t="s">
        <v>65</v>
      </c>
      <c r="Y1949" t="s">
        <v>829</v>
      </c>
      <c r="Z1949">
        <v>20200101</v>
      </c>
      <c r="AA1949">
        <f t="shared" si="77"/>
        <v>42.68</v>
      </c>
      <c r="AC1949"/>
      <c r="AE1949" t="s">
        <v>830</v>
      </c>
      <c r="AF1949"/>
      <c r="AL1949">
        <v>340040450</v>
      </c>
      <c r="AM1949" t="s">
        <v>214</v>
      </c>
    </row>
    <row r="1950" spans="1:39" x14ac:dyDescent="0.35">
      <c r="A1950">
        <v>3407</v>
      </c>
      <c r="B1950" t="s">
        <v>28</v>
      </c>
      <c r="C1950">
        <v>2020</v>
      </c>
      <c r="D1950" s="1">
        <v>43831</v>
      </c>
      <c r="E1950">
        <v>3</v>
      </c>
      <c r="F1950">
        <v>700039223</v>
      </c>
      <c r="G1950" t="s">
        <v>101</v>
      </c>
      <c r="H1950">
        <v>40</v>
      </c>
      <c r="I1950">
        <v>71105120</v>
      </c>
      <c r="J1950">
        <v>11610080</v>
      </c>
      <c r="K1950" t="s">
        <v>268</v>
      </c>
      <c r="L1950">
        <v>538.33000000000004</v>
      </c>
      <c r="M1950" t="s">
        <v>54</v>
      </c>
      <c r="N1950">
        <v>10159.74</v>
      </c>
      <c r="O1950" t="s">
        <v>31</v>
      </c>
      <c r="W1950">
        <v>700039244</v>
      </c>
      <c r="X1950" t="s">
        <v>28</v>
      </c>
      <c r="Y1950" t="s">
        <v>832</v>
      </c>
      <c r="Z1950" t="s">
        <v>833</v>
      </c>
      <c r="AA1950">
        <f t="shared" si="77"/>
        <v>538.33000000000004</v>
      </c>
      <c r="AC1950"/>
      <c r="AE1950" t="s">
        <v>834</v>
      </c>
      <c r="AF1950"/>
      <c r="AL1950">
        <v>340743690</v>
      </c>
      <c r="AM1950" t="s">
        <v>217</v>
      </c>
    </row>
    <row r="1951" spans="1:39" x14ac:dyDescent="0.35">
      <c r="A1951">
        <v>3407</v>
      </c>
      <c r="B1951" t="s">
        <v>28</v>
      </c>
      <c r="C1951">
        <v>2020</v>
      </c>
      <c r="D1951" s="1">
        <v>43831</v>
      </c>
      <c r="E1951">
        <v>3</v>
      </c>
      <c r="F1951">
        <v>700039244</v>
      </c>
      <c r="G1951" t="s">
        <v>226</v>
      </c>
      <c r="H1951">
        <v>50</v>
      </c>
      <c r="I1951">
        <v>71105120</v>
      </c>
      <c r="J1951">
        <v>11610080</v>
      </c>
      <c r="K1951" t="s">
        <v>268</v>
      </c>
      <c r="L1951">
        <v>538.33000000000004</v>
      </c>
      <c r="M1951" t="s">
        <v>54</v>
      </c>
      <c r="N1951">
        <v>10159.74</v>
      </c>
      <c r="O1951" t="s">
        <v>31</v>
      </c>
      <c r="W1951">
        <v>700039223</v>
      </c>
      <c r="X1951" t="s">
        <v>28</v>
      </c>
      <c r="Y1951" t="s">
        <v>832</v>
      </c>
      <c r="Z1951" t="s">
        <v>833</v>
      </c>
      <c r="AA1951">
        <f t="shared" si="77"/>
        <v>538.33000000000004</v>
      </c>
      <c r="AC1951"/>
      <c r="AE1951" t="s">
        <v>834</v>
      </c>
      <c r="AF1951"/>
      <c r="AL1951">
        <v>340743690</v>
      </c>
      <c r="AM1951" t="s">
        <v>217</v>
      </c>
    </row>
    <row r="1952" spans="1:39" x14ac:dyDescent="0.35">
      <c r="A1952">
        <v>3407</v>
      </c>
      <c r="B1952" t="s">
        <v>28</v>
      </c>
      <c r="C1952">
        <v>2020</v>
      </c>
      <c r="D1952" s="1">
        <v>43831</v>
      </c>
      <c r="E1952">
        <v>3</v>
      </c>
      <c r="F1952">
        <v>700039251</v>
      </c>
      <c r="G1952" t="s">
        <v>101</v>
      </c>
      <c r="H1952">
        <v>40</v>
      </c>
      <c r="I1952">
        <v>71105120</v>
      </c>
      <c r="J1952">
        <v>11610080</v>
      </c>
      <c r="K1952" t="s">
        <v>268</v>
      </c>
      <c r="L1952" s="4">
        <v>538.33000000000004</v>
      </c>
      <c r="M1952" t="s">
        <v>54</v>
      </c>
      <c r="N1952" s="4">
        <v>10566.93</v>
      </c>
      <c r="O1952" t="s">
        <v>31</v>
      </c>
      <c r="X1952" t="s">
        <v>28</v>
      </c>
      <c r="Y1952" t="s">
        <v>832</v>
      </c>
      <c r="Z1952" t="s">
        <v>833</v>
      </c>
      <c r="AA1952">
        <f t="shared" si="77"/>
        <v>538.33000000000004</v>
      </c>
      <c r="AC1952"/>
      <c r="AE1952" t="s">
        <v>834</v>
      </c>
      <c r="AF1952"/>
      <c r="AL1952">
        <v>340743690</v>
      </c>
      <c r="AM1952" t="s">
        <v>217</v>
      </c>
    </row>
    <row r="1953" spans="1:39" x14ac:dyDescent="0.35">
      <c r="A1953">
        <v>3400</v>
      </c>
      <c r="B1953" t="s">
        <v>61</v>
      </c>
      <c r="C1953">
        <v>2020</v>
      </c>
      <c r="D1953" s="1">
        <v>43831</v>
      </c>
      <c r="E1953">
        <v>1</v>
      </c>
      <c r="F1953">
        <v>100011600</v>
      </c>
      <c r="G1953" t="s">
        <v>96</v>
      </c>
      <c r="H1953">
        <v>40</v>
      </c>
      <c r="I1953">
        <v>71105130</v>
      </c>
      <c r="J1953">
        <v>21021040</v>
      </c>
      <c r="K1953" t="s">
        <v>305</v>
      </c>
      <c r="L1953" s="4">
        <v>1293.75</v>
      </c>
      <c r="M1953" t="s">
        <v>54</v>
      </c>
      <c r="N1953" s="4">
        <v>24324.83</v>
      </c>
      <c r="O1953" t="s">
        <v>31</v>
      </c>
      <c r="P1953" t="s">
        <v>98</v>
      </c>
      <c r="X1953" t="s">
        <v>72</v>
      </c>
      <c r="Y1953"/>
      <c r="Z1953" t="s">
        <v>835</v>
      </c>
      <c r="AA1953">
        <f t="shared" si="77"/>
        <v>1293.75</v>
      </c>
      <c r="AC1953"/>
      <c r="AE1953" t="s">
        <v>326</v>
      </c>
      <c r="AF1953"/>
      <c r="AL1953">
        <v>340023250</v>
      </c>
      <c r="AM1953" t="s">
        <v>271</v>
      </c>
    </row>
    <row r="1954" spans="1:39" x14ac:dyDescent="0.35">
      <c r="A1954">
        <v>3406</v>
      </c>
      <c r="B1954" t="s">
        <v>427</v>
      </c>
      <c r="C1954">
        <v>2020</v>
      </c>
      <c r="D1954" s="1">
        <v>43831</v>
      </c>
      <c r="E1954">
        <v>1</v>
      </c>
      <c r="F1954">
        <v>600010478</v>
      </c>
      <c r="G1954" t="s">
        <v>101</v>
      </c>
      <c r="H1954">
        <v>40</v>
      </c>
      <c r="I1954">
        <v>71105120</v>
      </c>
      <c r="J1954">
        <v>11610090</v>
      </c>
      <c r="K1954" t="s">
        <v>268</v>
      </c>
      <c r="L1954" s="4">
        <v>69.44</v>
      </c>
      <c r="M1954" t="s">
        <v>54</v>
      </c>
      <c r="N1954" s="4">
        <v>1368.46</v>
      </c>
      <c r="O1954" t="s">
        <v>31</v>
      </c>
      <c r="X1954" t="s">
        <v>57</v>
      </c>
      <c r="Y1954">
        <v>20200101</v>
      </c>
      <c r="Z1954" t="s">
        <v>427</v>
      </c>
      <c r="AA1954">
        <f t="shared" si="77"/>
        <v>69.44</v>
      </c>
      <c r="AC1954"/>
      <c r="AE1954" t="s">
        <v>836</v>
      </c>
      <c r="AF1954"/>
      <c r="AL1954">
        <v>340646390</v>
      </c>
      <c r="AM1954" t="s">
        <v>112</v>
      </c>
    </row>
    <row r="1955" spans="1:39" x14ac:dyDescent="0.35">
      <c r="A1955">
        <v>3406</v>
      </c>
      <c r="B1955" t="s">
        <v>427</v>
      </c>
      <c r="C1955">
        <v>2020</v>
      </c>
      <c r="D1955" s="1">
        <v>43831</v>
      </c>
      <c r="E1955">
        <v>1</v>
      </c>
      <c r="F1955">
        <v>600010485</v>
      </c>
      <c r="G1955" t="s">
        <v>101</v>
      </c>
      <c r="H1955">
        <v>40</v>
      </c>
      <c r="I1955">
        <v>71105120</v>
      </c>
      <c r="J1955">
        <v>11610090</v>
      </c>
      <c r="K1955" t="s">
        <v>268</v>
      </c>
      <c r="L1955" s="4">
        <v>352.86</v>
      </c>
      <c r="M1955" t="s">
        <v>54</v>
      </c>
      <c r="N1955" s="4">
        <v>6848.52</v>
      </c>
      <c r="O1955" t="s">
        <v>31</v>
      </c>
      <c r="X1955" t="s">
        <v>57</v>
      </c>
      <c r="Y1955">
        <v>20200101</v>
      </c>
      <c r="Z1955" t="s">
        <v>427</v>
      </c>
      <c r="AA1955">
        <f t="shared" si="77"/>
        <v>352.86</v>
      </c>
      <c r="AC1955"/>
      <c r="AE1955" t="s">
        <v>837</v>
      </c>
      <c r="AF1955"/>
      <c r="AL1955">
        <v>340646390</v>
      </c>
      <c r="AM1955" t="s">
        <v>112</v>
      </c>
    </row>
    <row r="1956" spans="1:39" x14ac:dyDescent="0.35">
      <c r="A1956">
        <v>3406</v>
      </c>
      <c r="B1956" t="s">
        <v>427</v>
      </c>
      <c r="C1956">
        <v>2020</v>
      </c>
      <c r="D1956" s="1">
        <v>43831</v>
      </c>
      <c r="E1956">
        <v>1</v>
      </c>
      <c r="F1956">
        <v>600010487</v>
      </c>
      <c r="G1956" t="s">
        <v>101</v>
      </c>
      <c r="H1956">
        <v>40</v>
      </c>
      <c r="I1956">
        <v>71105120</v>
      </c>
      <c r="J1956">
        <v>11610090</v>
      </c>
      <c r="K1956" t="s">
        <v>268</v>
      </c>
      <c r="L1956" s="4">
        <v>65.349999999999994</v>
      </c>
      <c r="M1956" t="s">
        <v>54</v>
      </c>
      <c r="N1956" s="4">
        <v>1255.9000000000001</v>
      </c>
      <c r="O1956" t="s">
        <v>31</v>
      </c>
      <c r="X1956" t="s">
        <v>57</v>
      </c>
      <c r="Y1956">
        <v>20200101</v>
      </c>
      <c r="Z1956" t="s">
        <v>427</v>
      </c>
      <c r="AA1956">
        <f t="shared" si="77"/>
        <v>65.349999999999994</v>
      </c>
      <c r="AC1956"/>
      <c r="AE1956" t="s">
        <v>836</v>
      </c>
      <c r="AF1956"/>
      <c r="AL1956">
        <v>340646390</v>
      </c>
      <c r="AM1956" t="s">
        <v>112</v>
      </c>
    </row>
    <row r="1957" spans="1:39" x14ac:dyDescent="0.35">
      <c r="A1957">
        <v>3400</v>
      </c>
      <c r="B1957" t="s">
        <v>39</v>
      </c>
      <c r="C1957">
        <v>2020</v>
      </c>
      <c r="D1957" s="1">
        <v>43831</v>
      </c>
      <c r="E1957">
        <v>1</v>
      </c>
      <c r="F1957">
        <v>100004521</v>
      </c>
      <c r="G1957" t="s">
        <v>96</v>
      </c>
      <c r="H1957">
        <v>40</v>
      </c>
      <c r="I1957">
        <v>71105060</v>
      </c>
      <c r="J1957">
        <v>21021040</v>
      </c>
      <c r="K1957" t="s">
        <v>238</v>
      </c>
      <c r="L1957" s="4">
        <v>4869.07</v>
      </c>
      <c r="M1957" t="s">
        <v>31</v>
      </c>
      <c r="N1957" s="4">
        <v>4869.07</v>
      </c>
      <c r="O1957" t="s">
        <v>31</v>
      </c>
      <c r="P1957" t="s">
        <v>211</v>
      </c>
      <c r="X1957" t="s">
        <v>39</v>
      </c>
      <c r="Y1957"/>
      <c r="Z1957" t="s">
        <v>838</v>
      </c>
      <c r="AA1957">
        <f t="shared" si="77"/>
        <v>4869.07</v>
      </c>
      <c r="AC1957"/>
      <c r="AE1957" t="s">
        <v>430</v>
      </c>
      <c r="AF1957"/>
      <c r="AL1957">
        <v>340019850</v>
      </c>
      <c r="AM1957" t="s">
        <v>271</v>
      </c>
    </row>
    <row r="1958" spans="1:39" x14ac:dyDescent="0.35">
      <c r="A1958">
        <v>3400</v>
      </c>
      <c r="B1958" t="s">
        <v>39</v>
      </c>
      <c r="C1958">
        <v>2020</v>
      </c>
      <c r="D1958" s="1">
        <v>43831</v>
      </c>
      <c r="E1958">
        <v>1</v>
      </c>
      <c r="F1958">
        <v>100005096</v>
      </c>
      <c r="G1958" t="s">
        <v>96</v>
      </c>
      <c r="H1958">
        <v>40</v>
      </c>
      <c r="I1958">
        <v>71105060</v>
      </c>
      <c r="J1958">
        <v>21021040</v>
      </c>
      <c r="K1958" t="s">
        <v>238</v>
      </c>
      <c r="L1958" s="4">
        <v>4869.07</v>
      </c>
      <c r="M1958" t="s">
        <v>31</v>
      </c>
      <c r="N1958" s="4">
        <v>4869.07</v>
      </c>
      <c r="O1958" t="s">
        <v>31</v>
      </c>
      <c r="P1958" t="s">
        <v>211</v>
      </c>
      <c r="X1958" t="s">
        <v>53</v>
      </c>
      <c r="Y1958"/>
      <c r="Z1958" t="s">
        <v>839</v>
      </c>
      <c r="AA1958">
        <f t="shared" si="77"/>
        <v>4869.07</v>
      </c>
      <c r="AC1958"/>
      <c r="AE1958" t="s">
        <v>430</v>
      </c>
      <c r="AF1958"/>
      <c r="AL1958">
        <v>340019850</v>
      </c>
      <c r="AM1958" t="s">
        <v>271</v>
      </c>
    </row>
    <row r="1959" spans="1:39" x14ac:dyDescent="0.35">
      <c r="A1959">
        <v>3400</v>
      </c>
      <c r="B1959" t="s">
        <v>39</v>
      </c>
      <c r="C1959">
        <v>2020</v>
      </c>
      <c r="D1959" s="1">
        <v>43831</v>
      </c>
      <c r="E1959">
        <v>1</v>
      </c>
      <c r="F1959">
        <v>100005097</v>
      </c>
      <c r="G1959" t="s">
        <v>96</v>
      </c>
      <c r="H1959">
        <v>40</v>
      </c>
      <c r="I1959">
        <v>71105060</v>
      </c>
      <c r="J1959">
        <v>21021040</v>
      </c>
      <c r="K1959" t="s">
        <v>238</v>
      </c>
      <c r="L1959" s="4">
        <v>4869.07</v>
      </c>
      <c r="M1959" t="s">
        <v>31</v>
      </c>
      <c r="N1959" s="4">
        <v>4869.07</v>
      </c>
      <c r="O1959" t="s">
        <v>31</v>
      </c>
      <c r="P1959" t="s">
        <v>211</v>
      </c>
      <c r="X1959" t="s">
        <v>53</v>
      </c>
      <c r="Y1959"/>
      <c r="Z1959" t="s">
        <v>840</v>
      </c>
      <c r="AA1959">
        <f t="shared" si="77"/>
        <v>4869.07</v>
      </c>
      <c r="AC1959"/>
      <c r="AE1959" t="s">
        <v>430</v>
      </c>
      <c r="AF1959"/>
      <c r="AL1959">
        <v>340019850</v>
      </c>
      <c r="AM1959" t="s">
        <v>271</v>
      </c>
    </row>
    <row r="1960" spans="1:39" x14ac:dyDescent="0.35">
      <c r="A1960">
        <v>3400</v>
      </c>
      <c r="B1960" t="s">
        <v>39</v>
      </c>
      <c r="C1960">
        <v>2020</v>
      </c>
      <c r="D1960" s="1">
        <v>43831</v>
      </c>
      <c r="E1960">
        <v>1</v>
      </c>
      <c r="F1960">
        <v>100005098</v>
      </c>
      <c r="G1960" t="s">
        <v>96</v>
      </c>
      <c r="H1960">
        <v>40</v>
      </c>
      <c r="I1960">
        <v>71105060</v>
      </c>
      <c r="J1960">
        <v>21021040</v>
      </c>
      <c r="K1960" t="s">
        <v>238</v>
      </c>
      <c r="L1960" s="4">
        <v>4869.07</v>
      </c>
      <c r="M1960" t="s">
        <v>31</v>
      </c>
      <c r="N1960" s="4">
        <v>4869.07</v>
      </c>
      <c r="O1960" t="s">
        <v>31</v>
      </c>
      <c r="P1960" t="s">
        <v>211</v>
      </c>
      <c r="X1960" t="s">
        <v>53</v>
      </c>
      <c r="Y1960"/>
      <c r="Z1960" t="s">
        <v>841</v>
      </c>
      <c r="AA1960">
        <f t="shared" si="77"/>
        <v>4869.07</v>
      </c>
      <c r="AC1960"/>
      <c r="AE1960" t="s">
        <v>430</v>
      </c>
      <c r="AF1960"/>
      <c r="AL1960">
        <v>340019850</v>
      </c>
      <c r="AM1960" t="s">
        <v>271</v>
      </c>
    </row>
    <row r="1961" spans="1:39" x14ac:dyDescent="0.35">
      <c r="A1961">
        <v>3400</v>
      </c>
      <c r="B1961" t="s">
        <v>258</v>
      </c>
      <c r="C1961">
        <v>2020</v>
      </c>
      <c r="D1961" s="1">
        <v>43831</v>
      </c>
      <c r="E1961">
        <v>1</v>
      </c>
      <c r="F1961">
        <v>100007347</v>
      </c>
      <c r="G1961" t="s">
        <v>96</v>
      </c>
      <c r="H1961">
        <v>40</v>
      </c>
      <c r="I1961">
        <v>71105060</v>
      </c>
      <c r="J1961">
        <v>21021040</v>
      </c>
      <c r="K1961" t="s">
        <v>238</v>
      </c>
      <c r="L1961" s="4">
        <v>477.1</v>
      </c>
      <c r="M1961" t="s">
        <v>54</v>
      </c>
      <c r="N1961" s="4">
        <v>8922.1</v>
      </c>
      <c r="O1961" t="s">
        <v>31</v>
      </c>
      <c r="P1961" t="s">
        <v>98</v>
      </c>
      <c r="X1961" t="s">
        <v>258</v>
      </c>
      <c r="Y1961"/>
      <c r="Z1961" t="s">
        <v>842</v>
      </c>
      <c r="AA1961">
        <f t="shared" si="77"/>
        <v>477.1</v>
      </c>
      <c r="AC1961"/>
      <c r="AE1961" t="s">
        <v>843</v>
      </c>
      <c r="AF1961"/>
      <c r="AL1961">
        <v>340019850</v>
      </c>
      <c r="AM1961" t="s">
        <v>214</v>
      </c>
    </row>
    <row r="1962" spans="1:39" x14ac:dyDescent="0.35">
      <c r="A1962">
        <v>3400</v>
      </c>
      <c r="B1962" t="s">
        <v>259</v>
      </c>
      <c r="C1962">
        <v>2020</v>
      </c>
      <c r="D1962" s="1">
        <v>43831</v>
      </c>
      <c r="E1962">
        <v>1</v>
      </c>
      <c r="F1962">
        <v>100008993</v>
      </c>
      <c r="G1962" t="s">
        <v>96</v>
      </c>
      <c r="H1962">
        <v>40</v>
      </c>
      <c r="I1962">
        <v>71105130</v>
      </c>
      <c r="J1962">
        <v>21021040</v>
      </c>
      <c r="K1962" t="s">
        <v>305</v>
      </c>
      <c r="L1962" s="4">
        <v>7704.4</v>
      </c>
      <c r="M1962" t="s">
        <v>31</v>
      </c>
      <c r="N1962" s="4">
        <v>7704.4</v>
      </c>
      <c r="O1962" t="s">
        <v>31</v>
      </c>
      <c r="X1962" t="s">
        <v>61</v>
      </c>
      <c r="Y1962"/>
      <c r="Z1962" t="s">
        <v>844</v>
      </c>
      <c r="AA1962">
        <f t="shared" si="77"/>
        <v>7704.4</v>
      </c>
      <c r="AC1962"/>
      <c r="AE1962" t="s">
        <v>845</v>
      </c>
      <c r="AF1962"/>
      <c r="AL1962">
        <v>340019850</v>
      </c>
      <c r="AM1962" t="s">
        <v>271</v>
      </c>
    </row>
    <row r="1963" spans="1:39" x14ac:dyDescent="0.35">
      <c r="A1963">
        <v>3400</v>
      </c>
      <c r="B1963" t="s">
        <v>61</v>
      </c>
      <c r="C1963">
        <v>2020</v>
      </c>
      <c r="D1963" s="1">
        <v>43831</v>
      </c>
      <c r="E1963">
        <v>1</v>
      </c>
      <c r="F1963">
        <v>100009701</v>
      </c>
      <c r="G1963" t="s">
        <v>96</v>
      </c>
      <c r="H1963">
        <v>40</v>
      </c>
      <c r="I1963">
        <v>71105130</v>
      </c>
      <c r="J1963">
        <v>21021040</v>
      </c>
      <c r="K1963" t="s">
        <v>305</v>
      </c>
      <c r="L1963" s="4">
        <v>1293.75</v>
      </c>
      <c r="M1963" t="s">
        <v>54</v>
      </c>
      <c r="N1963" s="4">
        <v>24324.83</v>
      </c>
      <c r="O1963" t="s">
        <v>31</v>
      </c>
      <c r="P1963" t="s">
        <v>98</v>
      </c>
      <c r="X1963" t="s">
        <v>62</v>
      </c>
      <c r="Y1963"/>
      <c r="Z1963" t="s">
        <v>846</v>
      </c>
      <c r="AA1963">
        <f t="shared" si="77"/>
        <v>1293.75</v>
      </c>
      <c r="AC1963"/>
      <c r="AE1963" t="s">
        <v>326</v>
      </c>
      <c r="AF1963"/>
      <c r="AL1963">
        <v>340019850</v>
      </c>
      <c r="AM1963" t="s">
        <v>78</v>
      </c>
    </row>
    <row r="1964" spans="1:39" x14ac:dyDescent="0.35">
      <c r="A1964">
        <v>3400</v>
      </c>
      <c r="B1964" t="s">
        <v>61</v>
      </c>
      <c r="C1964">
        <v>2020</v>
      </c>
      <c r="D1964" s="1">
        <v>43831</v>
      </c>
      <c r="E1964">
        <v>1</v>
      </c>
      <c r="F1964">
        <v>100010690</v>
      </c>
      <c r="G1964" t="s">
        <v>96</v>
      </c>
      <c r="H1964">
        <v>40</v>
      </c>
      <c r="I1964">
        <v>71105130</v>
      </c>
      <c r="J1964">
        <v>21021040</v>
      </c>
      <c r="K1964" t="s">
        <v>305</v>
      </c>
      <c r="L1964" s="4">
        <v>1293.75</v>
      </c>
      <c r="M1964" t="s">
        <v>54</v>
      </c>
      <c r="N1964" s="4">
        <v>24324.83</v>
      </c>
      <c r="O1964" t="s">
        <v>31</v>
      </c>
      <c r="P1964" t="s">
        <v>98</v>
      </c>
      <c r="X1964" t="s">
        <v>28</v>
      </c>
      <c r="Y1964"/>
      <c r="Z1964" t="s">
        <v>847</v>
      </c>
      <c r="AA1964">
        <f t="shared" si="77"/>
        <v>1293.75</v>
      </c>
      <c r="AC1964"/>
      <c r="AE1964" t="s">
        <v>326</v>
      </c>
      <c r="AF1964"/>
      <c r="AL1964">
        <v>340019850</v>
      </c>
      <c r="AM1964" t="s">
        <v>271</v>
      </c>
    </row>
    <row r="1965" spans="1:39" x14ac:dyDescent="0.35">
      <c r="A1965">
        <v>3400</v>
      </c>
      <c r="B1965" t="s">
        <v>61</v>
      </c>
      <c r="C1965">
        <v>2020</v>
      </c>
      <c r="D1965" s="1">
        <v>43831</v>
      </c>
      <c r="E1965">
        <v>1</v>
      </c>
      <c r="F1965">
        <v>100010692</v>
      </c>
      <c r="G1965" t="s">
        <v>96</v>
      </c>
      <c r="H1965">
        <v>40</v>
      </c>
      <c r="I1965">
        <v>71105130</v>
      </c>
      <c r="J1965">
        <v>21021040</v>
      </c>
      <c r="K1965" t="s">
        <v>305</v>
      </c>
      <c r="L1965" s="4">
        <v>2587.5</v>
      </c>
      <c r="M1965" t="s">
        <v>54</v>
      </c>
      <c r="N1965" s="4">
        <v>48649.66</v>
      </c>
      <c r="O1965" t="s">
        <v>31</v>
      </c>
      <c r="P1965" t="s">
        <v>98</v>
      </c>
      <c r="X1965" t="s">
        <v>28</v>
      </c>
      <c r="Y1965"/>
      <c r="Z1965" t="s">
        <v>848</v>
      </c>
      <c r="AA1965">
        <f t="shared" si="77"/>
        <v>2587.5</v>
      </c>
      <c r="AC1965"/>
      <c r="AE1965" t="s">
        <v>326</v>
      </c>
      <c r="AF1965"/>
      <c r="AL1965">
        <v>340019850</v>
      </c>
      <c r="AM1965" t="s">
        <v>271</v>
      </c>
    </row>
    <row r="1966" spans="1:39" x14ac:dyDescent="0.35">
      <c r="A1966">
        <v>3400</v>
      </c>
      <c r="B1966" t="s">
        <v>370</v>
      </c>
      <c r="C1966">
        <v>2020</v>
      </c>
      <c r="D1966" s="1">
        <v>43831</v>
      </c>
      <c r="E1966">
        <v>1</v>
      </c>
      <c r="F1966">
        <v>100003501</v>
      </c>
      <c r="G1966" t="s">
        <v>96</v>
      </c>
      <c r="H1966">
        <v>40</v>
      </c>
      <c r="I1966">
        <v>71105130</v>
      </c>
      <c r="J1966">
        <v>21021040</v>
      </c>
      <c r="K1966" t="s">
        <v>305</v>
      </c>
      <c r="L1966" s="4">
        <v>42380.800000000003</v>
      </c>
      <c r="M1966" t="s">
        <v>31</v>
      </c>
      <c r="N1966" s="4">
        <v>42380.800000000003</v>
      </c>
      <c r="O1966" t="s">
        <v>31</v>
      </c>
      <c r="P1966" t="s">
        <v>211</v>
      </c>
      <c r="X1966" t="s">
        <v>370</v>
      </c>
      <c r="Y1966"/>
      <c r="Z1966" t="s">
        <v>849</v>
      </c>
      <c r="AA1966">
        <f t="shared" si="77"/>
        <v>42380.800000000003</v>
      </c>
      <c r="AC1966"/>
      <c r="AE1966" t="s">
        <v>850</v>
      </c>
      <c r="AF1966"/>
      <c r="AL1966">
        <v>340019850</v>
      </c>
      <c r="AM1966" t="s">
        <v>78</v>
      </c>
    </row>
    <row r="1967" spans="1:39" x14ac:dyDescent="0.35">
      <c r="A1967">
        <v>3400</v>
      </c>
      <c r="B1967" t="s">
        <v>93</v>
      </c>
      <c r="C1967">
        <v>2020</v>
      </c>
      <c r="D1967" s="1">
        <v>43831</v>
      </c>
      <c r="E1967">
        <v>1</v>
      </c>
      <c r="F1967">
        <v>100008564</v>
      </c>
      <c r="G1967" t="s">
        <v>96</v>
      </c>
      <c r="H1967">
        <v>40</v>
      </c>
      <c r="I1967">
        <v>71105060</v>
      </c>
      <c r="J1967">
        <v>21021040</v>
      </c>
      <c r="K1967" t="s">
        <v>238</v>
      </c>
      <c r="L1967" s="4">
        <v>1276438</v>
      </c>
      <c r="M1967" t="s">
        <v>31</v>
      </c>
      <c r="N1967" s="4">
        <v>1276438</v>
      </c>
      <c r="O1967" t="s">
        <v>31</v>
      </c>
      <c r="P1967" t="s">
        <v>211</v>
      </c>
      <c r="X1967" t="s">
        <v>93</v>
      </c>
      <c r="Y1967"/>
      <c r="Z1967" t="s">
        <v>851</v>
      </c>
      <c r="AA1967">
        <f t="shared" si="77"/>
        <v>1276438</v>
      </c>
      <c r="AC1967"/>
      <c r="AE1967" t="s">
        <v>852</v>
      </c>
      <c r="AF1967"/>
      <c r="AL1967">
        <v>340040850</v>
      </c>
      <c r="AM1967" t="s">
        <v>78</v>
      </c>
    </row>
    <row r="1968" spans="1:39" x14ac:dyDescent="0.35">
      <c r="A1968">
        <v>3400</v>
      </c>
      <c r="B1968" t="s">
        <v>93</v>
      </c>
      <c r="C1968">
        <v>2020</v>
      </c>
      <c r="D1968" s="1">
        <v>43831</v>
      </c>
      <c r="E1968">
        <v>1</v>
      </c>
      <c r="F1968">
        <v>100008565</v>
      </c>
      <c r="G1968" t="s">
        <v>96</v>
      </c>
      <c r="H1968">
        <v>40</v>
      </c>
      <c r="I1968">
        <v>71105060</v>
      </c>
      <c r="J1968">
        <v>21021040</v>
      </c>
      <c r="K1968" t="s">
        <v>238</v>
      </c>
      <c r="L1968" s="4">
        <v>175000</v>
      </c>
      <c r="M1968" t="s">
        <v>31</v>
      </c>
      <c r="N1968" s="4">
        <v>175000</v>
      </c>
      <c r="O1968" t="s">
        <v>31</v>
      </c>
      <c r="P1968" t="s">
        <v>211</v>
      </c>
      <c r="X1968" t="s">
        <v>93</v>
      </c>
      <c r="Y1968"/>
      <c r="Z1968" t="s">
        <v>853</v>
      </c>
      <c r="AA1968">
        <f t="shared" si="77"/>
        <v>175000</v>
      </c>
      <c r="AC1968"/>
      <c r="AE1968" t="s">
        <v>852</v>
      </c>
      <c r="AF1968"/>
      <c r="AL1968">
        <v>340040850</v>
      </c>
      <c r="AM1968" t="s">
        <v>78</v>
      </c>
    </row>
    <row r="1969" spans="1:39" x14ac:dyDescent="0.35">
      <c r="A1969">
        <v>3400</v>
      </c>
      <c r="B1969" t="s">
        <v>93</v>
      </c>
      <c r="C1969">
        <v>2020</v>
      </c>
      <c r="D1969" s="1">
        <v>43831</v>
      </c>
      <c r="E1969">
        <v>1</v>
      </c>
      <c r="F1969">
        <v>100008566</v>
      </c>
      <c r="G1969" t="s">
        <v>96</v>
      </c>
      <c r="H1969">
        <v>40</v>
      </c>
      <c r="I1969">
        <v>71105060</v>
      </c>
      <c r="J1969">
        <v>21021040</v>
      </c>
      <c r="K1969" t="s">
        <v>238</v>
      </c>
      <c r="L1969" s="4">
        <v>8148.55</v>
      </c>
      <c r="M1969" t="s">
        <v>31</v>
      </c>
      <c r="N1969" s="4">
        <v>8148.55</v>
      </c>
      <c r="O1969" t="s">
        <v>31</v>
      </c>
      <c r="P1969" t="s">
        <v>211</v>
      </c>
      <c r="X1969" t="s">
        <v>93</v>
      </c>
      <c r="Y1969"/>
      <c r="Z1969" t="s">
        <v>854</v>
      </c>
      <c r="AA1969">
        <f t="shared" si="77"/>
        <v>8148.55</v>
      </c>
      <c r="AC1969"/>
      <c r="AE1969" t="s">
        <v>852</v>
      </c>
      <c r="AF1969"/>
      <c r="AL1969">
        <v>340040850</v>
      </c>
      <c r="AM1969" t="s">
        <v>78</v>
      </c>
    </row>
    <row r="1970" spans="1:39" x14ac:dyDescent="0.35">
      <c r="A1970">
        <v>3400</v>
      </c>
      <c r="B1970" t="s">
        <v>93</v>
      </c>
      <c r="C1970">
        <v>2020</v>
      </c>
      <c r="D1970" s="1">
        <v>43831</v>
      </c>
      <c r="E1970">
        <v>1</v>
      </c>
      <c r="F1970">
        <v>100008567</v>
      </c>
      <c r="G1970" t="s">
        <v>96</v>
      </c>
      <c r="H1970">
        <v>40</v>
      </c>
      <c r="I1970">
        <v>71105060</v>
      </c>
      <c r="J1970">
        <v>21021040</v>
      </c>
      <c r="K1970" t="s">
        <v>238</v>
      </c>
      <c r="L1970" s="4">
        <v>636131.5</v>
      </c>
      <c r="M1970" t="s">
        <v>31</v>
      </c>
      <c r="N1970" s="4">
        <v>636131.5</v>
      </c>
      <c r="O1970" t="s">
        <v>31</v>
      </c>
      <c r="P1970" t="s">
        <v>211</v>
      </c>
      <c r="X1970" t="s">
        <v>93</v>
      </c>
      <c r="Y1970"/>
      <c r="Z1970" t="s">
        <v>855</v>
      </c>
      <c r="AA1970">
        <f t="shared" si="77"/>
        <v>636131.5</v>
      </c>
      <c r="AC1970"/>
      <c r="AE1970" t="s">
        <v>852</v>
      </c>
      <c r="AF1970"/>
      <c r="AL1970">
        <v>340040850</v>
      </c>
      <c r="AM1970" t="s">
        <v>78</v>
      </c>
    </row>
    <row r="1971" spans="1:39" x14ac:dyDescent="0.35">
      <c r="A1971">
        <v>3400</v>
      </c>
      <c r="B1971" t="s">
        <v>39</v>
      </c>
      <c r="C1971">
        <v>2020</v>
      </c>
      <c r="D1971" s="1">
        <v>43831</v>
      </c>
      <c r="E1971">
        <v>1</v>
      </c>
      <c r="F1971">
        <v>100010890</v>
      </c>
      <c r="G1971" t="s">
        <v>101</v>
      </c>
      <c r="H1971">
        <v>40</v>
      </c>
      <c r="I1971">
        <v>71105060</v>
      </c>
      <c r="J1971">
        <v>21021040</v>
      </c>
      <c r="K1971" t="s">
        <v>238</v>
      </c>
      <c r="L1971" s="4">
        <v>7583.4</v>
      </c>
      <c r="M1971" t="s">
        <v>31</v>
      </c>
      <c r="N1971" s="4">
        <v>7583.4</v>
      </c>
      <c r="O1971" t="s">
        <v>31</v>
      </c>
      <c r="P1971" t="s">
        <v>98</v>
      </c>
      <c r="X1971" t="s">
        <v>35</v>
      </c>
      <c r="Y1971" t="s">
        <v>856</v>
      </c>
      <c r="Z1971" t="s">
        <v>857</v>
      </c>
      <c r="AA1971">
        <f t="shared" si="77"/>
        <v>7583.4</v>
      </c>
      <c r="AC1971"/>
      <c r="AE1971" t="s">
        <v>858</v>
      </c>
      <c r="AF1971"/>
      <c r="AL1971">
        <v>340049150</v>
      </c>
      <c r="AM1971" t="s">
        <v>214</v>
      </c>
    </row>
    <row r="1972" spans="1:39" x14ac:dyDescent="0.35">
      <c r="A1972">
        <v>3400</v>
      </c>
      <c r="B1972" t="s">
        <v>39</v>
      </c>
      <c r="C1972">
        <v>2020</v>
      </c>
      <c r="D1972" s="1">
        <v>43831</v>
      </c>
      <c r="E1972">
        <v>1</v>
      </c>
      <c r="F1972">
        <v>100010892</v>
      </c>
      <c r="G1972" t="s">
        <v>101</v>
      </c>
      <c r="H1972">
        <v>40</v>
      </c>
      <c r="I1972">
        <v>71105060</v>
      </c>
      <c r="J1972">
        <v>21021040</v>
      </c>
      <c r="K1972" t="s">
        <v>238</v>
      </c>
      <c r="L1972" s="4">
        <v>125000</v>
      </c>
      <c r="M1972" t="s">
        <v>31</v>
      </c>
      <c r="N1972" s="4">
        <v>125000</v>
      </c>
      <c r="O1972" t="s">
        <v>31</v>
      </c>
      <c r="P1972" t="s">
        <v>211</v>
      </c>
      <c r="X1972" t="s">
        <v>35</v>
      </c>
      <c r="Y1972" t="s">
        <v>859</v>
      </c>
      <c r="Z1972" t="s">
        <v>857</v>
      </c>
      <c r="AA1972">
        <f t="shared" si="77"/>
        <v>125000</v>
      </c>
      <c r="AC1972"/>
      <c r="AE1972" t="s">
        <v>860</v>
      </c>
      <c r="AF1972"/>
      <c r="AL1972">
        <v>340049150</v>
      </c>
      <c r="AM1972" t="s">
        <v>214</v>
      </c>
    </row>
    <row r="1973" spans="1:39" x14ac:dyDescent="0.35">
      <c r="A1973">
        <v>3409</v>
      </c>
      <c r="B1973" t="s">
        <v>28</v>
      </c>
      <c r="C1973">
        <v>2020</v>
      </c>
      <c r="D1973" s="1">
        <v>43831</v>
      </c>
      <c r="E1973">
        <v>1</v>
      </c>
      <c r="F1973">
        <v>900012080</v>
      </c>
      <c r="G1973" t="s">
        <v>101</v>
      </c>
      <c r="H1973">
        <v>40</v>
      </c>
      <c r="I1973">
        <v>71105120</v>
      </c>
      <c r="J1973">
        <v>11610090</v>
      </c>
      <c r="K1973" t="s">
        <v>268</v>
      </c>
      <c r="L1973" s="4">
        <v>559.16999999999996</v>
      </c>
      <c r="M1973" t="s">
        <v>54</v>
      </c>
      <c r="N1973" s="4">
        <v>10680.87</v>
      </c>
      <c r="O1973" t="s">
        <v>31</v>
      </c>
      <c r="X1973" t="s">
        <v>65</v>
      </c>
      <c r="Y1973" t="s">
        <v>861</v>
      </c>
      <c r="Z1973" t="s">
        <v>862</v>
      </c>
      <c r="AA1973">
        <f t="shared" si="77"/>
        <v>559.16999999999996</v>
      </c>
      <c r="AC1973"/>
      <c r="AE1973" t="s">
        <v>863</v>
      </c>
      <c r="AF1973"/>
      <c r="AL1973">
        <v>340946390</v>
      </c>
      <c r="AM1973" t="s">
        <v>208</v>
      </c>
    </row>
    <row r="1974" spans="1:39" x14ac:dyDescent="0.35">
      <c r="A1974">
        <v>3401</v>
      </c>
      <c r="B1974" t="s">
        <v>81</v>
      </c>
      <c r="C1974">
        <v>2020</v>
      </c>
      <c r="D1974" s="1">
        <v>43831</v>
      </c>
      <c r="E1974">
        <v>1</v>
      </c>
      <c r="F1974">
        <v>100020667</v>
      </c>
      <c r="G1974" t="s">
        <v>120</v>
      </c>
      <c r="H1974">
        <v>81</v>
      </c>
      <c r="I1974">
        <v>71106150</v>
      </c>
      <c r="J1974">
        <v>21021040</v>
      </c>
      <c r="K1974" t="s">
        <v>102</v>
      </c>
      <c r="L1974" s="4">
        <v>56196.65</v>
      </c>
      <c r="M1974" t="s">
        <v>54</v>
      </c>
      <c r="N1974" s="4">
        <v>1053057.79</v>
      </c>
      <c r="O1974" t="s">
        <v>31</v>
      </c>
      <c r="R1974" t="s">
        <v>1121</v>
      </c>
      <c r="S1974" t="s">
        <v>1122</v>
      </c>
      <c r="T1974">
        <v>101128</v>
      </c>
      <c r="U1974" t="s">
        <v>410</v>
      </c>
      <c r="X1974" t="s">
        <v>43</v>
      </c>
      <c r="Y1974" s="8" t="s">
        <v>1050</v>
      </c>
      <c r="Z1974" t="s">
        <v>1050</v>
      </c>
      <c r="AA1974">
        <f t="shared" si="77"/>
        <v>56196.65</v>
      </c>
      <c r="AB1974">
        <v>0</v>
      </c>
      <c r="AC1974">
        <f>AA1974</f>
        <v>56196.65</v>
      </c>
      <c r="AD1974">
        <v>100020671</v>
      </c>
      <c r="AE1974" t="s">
        <v>864</v>
      </c>
      <c r="AF1974" s="4">
        <f>AC1974/1.25</f>
        <v>44957.32</v>
      </c>
      <c r="AG1974" t="s">
        <v>212</v>
      </c>
      <c r="AH1974" t="s">
        <v>1123</v>
      </c>
      <c r="AI1974">
        <v>100036040</v>
      </c>
      <c r="AJ1974" t="s">
        <v>1125</v>
      </c>
      <c r="AK1974" t="s">
        <v>1124</v>
      </c>
      <c r="AL1974">
        <v>340121790</v>
      </c>
      <c r="AM1974" t="s">
        <v>414</v>
      </c>
    </row>
    <row r="1975" spans="1:39" x14ac:dyDescent="0.35">
      <c r="A1975">
        <v>3400</v>
      </c>
      <c r="B1975" t="s">
        <v>427</v>
      </c>
      <c r="C1975">
        <v>2020</v>
      </c>
      <c r="D1975" s="1">
        <v>43831</v>
      </c>
      <c r="E1975">
        <v>4</v>
      </c>
      <c r="F1975">
        <v>100011275</v>
      </c>
      <c r="G1975" t="s">
        <v>226</v>
      </c>
      <c r="H1975">
        <v>50</v>
      </c>
      <c r="I1975">
        <v>74010070</v>
      </c>
      <c r="J1975">
        <v>11310040</v>
      </c>
      <c r="K1975" t="s">
        <v>49</v>
      </c>
      <c r="L1975">
        <v>42.68</v>
      </c>
      <c r="M1975" t="s">
        <v>31</v>
      </c>
      <c r="N1975">
        <v>42.68</v>
      </c>
      <c r="O1975" t="s">
        <v>31</v>
      </c>
      <c r="P1975" t="s">
        <v>50</v>
      </c>
      <c r="W1975">
        <v>100010716</v>
      </c>
      <c r="X1975" t="s">
        <v>65</v>
      </c>
      <c r="Y1975" t="s">
        <v>829</v>
      </c>
      <c r="Z1975">
        <v>20200101</v>
      </c>
      <c r="AA1975">
        <f t="shared" si="77"/>
        <v>42.68</v>
      </c>
      <c r="AC1975"/>
      <c r="AE1975" t="s">
        <v>830</v>
      </c>
      <c r="AF1975"/>
      <c r="AJ1975" t="s">
        <v>1125</v>
      </c>
      <c r="AL1975">
        <v>340040450</v>
      </c>
      <c r="AM1975" t="s">
        <v>214</v>
      </c>
    </row>
    <row r="1976" spans="1:39" x14ac:dyDescent="0.35">
      <c r="A1976">
        <v>3407</v>
      </c>
      <c r="B1976" t="s">
        <v>370</v>
      </c>
      <c r="C1976">
        <v>2020</v>
      </c>
      <c r="D1976" s="1">
        <v>43831</v>
      </c>
      <c r="E1976">
        <v>1</v>
      </c>
      <c r="F1976">
        <v>700013609</v>
      </c>
      <c r="G1976" t="s">
        <v>120</v>
      </c>
      <c r="H1976">
        <v>81</v>
      </c>
      <c r="I1976">
        <v>71105060</v>
      </c>
      <c r="J1976">
        <v>21021040</v>
      </c>
      <c r="K1976" t="s">
        <v>238</v>
      </c>
      <c r="L1976" s="4">
        <v>26223.79</v>
      </c>
      <c r="M1976" t="s">
        <v>31</v>
      </c>
      <c r="N1976" s="4">
        <v>26223.79</v>
      </c>
      <c r="O1976" t="s">
        <v>31</v>
      </c>
      <c r="R1976" t="s">
        <v>865</v>
      </c>
      <c r="S1976" t="s">
        <v>1179</v>
      </c>
      <c r="T1976">
        <v>606740</v>
      </c>
      <c r="U1976" t="s">
        <v>266</v>
      </c>
      <c r="X1976" t="s">
        <v>370</v>
      </c>
      <c r="Y1976" s="8">
        <v>1756</v>
      </c>
      <c r="Z1976">
        <v>20200113</v>
      </c>
      <c r="AA1976">
        <f t="shared" si="77"/>
        <v>26223.79</v>
      </c>
      <c r="AB1976">
        <f>AA1976*0.16</f>
        <v>4195.8064000000004</v>
      </c>
      <c r="AC1976">
        <f>AA1976+AB1976</f>
        <v>30419.596400000002</v>
      </c>
      <c r="AD1976">
        <v>700013823</v>
      </c>
      <c r="AE1976" t="s">
        <v>866</v>
      </c>
      <c r="AF1976" s="4">
        <f>AC1976</f>
        <v>30419.596400000002</v>
      </c>
      <c r="AG1976" t="s">
        <v>57</v>
      </c>
      <c r="AH1976" t="s">
        <v>1123</v>
      </c>
      <c r="AI1976">
        <v>700013830</v>
      </c>
      <c r="AJ1976" t="s">
        <v>1136</v>
      </c>
      <c r="AK1976" t="s">
        <v>1135</v>
      </c>
      <c r="AL1976">
        <v>340727190</v>
      </c>
      <c r="AM1976" t="s">
        <v>217</v>
      </c>
    </row>
    <row r="1977" spans="1:39" x14ac:dyDescent="0.35">
      <c r="A1977">
        <v>3401</v>
      </c>
      <c r="B1977" t="s">
        <v>28</v>
      </c>
      <c r="C1977">
        <v>2020</v>
      </c>
      <c r="D1977" s="1">
        <v>43831</v>
      </c>
      <c r="E1977">
        <v>1</v>
      </c>
      <c r="F1977">
        <v>100033013</v>
      </c>
      <c r="G1977" t="s">
        <v>120</v>
      </c>
      <c r="H1977">
        <v>81</v>
      </c>
      <c r="I1977">
        <v>71106040</v>
      </c>
      <c r="J1977">
        <v>21021040</v>
      </c>
      <c r="K1977" t="s">
        <v>125</v>
      </c>
      <c r="L1977" s="4">
        <v>1380</v>
      </c>
      <c r="M1977" t="s">
        <v>54</v>
      </c>
      <c r="N1977" s="4">
        <v>25815.25</v>
      </c>
      <c r="O1977" t="s">
        <v>31</v>
      </c>
      <c r="R1977" t="s">
        <v>867</v>
      </c>
      <c r="S1977" t="s">
        <v>1141</v>
      </c>
      <c r="T1977">
        <v>600623</v>
      </c>
      <c r="U1977" t="s">
        <v>219</v>
      </c>
      <c r="X1977" t="s">
        <v>35</v>
      </c>
      <c r="Y1977" s="8" t="s">
        <v>868</v>
      </c>
      <c r="Z1977">
        <v>20200131</v>
      </c>
      <c r="AA1977">
        <f t="shared" si="77"/>
        <v>1380</v>
      </c>
      <c r="AB1977">
        <f>AA1977*0.16</f>
        <v>220.8</v>
      </c>
      <c r="AC1977">
        <f>AA1977+AB1977</f>
        <v>1600.8</v>
      </c>
      <c r="AD1977">
        <v>700013824</v>
      </c>
      <c r="AE1977" t="s">
        <v>869</v>
      </c>
      <c r="AF1977" s="4">
        <f>AC1977</f>
        <v>1600.8</v>
      </c>
      <c r="AG1977" t="s">
        <v>57</v>
      </c>
      <c r="AH1977" t="s">
        <v>1123</v>
      </c>
      <c r="AI1977">
        <v>100354698</v>
      </c>
      <c r="AJ1977" t="s">
        <v>1125</v>
      </c>
      <c r="AK1977" t="s">
        <v>1124</v>
      </c>
      <c r="AL1977">
        <v>340121790</v>
      </c>
      <c r="AM1977" t="s">
        <v>129</v>
      </c>
    </row>
    <row r="1978" spans="1:39" x14ac:dyDescent="0.35">
      <c r="A1978">
        <v>3401</v>
      </c>
      <c r="B1978" t="s">
        <v>870</v>
      </c>
      <c r="C1978">
        <v>2020</v>
      </c>
      <c r="D1978" s="1">
        <v>43831</v>
      </c>
      <c r="E1978">
        <v>1</v>
      </c>
      <c r="F1978">
        <v>100008050</v>
      </c>
      <c r="G1978" t="s">
        <v>120</v>
      </c>
      <c r="H1978">
        <v>81</v>
      </c>
      <c r="I1978">
        <v>71106150</v>
      </c>
      <c r="J1978">
        <v>21021040</v>
      </c>
      <c r="K1978" t="s">
        <v>102</v>
      </c>
      <c r="L1978" s="4">
        <v>4057.23</v>
      </c>
      <c r="M1978" t="s">
        <v>54</v>
      </c>
      <c r="N1978" s="4">
        <v>76621.600000000006</v>
      </c>
      <c r="O1978" t="s">
        <v>31</v>
      </c>
      <c r="R1978" t="s">
        <v>1121</v>
      </c>
      <c r="S1978">
        <v>593383972</v>
      </c>
      <c r="T1978">
        <v>600226</v>
      </c>
      <c r="U1978" t="s">
        <v>126</v>
      </c>
      <c r="X1978" t="s">
        <v>870</v>
      </c>
      <c r="Y1978" s="8" t="s">
        <v>1139</v>
      </c>
      <c r="Z1978">
        <v>20200109</v>
      </c>
      <c r="AA1978">
        <f t="shared" si="77"/>
        <v>4057.23</v>
      </c>
      <c r="AB1978">
        <v>0</v>
      </c>
      <c r="AC1978">
        <f>AA1978</f>
        <v>4057.23</v>
      </c>
      <c r="AD1978">
        <v>100422400</v>
      </c>
      <c r="AE1978" t="s">
        <v>872</v>
      </c>
      <c r="AF1978" s="4">
        <v>9433.9545454545441</v>
      </c>
      <c r="AG1978" t="s">
        <v>212</v>
      </c>
      <c r="AJ1978" t="s">
        <v>1125</v>
      </c>
      <c r="AK1978" t="s">
        <v>1124</v>
      </c>
      <c r="AL1978">
        <v>340121790</v>
      </c>
      <c r="AM1978" t="s">
        <v>414</v>
      </c>
    </row>
    <row r="1979" spans="1:39" x14ac:dyDescent="0.35">
      <c r="A1979">
        <v>3401</v>
      </c>
      <c r="B1979" t="s">
        <v>870</v>
      </c>
      <c r="C1979">
        <v>2020</v>
      </c>
      <c r="D1979" s="1">
        <v>43831</v>
      </c>
      <c r="E1979">
        <v>1</v>
      </c>
      <c r="F1979">
        <v>100008054</v>
      </c>
      <c r="G1979" t="s">
        <v>120</v>
      </c>
      <c r="H1979">
        <v>81</v>
      </c>
      <c r="I1979">
        <v>71104010</v>
      </c>
      <c r="J1979">
        <v>21021040</v>
      </c>
      <c r="K1979" t="s">
        <v>121</v>
      </c>
      <c r="L1979" s="4">
        <v>54936</v>
      </c>
      <c r="M1979" t="s">
        <v>31</v>
      </c>
      <c r="N1979" s="4">
        <v>54936</v>
      </c>
      <c r="O1979" t="s">
        <v>31</v>
      </c>
      <c r="R1979" t="s">
        <v>122</v>
      </c>
      <c r="S1979" t="s">
        <v>1131</v>
      </c>
      <c r="T1979">
        <v>107211</v>
      </c>
      <c r="U1979" t="s">
        <v>123</v>
      </c>
      <c r="X1979" t="s">
        <v>870</v>
      </c>
      <c r="Y1979" s="8">
        <v>4501216248</v>
      </c>
      <c r="Z1979" t="s">
        <v>1127</v>
      </c>
      <c r="AA1979">
        <f t="shared" si="77"/>
        <v>54936</v>
      </c>
      <c r="AC1979"/>
      <c r="AD1979">
        <v>100036889</v>
      </c>
      <c r="AE1979" t="s">
        <v>1128</v>
      </c>
      <c r="AG1979" t="s">
        <v>51</v>
      </c>
      <c r="AH1979" t="s">
        <v>1123</v>
      </c>
      <c r="AJ1979" t="s">
        <v>1148</v>
      </c>
      <c r="AK1979" t="s">
        <v>1129</v>
      </c>
      <c r="AL1979">
        <v>340118590</v>
      </c>
      <c r="AM1979" t="s">
        <v>124</v>
      </c>
    </row>
    <row r="1980" spans="1:39" x14ac:dyDescent="0.35">
      <c r="A1980">
        <v>3401</v>
      </c>
      <c r="B1980" t="s">
        <v>870</v>
      </c>
      <c r="C1980">
        <v>2020</v>
      </c>
      <c r="D1980" s="1">
        <v>43831</v>
      </c>
      <c r="E1980">
        <v>1</v>
      </c>
      <c r="F1980">
        <v>100008055</v>
      </c>
      <c r="G1980" t="s">
        <v>120</v>
      </c>
      <c r="H1980">
        <v>81</v>
      </c>
      <c r="I1980">
        <v>71104010</v>
      </c>
      <c r="J1980">
        <v>21021040</v>
      </c>
      <c r="K1980" t="s">
        <v>121</v>
      </c>
      <c r="L1980" s="4">
        <v>55524</v>
      </c>
      <c r="M1980" t="s">
        <v>31</v>
      </c>
      <c r="N1980" s="4">
        <v>55524</v>
      </c>
      <c r="O1980" t="s">
        <v>31</v>
      </c>
      <c r="R1980" t="s">
        <v>122</v>
      </c>
      <c r="S1980" t="s">
        <v>1131</v>
      </c>
      <c r="T1980">
        <v>107211</v>
      </c>
      <c r="U1980" t="s">
        <v>123</v>
      </c>
      <c r="X1980" t="s">
        <v>870</v>
      </c>
      <c r="Y1980" s="8">
        <v>4501216248</v>
      </c>
      <c r="Z1980" t="s">
        <v>1127</v>
      </c>
      <c r="AA1980">
        <f t="shared" si="77"/>
        <v>55524</v>
      </c>
      <c r="AC1980"/>
      <c r="AD1980">
        <v>100036889</v>
      </c>
      <c r="AE1980" t="s">
        <v>1128</v>
      </c>
      <c r="AG1980" t="s">
        <v>51</v>
      </c>
      <c r="AH1980" t="s">
        <v>1123</v>
      </c>
      <c r="AJ1980" t="s">
        <v>1148</v>
      </c>
      <c r="AK1980" t="s">
        <v>1129</v>
      </c>
      <c r="AL1980">
        <v>340118590</v>
      </c>
      <c r="AM1980" t="s">
        <v>124</v>
      </c>
    </row>
    <row r="1981" spans="1:39" x14ac:dyDescent="0.35">
      <c r="A1981">
        <v>3401</v>
      </c>
      <c r="B1981" t="s">
        <v>870</v>
      </c>
      <c r="C1981">
        <v>2020</v>
      </c>
      <c r="D1981" s="1">
        <v>43831</v>
      </c>
      <c r="E1981">
        <v>1</v>
      </c>
      <c r="F1981">
        <v>100008057</v>
      </c>
      <c r="G1981" t="s">
        <v>120</v>
      </c>
      <c r="H1981">
        <v>81</v>
      </c>
      <c r="I1981">
        <v>71104010</v>
      </c>
      <c r="J1981">
        <v>21021040</v>
      </c>
      <c r="K1981" t="s">
        <v>121</v>
      </c>
      <c r="L1981" s="4">
        <v>61516</v>
      </c>
      <c r="M1981" t="s">
        <v>31</v>
      </c>
      <c r="N1981" s="4">
        <v>61516</v>
      </c>
      <c r="O1981" t="s">
        <v>31</v>
      </c>
      <c r="R1981" t="s">
        <v>122</v>
      </c>
      <c r="S1981" t="s">
        <v>1131</v>
      </c>
      <c r="T1981">
        <v>107211</v>
      </c>
      <c r="U1981" t="s">
        <v>123</v>
      </c>
      <c r="X1981" t="s">
        <v>870</v>
      </c>
      <c r="Y1981" s="8">
        <v>4501216248</v>
      </c>
      <c r="Z1981" t="s">
        <v>1127</v>
      </c>
      <c r="AA1981">
        <f t="shared" si="77"/>
        <v>61516</v>
      </c>
      <c r="AC1981"/>
      <c r="AD1981">
        <v>100036889</v>
      </c>
      <c r="AE1981" t="s">
        <v>1128</v>
      </c>
      <c r="AG1981" t="s">
        <v>51</v>
      </c>
      <c r="AH1981" t="s">
        <v>1123</v>
      </c>
      <c r="AJ1981" t="s">
        <v>1148</v>
      </c>
      <c r="AK1981" t="s">
        <v>1129</v>
      </c>
      <c r="AL1981">
        <v>340118590</v>
      </c>
      <c r="AM1981" t="s">
        <v>124</v>
      </c>
    </row>
    <row r="1982" spans="1:39" x14ac:dyDescent="0.35">
      <c r="A1982">
        <v>3401</v>
      </c>
      <c r="B1982" t="s">
        <v>870</v>
      </c>
      <c r="C1982">
        <v>2020</v>
      </c>
      <c r="D1982" s="1">
        <v>43831</v>
      </c>
      <c r="E1982">
        <v>1</v>
      </c>
      <c r="F1982">
        <v>100008058</v>
      </c>
      <c r="G1982" t="s">
        <v>120</v>
      </c>
      <c r="H1982">
        <v>81</v>
      </c>
      <c r="I1982">
        <v>71104010</v>
      </c>
      <c r="J1982">
        <v>21021040</v>
      </c>
      <c r="K1982" t="s">
        <v>121</v>
      </c>
      <c r="L1982" s="4">
        <v>42672</v>
      </c>
      <c r="M1982" t="s">
        <v>31</v>
      </c>
      <c r="N1982" s="4">
        <v>42672</v>
      </c>
      <c r="O1982" t="s">
        <v>31</v>
      </c>
      <c r="R1982" t="s">
        <v>122</v>
      </c>
      <c r="S1982" t="s">
        <v>1131</v>
      </c>
      <c r="T1982">
        <v>107211</v>
      </c>
      <c r="U1982" t="s">
        <v>123</v>
      </c>
      <c r="X1982" t="s">
        <v>870</v>
      </c>
      <c r="Y1982" s="8">
        <v>4501216248</v>
      </c>
      <c r="Z1982" t="s">
        <v>1127</v>
      </c>
      <c r="AA1982">
        <f t="shared" si="77"/>
        <v>42672</v>
      </c>
      <c r="AC1982"/>
      <c r="AD1982">
        <v>100036889</v>
      </c>
      <c r="AE1982" t="s">
        <v>1128</v>
      </c>
      <c r="AG1982" t="s">
        <v>51</v>
      </c>
      <c r="AH1982" t="s">
        <v>1123</v>
      </c>
      <c r="AJ1982" t="s">
        <v>1148</v>
      </c>
      <c r="AK1982" t="s">
        <v>1129</v>
      </c>
      <c r="AL1982">
        <v>340118590</v>
      </c>
      <c r="AM1982" t="s">
        <v>124</v>
      </c>
    </row>
    <row r="1983" spans="1:39" x14ac:dyDescent="0.35">
      <c r="A1983">
        <v>3401</v>
      </c>
      <c r="B1983" t="s">
        <v>870</v>
      </c>
      <c r="C1983">
        <v>2020</v>
      </c>
      <c r="D1983" s="1">
        <v>43831</v>
      </c>
      <c r="E1983">
        <v>1</v>
      </c>
      <c r="F1983">
        <v>100008059</v>
      </c>
      <c r="G1983" t="s">
        <v>120</v>
      </c>
      <c r="H1983">
        <v>81</v>
      </c>
      <c r="I1983">
        <v>71104010</v>
      </c>
      <c r="J1983">
        <v>21021040</v>
      </c>
      <c r="K1983" t="s">
        <v>121</v>
      </c>
      <c r="L1983" s="4">
        <v>49308.02</v>
      </c>
      <c r="M1983" t="s">
        <v>31</v>
      </c>
      <c r="N1983" s="4">
        <v>49308.02</v>
      </c>
      <c r="O1983" t="s">
        <v>31</v>
      </c>
      <c r="R1983" t="s">
        <v>122</v>
      </c>
      <c r="S1983" t="s">
        <v>1131</v>
      </c>
      <c r="T1983">
        <v>107211</v>
      </c>
      <c r="U1983" t="s">
        <v>123</v>
      </c>
      <c r="X1983" t="s">
        <v>870</v>
      </c>
      <c r="Y1983" s="8">
        <v>4501216248</v>
      </c>
      <c r="Z1983" t="s">
        <v>1127</v>
      </c>
      <c r="AA1983">
        <f t="shared" si="77"/>
        <v>49308.02</v>
      </c>
      <c r="AC1983"/>
      <c r="AD1983">
        <v>100036889</v>
      </c>
      <c r="AE1983" t="s">
        <v>1128</v>
      </c>
      <c r="AG1983" t="s">
        <v>51</v>
      </c>
      <c r="AH1983" t="s">
        <v>1123</v>
      </c>
      <c r="AJ1983" t="s">
        <v>1148</v>
      </c>
      <c r="AK1983" t="s">
        <v>1129</v>
      </c>
      <c r="AL1983">
        <v>340118590</v>
      </c>
      <c r="AM1983" t="s">
        <v>124</v>
      </c>
    </row>
    <row r="1984" spans="1:39" x14ac:dyDescent="0.35">
      <c r="A1984">
        <v>3401</v>
      </c>
      <c r="B1984" t="s">
        <v>870</v>
      </c>
      <c r="C1984">
        <v>2020</v>
      </c>
      <c r="D1984" s="1">
        <v>43831</v>
      </c>
      <c r="E1984">
        <v>1</v>
      </c>
      <c r="F1984">
        <v>100008061</v>
      </c>
      <c r="G1984" t="s">
        <v>120</v>
      </c>
      <c r="H1984">
        <v>81</v>
      </c>
      <c r="I1984">
        <v>71104010</v>
      </c>
      <c r="J1984">
        <v>21021040</v>
      </c>
      <c r="K1984" t="s">
        <v>121</v>
      </c>
      <c r="L1984" s="4">
        <v>47488</v>
      </c>
      <c r="M1984" t="s">
        <v>31</v>
      </c>
      <c r="N1984" s="4">
        <v>47488</v>
      </c>
      <c r="O1984" t="s">
        <v>31</v>
      </c>
      <c r="R1984" t="s">
        <v>122</v>
      </c>
      <c r="S1984" t="s">
        <v>1131</v>
      </c>
      <c r="T1984">
        <v>107211</v>
      </c>
      <c r="U1984" t="s">
        <v>123</v>
      </c>
      <c r="X1984" t="s">
        <v>870</v>
      </c>
      <c r="Y1984" s="8">
        <v>4501216248</v>
      </c>
      <c r="Z1984" t="s">
        <v>1127</v>
      </c>
      <c r="AA1984">
        <f t="shared" si="77"/>
        <v>47488</v>
      </c>
      <c r="AC1984"/>
      <c r="AD1984">
        <v>100036889</v>
      </c>
      <c r="AE1984" t="s">
        <v>1128</v>
      </c>
      <c r="AG1984" t="s">
        <v>51</v>
      </c>
      <c r="AH1984" t="s">
        <v>1123</v>
      </c>
      <c r="AJ1984" t="s">
        <v>1148</v>
      </c>
      <c r="AK1984" t="s">
        <v>1129</v>
      </c>
      <c r="AL1984">
        <v>340118590</v>
      </c>
      <c r="AM1984" t="s">
        <v>124</v>
      </c>
    </row>
    <row r="1985" spans="1:39" x14ac:dyDescent="0.35">
      <c r="A1985">
        <v>3401</v>
      </c>
      <c r="B1985" t="s">
        <v>870</v>
      </c>
      <c r="C1985">
        <v>2020</v>
      </c>
      <c r="D1985" s="1">
        <v>43831</v>
      </c>
      <c r="E1985">
        <v>1</v>
      </c>
      <c r="F1985">
        <v>100008062</v>
      </c>
      <c r="G1985" t="s">
        <v>120</v>
      </c>
      <c r="H1985">
        <v>81</v>
      </c>
      <c r="I1985">
        <v>71104010</v>
      </c>
      <c r="J1985">
        <v>21021040</v>
      </c>
      <c r="K1985" t="s">
        <v>121</v>
      </c>
      <c r="L1985" s="4">
        <v>50484</v>
      </c>
      <c r="M1985" t="s">
        <v>31</v>
      </c>
      <c r="N1985" s="4">
        <v>50484</v>
      </c>
      <c r="O1985" t="s">
        <v>31</v>
      </c>
      <c r="R1985" t="s">
        <v>122</v>
      </c>
      <c r="S1985" t="s">
        <v>1131</v>
      </c>
      <c r="T1985">
        <v>107211</v>
      </c>
      <c r="U1985" t="s">
        <v>123</v>
      </c>
      <c r="X1985" t="s">
        <v>870</v>
      </c>
      <c r="Y1985" s="8">
        <v>4501216248</v>
      </c>
      <c r="Z1985" t="s">
        <v>1127</v>
      </c>
      <c r="AA1985">
        <f t="shared" si="77"/>
        <v>50484</v>
      </c>
      <c r="AC1985"/>
      <c r="AD1985">
        <v>100036889</v>
      </c>
      <c r="AE1985" t="s">
        <v>1128</v>
      </c>
      <c r="AG1985" t="s">
        <v>51</v>
      </c>
      <c r="AH1985" t="s">
        <v>1123</v>
      </c>
      <c r="AJ1985" t="s">
        <v>1148</v>
      </c>
      <c r="AK1985" t="s">
        <v>1129</v>
      </c>
      <c r="AL1985">
        <v>340118590</v>
      </c>
      <c r="AM1985" t="s">
        <v>124</v>
      </c>
    </row>
    <row r="1986" spans="1:39" x14ac:dyDescent="0.35">
      <c r="A1986">
        <v>3409</v>
      </c>
      <c r="B1986" t="s">
        <v>870</v>
      </c>
      <c r="C1986">
        <v>2020</v>
      </c>
      <c r="D1986" s="1">
        <v>43831</v>
      </c>
      <c r="E1986">
        <v>1</v>
      </c>
      <c r="F1986">
        <v>900003117</v>
      </c>
      <c r="G1986" t="s">
        <v>120</v>
      </c>
      <c r="H1986">
        <v>81</v>
      </c>
      <c r="I1986">
        <v>71105120</v>
      </c>
      <c r="J1986">
        <v>21021040</v>
      </c>
      <c r="K1986" t="s">
        <v>268</v>
      </c>
      <c r="L1986" s="4">
        <v>380</v>
      </c>
      <c r="M1986" t="s">
        <v>54</v>
      </c>
      <c r="N1986" s="4">
        <v>7176.38</v>
      </c>
      <c r="O1986" t="s">
        <v>31</v>
      </c>
      <c r="R1986" t="s">
        <v>1121</v>
      </c>
      <c r="S1986">
        <v>453325398</v>
      </c>
      <c r="T1986">
        <v>101653</v>
      </c>
      <c r="U1986" t="s">
        <v>784</v>
      </c>
      <c r="X1986" t="s">
        <v>870</v>
      </c>
      <c r="Y1986" s="8" t="s">
        <v>873</v>
      </c>
      <c r="Z1986">
        <v>20200109</v>
      </c>
      <c r="AA1986">
        <f t="shared" si="77"/>
        <v>380</v>
      </c>
      <c r="AB1986">
        <v>0</v>
      </c>
      <c r="AC1986">
        <f>AA1986</f>
        <v>380</v>
      </c>
      <c r="AD1986">
        <v>900004280</v>
      </c>
      <c r="AE1986" t="s">
        <v>874</v>
      </c>
      <c r="AF1986" s="4">
        <f>AC1986</f>
        <v>380</v>
      </c>
      <c r="AG1986" t="s">
        <v>1144</v>
      </c>
      <c r="AH1986" t="s">
        <v>1123</v>
      </c>
      <c r="AI1986">
        <v>900022470</v>
      </c>
      <c r="AJ1986" t="s">
        <v>1125</v>
      </c>
      <c r="AK1986" t="s">
        <v>1124</v>
      </c>
      <c r="AL1986">
        <v>340915190</v>
      </c>
      <c r="AM1986" t="s">
        <v>185</v>
      </c>
    </row>
    <row r="1987" spans="1:39" x14ac:dyDescent="0.35">
      <c r="A1987">
        <v>3401</v>
      </c>
      <c r="B1987" t="s">
        <v>870</v>
      </c>
      <c r="C1987">
        <v>2020</v>
      </c>
      <c r="D1987" s="1">
        <v>43831</v>
      </c>
      <c r="E1987">
        <v>1</v>
      </c>
      <c r="F1987">
        <v>100008063</v>
      </c>
      <c r="G1987" t="s">
        <v>120</v>
      </c>
      <c r="H1987">
        <v>81</v>
      </c>
      <c r="I1987">
        <v>71104010</v>
      </c>
      <c r="J1987">
        <v>21021040</v>
      </c>
      <c r="K1987" t="s">
        <v>121</v>
      </c>
      <c r="L1987" s="4">
        <v>50484</v>
      </c>
      <c r="M1987" t="s">
        <v>31</v>
      </c>
      <c r="N1987" s="4">
        <v>50484</v>
      </c>
      <c r="O1987" t="s">
        <v>31</v>
      </c>
      <c r="R1987" t="s">
        <v>122</v>
      </c>
      <c r="S1987" t="s">
        <v>1131</v>
      </c>
      <c r="T1987">
        <v>107211</v>
      </c>
      <c r="U1987" t="s">
        <v>123</v>
      </c>
      <c r="X1987" t="s">
        <v>870</v>
      </c>
      <c r="Y1987" s="8">
        <v>4501216248</v>
      </c>
      <c r="Z1987" t="s">
        <v>1127</v>
      </c>
      <c r="AA1987">
        <f t="shared" si="77"/>
        <v>50484</v>
      </c>
      <c r="AC1987"/>
      <c r="AD1987">
        <v>100036889</v>
      </c>
      <c r="AE1987" t="s">
        <v>1128</v>
      </c>
      <c r="AG1987" t="s">
        <v>51</v>
      </c>
      <c r="AH1987" t="s">
        <v>1123</v>
      </c>
      <c r="AJ1987" t="s">
        <v>1148</v>
      </c>
      <c r="AK1987" t="s">
        <v>1129</v>
      </c>
      <c r="AL1987">
        <v>340118590</v>
      </c>
      <c r="AM1987" t="s">
        <v>124</v>
      </c>
    </row>
    <row r="1988" spans="1:39" x14ac:dyDescent="0.35">
      <c r="A1988">
        <v>3409</v>
      </c>
      <c r="B1988" t="s">
        <v>870</v>
      </c>
      <c r="C1988">
        <v>2020</v>
      </c>
      <c r="D1988" s="1">
        <v>43831</v>
      </c>
      <c r="E1988">
        <v>1</v>
      </c>
      <c r="F1988">
        <v>900003116</v>
      </c>
      <c r="G1988" t="s">
        <v>120</v>
      </c>
      <c r="H1988">
        <v>81</v>
      </c>
      <c r="I1988">
        <v>71105120</v>
      </c>
      <c r="J1988">
        <v>21021040</v>
      </c>
      <c r="K1988" t="s">
        <v>268</v>
      </c>
      <c r="L1988" s="4">
        <v>380</v>
      </c>
      <c r="M1988" t="s">
        <v>54</v>
      </c>
      <c r="N1988" s="4">
        <v>7176.38</v>
      </c>
      <c r="O1988" t="s">
        <v>31</v>
      </c>
      <c r="R1988" t="s">
        <v>1121</v>
      </c>
      <c r="S1988">
        <v>453325398</v>
      </c>
      <c r="T1988">
        <v>101653</v>
      </c>
      <c r="U1988" t="s">
        <v>784</v>
      </c>
      <c r="X1988" t="s">
        <v>870</v>
      </c>
      <c r="Y1988" s="8" t="s">
        <v>873</v>
      </c>
      <c r="Z1988">
        <v>20200109</v>
      </c>
      <c r="AA1988">
        <f t="shared" si="77"/>
        <v>380</v>
      </c>
      <c r="AB1988">
        <v>0</v>
      </c>
      <c r="AC1988">
        <f>AA1988</f>
        <v>380</v>
      </c>
      <c r="AD1988">
        <v>900004280</v>
      </c>
      <c r="AE1988" t="s">
        <v>875</v>
      </c>
      <c r="AF1988" s="4">
        <f t="shared" ref="AF1988:AF1995" si="78">AC1988</f>
        <v>380</v>
      </c>
      <c r="AG1988" t="s">
        <v>1144</v>
      </c>
      <c r="AH1988" t="s">
        <v>1123</v>
      </c>
      <c r="AI1988">
        <v>900022470</v>
      </c>
      <c r="AJ1988" t="s">
        <v>1125</v>
      </c>
      <c r="AK1988" t="s">
        <v>1124</v>
      </c>
      <c r="AL1988">
        <v>340953290</v>
      </c>
      <c r="AM1988" t="s">
        <v>185</v>
      </c>
    </row>
    <row r="1989" spans="1:39" x14ac:dyDescent="0.35">
      <c r="A1989">
        <v>3406</v>
      </c>
      <c r="B1989" t="s">
        <v>870</v>
      </c>
      <c r="C1989">
        <v>2020</v>
      </c>
      <c r="D1989" s="1">
        <v>43831</v>
      </c>
      <c r="E1989">
        <v>1</v>
      </c>
      <c r="F1989">
        <v>600006441</v>
      </c>
      <c r="G1989" t="s">
        <v>120</v>
      </c>
      <c r="H1989">
        <v>81</v>
      </c>
      <c r="I1989">
        <v>71106040</v>
      </c>
      <c r="J1989">
        <v>21021040</v>
      </c>
      <c r="K1989" t="s">
        <v>125</v>
      </c>
      <c r="L1989" s="4">
        <v>70</v>
      </c>
      <c r="M1989" t="s">
        <v>54</v>
      </c>
      <c r="N1989" s="4">
        <v>1321.96</v>
      </c>
      <c r="O1989" t="s">
        <v>31</v>
      </c>
      <c r="R1989" t="s">
        <v>1121</v>
      </c>
      <c r="S1989" t="s">
        <v>1177</v>
      </c>
      <c r="T1989">
        <v>606043</v>
      </c>
      <c r="U1989" t="s">
        <v>876</v>
      </c>
      <c r="X1989" t="s">
        <v>870</v>
      </c>
      <c r="Y1989" s="8">
        <v>90365486</v>
      </c>
      <c r="Z1989">
        <v>20200109</v>
      </c>
      <c r="AA1989">
        <f t="shared" si="77"/>
        <v>70</v>
      </c>
      <c r="AB1989">
        <v>0</v>
      </c>
      <c r="AC1989">
        <f>AA1989</f>
        <v>70</v>
      </c>
      <c r="AD1989">
        <v>600006527</v>
      </c>
      <c r="AE1989" t="s">
        <v>877</v>
      </c>
      <c r="AF1989" s="4">
        <f t="shared" si="78"/>
        <v>70</v>
      </c>
      <c r="AG1989" t="s">
        <v>93</v>
      </c>
      <c r="AH1989" t="s">
        <v>1123</v>
      </c>
      <c r="AI1989">
        <v>600023636</v>
      </c>
      <c r="AJ1989" t="s">
        <v>1125</v>
      </c>
      <c r="AK1989" t="s">
        <v>1124</v>
      </c>
      <c r="AL1989">
        <v>340621790</v>
      </c>
      <c r="AM1989" t="s">
        <v>132</v>
      </c>
    </row>
    <row r="1990" spans="1:39" x14ac:dyDescent="0.35">
      <c r="A1990">
        <v>3406</v>
      </c>
      <c r="B1990" t="s">
        <v>870</v>
      </c>
      <c r="C1990">
        <v>2020</v>
      </c>
      <c r="D1990" s="1">
        <v>43831</v>
      </c>
      <c r="E1990">
        <v>1</v>
      </c>
      <c r="F1990">
        <v>600006442</v>
      </c>
      <c r="G1990" t="s">
        <v>120</v>
      </c>
      <c r="H1990">
        <v>81</v>
      </c>
      <c r="I1990">
        <v>71106040</v>
      </c>
      <c r="J1990">
        <v>21021040</v>
      </c>
      <c r="K1990" t="s">
        <v>125</v>
      </c>
      <c r="L1990" s="4">
        <v>70</v>
      </c>
      <c r="M1990" t="s">
        <v>54</v>
      </c>
      <c r="N1990" s="4">
        <v>1321.96</v>
      </c>
      <c r="O1990" t="s">
        <v>31</v>
      </c>
      <c r="R1990" t="s">
        <v>1121</v>
      </c>
      <c r="S1990" t="s">
        <v>1177</v>
      </c>
      <c r="T1990">
        <v>606043</v>
      </c>
      <c r="U1990" t="s">
        <v>876</v>
      </c>
      <c r="X1990" t="s">
        <v>870</v>
      </c>
      <c r="Y1990" s="8">
        <v>90364403</v>
      </c>
      <c r="Z1990">
        <v>20200109</v>
      </c>
      <c r="AA1990">
        <f t="shared" si="77"/>
        <v>70</v>
      </c>
      <c r="AB1990">
        <v>0</v>
      </c>
      <c r="AC1990">
        <f>AA1990</f>
        <v>70</v>
      </c>
      <c r="AD1990">
        <v>600006522</v>
      </c>
      <c r="AE1990" t="s">
        <v>878</v>
      </c>
      <c r="AF1990" s="4">
        <f t="shared" si="78"/>
        <v>70</v>
      </c>
      <c r="AG1990" t="s">
        <v>93</v>
      </c>
      <c r="AH1990" t="s">
        <v>1123</v>
      </c>
      <c r="AI1990">
        <v>600023636</v>
      </c>
      <c r="AJ1990" t="s">
        <v>1125</v>
      </c>
      <c r="AK1990" t="s">
        <v>1124</v>
      </c>
      <c r="AL1990">
        <v>340621790</v>
      </c>
      <c r="AM1990" t="s">
        <v>132</v>
      </c>
    </row>
    <row r="1991" spans="1:39" x14ac:dyDescent="0.35">
      <c r="A1991">
        <v>3407</v>
      </c>
      <c r="B1991" t="s">
        <v>870</v>
      </c>
      <c r="C1991">
        <v>2020</v>
      </c>
      <c r="D1991" s="1">
        <v>43831</v>
      </c>
      <c r="E1991">
        <v>1</v>
      </c>
      <c r="F1991">
        <v>700009994</v>
      </c>
      <c r="G1991" t="s">
        <v>120</v>
      </c>
      <c r="H1991">
        <v>81</v>
      </c>
      <c r="I1991">
        <v>71106040</v>
      </c>
      <c r="J1991">
        <v>21021040</v>
      </c>
      <c r="K1991" t="s">
        <v>125</v>
      </c>
      <c r="L1991" s="4">
        <v>3301.54</v>
      </c>
      <c r="M1991" t="s">
        <v>54</v>
      </c>
      <c r="N1991" s="4">
        <v>62350.239999999998</v>
      </c>
      <c r="O1991" t="s">
        <v>31</v>
      </c>
      <c r="R1991" t="s">
        <v>1121</v>
      </c>
      <c r="S1991">
        <v>752738581</v>
      </c>
      <c r="T1991">
        <v>602358</v>
      </c>
      <c r="U1991" t="s">
        <v>130</v>
      </c>
      <c r="X1991" t="s">
        <v>870</v>
      </c>
      <c r="Y1991" s="8">
        <v>2263212</v>
      </c>
      <c r="Z1991">
        <v>20200109</v>
      </c>
      <c r="AA1991">
        <f t="shared" si="77"/>
        <v>3301.54</v>
      </c>
      <c r="AB1991">
        <v>0</v>
      </c>
      <c r="AC1991">
        <f>AA1991</f>
        <v>3301.54</v>
      </c>
      <c r="AD1991">
        <v>700012257</v>
      </c>
      <c r="AE1991" t="s">
        <v>879</v>
      </c>
      <c r="AF1991" s="4">
        <f t="shared" si="78"/>
        <v>3301.54</v>
      </c>
      <c r="AG1991" t="s">
        <v>57</v>
      </c>
      <c r="AH1991" t="s">
        <v>1123</v>
      </c>
      <c r="AI1991">
        <v>700014540</v>
      </c>
      <c r="AJ1991" t="s">
        <v>1125</v>
      </c>
      <c r="AK1991" t="s">
        <v>1124</v>
      </c>
      <c r="AL1991">
        <v>340721790</v>
      </c>
      <c r="AM1991" t="s">
        <v>244</v>
      </c>
    </row>
    <row r="1992" spans="1:39" x14ac:dyDescent="0.35">
      <c r="A1992">
        <v>3407</v>
      </c>
      <c r="B1992" t="s">
        <v>870</v>
      </c>
      <c r="C1992">
        <v>2020</v>
      </c>
      <c r="D1992" s="1">
        <v>43831</v>
      </c>
      <c r="E1992">
        <v>1</v>
      </c>
      <c r="F1992">
        <v>700009999</v>
      </c>
      <c r="G1992" t="s">
        <v>120</v>
      </c>
      <c r="H1992">
        <v>81</v>
      </c>
      <c r="I1992">
        <v>71106040</v>
      </c>
      <c r="J1992">
        <v>21021040</v>
      </c>
      <c r="K1992" t="s">
        <v>125</v>
      </c>
      <c r="L1992" s="4">
        <v>6414.8</v>
      </c>
      <c r="M1992" t="s">
        <v>54</v>
      </c>
      <c r="N1992" s="4">
        <v>121144.78</v>
      </c>
      <c r="O1992" t="s">
        <v>31</v>
      </c>
      <c r="R1992" t="s">
        <v>1121</v>
      </c>
      <c r="S1992">
        <v>364415727</v>
      </c>
      <c r="T1992">
        <v>800423</v>
      </c>
      <c r="U1992" t="s">
        <v>880</v>
      </c>
      <c r="X1992" t="s">
        <v>870</v>
      </c>
      <c r="Y1992" s="8" t="s">
        <v>1181</v>
      </c>
      <c r="Z1992">
        <v>20200109</v>
      </c>
      <c r="AA1992">
        <f t="shared" si="77"/>
        <v>6414.8</v>
      </c>
      <c r="AB1992">
        <v>0</v>
      </c>
      <c r="AC1992">
        <f t="shared" si="77"/>
        <v>121144.78</v>
      </c>
      <c r="AD1992">
        <v>700012264</v>
      </c>
      <c r="AE1992" t="s">
        <v>881</v>
      </c>
      <c r="AF1992" s="4">
        <f t="shared" si="78"/>
        <v>121144.78</v>
      </c>
      <c r="AG1992" t="s">
        <v>93</v>
      </c>
      <c r="AH1992" t="s">
        <v>1123</v>
      </c>
      <c r="AI1992">
        <v>700027333</v>
      </c>
      <c r="AJ1992" t="s">
        <v>1125</v>
      </c>
      <c r="AK1992" t="s">
        <v>1124</v>
      </c>
      <c r="AL1992">
        <v>340721790</v>
      </c>
      <c r="AM1992" t="s">
        <v>244</v>
      </c>
    </row>
    <row r="1993" spans="1:39" x14ac:dyDescent="0.35">
      <c r="A1993">
        <v>3403</v>
      </c>
      <c r="B1993" t="s">
        <v>870</v>
      </c>
      <c r="C1993">
        <v>2020</v>
      </c>
      <c r="D1993" s="1">
        <v>43831</v>
      </c>
      <c r="E1993">
        <v>1</v>
      </c>
      <c r="F1993">
        <v>300004961</v>
      </c>
      <c r="G1993" t="s">
        <v>120</v>
      </c>
      <c r="H1993">
        <v>81</v>
      </c>
      <c r="I1993">
        <v>71105120</v>
      </c>
      <c r="J1993">
        <v>21021040</v>
      </c>
      <c r="K1993" t="s">
        <v>268</v>
      </c>
      <c r="L1993" s="4">
        <v>237.5</v>
      </c>
      <c r="M1993" t="s">
        <v>54</v>
      </c>
      <c r="N1993" s="4">
        <v>4485.24</v>
      </c>
      <c r="O1993" t="s">
        <v>31</v>
      </c>
      <c r="R1993" t="s">
        <v>1121</v>
      </c>
      <c r="S1993">
        <v>453325398</v>
      </c>
      <c r="T1993">
        <v>101653</v>
      </c>
      <c r="U1993" t="s">
        <v>784</v>
      </c>
      <c r="X1993" t="s">
        <v>870</v>
      </c>
      <c r="Y1993" s="8" t="s">
        <v>802</v>
      </c>
      <c r="Z1993">
        <v>20200109</v>
      </c>
      <c r="AA1993">
        <f t="shared" si="77"/>
        <v>237.5</v>
      </c>
      <c r="AB1993">
        <v>0</v>
      </c>
      <c r="AC1993">
        <f>AA1993</f>
        <v>237.5</v>
      </c>
      <c r="AD1993">
        <v>300008820</v>
      </c>
      <c r="AE1993" t="s">
        <v>882</v>
      </c>
      <c r="AF1993" s="4">
        <f t="shared" si="78"/>
        <v>237.5</v>
      </c>
      <c r="AG1993" t="s">
        <v>1157</v>
      </c>
      <c r="AH1993" t="s">
        <v>1123</v>
      </c>
      <c r="AI1993">
        <v>300231884</v>
      </c>
      <c r="AJ1993" t="s">
        <v>1125</v>
      </c>
      <c r="AK1993" t="s">
        <v>1124</v>
      </c>
      <c r="AL1993">
        <v>340353290</v>
      </c>
      <c r="AM1993" t="s">
        <v>222</v>
      </c>
    </row>
    <row r="1994" spans="1:39" x14ac:dyDescent="0.35">
      <c r="A1994">
        <v>3407</v>
      </c>
      <c r="B1994" t="s">
        <v>870</v>
      </c>
      <c r="C1994">
        <v>2020</v>
      </c>
      <c r="D1994" s="1">
        <v>43831</v>
      </c>
      <c r="E1994">
        <v>1</v>
      </c>
      <c r="F1994">
        <v>700010043</v>
      </c>
      <c r="G1994" t="s">
        <v>120</v>
      </c>
      <c r="H1994">
        <v>81</v>
      </c>
      <c r="I1994">
        <v>71105120</v>
      </c>
      <c r="J1994">
        <v>21021040</v>
      </c>
      <c r="K1994" t="s">
        <v>268</v>
      </c>
      <c r="L1994" s="4">
        <v>6000</v>
      </c>
      <c r="M1994" t="s">
        <v>31</v>
      </c>
      <c r="N1994" s="4">
        <v>6000</v>
      </c>
      <c r="O1994" t="s">
        <v>31</v>
      </c>
      <c r="R1994" t="s">
        <v>883</v>
      </c>
      <c r="S1994" t="s">
        <v>1169</v>
      </c>
      <c r="T1994">
        <v>109452</v>
      </c>
      <c r="U1994" t="s">
        <v>884</v>
      </c>
      <c r="X1994" t="s">
        <v>870</v>
      </c>
      <c r="Y1994" s="8">
        <v>466</v>
      </c>
      <c r="Z1994">
        <v>4501207040</v>
      </c>
      <c r="AA1994">
        <f t="shared" si="77"/>
        <v>6000</v>
      </c>
      <c r="AB1994">
        <f>AA1994*0.16</f>
        <v>960</v>
      </c>
      <c r="AC1994">
        <f>AA1994+AB1994</f>
        <v>6960</v>
      </c>
      <c r="AD1994">
        <v>700015417</v>
      </c>
      <c r="AE1994" t="s">
        <v>885</v>
      </c>
      <c r="AF1994" s="4">
        <f t="shared" si="78"/>
        <v>6960</v>
      </c>
      <c r="AG1994" t="s">
        <v>1146</v>
      </c>
      <c r="AH1994" t="s">
        <v>1123</v>
      </c>
      <c r="AI1994">
        <v>700045701</v>
      </c>
      <c r="AJ1994" t="s">
        <v>1136</v>
      </c>
      <c r="AK1994" t="s">
        <v>1135</v>
      </c>
      <c r="AL1994">
        <v>340725490</v>
      </c>
      <c r="AM1994" t="s">
        <v>244</v>
      </c>
    </row>
    <row r="1995" spans="1:39" x14ac:dyDescent="0.35">
      <c r="A1995">
        <v>3407</v>
      </c>
      <c r="B1995" t="s">
        <v>870</v>
      </c>
      <c r="C1995">
        <v>2020</v>
      </c>
      <c r="D1995" s="1">
        <v>43831</v>
      </c>
      <c r="E1995">
        <v>1</v>
      </c>
      <c r="F1995">
        <v>700010044</v>
      </c>
      <c r="G1995" t="s">
        <v>120</v>
      </c>
      <c r="H1995">
        <v>81</v>
      </c>
      <c r="I1995">
        <v>71105120</v>
      </c>
      <c r="J1995">
        <v>21021040</v>
      </c>
      <c r="K1995" t="s">
        <v>268</v>
      </c>
      <c r="L1995" s="4">
        <v>6000</v>
      </c>
      <c r="M1995" t="s">
        <v>31</v>
      </c>
      <c r="N1995" s="4">
        <v>6000</v>
      </c>
      <c r="O1995" t="s">
        <v>31</v>
      </c>
      <c r="R1995" t="s">
        <v>883</v>
      </c>
      <c r="S1995" t="s">
        <v>1169</v>
      </c>
      <c r="T1995">
        <v>109452</v>
      </c>
      <c r="U1995" t="s">
        <v>884</v>
      </c>
      <c r="X1995" t="s">
        <v>870</v>
      </c>
      <c r="Y1995" s="8">
        <v>466</v>
      </c>
      <c r="Z1995">
        <v>4501207040</v>
      </c>
      <c r="AA1995">
        <f t="shared" si="77"/>
        <v>6000</v>
      </c>
      <c r="AB1995">
        <f>AA1995*0.16</f>
        <v>960</v>
      </c>
      <c r="AC1995">
        <f>AA1995+AB1995</f>
        <v>6960</v>
      </c>
      <c r="AD1995">
        <v>700015417</v>
      </c>
      <c r="AE1995" t="s">
        <v>885</v>
      </c>
      <c r="AF1995" s="4">
        <f t="shared" si="78"/>
        <v>6960</v>
      </c>
      <c r="AG1995" t="s">
        <v>1146</v>
      </c>
      <c r="AH1995" t="s">
        <v>1123</v>
      </c>
      <c r="AI1995">
        <v>700045701</v>
      </c>
      <c r="AJ1995" t="s">
        <v>1136</v>
      </c>
      <c r="AK1995" t="s">
        <v>1135</v>
      </c>
      <c r="AL1995">
        <v>340725190</v>
      </c>
      <c r="AM1995" t="s">
        <v>244</v>
      </c>
    </row>
    <row r="1996" spans="1:39" x14ac:dyDescent="0.35">
      <c r="A1996">
        <v>3407</v>
      </c>
      <c r="B1996" t="s">
        <v>870</v>
      </c>
      <c r="C1996">
        <v>2020</v>
      </c>
      <c r="D1996" s="1">
        <v>43831</v>
      </c>
      <c r="E1996">
        <v>1</v>
      </c>
      <c r="F1996">
        <v>700010098</v>
      </c>
      <c r="G1996" t="s">
        <v>120</v>
      </c>
      <c r="H1996">
        <v>81</v>
      </c>
      <c r="I1996">
        <v>71105060</v>
      </c>
      <c r="J1996">
        <v>21021040</v>
      </c>
      <c r="K1996" t="s">
        <v>238</v>
      </c>
      <c r="L1996" s="4">
        <v>26223.79</v>
      </c>
      <c r="M1996" t="s">
        <v>31</v>
      </c>
      <c r="N1996" s="4">
        <v>26223.79</v>
      </c>
      <c r="O1996" t="s">
        <v>31</v>
      </c>
      <c r="T1996">
        <v>500006</v>
      </c>
      <c r="U1996" t="s">
        <v>539</v>
      </c>
      <c r="X1996" t="s">
        <v>870</v>
      </c>
      <c r="Y1996">
        <v>1756</v>
      </c>
      <c r="Z1996">
        <v>20200109</v>
      </c>
      <c r="AA1996">
        <f t="shared" si="77"/>
        <v>26223.79</v>
      </c>
      <c r="AC1996"/>
      <c r="AE1996" t="s">
        <v>886</v>
      </c>
      <c r="AF1996"/>
      <c r="AL1996">
        <v>340727190</v>
      </c>
      <c r="AM1996" t="s">
        <v>541</v>
      </c>
    </row>
    <row r="1997" spans="1:39" x14ac:dyDescent="0.35">
      <c r="A1997">
        <v>3407</v>
      </c>
      <c r="B1997" t="s">
        <v>870</v>
      </c>
      <c r="C1997">
        <v>2020</v>
      </c>
      <c r="D1997" s="1">
        <v>43831</v>
      </c>
      <c r="E1997">
        <v>1</v>
      </c>
      <c r="F1997">
        <v>700010099</v>
      </c>
      <c r="G1997" t="s">
        <v>120</v>
      </c>
      <c r="H1997">
        <v>81</v>
      </c>
      <c r="I1997">
        <v>71105060</v>
      </c>
      <c r="J1997">
        <v>21021040</v>
      </c>
      <c r="K1997" t="s">
        <v>238</v>
      </c>
      <c r="L1997" s="4">
        <v>62937.09</v>
      </c>
      <c r="M1997" t="s">
        <v>31</v>
      </c>
      <c r="N1997" s="4">
        <v>62937.09</v>
      </c>
      <c r="O1997" t="s">
        <v>31</v>
      </c>
      <c r="T1997">
        <v>500006</v>
      </c>
      <c r="U1997" t="s">
        <v>539</v>
      </c>
      <c r="X1997" t="s">
        <v>870</v>
      </c>
      <c r="Y1997">
        <v>1757</v>
      </c>
      <c r="Z1997">
        <v>20200109</v>
      </c>
      <c r="AA1997">
        <f t="shared" si="77"/>
        <v>62937.09</v>
      </c>
      <c r="AC1997"/>
      <c r="AE1997" t="s">
        <v>886</v>
      </c>
      <c r="AF1997"/>
      <c r="AL1997">
        <v>340727190</v>
      </c>
      <c r="AM1997" t="s">
        <v>541</v>
      </c>
    </row>
    <row r="1998" spans="1:39" x14ac:dyDescent="0.35">
      <c r="A1998">
        <v>3407</v>
      </c>
      <c r="B1998" t="s">
        <v>870</v>
      </c>
      <c r="C1998">
        <v>2020</v>
      </c>
      <c r="D1998" s="1">
        <v>43831</v>
      </c>
      <c r="E1998">
        <v>1</v>
      </c>
      <c r="F1998">
        <v>700011257</v>
      </c>
      <c r="G1998" t="s">
        <v>120</v>
      </c>
      <c r="H1998">
        <v>91</v>
      </c>
      <c r="I1998">
        <v>71105060</v>
      </c>
      <c r="J1998">
        <v>21021040</v>
      </c>
      <c r="K1998" t="s">
        <v>238</v>
      </c>
      <c r="L1998" s="4">
        <v>26223.79</v>
      </c>
      <c r="M1998" t="s">
        <v>31</v>
      </c>
      <c r="N1998" s="4">
        <v>26223.79</v>
      </c>
      <c r="O1998" t="s">
        <v>31</v>
      </c>
      <c r="T1998">
        <v>500006</v>
      </c>
      <c r="U1998" t="s">
        <v>539</v>
      </c>
      <c r="X1998" t="s">
        <v>309</v>
      </c>
      <c r="Y1998">
        <v>1756</v>
      </c>
      <c r="Z1998">
        <v>20200109</v>
      </c>
      <c r="AA1998">
        <f t="shared" si="77"/>
        <v>26223.79</v>
      </c>
      <c r="AC1998"/>
      <c r="AE1998" t="s">
        <v>886</v>
      </c>
      <c r="AF1998"/>
      <c r="AL1998">
        <v>340727190</v>
      </c>
      <c r="AM1998" t="s">
        <v>887</v>
      </c>
    </row>
    <row r="1999" spans="1:39" x14ac:dyDescent="0.35">
      <c r="A1999">
        <v>3407</v>
      </c>
      <c r="B1999" t="s">
        <v>870</v>
      </c>
      <c r="C1999">
        <v>2020</v>
      </c>
      <c r="D1999" s="1">
        <v>43831</v>
      </c>
      <c r="E1999">
        <v>1</v>
      </c>
      <c r="F1999">
        <v>700011258</v>
      </c>
      <c r="G1999" t="s">
        <v>120</v>
      </c>
      <c r="H1999">
        <v>91</v>
      </c>
      <c r="I1999">
        <v>71105060</v>
      </c>
      <c r="J1999">
        <v>21021040</v>
      </c>
      <c r="K1999" t="s">
        <v>238</v>
      </c>
      <c r="L1999" s="4">
        <v>62937.09</v>
      </c>
      <c r="M1999" t="s">
        <v>31</v>
      </c>
      <c r="N1999" s="4">
        <v>62937.09</v>
      </c>
      <c r="O1999" t="s">
        <v>31</v>
      </c>
      <c r="T1999">
        <v>500006</v>
      </c>
      <c r="U1999" t="s">
        <v>539</v>
      </c>
      <c r="X1999" t="s">
        <v>309</v>
      </c>
      <c r="Y1999">
        <v>1757</v>
      </c>
      <c r="Z1999">
        <v>20200109</v>
      </c>
      <c r="AA1999">
        <f t="shared" si="77"/>
        <v>62937.09</v>
      </c>
      <c r="AC1999"/>
      <c r="AE1999" t="s">
        <v>886</v>
      </c>
      <c r="AF1999"/>
      <c r="AL1999">
        <v>340727190</v>
      </c>
      <c r="AM1999" t="s">
        <v>887</v>
      </c>
    </row>
    <row r="2000" spans="1:39" x14ac:dyDescent="0.35">
      <c r="A2000">
        <v>3403</v>
      </c>
      <c r="B2000" t="s">
        <v>57</v>
      </c>
      <c r="C2000">
        <v>2020</v>
      </c>
      <c r="D2000" s="1">
        <v>43831</v>
      </c>
      <c r="E2000">
        <v>1</v>
      </c>
      <c r="F2000">
        <v>300007738</v>
      </c>
      <c r="G2000" t="s">
        <v>120</v>
      </c>
      <c r="H2000">
        <v>81</v>
      </c>
      <c r="I2000">
        <v>71106040</v>
      </c>
      <c r="J2000">
        <v>21021040</v>
      </c>
      <c r="K2000" t="s">
        <v>125</v>
      </c>
      <c r="L2000" s="4">
        <v>161502.39999999999</v>
      </c>
      <c r="M2000" t="s">
        <v>31</v>
      </c>
      <c r="N2000" s="4">
        <v>161502.39999999999</v>
      </c>
      <c r="O2000" t="s">
        <v>31</v>
      </c>
      <c r="R2000" t="s">
        <v>1121</v>
      </c>
      <c r="S2000" t="s">
        <v>1140</v>
      </c>
      <c r="T2000">
        <v>600271</v>
      </c>
      <c r="U2000" t="s">
        <v>772</v>
      </c>
      <c r="X2000" t="s">
        <v>57</v>
      </c>
      <c r="Y2000" s="8">
        <v>1548691574</v>
      </c>
      <c r="Z2000">
        <v>4501217918</v>
      </c>
      <c r="AA2000">
        <f t="shared" si="77"/>
        <v>161502.39999999999</v>
      </c>
      <c r="AB2000">
        <v>0</v>
      </c>
      <c r="AC2000">
        <f>AA2000</f>
        <v>161502.39999999999</v>
      </c>
      <c r="AD2000">
        <v>300007791</v>
      </c>
      <c r="AE2000" t="s">
        <v>888</v>
      </c>
      <c r="AF2000" s="4">
        <f>AD2000</f>
        <v>300007791</v>
      </c>
      <c r="AG2000" t="s">
        <v>81</v>
      </c>
      <c r="AH2000" t="s">
        <v>1123</v>
      </c>
      <c r="AI2000">
        <v>300011043</v>
      </c>
      <c r="AJ2000" t="s">
        <v>1136</v>
      </c>
      <c r="AK2000" t="s">
        <v>1135</v>
      </c>
      <c r="AL2000">
        <v>340321990</v>
      </c>
      <c r="AM2000" t="s">
        <v>177</v>
      </c>
    </row>
    <row r="2001" spans="1:39" x14ac:dyDescent="0.35">
      <c r="A2001">
        <v>3403</v>
      </c>
      <c r="B2001" t="s">
        <v>57</v>
      </c>
      <c r="C2001">
        <v>2020</v>
      </c>
      <c r="D2001" s="1">
        <v>43831</v>
      </c>
      <c r="E2001">
        <v>1</v>
      </c>
      <c r="F2001">
        <v>300007740</v>
      </c>
      <c r="G2001" t="s">
        <v>120</v>
      </c>
      <c r="H2001">
        <v>81</v>
      </c>
      <c r="I2001">
        <v>71106040</v>
      </c>
      <c r="J2001">
        <v>21021040</v>
      </c>
      <c r="K2001" t="s">
        <v>125</v>
      </c>
      <c r="L2001" s="4">
        <v>1542.84</v>
      </c>
      <c r="M2001" t="s">
        <v>54</v>
      </c>
      <c r="N2001" s="4">
        <v>28964.04</v>
      </c>
      <c r="O2001" t="s">
        <v>31</v>
      </c>
      <c r="R2001" t="s">
        <v>1121</v>
      </c>
      <c r="S2001">
        <v>752738581</v>
      </c>
      <c r="T2001">
        <v>602358</v>
      </c>
      <c r="U2001" t="s">
        <v>130</v>
      </c>
      <c r="X2001" t="s">
        <v>57</v>
      </c>
      <c r="Y2001" s="8">
        <v>2273654</v>
      </c>
      <c r="Z2001">
        <v>20200114</v>
      </c>
      <c r="AA2001">
        <f t="shared" si="77"/>
        <v>1542.84</v>
      </c>
      <c r="AB2001">
        <v>0</v>
      </c>
      <c r="AC2001">
        <f>AA2001</f>
        <v>1542.84</v>
      </c>
      <c r="AD2001">
        <v>300007788</v>
      </c>
      <c r="AE2001" t="s">
        <v>889</v>
      </c>
      <c r="AF2001" s="4">
        <f>AC2001</f>
        <v>1542.84</v>
      </c>
      <c r="AG2001" t="s">
        <v>81</v>
      </c>
      <c r="AH2001" t="s">
        <v>1123</v>
      </c>
      <c r="AI2001">
        <v>300011529</v>
      </c>
      <c r="AJ2001" t="s">
        <v>1125</v>
      </c>
      <c r="AK2001" t="s">
        <v>1124</v>
      </c>
      <c r="AL2001">
        <v>340321990</v>
      </c>
      <c r="AM2001" t="s">
        <v>177</v>
      </c>
    </row>
    <row r="2002" spans="1:39" x14ac:dyDescent="0.35">
      <c r="A2002">
        <v>3402</v>
      </c>
      <c r="B2002" t="s">
        <v>57</v>
      </c>
      <c r="C2002">
        <v>2020</v>
      </c>
      <c r="D2002" s="1">
        <v>43831</v>
      </c>
      <c r="E2002">
        <v>1</v>
      </c>
      <c r="F2002">
        <v>200038408</v>
      </c>
      <c r="G2002" t="s">
        <v>120</v>
      </c>
      <c r="H2002">
        <v>81</v>
      </c>
      <c r="I2002">
        <v>71105060</v>
      </c>
      <c r="J2002">
        <v>21021040</v>
      </c>
      <c r="K2002" t="s">
        <v>238</v>
      </c>
      <c r="L2002" s="4">
        <v>64800</v>
      </c>
      <c r="M2002" t="s">
        <v>31</v>
      </c>
      <c r="N2002" s="4">
        <v>64800</v>
      </c>
      <c r="O2002" t="s">
        <v>31</v>
      </c>
      <c r="R2002" t="s">
        <v>890</v>
      </c>
      <c r="S2002" t="s">
        <v>1151</v>
      </c>
      <c r="T2002">
        <v>109766</v>
      </c>
      <c r="U2002" t="s">
        <v>406</v>
      </c>
      <c r="X2002" t="s">
        <v>57</v>
      </c>
      <c r="Y2002" s="8">
        <v>5023</v>
      </c>
      <c r="Z2002">
        <v>20200114</v>
      </c>
      <c r="AA2002">
        <f t="shared" ref="AA2002:AA2065" si="79">L2002</f>
        <v>64800</v>
      </c>
      <c r="AB2002">
        <f>AA2002*0.16</f>
        <v>10368</v>
      </c>
      <c r="AC2002">
        <f>AA2002+AB2002</f>
        <v>75168</v>
      </c>
      <c r="AD2002">
        <v>200038491</v>
      </c>
      <c r="AE2002" t="s">
        <v>891</v>
      </c>
      <c r="AF2002" s="4">
        <f>AC2002</f>
        <v>75168</v>
      </c>
      <c r="AG2002" t="s">
        <v>39</v>
      </c>
      <c r="AH2002" t="s">
        <v>1123</v>
      </c>
      <c r="AI2002">
        <v>200038700</v>
      </c>
      <c r="AJ2002" t="s">
        <v>1136</v>
      </c>
      <c r="AK2002" t="s">
        <v>1135</v>
      </c>
      <c r="AL2002">
        <v>340225290</v>
      </c>
      <c r="AM2002" t="s">
        <v>135</v>
      </c>
    </row>
    <row r="2003" spans="1:39" x14ac:dyDescent="0.35">
      <c r="A2003">
        <v>3401</v>
      </c>
      <c r="B2003" t="s">
        <v>57</v>
      </c>
      <c r="C2003">
        <v>2020</v>
      </c>
      <c r="D2003" s="1">
        <v>43831</v>
      </c>
      <c r="E2003">
        <v>1</v>
      </c>
      <c r="F2003">
        <v>100013915</v>
      </c>
      <c r="G2003" t="s">
        <v>120</v>
      </c>
      <c r="H2003">
        <v>81</v>
      </c>
      <c r="I2003">
        <v>71104010</v>
      </c>
      <c r="J2003">
        <v>21021040</v>
      </c>
      <c r="K2003" t="s">
        <v>121</v>
      </c>
      <c r="L2003" s="4">
        <v>50484</v>
      </c>
      <c r="M2003" t="s">
        <v>31</v>
      </c>
      <c r="N2003" s="4">
        <v>50484</v>
      </c>
      <c r="O2003" t="s">
        <v>31</v>
      </c>
      <c r="R2003" t="s">
        <v>122</v>
      </c>
      <c r="S2003" t="s">
        <v>1131</v>
      </c>
      <c r="T2003">
        <v>107211</v>
      </c>
      <c r="U2003" t="s">
        <v>123</v>
      </c>
      <c r="X2003" t="s">
        <v>57</v>
      </c>
      <c r="Y2003" s="8">
        <v>4501216248</v>
      </c>
      <c r="Z2003" t="s">
        <v>1127</v>
      </c>
      <c r="AA2003">
        <f t="shared" si="79"/>
        <v>50484</v>
      </c>
      <c r="AC2003"/>
      <c r="AD2003">
        <v>100036889</v>
      </c>
      <c r="AE2003" t="s">
        <v>1128</v>
      </c>
      <c r="AG2003" t="s">
        <v>51</v>
      </c>
      <c r="AH2003" t="s">
        <v>1123</v>
      </c>
      <c r="AI2003">
        <v>100036917</v>
      </c>
      <c r="AJ2003" t="s">
        <v>1148</v>
      </c>
      <c r="AK2003" t="s">
        <v>1129</v>
      </c>
      <c r="AL2003">
        <v>340118590</v>
      </c>
      <c r="AM2003" t="s">
        <v>124</v>
      </c>
    </row>
    <row r="2004" spans="1:39" x14ac:dyDescent="0.35">
      <c r="A2004">
        <v>3407</v>
      </c>
      <c r="B2004" t="s">
        <v>57</v>
      </c>
      <c r="C2004">
        <v>2020</v>
      </c>
      <c r="D2004" s="1">
        <v>43831</v>
      </c>
      <c r="E2004">
        <v>1</v>
      </c>
      <c r="F2004">
        <v>700014636</v>
      </c>
      <c r="G2004" t="s">
        <v>120</v>
      </c>
      <c r="H2004">
        <v>81</v>
      </c>
      <c r="I2004">
        <v>71105120</v>
      </c>
      <c r="J2004">
        <v>21021040</v>
      </c>
      <c r="K2004" t="s">
        <v>268</v>
      </c>
      <c r="L2004" s="4">
        <v>12540</v>
      </c>
      <c r="M2004" t="s">
        <v>54</v>
      </c>
      <c r="N2004" s="4">
        <v>235415.93</v>
      </c>
      <c r="O2004" t="s">
        <v>31</v>
      </c>
      <c r="R2004" t="s">
        <v>892</v>
      </c>
      <c r="S2004" t="s">
        <v>1173</v>
      </c>
      <c r="T2004">
        <v>109733</v>
      </c>
      <c r="U2004" t="s">
        <v>893</v>
      </c>
      <c r="X2004" t="s">
        <v>57</v>
      </c>
      <c r="Y2004" s="8">
        <v>1059</v>
      </c>
      <c r="Z2004">
        <v>1059</v>
      </c>
      <c r="AA2004">
        <f t="shared" si="79"/>
        <v>12540</v>
      </c>
      <c r="AB2004">
        <f>AA2004*0.16</f>
        <v>2006.4</v>
      </c>
      <c r="AC2004">
        <f>AA2004+AB2004</f>
        <v>14546.4</v>
      </c>
      <c r="AD2004">
        <v>700014679</v>
      </c>
      <c r="AE2004" t="s">
        <v>894</v>
      </c>
      <c r="AF2004" s="4">
        <f>AC2004</f>
        <v>14546.4</v>
      </c>
      <c r="AG2004" t="s">
        <v>1126</v>
      </c>
      <c r="AH2004" t="s">
        <v>1123</v>
      </c>
      <c r="AI2004">
        <v>700052487</v>
      </c>
      <c r="AJ2004" t="s">
        <v>1125</v>
      </c>
      <c r="AK2004" t="s">
        <v>1124</v>
      </c>
      <c r="AL2004">
        <v>340746390</v>
      </c>
      <c r="AM2004" t="s">
        <v>244</v>
      </c>
    </row>
    <row r="2005" spans="1:39" x14ac:dyDescent="0.35">
      <c r="A2005">
        <v>3402</v>
      </c>
      <c r="B2005" t="s">
        <v>57</v>
      </c>
      <c r="C2005">
        <v>2020</v>
      </c>
      <c r="D2005" s="1">
        <v>43831</v>
      </c>
      <c r="E2005">
        <v>1</v>
      </c>
      <c r="F2005">
        <v>200038793</v>
      </c>
      <c r="G2005" t="s">
        <v>120</v>
      </c>
      <c r="H2005">
        <v>81</v>
      </c>
      <c r="I2005">
        <v>71106150</v>
      </c>
      <c r="J2005">
        <v>21021040</v>
      </c>
      <c r="K2005" t="s">
        <v>102</v>
      </c>
      <c r="L2005" s="4">
        <v>24002.6</v>
      </c>
      <c r="M2005" t="s">
        <v>31</v>
      </c>
      <c r="N2005" s="4">
        <v>24002.6</v>
      </c>
      <c r="O2005" t="s">
        <v>31</v>
      </c>
      <c r="T2005">
        <v>604928</v>
      </c>
      <c r="U2005" t="s">
        <v>245</v>
      </c>
      <c r="X2005" t="s">
        <v>57</v>
      </c>
      <c r="Y2005" t="s">
        <v>246</v>
      </c>
      <c r="Z2005">
        <v>20200114</v>
      </c>
      <c r="AA2005">
        <f t="shared" si="79"/>
        <v>24002.6</v>
      </c>
      <c r="AC2005"/>
      <c r="AE2005" t="s">
        <v>895</v>
      </c>
      <c r="AF2005"/>
      <c r="AL2005">
        <v>340275190</v>
      </c>
      <c r="AM2005" t="s">
        <v>135</v>
      </c>
    </row>
    <row r="2006" spans="1:39" x14ac:dyDescent="0.35">
      <c r="A2006">
        <v>3401</v>
      </c>
      <c r="B2006" t="s">
        <v>57</v>
      </c>
      <c r="C2006">
        <v>2020</v>
      </c>
      <c r="D2006" s="1">
        <v>43831</v>
      </c>
      <c r="E2006">
        <v>1</v>
      </c>
      <c r="F2006">
        <v>100014034</v>
      </c>
      <c r="G2006" t="s">
        <v>120</v>
      </c>
      <c r="H2006">
        <v>81</v>
      </c>
      <c r="I2006">
        <v>71106150</v>
      </c>
      <c r="J2006">
        <v>21021040</v>
      </c>
      <c r="K2006" t="s">
        <v>102</v>
      </c>
      <c r="L2006" s="4">
        <v>1625.81</v>
      </c>
      <c r="M2006" t="s">
        <v>54</v>
      </c>
      <c r="N2006" s="4">
        <v>30521.66</v>
      </c>
      <c r="O2006" t="s">
        <v>31</v>
      </c>
      <c r="T2006">
        <v>605735</v>
      </c>
      <c r="U2006" t="s">
        <v>896</v>
      </c>
      <c r="X2006" t="s">
        <v>57</v>
      </c>
      <c r="Y2006" t="s">
        <v>871</v>
      </c>
      <c r="Z2006">
        <v>20200114</v>
      </c>
      <c r="AA2006">
        <f t="shared" si="79"/>
        <v>1625.81</v>
      </c>
      <c r="AC2006"/>
      <c r="AE2006" t="s">
        <v>897</v>
      </c>
      <c r="AF2006"/>
      <c r="AL2006">
        <v>340120490</v>
      </c>
      <c r="AM2006" t="s">
        <v>414</v>
      </c>
    </row>
    <row r="2007" spans="1:39" x14ac:dyDescent="0.35">
      <c r="A2007">
        <v>3402</v>
      </c>
      <c r="B2007" t="s">
        <v>57</v>
      </c>
      <c r="C2007">
        <v>2020</v>
      </c>
      <c r="D2007" s="1">
        <v>43831</v>
      </c>
      <c r="E2007">
        <v>1</v>
      </c>
      <c r="F2007">
        <v>200068951</v>
      </c>
      <c r="G2007" t="s">
        <v>120</v>
      </c>
      <c r="H2007">
        <v>91</v>
      </c>
      <c r="I2007">
        <v>71106150</v>
      </c>
      <c r="J2007">
        <v>21021040</v>
      </c>
      <c r="K2007" t="s">
        <v>102</v>
      </c>
      <c r="L2007" s="4">
        <v>24002.6</v>
      </c>
      <c r="M2007" t="s">
        <v>31</v>
      </c>
      <c r="N2007" s="4">
        <v>24002.6</v>
      </c>
      <c r="O2007" t="s">
        <v>31</v>
      </c>
      <c r="T2007">
        <v>604928</v>
      </c>
      <c r="U2007" t="s">
        <v>245</v>
      </c>
      <c r="X2007" t="s">
        <v>258</v>
      </c>
      <c r="Y2007" t="s">
        <v>246</v>
      </c>
      <c r="Z2007">
        <v>20200114</v>
      </c>
      <c r="AA2007">
        <f t="shared" si="79"/>
        <v>24002.6</v>
      </c>
      <c r="AC2007"/>
      <c r="AE2007" t="s">
        <v>895</v>
      </c>
      <c r="AF2007"/>
      <c r="AL2007">
        <v>340275190</v>
      </c>
      <c r="AM2007" t="s">
        <v>135</v>
      </c>
    </row>
    <row r="2008" spans="1:39" x14ac:dyDescent="0.35">
      <c r="A2008">
        <v>3402</v>
      </c>
      <c r="B2008" t="s">
        <v>253</v>
      </c>
      <c r="C2008">
        <v>2020</v>
      </c>
      <c r="D2008" s="1">
        <v>43831</v>
      </c>
      <c r="E2008">
        <v>1</v>
      </c>
      <c r="F2008">
        <v>200038800</v>
      </c>
      <c r="G2008" t="s">
        <v>101</v>
      </c>
      <c r="H2008">
        <v>50</v>
      </c>
      <c r="I2008">
        <v>71104010</v>
      </c>
      <c r="J2008">
        <v>21021040</v>
      </c>
      <c r="K2008" t="s">
        <v>121</v>
      </c>
      <c r="L2008" s="4">
        <v>119.81</v>
      </c>
      <c r="M2008" t="s">
        <v>31</v>
      </c>
      <c r="N2008" s="4">
        <v>119.81</v>
      </c>
      <c r="O2008" t="s">
        <v>31</v>
      </c>
      <c r="X2008" t="s">
        <v>57</v>
      </c>
      <c r="Y2008"/>
      <c r="Z2008">
        <v>20200106</v>
      </c>
      <c r="AA2008">
        <f t="shared" si="79"/>
        <v>119.81</v>
      </c>
      <c r="AC2008"/>
      <c r="AE2008" t="s">
        <v>898</v>
      </c>
      <c r="AF2008"/>
      <c r="AL2008">
        <v>340255290</v>
      </c>
      <c r="AM2008" t="s">
        <v>825</v>
      </c>
    </row>
    <row r="2009" spans="1:39" x14ac:dyDescent="0.35">
      <c r="A2009">
        <v>3407</v>
      </c>
      <c r="B2009" t="s">
        <v>62</v>
      </c>
      <c r="C2009">
        <v>2020</v>
      </c>
      <c r="D2009" s="1">
        <v>43831</v>
      </c>
      <c r="E2009">
        <v>3</v>
      </c>
      <c r="F2009">
        <v>700037181</v>
      </c>
      <c r="G2009" t="s">
        <v>101</v>
      </c>
      <c r="H2009">
        <v>50</v>
      </c>
      <c r="I2009">
        <v>71105120</v>
      </c>
      <c r="J2009">
        <v>54020040</v>
      </c>
      <c r="K2009" t="s">
        <v>268</v>
      </c>
      <c r="L2009" s="4">
        <v>979.62</v>
      </c>
      <c r="M2009" t="s">
        <v>31</v>
      </c>
      <c r="N2009" s="4">
        <v>979.62</v>
      </c>
      <c r="O2009" t="s">
        <v>31</v>
      </c>
      <c r="X2009" t="s">
        <v>47</v>
      </c>
      <c r="Y2009" t="s">
        <v>899</v>
      </c>
      <c r="Z2009" t="s">
        <v>899</v>
      </c>
      <c r="AA2009">
        <f t="shared" si="79"/>
        <v>979.62</v>
      </c>
      <c r="AC2009"/>
      <c r="AE2009" t="s">
        <v>900</v>
      </c>
      <c r="AF2009"/>
      <c r="AL2009">
        <v>340762190</v>
      </c>
      <c r="AM2009" t="s">
        <v>217</v>
      </c>
    </row>
    <row r="2010" spans="1:39" x14ac:dyDescent="0.35">
      <c r="A2010">
        <v>3400</v>
      </c>
      <c r="B2010" t="s">
        <v>61</v>
      </c>
      <c r="C2010">
        <v>2020</v>
      </c>
      <c r="D2010" s="1">
        <v>43831</v>
      </c>
      <c r="E2010">
        <v>1</v>
      </c>
      <c r="F2010">
        <v>100008861</v>
      </c>
      <c r="G2010" t="s">
        <v>96</v>
      </c>
      <c r="H2010">
        <v>40</v>
      </c>
      <c r="I2010">
        <v>71105130</v>
      </c>
      <c r="J2010">
        <v>21021040</v>
      </c>
      <c r="K2010" t="s">
        <v>305</v>
      </c>
      <c r="L2010" s="4">
        <v>337.23</v>
      </c>
      <c r="M2010" t="s">
        <v>31</v>
      </c>
      <c r="N2010" s="4">
        <v>337.23</v>
      </c>
      <c r="O2010" t="s">
        <v>31</v>
      </c>
      <c r="P2010" t="s">
        <v>211</v>
      </c>
      <c r="X2010" t="s">
        <v>61</v>
      </c>
      <c r="Y2010"/>
      <c r="Z2010" t="s">
        <v>901</v>
      </c>
      <c r="AA2010">
        <f t="shared" si="79"/>
        <v>337.23</v>
      </c>
      <c r="AC2010"/>
      <c r="AE2010" t="s">
        <v>902</v>
      </c>
      <c r="AF2010"/>
      <c r="AL2010">
        <v>340024450</v>
      </c>
      <c r="AM2010" t="s">
        <v>78</v>
      </c>
    </row>
    <row r="2011" spans="1:39" x14ac:dyDescent="0.35">
      <c r="A2011">
        <v>3407</v>
      </c>
      <c r="B2011" t="s">
        <v>253</v>
      </c>
      <c r="C2011">
        <v>2020</v>
      </c>
      <c r="D2011" s="1">
        <v>43831</v>
      </c>
      <c r="E2011">
        <v>1</v>
      </c>
      <c r="F2011">
        <v>700009890</v>
      </c>
      <c r="G2011" t="s">
        <v>120</v>
      </c>
      <c r="H2011">
        <v>81</v>
      </c>
      <c r="I2011">
        <v>71105120</v>
      </c>
      <c r="J2011">
        <v>21021040</v>
      </c>
      <c r="K2011" t="s">
        <v>268</v>
      </c>
      <c r="L2011" s="4">
        <v>380</v>
      </c>
      <c r="M2011" t="s">
        <v>54</v>
      </c>
      <c r="N2011" s="4">
        <v>7175.05</v>
      </c>
      <c r="O2011" t="s">
        <v>31</v>
      </c>
      <c r="R2011" t="s">
        <v>1121</v>
      </c>
      <c r="S2011">
        <v>453325398</v>
      </c>
      <c r="T2011">
        <v>101653</v>
      </c>
      <c r="U2011" t="s">
        <v>784</v>
      </c>
      <c r="X2011" t="s">
        <v>870</v>
      </c>
      <c r="Y2011" s="8" t="s">
        <v>903</v>
      </c>
      <c r="Z2011">
        <v>20200106</v>
      </c>
      <c r="AA2011">
        <f t="shared" si="79"/>
        <v>380</v>
      </c>
      <c r="AB2011">
        <v>0</v>
      </c>
      <c r="AC2011">
        <f t="shared" ref="AC2011:AC2012" si="80">AA2011</f>
        <v>380</v>
      </c>
      <c r="AD2011">
        <v>700013889</v>
      </c>
      <c r="AE2011" t="s">
        <v>904</v>
      </c>
      <c r="AF2011" s="4">
        <f t="shared" ref="AF2011:AF2012" si="81">AC2011</f>
        <v>380</v>
      </c>
      <c r="AG2011" t="s">
        <v>258</v>
      </c>
      <c r="AH2011" t="s">
        <v>1123</v>
      </c>
      <c r="AI2011">
        <v>700025837</v>
      </c>
      <c r="AJ2011" t="s">
        <v>1125</v>
      </c>
      <c r="AK2011" t="s">
        <v>1124</v>
      </c>
      <c r="AL2011">
        <v>340753290</v>
      </c>
      <c r="AM2011" t="s">
        <v>244</v>
      </c>
    </row>
    <row r="2012" spans="1:39" x14ac:dyDescent="0.35">
      <c r="A2012">
        <v>3407</v>
      </c>
      <c r="B2012" t="s">
        <v>253</v>
      </c>
      <c r="C2012">
        <v>2020</v>
      </c>
      <c r="D2012" s="1">
        <v>43831</v>
      </c>
      <c r="E2012">
        <v>1</v>
      </c>
      <c r="F2012">
        <v>700009894</v>
      </c>
      <c r="G2012" t="s">
        <v>120</v>
      </c>
      <c r="H2012">
        <v>81</v>
      </c>
      <c r="I2012">
        <v>71105120</v>
      </c>
      <c r="J2012">
        <v>21021040</v>
      </c>
      <c r="K2012" t="s">
        <v>268</v>
      </c>
      <c r="L2012" s="4">
        <v>380</v>
      </c>
      <c r="M2012" t="s">
        <v>54</v>
      </c>
      <c r="N2012" s="4">
        <v>7175.05</v>
      </c>
      <c r="O2012" t="s">
        <v>31</v>
      </c>
      <c r="R2012" t="s">
        <v>1121</v>
      </c>
      <c r="S2012">
        <v>453325398</v>
      </c>
      <c r="T2012">
        <v>101653</v>
      </c>
      <c r="U2012" t="s">
        <v>784</v>
      </c>
      <c r="X2012" t="s">
        <v>870</v>
      </c>
      <c r="Y2012" s="8" t="s">
        <v>903</v>
      </c>
      <c r="Z2012">
        <v>20200106</v>
      </c>
      <c r="AA2012">
        <f t="shared" si="79"/>
        <v>380</v>
      </c>
      <c r="AB2012">
        <v>0</v>
      </c>
      <c r="AC2012">
        <f t="shared" si="80"/>
        <v>380</v>
      </c>
      <c r="AD2012">
        <v>700013889</v>
      </c>
      <c r="AE2012" t="s">
        <v>771</v>
      </c>
      <c r="AF2012" s="4">
        <f t="shared" si="81"/>
        <v>380</v>
      </c>
      <c r="AG2012" t="s">
        <v>258</v>
      </c>
      <c r="AH2012" t="s">
        <v>1123</v>
      </c>
      <c r="AI2012">
        <v>700025837</v>
      </c>
      <c r="AJ2012" t="s">
        <v>1125</v>
      </c>
      <c r="AK2012" t="s">
        <v>1124</v>
      </c>
      <c r="AL2012">
        <v>340753290</v>
      </c>
      <c r="AM2012" t="s">
        <v>244</v>
      </c>
    </row>
    <row r="2013" spans="1:39" x14ac:dyDescent="0.35">
      <c r="A2013">
        <v>3403</v>
      </c>
      <c r="B2013" t="s">
        <v>28</v>
      </c>
      <c r="C2013">
        <v>2020</v>
      </c>
      <c r="D2013" s="1">
        <v>43831</v>
      </c>
      <c r="E2013">
        <v>1</v>
      </c>
      <c r="F2013">
        <v>300019158</v>
      </c>
      <c r="G2013" t="s">
        <v>101</v>
      </c>
      <c r="H2013">
        <v>40</v>
      </c>
      <c r="I2013">
        <v>71105120</v>
      </c>
      <c r="J2013">
        <v>21220060</v>
      </c>
      <c r="K2013" t="s">
        <v>268</v>
      </c>
      <c r="L2013">
        <v>118</v>
      </c>
      <c r="M2013" t="s">
        <v>54</v>
      </c>
      <c r="N2013">
        <v>2207.39</v>
      </c>
      <c r="O2013" t="s">
        <v>31</v>
      </c>
      <c r="W2013">
        <v>300019169</v>
      </c>
      <c r="X2013" t="s">
        <v>32</v>
      </c>
      <c r="Y2013" t="s">
        <v>905</v>
      </c>
      <c r="Z2013" t="s">
        <v>906</v>
      </c>
      <c r="AA2013">
        <f t="shared" si="79"/>
        <v>118</v>
      </c>
      <c r="AC2013"/>
      <c r="AE2013" t="s">
        <v>907</v>
      </c>
      <c r="AF2013"/>
      <c r="AL2013">
        <v>340319290</v>
      </c>
      <c r="AM2013" t="s">
        <v>534</v>
      </c>
    </row>
    <row r="2014" spans="1:39" x14ac:dyDescent="0.35">
      <c r="A2014">
        <v>3403</v>
      </c>
      <c r="B2014" t="s">
        <v>28</v>
      </c>
      <c r="C2014">
        <v>2020</v>
      </c>
      <c r="D2014" s="1">
        <v>43831</v>
      </c>
      <c r="E2014">
        <v>1</v>
      </c>
      <c r="F2014">
        <v>300019169</v>
      </c>
      <c r="G2014" t="s">
        <v>226</v>
      </c>
      <c r="H2014">
        <v>50</v>
      </c>
      <c r="I2014">
        <v>71105120</v>
      </c>
      <c r="J2014">
        <v>21220060</v>
      </c>
      <c r="K2014" t="s">
        <v>268</v>
      </c>
      <c r="L2014">
        <v>118</v>
      </c>
      <c r="M2014" t="s">
        <v>54</v>
      </c>
      <c r="N2014">
        <v>2207.39</v>
      </c>
      <c r="O2014" t="s">
        <v>31</v>
      </c>
      <c r="W2014">
        <v>300019158</v>
      </c>
      <c r="X2014" t="s">
        <v>32</v>
      </c>
      <c r="Y2014" t="s">
        <v>905</v>
      </c>
      <c r="Z2014" t="s">
        <v>906</v>
      </c>
      <c r="AA2014">
        <f t="shared" si="79"/>
        <v>118</v>
      </c>
      <c r="AC2014"/>
      <c r="AE2014" t="s">
        <v>907</v>
      </c>
      <c r="AF2014"/>
      <c r="AL2014">
        <v>340319290</v>
      </c>
      <c r="AM2014" t="s">
        <v>534</v>
      </c>
    </row>
    <row r="2015" spans="1:39" x14ac:dyDescent="0.35">
      <c r="A2015">
        <v>3400</v>
      </c>
      <c r="B2015" t="s">
        <v>61</v>
      </c>
      <c r="C2015">
        <v>2020</v>
      </c>
      <c r="D2015" s="1">
        <v>43831</v>
      </c>
      <c r="E2015">
        <v>1</v>
      </c>
      <c r="F2015">
        <v>100008988</v>
      </c>
      <c r="G2015" t="s">
        <v>96</v>
      </c>
      <c r="H2015">
        <v>40</v>
      </c>
      <c r="I2015">
        <v>71105130</v>
      </c>
      <c r="J2015">
        <v>21021040</v>
      </c>
      <c r="K2015" t="s">
        <v>305</v>
      </c>
      <c r="L2015" s="4">
        <v>250.51</v>
      </c>
      <c r="M2015" t="s">
        <v>31</v>
      </c>
      <c r="N2015" s="4">
        <v>250.51</v>
      </c>
      <c r="O2015" t="s">
        <v>31</v>
      </c>
      <c r="P2015" t="s">
        <v>211</v>
      </c>
      <c r="X2015" t="s">
        <v>61</v>
      </c>
      <c r="Y2015"/>
      <c r="Z2015" t="s">
        <v>908</v>
      </c>
      <c r="AA2015">
        <f t="shared" si="79"/>
        <v>250.51</v>
      </c>
      <c r="AC2015"/>
      <c r="AE2015" t="s">
        <v>902</v>
      </c>
      <c r="AF2015"/>
      <c r="AL2015">
        <v>340022550</v>
      </c>
      <c r="AM2015" t="s">
        <v>78</v>
      </c>
    </row>
    <row r="2016" spans="1:39" x14ac:dyDescent="0.35">
      <c r="A2016">
        <v>3400</v>
      </c>
      <c r="B2016" t="s">
        <v>61</v>
      </c>
      <c r="C2016">
        <v>2020</v>
      </c>
      <c r="D2016" s="1">
        <v>43831</v>
      </c>
      <c r="E2016">
        <v>1</v>
      </c>
      <c r="F2016">
        <v>100008860</v>
      </c>
      <c r="G2016" t="s">
        <v>96</v>
      </c>
      <c r="H2016">
        <v>40</v>
      </c>
      <c r="I2016">
        <v>71105130</v>
      </c>
      <c r="J2016">
        <v>21021040</v>
      </c>
      <c r="K2016" t="s">
        <v>305</v>
      </c>
      <c r="L2016" s="4">
        <v>375.77</v>
      </c>
      <c r="M2016" t="s">
        <v>31</v>
      </c>
      <c r="N2016" s="4">
        <v>375.77</v>
      </c>
      <c r="O2016" t="s">
        <v>31</v>
      </c>
      <c r="P2016" t="s">
        <v>211</v>
      </c>
      <c r="X2016" t="s">
        <v>61</v>
      </c>
      <c r="Y2016"/>
      <c r="Z2016" t="s">
        <v>909</v>
      </c>
      <c r="AA2016">
        <f t="shared" si="79"/>
        <v>375.77</v>
      </c>
      <c r="AC2016"/>
      <c r="AE2016" t="s">
        <v>902</v>
      </c>
      <c r="AF2016"/>
      <c r="AL2016">
        <v>340022650</v>
      </c>
      <c r="AM2016" t="s">
        <v>78</v>
      </c>
    </row>
    <row r="2017" spans="1:39" x14ac:dyDescent="0.35">
      <c r="A2017">
        <v>3406</v>
      </c>
      <c r="B2017" t="s">
        <v>370</v>
      </c>
      <c r="C2017">
        <v>2020</v>
      </c>
      <c r="D2017" s="1">
        <v>43831</v>
      </c>
      <c r="E2017">
        <v>1</v>
      </c>
      <c r="F2017">
        <v>600009544</v>
      </c>
      <c r="G2017" t="s">
        <v>120</v>
      </c>
      <c r="H2017">
        <v>81</v>
      </c>
      <c r="I2017">
        <v>71106040</v>
      </c>
      <c r="J2017">
        <v>21021040</v>
      </c>
      <c r="K2017" t="s">
        <v>125</v>
      </c>
      <c r="L2017" s="4">
        <v>750.69</v>
      </c>
      <c r="M2017" t="s">
        <v>54</v>
      </c>
      <c r="N2017" s="4">
        <v>14146.98</v>
      </c>
      <c r="O2017" t="s">
        <v>31</v>
      </c>
      <c r="R2017" t="s">
        <v>910</v>
      </c>
      <c r="S2017" t="s">
        <v>1178</v>
      </c>
      <c r="T2017">
        <v>606057</v>
      </c>
      <c r="U2017" t="s">
        <v>911</v>
      </c>
      <c r="X2017" t="s">
        <v>370</v>
      </c>
      <c r="Y2017" s="8" t="s">
        <v>1109</v>
      </c>
      <c r="Z2017">
        <v>20200113</v>
      </c>
      <c r="AA2017">
        <f t="shared" si="79"/>
        <v>750.69</v>
      </c>
      <c r="AB2017">
        <f>AA2017*0.16</f>
        <v>120.11040000000001</v>
      </c>
      <c r="AC2017" s="4">
        <f>AA2017+AB2017</f>
        <v>870.80040000000008</v>
      </c>
      <c r="AD2017">
        <v>600012066</v>
      </c>
      <c r="AE2017" t="s">
        <v>912</v>
      </c>
      <c r="AF2017" s="4">
        <f>AC2017</f>
        <v>870.80040000000008</v>
      </c>
      <c r="AG2017" t="s">
        <v>93</v>
      </c>
      <c r="AH2017" t="s">
        <v>1123</v>
      </c>
      <c r="AI2017">
        <v>600023637</v>
      </c>
      <c r="AJ2017" t="s">
        <v>1125</v>
      </c>
      <c r="AK2017" t="s">
        <v>1124</v>
      </c>
      <c r="AL2017">
        <v>340621790</v>
      </c>
      <c r="AM2017" t="s">
        <v>913</v>
      </c>
    </row>
    <row r="2018" spans="1:39" x14ac:dyDescent="0.35">
      <c r="A2018">
        <v>3401</v>
      </c>
      <c r="B2018" t="s">
        <v>370</v>
      </c>
      <c r="C2018">
        <v>2020</v>
      </c>
      <c r="D2018" s="1">
        <v>43831</v>
      </c>
      <c r="E2018">
        <v>1</v>
      </c>
      <c r="F2018">
        <v>100012773</v>
      </c>
      <c r="G2018" t="s">
        <v>120</v>
      </c>
      <c r="H2018">
        <v>81</v>
      </c>
      <c r="I2018">
        <v>71104010</v>
      </c>
      <c r="J2018">
        <v>21021040</v>
      </c>
      <c r="K2018" t="s">
        <v>121</v>
      </c>
      <c r="L2018" s="4">
        <v>52892</v>
      </c>
      <c r="M2018" t="s">
        <v>31</v>
      </c>
      <c r="N2018" s="4">
        <v>52892</v>
      </c>
      <c r="O2018" t="s">
        <v>31</v>
      </c>
      <c r="R2018" t="s">
        <v>122</v>
      </c>
      <c r="S2018" t="s">
        <v>1131</v>
      </c>
      <c r="T2018">
        <v>107211</v>
      </c>
      <c r="U2018" t="s">
        <v>123</v>
      </c>
      <c r="X2018" t="s">
        <v>370</v>
      </c>
      <c r="Y2018" s="8">
        <v>4501216248</v>
      </c>
      <c r="Z2018" t="s">
        <v>1127</v>
      </c>
      <c r="AA2018">
        <f t="shared" si="79"/>
        <v>52892</v>
      </c>
      <c r="AC2018"/>
      <c r="AD2018">
        <v>100036889</v>
      </c>
      <c r="AE2018" t="s">
        <v>1128</v>
      </c>
      <c r="AG2018" t="s">
        <v>51</v>
      </c>
      <c r="AH2018" t="s">
        <v>1123</v>
      </c>
      <c r="AI2018">
        <v>100036917</v>
      </c>
      <c r="AJ2018" t="s">
        <v>1148</v>
      </c>
      <c r="AK2018" t="s">
        <v>1129</v>
      </c>
      <c r="AL2018">
        <v>340118590</v>
      </c>
      <c r="AM2018" t="s">
        <v>124</v>
      </c>
    </row>
    <row r="2019" spans="1:39" x14ac:dyDescent="0.35">
      <c r="A2019">
        <v>3401</v>
      </c>
      <c r="B2019" t="s">
        <v>370</v>
      </c>
      <c r="C2019">
        <v>2020</v>
      </c>
      <c r="D2019" s="1">
        <v>43831</v>
      </c>
      <c r="E2019">
        <v>1</v>
      </c>
      <c r="F2019">
        <v>100012774</v>
      </c>
      <c r="G2019" t="s">
        <v>120</v>
      </c>
      <c r="H2019">
        <v>81</v>
      </c>
      <c r="I2019">
        <v>71104010</v>
      </c>
      <c r="J2019">
        <v>21021040</v>
      </c>
      <c r="K2019" t="s">
        <v>121</v>
      </c>
      <c r="L2019" s="4">
        <v>45668</v>
      </c>
      <c r="M2019" t="s">
        <v>31</v>
      </c>
      <c r="N2019" s="4">
        <v>45668</v>
      </c>
      <c r="O2019" t="s">
        <v>31</v>
      </c>
      <c r="R2019" t="s">
        <v>122</v>
      </c>
      <c r="S2019" t="s">
        <v>1131</v>
      </c>
      <c r="T2019">
        <v>107211</v>
      </c>
      <c r="U2019" t="s">
        <v>123</v>
      </c>
      <c r="X2019" t="s">
        <v>370</v>
      </c>
      <c r="Y2019" s="8">
        <v>4501216248</v>
      </c>
      <c r="Z2019" t="s">
        <v>1127</v>
      </c>
      <c r="AA2019">
        <f t="shared" si="79"/>
        <v>45668</v>
      </c>
      <c r="AC2019"/>
      <c r="AD2019">
        <v>100036889</v>
      </c>
      <c r="AE2019" t="s">
        <v>1128</v>
      </c>
      <c r="AG2019" t="s">
        <v>51</v>
      </c>
      <c r="AH2019" t="s">
        <v>1123</v>
      </c>
      <c r="AI2019">
        <v>100036917</v>
      </c>
      <c r="AJ2019" t="s">
        <v>1148</v>
      </c>
      <c r="AK2019" t="s">
        <v>1129</v>
      </c>
      <c r="AL2019">
        <v>340118590</v>
      </c>
      <c r="AM2019" t="s">
        <v>124</v>
      </c>
    </row>
    <row r="2020" spans="1:39" x14ac:dyDescent="0.35">
      <c r="A2020">
        <v>3401</v>
      </c>
      <c r="B2020" t="s">
        <v>370</v>
      </c>
      <c r="C2020">
        <v>2020</v>
      </c>
      <c r="D2020" s="1">
        <v>43831</v>
      </c>
      <c r="E2020">
        <v>1</v>
      </c>
      <c r="F2020">
        <v>100012775</v>
      </c>
      <c r="G2020" t="s">
        <v>120</v>
      </c>
      <c r="H2020">
        <v>81</v>
      </c>
      <c r="I2020">
        <v>71104010</v>
      </c>
      <c r="J2020">
        <v>21021040</v>
      </c>
      <c r="K2020" t="s">
        <v>121</v>
      </c>
      <c r="L2020" s="4">
        <v>59976</v>
      </c>
      <c r="M2020" t="s">
        <v>31</v>
      </c>
      <c r="N2020" s="4">
        <v>59976</v>
      </c>
      <c r="O2020" t="s">
        <v>31</v>
      </c>
      <c r="R2020" t="s">
        <v>122</v>
      </c>
      <c r="S2020" t="s">
        <v>1131</v>
      </c>
      <c r="T2020">
        <v>107211</v>
      </c>
      <c r="U2020" t="s">
        <v>123</v>
      </c>
      <c r="X2020" t="s">
        <v>370</v>
      </c>
      <c r="Y2020" s="8">
        <v>4501216248</v>
      </c>
      <c r="Z2020" t="s">
        <v>1127</v>
      </c>
      <c r="AA2020">
        <f t="shared" si="79"/>
        <v>59976</v>
      </c>
      <c r="AC2020"/>
      <c r="AD2020">
        <v>100036889</v>
      </c>
      <c r="AE2020" t="s">
        <v>1128</v>
      </c>
      <c r="AG2020" t="s">
        <v>51</v>
      </c>
      <c r="AH2020" t="s">
        <v>1123</v>
      </c>
      <c r="AI2020">
        <v>100036917</v>
      </c>
      <c r="AJ2020" t="s">
        <v>1148</v>
      </c>
      <c r="AK2020" t="s">
        <v>1129</v>
      </c>
      <c r="AL2020">
        <v>340118590</v>
      </c>
      <c r="AM2020" t="s">
        <v>124</v>
      </c>
    </row>
    <row r="2021" spans="1:39" x14ac:dyDescent="0.35">
      <c r="A2021">
        <v>3407</v>
      </c>
      <c r="B2021" t="s">
        <v>370</v>
      </c>
      <c r="C2021">
        <v>2020</v>
      </c>
      <c r="D2021" s="1">
        <v>43831</v>
      </c>
      <c r="E2021">
        <v>1</v>
      </c>
      <c r="F2021">
        <v>700013610</v>
      </c>
      <c r="G2021" t="s">
        <v>120</v>
      </c>
      <c r="H2021">
        <v>81</v>
      </c>
      <c r="I2021">
        <v>71105060</v>
      </c>
      <c r="J2021">
        <v>21021040</v>
      </c>
      <c r="K2021" t="s">
        <v>238</v>
      </c>
      <c r="L2021" s="4">
        <v>62937.09</v>
      </c>
      <c r="M2021" t="s">
        <v>31</v>
      </c>
      <c r="N2021" s="4">
        <v>62937.09</v>
      </c>
      <c r="O2021" t="s">
        <v>31</v>
      </c>
      <c r="R2021" t="s">
        <v>1180</v>
      </c>
      <c r="S2021" t="s">
        <v>1179</v>
      </c>
      <c r="T2021">
        <v>606740</v>
      </c>
      <c r="U2021" t="s">
        <v>266</v>
      </c>
      <c r="X2021" t="s">
        <v>370</v>
      </c>
      <c r="Y2021" s="8">
        <v>1757</v>
      </c>
      <c r="Z2021">
        <v>20200113</v>
      </c>
      <c r="AA2021">
        <f t="shared" si="79"/>
        <v>62937.09</v>
      </c>
      <c r="AB2021">
        <f>AA2021*0.16</f>
        <v>10069.9344</v>
      </c>
      <c r="AC2021">
        <f>AA2021+AB2021</f>
        <v>73007.024399999995</v>
      </c>
      <c r="AD2021">
        <v>700013824</v>
      </c>
      <c r="AE2021" t="s">
        <v>866</v>
      </c>
      <c r="AF2021" s="4">
        <f>AC2021</f>
        <v>73007.024399999995</v>
      </c>
      <c r="AG2021" t="s">
        <v>57</v>
      </c>
      <c r="AH2021" t="s">
        <v>1123</v>
      </c>
      <c r="AI2021">
        <v>700013830</v>
      </c>
      <c r="AJ2021" t="s">
        <v>1136</v>
      </c>
      <c r="AK2021" t="s">
        <v>1135</v>
      </c>
      <c r="AL2021">
        <v>340727190</v>
      </c>
      <c r="AM2021" t="s">
        <v>217</v>
      </c>
    </row>
    <row r="2022" spans="1:39" x14ac:dyDescent="0.35">
      <c r="A2022">
        <v>3406</v>
      </c>
      <c r="B2022" t="s">
        <v>370</v>
      </c>
      <c r="C2022">
        <v>2020</v>
      </c>
      <c r="D2022" s="1">
        <v>43831</v>
      </c>
      <c r="E2022">
        <v>1</v>
      </c>
      <c r="F2022">
        <v>600009663</v>
      </c>
      <c r="G2022" t="s">
        <v>120</v>
      </c>
      <c r="H2022">
        <v>81</v>
      </c>
      <c r="I2022">
        <v>71106040</v>
      </c>
      <c r="J2022">
        <v>21021040</v>
      </c>
      <c r="K2022" t="s">
        <v>125</v>
      </c>
      <c r="L2022" s="4">
        <v>3724.53</v>
      </c>
      <c r="M2022" t="s">
        <v>54</v>
      </c>
      <c r="N2022" s="4">
        <v>70189.89</v>
      </c>
      <c r="O2022" t="s">
        <v>31</v>
      </c>
      <c r="R2022" t="s">
        <v>1121</v>
      </c>
      <c r="S2022">
        <v>752738581</v>
      </c>
      <c r="T2022">
        <v>602358</v>
      </c>
      <c r="U2022" t="s">
        <v>130</v>
      </c>
      <c r="X2022" t="s">
        <v>370</v>
      </c>
      <c r="Y2022" s="8">
        <v>2273650</v>
      </c>
      <c r="Z2022">
        <v>20200113</v>
      </c>
      <c r="AA2022">
        <f t="shared" si="79"/>
        <v>3724.53</v>
      </c>
      <c r="AB2022">
        <v>0</v>
      </c>
      <c r="AC2022">
        <f>AA2022</f>
        <v>3724.53</v>
      </c>
      <c r="AD2022">
        <v>600012067</v>
      </c>
      <c r="AE2022" t="s">
        <v>914</v>
      </c>
      <c r="AF2022" s="4">
        <f>AC2022</f>
        <v>3724.53</v>
      </c>
      <c r="AG2022" t="s">
        <v>57</v>
      </c>
      <c r="AH2022" t="s">
        <v>1123</v>
      </c>
      <c r="AI2022">
        <v>600019585</v>
      </c>
      <c r="AJ2022" t="s">
        <v>1125</v>
      </c>
      <c r="AK2022" t="s">
        <v>1124</v>
      </c>
      <c r="AL2022">
        <v>340621790</v>
      </c>
      <c r="AM2022" t="s">
        <v>132</v>
      </c>
    </row>
    <row r="2023" spans="1:39" x14ac:dyDescent="0.35">
      <c r="A2023">
        <v>3401</v>
      </c>
      <c r="B2023" t="s">
        <v>370</v>
      </c>
      <c r="C2023">
        <v>2020</v>
      </c>
      <c r="D2023" s="1">
        <v>43831</v>
      </c>
      <c r="E2023">
        <v>1</v>
      </c>
      <c r="F2023">
        <v>100013050</v>
      </c>
      <c r="G2023" t="s">
        <v>120</v>
      </c>
      <c r="H2023">
        <v>81</v>
      </c>
      <c r="I2023">
        <v>71105060</v>
      </c>
      <c r="J2023">
        <v>21021040</v>
      </c>
      <c r="K2023" t="s">
        <v>238</v>
      </c>
      <c r="L2023" s="4">
        <v>4869.07</v>
      </c>
      <c r="M2023" t="s">
        <v>31</v>
      </c>
      <c r="N2023" s="4">
        <v>4869.07</v>
      </c>
      <c r="O2023" t="s">
        <v>31</v>
      </c>
      <c r="T2023">
        <v>605645</v>
      </c>
      <c r="U2023" t="s">
        <v>915</v>
      </c>
      <c r="X2023" t="s">
        <v>370</v>
      </c>
      <c r="Y2023" t="s">
        <v>916</v>
      </c>
      <c r="Z2023">
        <v>20200113</v>
      </c>
      <c r="AA2023">
        <f t="shared" si="79"/>
        <v>4869.07</v>
      </c>
      <c r="AC2023"/>
      <c r="AE2023" t="s">
        <v>917</v>
      </c>
      <c r="AF2023"/>
      <c r="AL2023">
        <v>340121790</v>
      </c>
      <c r="AM2023" t="s">
        <v>129</v>
      </c>
    </row>
    <row r="2024" spans="1:39" x14ac:dyDescent="0.35">
      <c r="A2024">
        <v>3409</v>
      </c>
      <c r="B2024" t="s">
        <v>370</v>
      </c>
      <c r="C2024">
        <v>2020</v>
      </c>
      <c r="D2024" s="1">
        <v>43831</v>
      </c>
      <c r="E2024">
        <v>1</v>
      </c>
      <c r="F2024">
        <v>900004368</v>
      </c>
      <c r="G2024" t="s">
        <v>120</v>
      </c>
      <c r="H2024">
        <v>81</v>
      </c>
      <c r="I2024">
        <v>71106040</v>
      </c>
      <c r="J2024">
        <v>21021040</v>
      </c>
      <c r="K2024" t="s">
        <v>125</v>
      </c>
      <c r="L2024" s="4">
        <v>439552.69</v>
      </c>
      <c r="M2024" t="s">
        <v>31</v>
      </c>
      <c r="N2024" s="4">
        <v>439552.69</v>
      </c>
      <c r="O2024" t="s">
        <v>31</v>
      </c>
      <c r="R2024" t="s">
        <v>1121</v>
      </c>
      <c r="S2024" t="s">
        <v>1140</v>
      </c>
      <c r="T2024">
        <v>600271</v>
      </c>
      <c r="U2024" t="s">
        <v>772</v>
      </c>
      <c r="X2024" t="s">
        <v>370</v>
      </c>
      <c r="Y2024" s="8">
        <v>1548802047</v>
      </c>
      <c r="Z2024">
        <v>20200113</v>
      </c>
      <c r="AA2024">
        <f t="shared" si="79"/>
        <v>439552.69</v>
      </c>
      <c r="AB2024">
        <v>0</v>
      </c>
      <c r="AC2024">
        <f>AA2024</f>
        <v>439552.69</v>
      </c>
      <c r="AD2024">
        <v>900004785</v>
      </c>
      <c r="AE2024" t="s">
        <v>918</v>
      </c>
      <c r="AF2024" s="4">
        <f>AC2024</f>
        <v>439552.69</v>
      </c>
      <c r="AG2024" t="s">
        <v>81</v>
      </c>
      <c r="AH2024" t="s">
        <v>1123</v>
      </c>
      <c r="AI2024">
        <v>900006694</v>
      </c>
      <c r="AJ2024" t="s">
        <v>1136</v>
      </c>
      <c r="AK2024" t="s">
        <v>1135</v>
      </c>
      <c r="AL2024">
        <v>340921790</v>
      </c>
      <c r="AM2024" t="s">
        <v>185</v>
      </c>
    </row>
    <row r="2025" spans="1:39" x14ac:dyDescent="0.35">
      <c r="A2025">
        <v>3406</v>
      </c>
      <c r="B2025" t="s">
        <v>28</v>
      </c>
      <c r="C2025">
        <v>2020</v>
      </c>
      <c r="D2025" s="1">
        <v>43831</v>
      </c>
      <c r="E2025">
        <v>1</v>
      </c>
      <c r="F2025">
        <v>600033463</v>
      </c>
      <c r="G2025" t="s">
        <v>804</v>
      </c>
      <c r="H2025">
        <v>40</v>
      </c>
      <c r="I2025">
        <v>74010070</v>
      </c>
      <c r="J2025">
        <v>601003</v>
      </c>
      <c r="K2025" t="s">
        <v>49</v>
      </c>
      <c r="L2025" s="4">
        <v>1375.36</v>
      </c>
      <c r="M2025" t="s">
        <v>54</v>
      </c>
      <c r="N2025" s="4">
        <v>25728.44</v>
      </c>
      <c r="O2025" t="s">
        <v>31</v>
      </c>
      <c r="P2025" t="s">
        <v>211</v>
      </c>
      <c r="X2025" t="s">
        <v>72</v>
      </c>
      <c r="Y2025" t="s">
        <v>919</v>
      </c>
      <c r="Z2025" t="s">
        <v>920</v>
      </c>
      <c r="AA2025">
        <f t="shared" si="79"/>
        <v>1375.36</v>
      </c>
      <c r="AC2025"/>
      <c r="AE2025" t="s">
        <v>921</v>
      </c>
      <c r="AF2025"/>
      <c r="AL2025">
        <v>340640390</v>
      </c>
      <c r="AM2025" t="s">
        <v>922</v>
      </c>
    </row>
    <row r="2026" spans="1:39" x14ac:dyDescent="0.35">
      <c r="A2026">
        <v>3402</v>
      </c>
      <c r="B2026" t="s">
        <v>39</v>
      </c>
      <c r="C2026">
        <v>2020</v>
      </c>
      <c r="D2026" s="1">
        <v>43831</v>
      </c>
      <c r="E2026">
        <v>1</v>
      </c>
      <c r="F2026">
        <v>200041715</v>
      </c>
      <c r="G2026" t="s">
        <v>96</v>
      </c>
      <c r="H2026">
        <v>40</v>
      </c>
      <c r="I2026">
        <v>71105130</v>
      </c>
      <c r="J2026">
        <v>21021040</v>
      </c>
      <c r="K2026" t="s">
        <v>305</v>
      </c>
      <c r="L2026" s="4">
        <v>1421.09</v>
      </c>
      <c r="M2026" t="s">
        <v>54</v>
      </c>
      <c r="N2026" s="4">
        <v>26747.05</v>
      </c>
      <c r="O2026" t="s">
        <v>31</v>
      </c>
      <c r="P2026" t="s">
        <v>211</v>
      </c>
      <c r="X2026" t="s">
        <v>39</v>
      </c>
      <c r="Y2026"/>
      <c r="Z2026" t="s">
        <v>923</v>
      </c>
      <c r="AA2026">
        <f t="shared" si="79"/>
        <v>1421.09</v>
      </c>
      <c r="AC2026"/>
      <c r="AE2026" t="s">
        <v>425</v>
      </c>
      <c r="AF2026"/>
      <c r="AL2026">
        <v>340221790</v>
      </c>
      <c r="AM2026" t="s">
        <v>78</v>
      </c>
    </row>
    <row r="2027" spans="1:39" x14ac:dyDescent="0.35">
      <c r="A2027">
        <v>3402</v>
      </c>
      <c r="B2027" t="s">
        <v>258</v>
      </c>
      <c r="C2027">
        <v>2020</v>
      </c>
      <c r="D2027" s="1">
        <v>43831</v>
      </c>
      <c r="E2027">
        <v>1</v>
      </c>
      <c r="F2027">
        <v>200071892</v>
      </c>
      <c r="G2027" t="s">
        <v>96</v>
      </c>
      <c r="H2027">
        <v>40</v>
      </c>
      <c r="I2027">
        <v>71105130</v>
      </c>
      <c r="J2027">
        <v>21021040</v>
      </c>
      <c r="K2027" t="s">
        <v>305</v>
      </c>
      <c r="L2027" s="4">
        <v>1293.75</v>
      </c>
      <c r="M2027" t="s">
        <v>54</v>
      </c>
      <c r="N2027" s="4">
        <v>24194.03</v>
      </c>
      <c r="O2027" t="s">
        <v>31</v>
      </c>
      <c r="P2027" t="s">
        <v>211</v>
      </c>
      <c r="X2027" t="s">
        <v>93</v>
      </c>
      <c r="Y2027"/>
      <c r="Z2027" t="s">
        <v>924</v>
      </c>
      <c r="AA2027">
        <f t="shared" si="79"/>
        <v>1293.75</v>
      </c>
      <c r="AC2027"/>
      <c r="AE2027" t="s">
        <v>326</v>
      </c>
      <c r="AF2027"/>
      <c r="AL2027">
        <v>340221790</v>
      </c>
      <c r="AM2027" t="s">
        <v>78</v>
      </c>
    </row>
    <row r="2028" spans="1:39" x14ac:dyDescent="0.35">
      <c r="A2028">
        <v>3402</v>
      </c>
      <c r="B2028" t="s">
        <v>47</v>
      </c>
      <c r="C2028">
        <v>2020</v>
      </c>
      <c r="D2028" s="1">
        <v>43831</v>
      </c>
      <c r="E2028">
        <v>1</v>
      </c>
      <c r="F2028">
        <v>200102486</v>
      </c>
      <c r="G2028" t="s">
        <v>96</v>
      </c>
      <c r="H2028">
        <v>40</v>
      </c>
      <c r="I2028">
        <v>71105060</v>
      </c>
      <c r="J2028">
        <v>21021040</v>
      </c>
      <c r="K2028" t="s">
        <v>238</v>
      </c>
      <c r="L2028" s="4">
        <v>4869.07</v>
      </c>
      <c r="M2028" t="s">
        <v>31</v>
      </c>
      <c r="N2028" s="4">
        <v>4869.07</v>
      </c>
      <c r="O2028" t="s">
        <v>31</v>
      </c>
      <c r="P2028" t="s">
        <v>211</v>
      </c>
      <c r="X2028" t="s">
        <v>47</v>
      </c>
      <c r="Y2028"/>
      <c r="Z2028" t="s">
        <v>925</v>
      </c>
      <c r="AA2028">
        <f t="shared" si="79"/>
        <v>4869.07</v>
      </c>
      <c r="AC2028"/>
      <c r="AE2028" t="s">
        <v>430</v>
      </c>
      <c r="AF2028"/>
      <c r="AL2028">
        <v>340221790</v>
      </c>
      <c r="AM2028" t="s">
        <v>78</v>
      </c>
    </row>
    <row r="2029" spans="1:39" x14ac:dyDescent="0.35">
      <c r="A2029">
        <v>3407</v>
      </c>
      <c r="B2029" t="s">
        <v>181</v>
      </c>
      <c r="C2029">
        <v>2020</v>
      </c>
      <c r="D2029" s="1">
        <v>43831</v>
      </c>
      <c r="E2029">
        <v>2</v>
      </c>
      <c r="F2029">
        <v>700020935</v>
      </c>
      <c r="G2029" t="s">
        <v>101</v>
      </c>
      <c r="H2029">
        <v>50</v>
      </c>
      <c r="I2029">
        <v>71105120</v>
      </c>
      <c r="J2029">
        <v>54020040</v>
      </c>
      <c r="K2029" t="s">
        <v>268</v>
      </c>
      <c r="L2029">
        <v>1786.85</v>
      </c>
      <c r="M2029" t="s">
        <v>31</v>
      </c>
      <c r="N2029">
        <v>1786.85</v>
      </c>
      <c r="O2029" t="s">
        <v>31</v>
      </c>
      <c r="W2029">
        <v>700020970</v>
      </c>
      <c r="X2029" t="s">
        <v>55</v>
      </c>
      <c r="Y2029" t="s">
        <v>926</v>
      </c>
      <c r="Z2029" t="s">
        <v>926</v>
      </c>
      <c r="AA2029">
        <f t="shared" si="79"/>
        <v>1786.85</v>
      </c>
      <c r="AC2029"/>
      <c r="AE2029" t="s">
        <v>927</v>
      </c>
      <c r="AF2029"/>
      <c r="AL2029">
        <v>340716690</v>
      </c>
      <c r="AM2029" t="s">
        <v>217</v>
      </c>
    </row>
    <row r="2030" spans="1:39" x14ac:dyDescent="0.35">
      <c r="A2030">
        <v>3407</v>
      </c>
      <c r="B2030" t="s">
        <v>181</v>
      </c>
      <c r="C2030">
        <v>2020</v>
      </c>
      <c r="D2030" s="1">
        <v>43831</v>
      </c>
      <c r="E2030">
        <v>2</v>
      </c>
      <c r="F2030">
        <v>700020969</v>
      </c>
      <c r="G2030" t="s">
        <v>101</v>
      </c>
      <c r="H2030">
        <v>50</v>
      </c>
      <c r="I2030">
        <v>71105120</v>
      </c>
      <c r="J2030">
        <v>54020040</v>
      </c>
      <c r="K2030" t="s">
        <v>268</v>
      </c>
      <c r="L2030">
        <v>1786.85</v>
      </c>
      <c r="M2030" t="s">
        <v>31</v>
      </c>
      <c r="N2030">
        <v>1786.85</v>
      </c>
      <c r="O2030" t="s">
        <v>31</v>
      </c>
      <c r="W2030">
        <v>700044730</v>
      </c>
      <c r="X2030" t="s">
        <v>55</v>
      </c>
      <c r="Y2030" t="s">
        <v>926</v>
      </c>
      <c r="Z2030" t="s">
        <v>926</v>
      </c>
      <c r="AA2030">
        <f t="shared" si="79"/>
        <v>1786.85</v>
      </c>
      <c r="AC2030"/>
      <c r="AE2030" t="s">
        <v>927</v>
      </c>
      <c r="AF2030"/>
      <c r="AL2030">
        <v>340716690</v>
      </c>
      <c r="AM2030" t="s">
        <v>217</v>
      </c>
    </row>
    <row r="2031" spans="1:39" x14ac:dyDescent="0.35">
      <c r="A2031">
        <v>3407</v>
      </c>
      <c r="B2031" t="s">
        <v>181</v>
      </c>
      <c r="C2031">
        <v>2020</v>
      </c>
      <c r="D2031" s="1">
        <v>43831</v>
      </c>
      <c r="E2031">
        <v>2</v>
      </c>
      <c r="F2031">
        <v>700020970</v>
      </c>
      <c r="G2031" t="s">
        <v>226</v>
      </c>
      <c r="H2031">
        <v>40</v>
      </c>
      <c r="I2031">
        <v>71105120</v>
      </c>
      <c r="J2031">
        <v>54020040</v>
      </c>
      <c r="K2031" t="s">
        <v>268</v>
      </c>
      <c r="L2031">
        <v>1786.85</v>
      </c>
      <c r="M2031" t="s">
        <v>31</v>
      </c>
      <c r="N2031">
        <v>1786.85</v>
      </c>
      <c r="O2031" t="s">
        <v>31</v>
      </c>
      <c r="W2031">
        <v>700020935</v>
      </c>
      <c r="X2031" t="s">
        <v>55</v>
      </c>
      <c r="Y2031" t="s">
        <v>926</v>
      </c>
      <c r="Z2031" t="s">
        <v>926</v>
      </c>
      <c r="AA2031">
        <f t="shared" si="79"/>
        <v>1786.85</v>
      </c>
      <c r="AC2031"/>
      <c r="AE2031" t="s">
        <v>927</v>
      </c>
      <c r="AF2031"/>
      <c r="AL2031">
        <v>340716690</v>
      </c>
      <c r="AM2031" t="s">
        <v>217</v>
      </c>
    </row>
    <row r="2032" spans="1:39" x14ac:dyDescent="0.35">
      <c r="A2032">
        <v>3407</v>
      </c>
      <c r="B2032" t="s">
        <v>181</v>
      </c>
      <c r="C2032">
        <v>2020</v>
      </c>
      <c r="D2032" s="1">
        <v>43831</v>
      </c>
      <c r="E2032">
        <v>2</v>
      </c>
      <c r="F2032">
        <v>700044728</v>
      </c>
      <c r="G2032" t="s">
        <v>101</v>
      </c>
      <c r="H2032">
        <v>50</v>
      </c>
      <c r="I2032">
        <v>71105120</v>
      </c>
      <c r="J2032">
        <v>54020040</v>
      </c>
      <c r="K2032" t="s">
        <v>268</v>
      </c>
      <c r="L2032" s="4">
        <v>1786.85</v>
      </c>
      <c r="M2032" t="s">
        <v>31</v>
      </c>
      <c r="N2032" s="4">
        <v>1786.85</v>
      </c>
      <c r="O2032" t="s">
        <v>31</v>
      </c>
      <c r="X2032" t="s">
        <v>51</v>
      </c>
      <c r="Y2032" t="s">
        <v>926</v>
      </c>
      <c r="Z2032" t="s">
        <v>926</v>
      </c>
      <c r="AA2032">
        <f t="shared" si="79"/>
        <v>1786.85</v>
      </c>
      <c r="AC2032"/>
      <c r="AE2032" t="s">
        <v>927</v>
      </c>
      <c r="AF2032"/>
      <c r="AL2032">
        <v>340716690</v>
      </c>
      <c r="AM2032" t="s">
        <v>217</v>
      </c>
    </row>
    <row r="2033" spans="1:39" x14ac:dyDescent="0.35">
      <c r="A2033">
        <v>3407</v>
      </c>
      <c r="B2033" t="s">
        <v>181</v>
      </c>
      <c r="C2033">
        <v>2020</v>
      </c>
      <c r="D2033" s="1">
        <v>43831</v>
      </c>
      <c r="E2033">
        <v>2</v>
      </c>
      <c r="F2033">
        <v>700044730</v>
      </c>
      <c r="G2033" t="s">
        <v>226</v>
      </c>
      <c r="H2033">
        <v>40</v>
      </c>
      <c r="I2033">
        <v>71105120</v>
      </c>
      <c r="J2033">
        <v>54020040</v>
      </c>
      <c r="K2033" t="s">
        <v>268</v>
      </c>
      <c r="L2033">
        <v>1786.85</v>
      </c>
      <c r="M2033" t="s">
        <v>31</v>
      </c>
      <c r="N2033">
        <v>1786.85</v>
      </c>
      <c r="O2033" t="s">
        <v>31</v>
      </c>
      <c r="W2033">
        <v>700020969</v>
      </c>
      <c r="X2033" t="s">
        <v>51</v>
      </c>
      <c r="Y2033" t="s">
        <v>926</v>
      </c>
      <c r="Z2033" t="s">
        <v>926</v>
      </c>
      <c r="AA2033">
        <f t="shared" si="79"/>
        <v>1786.85</v>
      </c>
      <c r="AC2033"/>
      <c r="AE2033" t="s">
        <v>927</v>
      </c>
      <c r="AF2033"/>
      <c r="AL2033">
        <v>340716690</v>
      </c>
      <c r="AM2033" t="s">
        <v>217</v>
      </c>
    </row>
    <row r="2034" spans="1:39" x14ac:dyDescent="0.35">
      <c r="A2034">
        <v>3407</v>
      </c>
      <c r="B2034" t="s">
        <v>28</v>
      </c>
      <c r="C2034">
        <v>2020</v>
      </c>
      <c r="D2034" s="1">
        <v>43831</v>
      </c>
      <c r="E2034">
        <v>13</v>
      </c>
      <c r="F2034">
        <v>700042244</v>
      </c>
      <c r="G2034" t="s">
        <v>101</v>
      </c>
      <c r="H2034">
        <v>50</v>
      </c>
      <c r="I2034">
        <v>71101060</v>
      </c>
      <c r="J2034">
        <v>51030020</v>
      </c>
      <c r="K2034" t="s">
        <v>30</v>
      </c>
      <c r="L2034" s="4">
        <v>2100</v>
      </c>
      <c r="M2034" t="s">
        <v>31</v>
      </c>
      <c r="N2034" s="4">
        <v>2100</v>
      </c>
      <c r="O2034" t="s">
        <v>31</v>
      </c>
      <c r="X2034" t="s">
        <v>65</v>
      </c>
      <c r="Y2034" t="s">
        <v>375</v>
      </c>
      <c r="Z2034" t="s">
        <v>376</v>
      </c>
      <c r="AA2034">
        <f t="shared" si="79"/>
        <v>2100</v>
      </c>
      <c r="AC2034"/>
      <c r="AE2034" t="s">
        <v>928</v>
      </c>
      <c r="AF2034"/>
      <c r="AL2034">
        <v>340717690</v>
      </c>
      <c r="AM2034" t="s">
        <v>217</v>
      </c>
    </row>
    <row r="2035" spans="1:39" x14ac:dyDescent="0.35">
      <c r="A2035">
        <v>3400</v>
      </c>
      <c r="B2035" t="s">
        <v>61</v>
      </c>
      <c r="C2035">
        <v>2020</v>
      </c>
      <c r="D2035" s="1">
        <v>43831</v>
      </c>
      <c r="E2035">
        <v>1</v>
      </c>
      <c r="F2035">
        <v>100011599</v>
      </c>
      <c r="G2035" t="s">
        <v>96</v>
      </c>
      <c r="H2035">
        <v>40</v>
      </c>
      <c r="I2035">
        <v>71105130</v>
      </c>
      <c r="J2035">
        <v>21021040</v>
      </c>
      <c r="K2035" t="s">
        <v>305</v>
      </c>
      <c r="L2035" s="4">
        <v>1293.75</v>
      </c>
      <c r="M2035" t="s">
        <v>54</v>
      </c>
      <c r="N2035" s="4">
        <v>24324.83</v>
      </c>
      <c r="O2035" t="s">
        <v>31</v>
      </c>
      <c r="P2035" t="s">
        <v>98</v>
      </c>
      <c r="X2035" t="s">
        <v>72</v>
      </c>
      <c r="Y2035"/>
      <c r="Z2035" t="s">
        <v>929</v>
      </c>
      <c r="AA2035">
        <f t="shared" si="79"/>
        <v>1293.75</v>
      </c>
      <c r="AC2035"/>
      <c r="AE2035" t="s">
        <v>326</v>
      </c>
      <c r="AF2035"/>
      <c r="AL2035">
        <v>340022950</v>
      </c>
      <c r="AM2035" t="s">
        <v>271</v>
      </c>
    </row>
    <row r="2036" spans="1:39" x14ac:dyDescent="0.35">
      <c r="A2036">
        <v>3402</v>
      </c>
      <c r="B2036" t="s">
        <v>28</v>
      </c>
      <c r="C2036">
        <v>2020</v>
      </c>
      <c r="D2036" s="1">
        <v>43831</v>
      </c>
      <c r="E2036">
        <v>1</v>
      </c>
      <c r="F2036">
        <v>200120055</v>
      </c>
      <c r="G2036" t="s">
        <v>101</v>
      </c>
      <c r="H2036">
        <v>50</v>
      </c>
      <c r="I2036">
        <v>71106150</v>
      </c>
      <c r="J2036">
        <v>21230140</v>
      </c>
      <c r="K2036" t="s">
        <v>102</v>
      </c>
      <c r="L2036" s="4">
        <v>4962.3999999999996</v>
      </c>
      <c r="M2036" t="s">
        <v>54</v>
      </c>
      <c r="N2036" s="4">
        <v>94864.71</v>
      </c>
      <c r="O2036" t="s">
        <v>31</v>
      </c>
      <c r="X2036" t="s">
        <v>32</v>
      </c>
      <c r="Y2036" t="s">
        <v>930</v>
      </c>
      <c r="Z2036">
        <v>20191031</v>
      </c>
      <c r="AA2036">
        <f t="shared" si="79"/>
        <v>4962.3999999999996</v>
      </c>
      <c r="AC2036"/>
      <c r="AE2036" t="s">
        <v>931</v>
      </c>
      <c r="AF2036"/>
      <c r="AL2036">
        <v>340275190</v>
      </c>
      <c r="AM2036" t="s">
        <v>105</v>
      </c>
    </row>
    <row r="2037" spans="1:39" x14ac:dyDescent="0.35">
      <c r="A2037">
        <v>3401</v>
      </c>
      <c r="B2037" t="s">
        <v>28</v>
      </c>
      <c r="C2037">
        <v>2020</v>
      </c>
      <c r="D2037" s="1">
        <v>43831</v>
      </c>
      <c r="E2037">
        <v>1</v>
      </c>
      <c r="F2037">
        <v>100032806</v>
      </c>
      <c r="G2037" t="s">
        <v>101</v>
      </c>
      <c r="H2037">
        <v>40</v>
      </c>
      <c r="I2037">
        <v>71105120</v>
      </c>
      <c r="J2037">
        <v>11210050</v>
      </c>
      <c r="K2037" t="s">
        <v>268</v>
      </c>
      <c r="L2037" s="4">
        <v>167.54</v>
      </c>
      <c r="M2037" t="s">
        <v>54</v>
      </c>
      <c r="N2037" s="4">
        <v>3134.12</v>
      </c>
      <c r="O2037" t="s">
        <v>31</v>
      </c>
      <c r="P2037" t="s">
        <v>98</v>
      </c>
      <c r="X2037" t="s">
        <v>35</v>
      </c>
      <c r="Y2037" t="s">
        <v>389</v>
      </c>
      <c r="Z2037">
        <v>20200131</v>
      </c>
      <c r="AA2037">
        <f t="shared" si="79"/>
        <v>167.54</v>
      </c>
      <c r="AC2037"/>
      <c r="AE2037" t="s">
        <v>390</v>
      </c>
      <c r="AF2037"/>
      <c r="AL2037">
        <v>340116690</v>
      </c>
      <c r="AM2037" t="s">
        <v>391</v>
      </c>
    </row>
    <row r="2038" spans="1:39" x14ac:dyDescent="0.35">
      <c r="A2038">
        <v>3401</v>
      </c>
      <c r="B2038" t="s">
        <v>28</v>
      </c>
      <c r="C2038">
        <v>2020</v>
      </c>
      <c r="D2038" s="1">
        <v>43831</v>
      </c>
      <c r="E2038">
        <v>2</v>
      </c>
      <c r="F2038">
        <v>100032806</v>
      </c>
      <c r="G2038" t="s">
        <v>101</v>
      </c>
      <c r="H2038">
        <v>40</v>
      </c>
      <c r="I2038">
        <v>71105120</v>
      </c>
      <c r="J2038">
        <v>11210050</v>
      </c>
      <c r="K2038" t="s">
        <v>268</v>
      </c>
      <c r="L2038" s="4">
        <v>29.32</v>
      </c>
      <c r="M2038" t="s">
        <v>54</v>
      </c>
      <c r="N2038" s="4">
        <v>548.48</v>
      </c>
      <c r="O2038" t="s">
        <v>31</v>
      </c>
      <c r="P2038" t="s">
        <v>98</v>
      </c>
      <c r="X2038" t="s">
        <v>35</v>
      </c>
      <c r="Y2038" t="s">
        <v>389</v>
      </c>
      <c r="Z2038">
        <v>20200131</v>
      </c>
      <c r="AA2038">
        <f t="shared" si="79"/>
        <v>29.32</v>
      </c>
      <c r="AC2038"/>
      <c r="AE2038" t="s">
        <v>390</v>
      </c>
      <c r="AF2038"/>
      <c r="AL2038">
        <v>340110490</v>
      </c>
      <c r="AM2038" t="s">
        <v>391</v>
      </c>
    </row>
    <row r="2039" spans="1:39" x14ac:dyDescent="0.35">
      <c r="A2039">
        <v>3401</v>
      </c>
      <c r="B2039" t="s">
        <v>28</v>
      </c>
      <c r="C2039">
        <v>2020</v>
      </c>
      <c r="D2039" s="1">
        <v>43831</v>
      </c>
      <c r="E2039">
        <v>3</v>
      </c>
      <c r="F2039">
        <v>100032806</v>
      </c>
      <c r="G2039" t="s">
        <v>101</v>
      </c>
      <c r="H2039">
        <v>40</v>
      </c>
      <c r="I2039">
        <v>71105120</v>
      </c>
      <c r="J2039">
        <v>11210050</v>
      </c>
      <c r="K2039" t="s">
        <v>268</v>
      </c>
      <c r="L2039" s="4">
        <v>4.1900000000000004</v>
      </c>
      <c r="M2039" t="s">
        <v>54</v>
      </c>
      <c r="N2039" s="4">
        <v>78.38</v>
      </c>
      <c r="O2039" t="s">
        <v>31</v>
      </c>
      <c r="P2039" t="s">
        <v>98</v>
      </c>
      <c r="X2039" t="s">
        <v>35</v>
      </c>
      <c r="Y2039" t="s">
        <v>389</v>
      </c>
      <c r="Z2039">
        <v>20200131</v>
      </c>
      <c r="AA2039">
        <f t="shared" si="79"/>
        <v>4.1900000000000004</v>
      </c>
      <c r="AC2039"/>
      <c r="AE2039" t="s">
        <v>390</v>
      </c>
      <c r="AF2039"/>
      <c r="AL2039">
        <v>340110590</v>
      </c>
      <c r="AM2039" t="s">
        <v>391</v>
      </c>
    </row>
    <row r="2040" spans="1:39" x14ac:dyDescent="0.35">
      <c r="A2040">
        <v>3401</v>
      </c>
      <c r="B2040" t="s">
        <v>28</v>
      </c>
      <c r="C2040">
        <v>2020</v>
      </c>
      <c r="D2040" s="1">
        <v>43831</v>
      </c>
      <c r="E2040">
        <v>4</v>
      </c>
      <c r="F2040">
        <v>100032806</v>
      </c>
      <c r="G2040" t="s">
        <v>101</v>
      </c>
      <c r="H2040">
        <v>40</v>
      </c>
      <c r="I2040">
        <v>71105120</v>
      </c>
      <c r="J2040">
        <v>11210050</v>
      </c>
      <c r="K2040" t="s">
        <v>268</v>
      </c>
      <c r="L2040" s="4">
        <v>29.32</v>
      </c>
      <c r="M2040" t="s">
        <v>54</v>
      </c>
      <c r="N2040" s="4">
        <v>548.48</v>
      </c>
      <c r="O2040" t="s">
        <v>31</v>
      </c>
      <c r="P2040" t="s">
        <v>98</v>
      </c>
      <c r="X2040" t="s">
        <v>35</v>
      </c>
      <c r="Y2040" t="s">
        <v>389</v>
      </c>
      <c r="Z2040">
        <v>20200131</v>
      </c>
      <c r="AA2040">
        <f t="shared" si="79"/>
        <v>29.32</v>
      </c>
      <c r="AC2040"/>
      <c r="AE2040" t="s">
        <v>390</v>
      </c>
      <c r="AF2040"/>
      <c r="AL2040">
        <v>340110790</v>
      </c>
      <c r="AM2040" t="s">
        <v>391</v>
      </c>
    </row>
    <row r="2041" spans="1:39" x14ac:dyDescent="0.35">
      <c r="A2041">
        <v>3401</v>
      </c>
      <c r="B2041" t="s">
        <v>28</v>
      </c>
      <c r="C2041">
        <v>2020</v>
      </c>
      <c r="D2041" s="1">
        <v>43831</v>
      </c>
      <c r="E2041">
        <v>5</v>
      </c>
      <c r="F2041">
        <v>100032806</v>
      </c>
      <c r="G2041" t="s">
        <v>101</v>
      </c>
      <c r="H2041">
        <v>40</v>
      </c>
      <c r="I2041">
        <v>71105120</v>
      </c>
      <c r="J2041">
        <v>11210050</v>
      </c>
      <c r="K2041" t="s">
        <v>268</v>
      </c>
      <c r="L2041" s="4">
        <v>37.700000000000003</v>
      </c>
      <c r="M2041" t="s">
        <v>54</v>
      </c>
      <c r="N2041" s="4">
        <v>705.24</v>
      </c>
      <c r="O2041" t="s">
        <v>31</v>
      </c>
      <c r="P2041" t="s">
        <v>98</v>
      </c>
      <c r="X2041" t="s">
        <v>35</v>
      </c>
      <c r="Y2041" t="s">
        <v>389</v>
      </c>
      <c r="Z2041">
        <v>20200131</v>
      </c>
      <c r="AA2041">
        <f t="shared" si="79"/>
        <v>37.700000000000003</v>
      </c>
      <c r="AC2041"/>
      <c r="AE2041" t="s">
        <v>390</v>
      </c>
      <c r="AF2041"/>
      <c r="AL2041">
        <v>340110890</v>
      </c>
      <c r="AM2041" t="s">
        <v>391</v>
      </c>
    </row>
    <row r="2042" spans="1:39" x14ac:dyDescent="0.35">
      <c r="A2042">
        <v>3401</v>
      </c>
      <c r="B2042" t="s">
        <v>28</v>
      </c>
      <c r="C2042">
        <v>2020</v>
      </c>
      <c r="D2042" s="1">
        <v>43831</v>
      </c>
      <c r="E2042">
        <v>6</v>
      </c>
      <c r="F2042">
        <v>100032806</v>
      </c>
      <c r="G2042" t="s">
        <v>101</v>
      </c>
      <c r="H2042">
        <v>40</v>
      </c>
      <c r="I2042">
        <v>71105120</v>
      </c>
      <c r="J2042">
        <v>11210050</v>
      </c>
      <c r="K2042" t="s">
        <v>268</v>
      </c>
      <c r="L2042" s="4">
        <v>25.13</v>
      </c>
      <c r="M2042" t="s">
        <v>54</v>
      </c>
      <c r="N2042" s="4">
        <v>470.1</v>
      </c>
      <c r="O2042" t="s">
        <v>31</v>
      </c>
      <c r="P2042" t="s">
        <v>98</v>
      </c>
      <c r="X2042" t="s">
        <v>35</v>
      </c>
      <c r="Y2042" t="s">
        <v>389</v>
      </c>
      <c r="Z2042">
        <v>20200131</v>
      </c>
      <c r="AA2042">
        <f t="shared" si="79"/>
        <v>25.13</v>
      </c>
      <c r="AC2042"/>
      <c r="AE2042" t="s">
        <v>390</v>
      </c>
      <c r="AF2042"/>
      <c r="AL2042">
        <v>340112290</v>
      </c>
      <c r="AM2042" t="s">
        <v>391</v>
      </c>
    </row>
    <row r="2043" spans="1:39" x14ac:dyDescent="0.35">
      <c r="A2043">
        <v>3401</v>
      </c>
      <c r="B2043" t="s">
        <v>28</v>
      </c>
      <c r="C2043">
        <v>2020</v>
      </c>
      <c r="D2043" s="1">
        <v>43831</v>
      </c>
      <c r="E2043">
        <v>7</v>
      </c>
      <c r="F2043">
        <v>100032806</v>
      </c>
      <c r="G2043" t="s">
        <v>101</v>
      </c>
      <c r="H2043">
        <v>40</v>
      </c>
      <c r="I2043">
        <v>71105120</v>
      </c>
      <c r="J2043">
        <v>11210050</v>
      </c>
      <c r="K2043" t="s">
        <v>268</v>
      </c>
      <c r="L2043" s="4">
        <v>46.07</v>
      </c>
      <c r="M2043" t="s">
        <v>54</v>
      </c>
      <c r="N2043" s="4">
        <v>861.82</v>
      </c>
      <c r="O2043" t="s">
        <v>31</v>
      </c>
      <c r="P2043" t="s">
        <v>98</v>
      </c>
      <c r="X2043" t="s">
        <v>35</v>
      </c>
      <c r="Y2043" t="s">
        <v>389</v>
      </c>
      <c r="Z2043">
        <v>20200131</v>
      </c>
      <c r="AA2043">
        <f t="shared" si="79"/>
        <v>46.07</v>
      </c>
      <c r="AC2043"/>
      <c r="AE2043" t="s">
        <v>390</v>
      </c>
      <c r="AF2043"/>
      <c r="AL2043">
        <v>340112490</v>
      </c>
      <c r="AM2043" t="s">
        <v>391</v>
      </c>
    </row>
    <row r="2044" spans="1:39" x14ac:dyDescent="0.35">
      <c r="A2044">
        <v>3401</v>
      </c>
      <c r="B2044" t="s">
        <v>28</v>
      </c>
      <c r="C2044">
        <v>2020</v>
      </c>
      <c r="D2044" s="1">
        <v>43831</v>
      </c>
      <c r="E2044">
        <v>8</v>
      </c>
      <c r="F2044">
        <v>100032806</v>
      </c>
      <c r="G2044" t="s">
        <v>101</v>
      </c>
      <c r="H2044">
        <v>40</v>
      </c>
      <c r="I2044">
        <v>71105120</v>
      </c>
      <c r="J2044">
        <v>11210050</v>
      </c>
      <c r="K2044" t="s">
        <v>268</v>
      </c>
      <c r="L2044" s="4">
        <v>12.57</v>
      </c>
      <c r="M2044" t="s">
        <v>54</v>
      </c>
      <c r="N2044" s="4">
        <v>235.14</v>
      </c>
      <c r="O2044" t="s">
        <v>31</v>
      </c>
      <c r="P2044" t="s">
        <v>98</v>
      </c>
      <c r="X2044" t="s">
        <v>35</v>
      </c>
      <c r="Y2044" t="s">
        <v>389</v>
      </c>
      <c r="Z2044">
        <v>20200131</v>
      </c>
      <c r="AA2044">
        <f t="shared" si="79"/>
        <v>12.57</v>
      </c>
      <c r="AC2044"/>
      <c r="AE2044" t="s">
        <v>390</v>
      </c>
      <c r="AF2044"/>
      <c r="AL2044">
        <v>340112590</v>
      </c>
      <c r="AM2044" t="s">
        <v>391</v>
      </c>
    </row>
    <row r="2045" spans="1:39" x14ac:dyDescent="0.35">
      <c r="A2045">
        <v>3401</v>
      </c>
      <c r="B2045" t="s">
        <v>28</v>
      </c>
      <c r="C2045">
        <v>2020</v>
      </c>
      <c r="D2045" s="1">
        <v>43831</v>
      </c>
      <c r="E2045">
        <v>9</v>
      </c>
      <c r="F2045">
        <v>100032806</v>
      </c>
      <c r="G2045" t="s">
        <v>101</v>
      </c>
      <c r="H2045">
        <v>40</v>
      </c>
      <c r="I2045">
        <v>71105120</v>
      </c>
      <c r="J2045">
        <v>11210050</v>
      </c>
      <c r="K2045" t="s">
        <v>268</v>
      </c>
      <c r="L2045" s="4">
        <v>12.57</v>
      </c>
      <c r="M2045" t="s">
        <v>54</v>
      </c>
      <c r="N2045" s="4">
        <v>235.14</v>
      </c>
      <c r="O2045" t="s">
        <v>31</v>
      </c>
      <c r="P2045" t="s">
        <v>98</v>
      </c>
      <c r="X2045" t="s">
        <v>35</v>
      </c>
      <c r="Y2045" t="s">
        <v>389</v>
      </c>
      <c r="Z2045">
        <v>20200131</v>
      </c>
      <c r="AA2045">
        <f t="shared" si="79"/>
        <v>12.57</v>
      </c>
      <c r="AC2045"/>
      <c r="AE2045" t="s">
        <v>390</v>
      </c>
      <c r="AF2045"/>
      <c r="AL2045">
        <v>340112790</v>
      </c>
      <c r="AM2045" t="s">
        <v>391</v>
      </c>
    </row>
    <row r="2046" spans="1:39" x14ac:dyDescent="0.35">
      <c r="A2046">
        <v>3401</v>
      </c>
      <c r="B2046" t="s">
        <v>28</v>
      </c>
      <c r="C2046">
        <v>2020</v>
      </c>
      <c r="D2046" s="1">
        <v>43831</v>
      </c>
      <c r="E2046">
        <v>10</v>
      </c>
      <c r="F2046">
        <v>100032806</v>
      </c>
      <c r="G2046" t="s">
        <v>101</v>
      </c>
      <c r="H2046">
        <v>40</v>
      </c>
      <c r="I2046">
        <v>71105120</v>
      </c>
      <c r="J2046">
        <v>11210050</v>
      </c>
      <c r="K2046" t="s">
        <v>268</v>
      </c>
      <c r="L2046" s="4">
        <v>8.3800000000000008</v>
      </c>
      <c r="M2046" t="s">
        <v>54</v>
      </c>
      <c r="N2046" s="4">
        <v>156.76</v>
      </c>
      <c r="O2046" t="s">
        <v>31</v>
      </c>
      <c r="P2046" t="s">
        <v>98</v>
      </c>
      <c r="X2046" t="s">
        <v>35</v>
      </c>
      <c r="Y2046" t="s">
        <v>389</v>
      </c>
      <c r="Z2046">
        <v>20200131</v>
      </c>
      <c r="AA2046">
        <f t="shared" si="79"/>
        <v>8.3800000000000008</v>
      </c>
      <c r="AC2046"/>
      <c r="AE2046" t="s">
        <v>390</v>
      </c>
      <c r="AF2046"/>
      <c r="AL2046">
        <v>340112890</v>
      </c>
      <c r="AM2046" t="s">
        <v>391</v>
      </c>
    </row>
    <row r="2047" spans="1:39" x14ac:dyDescent="0.35">
      <c r="A2047">
        <v>3401</v>
      </c>
      <c r="B2047" t="s">
        <v>28</v>
      </c>
      <c r="C2047">
        <v>2020</v>
      </c>
      <c r="D2047" s="1">
        <v>43831</v>
      </c>
      <c r="E2047">
        <v>11</v>
      </c>
      <c r="F2047">
        <v>100032806</v>
      </c>
      <c r="G2047" t="s">
        <v>101</v>
      </c>
      <c r="H2047">
        <v>40</v>
      </c>
      <c r="I2047">
        <v>71105120</v>
      </c>
      <c r="J2047">
        <v>11210050</v>
      </c>
      <c r="K2047" t="s">
        <v>268</v>
      </c>
      <c r="L2047" s="4">
        <v>1051.32</v>
      </c>
      <c r="M2047" t="s">
        <v>54</v>
      </c>
      <c r="N2047" s="4">
        <v>19666.73</v>
      </c>
      <c r="O2047" t="s">
        <v>31</v>
      </c>
      <c r="P2047" t="s">
        <v>98</v>
      </c>
      <c r="X2047" t="s">
        <v>35</v>
      </c>
      <c r="Y2047" t="s">
        <v>389</v>
      </c>
      <c r="Z2047">
        <v>20200131</v>
      </c>
      <c r="AA2047">
        <f t="shared" si="79"/>
        <v>1051.32</v>
      </c>
      <c r="AC2047"/>
      <c r="AE2047" t="s">
        <v>390</v>
      </c>
      <c r="AF2047"/>
      <c r="AL2047">
        <v>340116690</v>
      </c>
      <c r="AM2047" t="s">
        <v>391</v>
      </c>
    </row>
    <row r="2048" spans="1:39" x14ac:dyDescent="0.35">
      <c r="A2048">
        <v>3401</v>
      </c>
      <c r="B2048" t="s">
        <v>28</v>
      </c>
      <c r="C2048">
        <v>2020</v>
      </c>
      <c r="D2048" s="1">
        <v>43831</v>
      </c>
      <c r="E2048">
        <v>12</v>
      </c>
      <c r="F2048">
        <v>100032806</v>
      </c>
      <c r="G2048" t="s">
        <v>101</v>
      </c>
      <c r="H2048">
        <v>40</v>
      </c>
      <c r="I2048">
        <v>71105120</v>
      </c>
      <c r="J2048">
        <v>11210050</v>
      </c>
      <c r="K2048" t="s">
        <v>268</v>
      </c>
      <c r="L2048" s="4">
        <v>37.700000000000003</v>
      </c>
      <c r="M2048" t="s">
        <v>54</v>
      </c>
      <c r="N2048" s="4">
        <v>705.24</v>
      </c>
      <c r="O2048" t="s">
        <v>31</v>
      </c>
      <c r="P2048" t="s">
        <v>98</v>
      </c>
      <c r="X2048" t="s">
        <v>35</v>
      </c>
      <c r="Y2048" t="s">
        <v>389</v>
      </c>
      <c r="Z2048">
        <v>20200131</v>
      </c>
      <c r="AA2048">
        <f t="shared" si="79"/>
        <v>37.700000000000003</v>
      </c>
      <c r="AC2048"/>
      <c r="AE2048" t="s">
        <v>390</v>
      </c>
      <c r="AF2048"/>
      <c r="AL2048">
        <v>340117690</v>
      </c>
      <c r="AM2048" t="s">
        <v>391</v>
      </c>
    </row>
    <row r="2049" spans="1:39" x14ac:dyDescent="0.35">
      <c r="A2049">
        <v>3401</v>
      </c>
      <c r="B2049" t="s">
        <v>28</v>
      </c>
      <c r="C2049">
        <v>2020</v>
      </c>
      <c r="D2049" s="1">
        <v>43831</v>
      </c>
      <c r="E2049">
        <v>13</v>
      </c>
      <c r="F2049">
        <v>100032806</v>
      </c>
      <c r="G2049" t="s">
        <v>101</v>
      </c>
      <c r="H2049">
        <v>40</v>
      </c>
      <c r="I2049">
        <v>71105120</v>
      </c>
      <c r="J2049">
        <v>11210050</v>
      </c>
      <c r="K2049" t="s">
        <v>268</v>
      </c>
      <c r="L2049" s="4">
        <v>37.700000000000003</v>
      </c>
      <c r="M2049" t="s">
        <v>54</v>
      </c>
      <c r="N2049" s="4">
        <v>705.24</v>
      </c>
      <c r="O2049" t="s">
        <v>31</v>
      </c>
      <c r="P2049" t="s">
        <v>98</v>
      </c>
      <c r="X2049" t="s">
        <v>35</v>
      </c>
      <c r="Y2049" t="s">
        <v>389</v>
      </c>
      <c r="Z2049">
        <v>20200131</v>
      </c>
      <c r="AA2049">
        <f t="shared" si="79"/>
        <v>37.700000000000003</v>
      </c>
      <c r="AC2049"/>
      <c r="AE2049" t="s">
        <v>390</v>
      </c>
      <c r="AF2049"/>
      <c r="AL2049">
        <v>340119190</v>
      </c>
      <c r="AM2049" t="s">
        <v>391</v>
      </c>
    </row>
    <row r="2050" spans="1:39" x14ac:dyDescent="0.35">
      <c r="A2050">
        <v>3401</v>
      </c>
      <c r="B2050" t="s">
        <v>28</v>
      </c>
      <c r="C2050">
        <v>2020</v>
      </c>
      <c r="D2050" s="1">
        <v>43831</v>
      </c>
      <c r="E2050">
        <v>14</v>
      </c>
      <c r="F2050">
        <v>100032806</v>
      </c>
      <c r="G2050" t="s">
        <v>101</v>
      </c>
      <c r="H2050">
        <v>40</v>
      </c>
      <c r="I2050">
        <v>71105120</v>
      </c>
      <c r="J2050">
        <v>11210050</v>
      </c>
      <c r="K2050" t="s">
        <v>268</v>
      </c>
      <c r="L2050" s="4">
        <v>16.75</v>
      </c>
      <c r="M2050" t="s">
        <v>54</v>
      </c>
      <c r="N2050" s="4">
        <v>313.33999999999997</v>
      </c>
      <c r="O2050" t="s">
        <v>31</v>
      </c>
      <c r="P2050" t="s">
        <v>98</v>
      </c>
      <c r="X2050" t="s">
        <v>35</v>
      </c>
      <c r="Y2050" t="s">
        <v>389</v>
      </c>
      <c r="Z2050">
        <v>20200131</v>
      </c>
      <c r="AA2050">
        <f t="shared" si="79"/>
        <v>16.75</v>
      </c>
      <c r="AC2050"/>
      <c r="AE2050" t="s">
        <v>390</v>
      </c>
      <c r="AF2050"/>
      <c r="AL2050">
        <v>340119290</v>
      </c>
      <c r="AM2050" t="s">
        <v>391</v>
      </c>
    </row>
    <row r="2051" spans="1:39" x14ac:dyDescent="0.35">
      <c r="A2051">
        <v>3401</v>
      </c>
      <c r="B2051" t="s">
        <v>28</v>
      </c>
      <c r="C2051">
        <v>2020</v>
      </c>
      <c r="D2051" s="1">
        <v>43831</v>
      </c>
      <c r="E2051">
        <v>15</v>
      </c>
      <c r="F2051">
        <v>100032806</v>
      </c>
      <c r="G2051" t="s">
        <v>101</v>
      </c>
      <c r="H2051">
        <v>40</v>
      </c>
      <c r="I2051">
        <v>71105120</v>
      </c>
      <c r="J2051">
        <v>11210050</v>
      </c>
      <c r="K2051" t="s">
        <v>268</v>
      </c>
      <c r="L2051" s="4">
        <v>20.94</v>
      </c>
      <c r="M2051" t="s">
        <v>54</v>
      </c>
      <c r="N2051" s="4">
        <v>391.72</v>
      </c>
      <c r="O2051" t="s">
        <v>31</v>
      </c>
      <c r="P2051" t="s">
        <v>98</v>
      </c>
      <c r="X2051" t="s">
        <v>35</v>
      </c>
      <c r="Y2051" t="s">
        <v>389</v>
      </c>
      <c r="Z2051">
        <v>20200131</v>
      </c>
      <c r="AA2051">
        <f t="shared" si="79"/>
        <v>20.94</v>
      </c>
      <c r="AC2051"/>
      <c r="AE2051" t="s">
        <v>390</v>
      </c>
      <c r="AF2051"/>
      <c r="AL2051">
        <v>340120490</v>
      </c>
      <c r="AM2051" t="s">
        <v>391</v>
      </c>
    </row>
    <row r="2052" spans="1:39" x14ac:dyDescent="0.35">
      <c r="A2052">
        <v>3401</v>
      </c>
      <c r="B2052" t="s">
        <v>28</v>
      </c>
      <c r="C2052">
        <v>2020</v>
      </c>
      <c r="D2052" s="1">
        <v>43831</v>
      </c>
      <c r="E2052">
        <v>16</v>
      </c>
      <c r="F2052">
        <v>100032806</v>
      </c>
      <c r="G2052" t="s">
        <v>101</v>
      </c>
      <c r="H2052">
        <v>40</v>
      </c>
      <c r="I2052">
        <v>71105120</v>
      </c>
      <c r="J2052">
        <v>11210050</v>
      </c>
      <c r="K2052" t="s">
        <v>268</v>
      </c>
      <c r="L2052" s="4">
        <v>25.13</v>
      </c>
      <c r="M2052" t="s">
        <v>54</v>
      </c>
      <c r="N2052" s="4">
        <v>470.1</v>
      </c>
      <c r="O2052" t="s">
        <v>31</v>
      </c>
      <c r="P2052" t="s">
        <v>98</v>
      </c>
      <c r="X2052" t="s">
        <v>35</v>
      </c>
      <c r="Y2052" t="s">
        <v>389</v>
      </c>
      <c r="Z2052">
        <v>20200131</v>
      </c>
      <c r="AA2052">
        <f t="shared" si="79"/>
        <v>25.13</v>
      </c>
      <c r="AC2052"/>
      <c r="AE2052" t="s">
        <v>390</v>
      </c>
      <c r="AF2052"/>
      <c r="AL2052">
        <v>340121690</v>
      </c>
      <c r="AM2052" t="s">
        <v>391</v>
      </c>
    </row>
    <row r="2053" spans="1:39" x14ac:dyDescent="0.35">
      <c r="A2053">
        <v>3401</v>
      </c>
      <c r="B2053" t="s">
        <v>28</v>
      </c>
      <c r="C2053">
        <v>2020</v>
      </c>
      <c r="D2053" s="1">
        <v>43831</v>
      </c>
      <c r="E2053">
        <v>17</v>
      </c>
      <c r="F2053">
        <v>100032806</v>
      </c>
      <c r="G2053" t="s">
        <v>101</v>
      </c>
      <c r="H2053">
        <v>40</v>
      </c>
      <c r="I2053">
        <v>71105120</v>
      </c>
      <c r="J2053">
        <v>11210050</v>
      </c>
      <c r="K2053" t="s">
        <v>268</v>
      </c>
      <c r="L2053" s="4">
        <v>33.51</v>
      </c>
      <c r="M2053" t="s">
        <v>54</v>
      </c>
      <c r="N2053" s="4">
        <v>626.86</v>
      </c>
      <c r="O2053" t="s">
        <v>31</v>
      </c>
      <c r="P2053" t="s">
        <v>98</v>
      </c>
      <c r="X2053" t="s">
        <v>35</v>
      </c>
      <c r="Y2053" t="s">
        <v>389</v>
      </c>
      <c r="Z2053">
        <v>20200131</v>
      </c>
      <c r="AA2053">
        <f t="shared" si="79"/>
        <v>33.51</v>
      </c>
      <c r="AC2053"/>
      <c r="AE2053" t="s">
        <v>390</v>
      </c>
      <c r="AF2053"/>
      <c r="AL2053">
        <v>340121790</v>
      </c>
      <c r="AM2053" t="s">
        <v>391</v>
      </c>
    </row>
    <row r="2054" spans="1:39" x14ac:dyDescent="0.35">
      <c r="A2054">
        <v>3401</v>
      </c>
      <c r="B2054" t="s">
        <v>28</v>
      </c>
      <c r="C2054">
        <v>2020</v>
      </c>
      <c r="D2054" s="1">
        <v>43831</v>
      </c>
      <c r="E2054">
        <v>18</v>
      </c>
      <c r="F2054">
        <v>100032806</v>
      </c>
      <c r="G2054" t="s">
        <v>101</v>
      </c>
      <c r="H2054">
        <v>40</v>
      </c>
      <c r="I2054">
        <v>71105120</v>
      </c>
      <c r="J2054">
        <v>11210050</v>
      </c>
      <c r="K2054" t="s">
        <v>268</v>
      </c>
      <c r="L2054" s="4">
        <v>67.02</v>
      </c>
      <c r="M2054" t="s">
        <v>54</v>
      </c>
      <c r="N2054" s="4">
        <v>1253.72</v>
      </c>
      <c r="O2054" t="s">
        <v>31</v>
      </c>
      <c r="P2054" t="s">
        <v>98</v>
      </c>
      <c r="X2054" t="s">
        <v>35</v>
      </c>
      <c r="Y2054" t="s">
        <v>389</v>
      </c>
      <c r="Z2054">
        <v>20200131</v>
      </c>
      <c r="AA2054">
        <f t="shared" si="79"/>
        <v>67.02</v>
      </c>
      <c r="AC2054"/>
      <c r="AE2054" t="s">
        <v>390</v>
      </c>
      <c r="AF2054"/>
      <c r="AL2054">
        <v>340125190</v>
      </c>
      <c r="AM2054" t="s">
        <v>391</v>
      </c>
    </row>
    <row r="2055" spans="1:39" x14ac:dyDescent="0.35">
      <c r="A2055">
        <v>3401</v>
      </c>
      <c r="B2055" t="s">
        <v>28</v>
      </c>
      <c r="C2055">
        <v>2020</v>
      </c>
      <c r="D2055" s="1">
        <v>43831</v>
      </c>
      <c r="E2055">
        <v>19</v>
      </c>
      <c r="F2055">
        <v>100032806</v>
      </c>
      <c r="G2055" t="s">
        <v>101</v>
      </c>
      <c r="H2055">
        <v>40</v>
      </c>
      <c r="I2055">
        <v>71105120</v>
      </c>
      <c r="J2055">
        <v>11210050</v>
      </c>
      <c r="K2055" t="s">
        <v>268</v>
      </c>
      <c r="L2055" s="4">
        <v>8.3800000000000008</v>
      </c>
      <c r="M2055" t="s">
        <v>54</v>
      </c>
      <c r="N2055" s="4">
        <v>156.76</v>
      </c>
      <c r="O2055" t="s">
        <v>31</v>
      </c>
      <c r="P2055" t="s">
        <v>98</v>
      </c>
      <c r="X2055" t="s">
        <v>35</v>
      </c>
      <c r="Y2055" t="s">
        <v>389</v>
      </c>
      <c r="Z2055">
        <v>20200131</v>
      </c>
      <c r="AA2055">
        <f t="shared" si="79"/>
        <v>8.3800000000000008</v>
      </c>
      <c r="AC2055"/>
      <c r="AE2055" t="s">
        <v>390</v>
      </c>
      <c r="AF2055"/>
      <c r="AL2055">
        <v>340125290</v>
      </c>
      <c r="AM2055" t="s">
        <v>391</v>
      </c>
    </row>
    <row r="2056" spans="1:39" x14ac:dyDescent="0.35">
      <c r="A2056">
        <v>3401</v>
      </c>
      <c r="B2056" t="s">
        <v>28</v>
      </c>
      <c r="C2056">
        <v>2020</v>
      </c>
      <c r="D2056" s="1">
        <v>43831</v>
      </c>
      <c r="E2056">
        <v>20</v>
      </c>
      <c r="F2056">
        <v>100032806</v>
      </c>
      <c r="G2056" t="s">
        <v>101</v>
      </c>
      <c r="H2056">
        <v>40</v>
      </c>
      <c r="I2056">
        <v>71105120</v>
      </c>
      <c r="J2056">
        <v>11210050</v>
      </c>
      <c r="K2056" t="s">
        <v>268</v>
      </c>
      <c r="L2056" s="4">
        <v>8.3800000000000008</v>
      </c>
      <c r="M2056" t="s">
        <v>54</v>
      </c>
      <c r="N2056" s="4">
        <v>156.76</v>
      </c>
      <c r="O2056" t="s">
        <v>31</v>
      </c>
      <c r="P2056" t="s">
        <v>98</v>
      </c>
      <c r="X2056" t="s">
        <v>35</v>
      </c>
      <c r="Y2056" t="s">
        <v>389</v>
      </c>
      <c r="Z2056">
        <v>20200131</v>
      </c>
      <c r="AA2056">
        <f t="shared" si="79"/>
        <v>8.3800000000000008</v>
      </c>
      <c r="AC2056"/>
      <c r="AE2056" t="s">
        <v>390</v>
      </c>
      <c r="AF2056"/>
      <c r="AL2056">
        <v>340125490</v>
      </c>
      <c r="AM2056" t="s">
        <v>391</v>
      </c>
    </row>
    <row r="2057" spans="1:39" x14ac:dyDescent="0.35">
      <c r="A2057">
        <v>3401</v>
      </c>
      <c r="B2057" t="s">
        <v>28</v>
      </c>
      <c r="C2057">
        <v>2020</v>
      </c>
      <c r="D2057" s="1">
        <v>43831</v>
      </c>
      <c r="E2057">
        <v>21</v>
      </c>
      <c r="F2057">
        <v>100032806</v>
      </c>
      <c r="G2057" t="s">
        <v>101</v>
      </c>
      <c r="H2057">
        <v>40</v>
      </c>
      <c r="I2057">
        <v>71105120</v>
      </c>
      <c r="J2057">
        <v>11210050</v>
      </c>
      <c r="K2057" t="s">
        <v>268</v>
      </c>
      <c r="L2057" s="4">
        <v>33.51</v>
      </c>
      <c r="M2057" t="s">
        <v>54</v>
      </c>
      <c r="N2057" s="4">
        <v>626.86</v>
      </c>
      <c r="O2057" t="s">
        <v>31</v>
      </c>
      <c r="P2057" t="s">
        <v>98</v>
      </c>
      <c r="X2057" t="s">
        <v>35</v>
      </c>
      <c r="Y2057" t="s">
        <v>389</v>
      </c>
      <c r="Z2057">
        <v>20200131</v>
      </c>
      <c r="AA2057">
        <f t="shared" si="79"/>
        <v>33.51</v>
      </c>
      <c r="AC2057"/>
      <c r="AE2057" t="s">
        <v>390</v>
      </c>
      <c r="AF2057"/>
      <c r="AL2057">
        <v>340127190</v>
      </c>
      <c r="AM2057" t="s">
        <v>391</v>
      </c>
    </row>
    <row r="2058" spans="1:39" x14ac:dyDescent="0.35">
      <c r="A2058">
        <v>3401</v>
      </c>
      <c r="B2058" t="s">
        <v>28</v>
      </c>
      <c r="C2058">
        <v>2020</v>
      </c>
      <c r="D2058" s="1">
        <v>43831</v>
      </c>
      <c r="E2058">
        <v>22</v>
      </c>
      <c r="F2058">
        <v>100032806</v>
      </c>
      <c r="G2058" t="s">
        <v>101</v>
      </c>
      <c r="H2058">
        <v>40</v>
      </c>
      <c r="I2058">
        <v>71105120</v>
      </c>
      <c r="J2058">
        <v>11210050</v>
      </c>
      <c r="K2058" t="s">
        <v>268</v>
      </c>
      <c r="L2058" s="4">
        <v>12.57</v>
      </c>
      <c r="M2058" t="s">
        <v>54</v>
      </c>
      <c r="N2058" s="4">
        <v>235.14</v>
      </c>
      <c r="O2058" t="s">
        <v>31</v>
      </c>
      <c r="P2058" t="s">
        <v>98</v>
      </c>
      <c r="X2058" t="s">
        <v>35</v>
      </c>
      <c r="Y2058" t="s">
        <v>389</v>
      </c>
      <c r="Z2058">
        <v>20200131</v>
      </c>
      <c r="AA2058">
        <f t="shared" si="79"/>
        <v>12.57</v>
      </c>
      <c r="AC2058"/>
      <c r="AE2058" t="s">
        <v>390</v>
      </c>
      <c r="AF2058"/>
      <c r="AL2058">
        <v>340127290</v>
      </c>
      <c r="AM2058" t="s">
        <v>391</v>
      </c>
    </row>
    <row r="2059" spans="1:39" x14ac:dyDescent="0.35">
      <c r="A2059">
        <v>3401</v>
      </c>
      <c r="B2059" t="s">
        <v>28</v>
      </c>
      <c r="C2059">
        <v>2020</v>
      </c>
      <c r="D2059" s="1">
        <v>43831</v>
      </c>
      <c r="E2059">
        <v>23</v>
      </c>
      <c r="F2059">
        <v>100032806</v>
      </c>
      <c r="G2059" t="s">
        <v>101</v>
      </c>
      <c r="H2059">
        <v>40</v>
      </c>
      <c r="I2059">
        <v>71105120</v>
      </c>
      <c r="J2059">
        <v>11210050</v>
      </c>
      <c r="K2059" t="s">
        <v>268</v>
      </c>
      <c r="L2059" s="4">
        <v>12.57</v>
      </c>
      <c r="M2059" t="s">
        <v>54</v>
      </c>
      <c r="N2059" s="4">
        <v>235.14</v>
      </c>
      <c r="O2059" t="s">
        <v>31</v>
      </c>
      <c r="P2059" t="s">
        <v>98</v>
      </c>
      <c r="X2059" t="s">
        <v>35</v>
      </c>
      <c r="Y2059" t="s">
        <v>389</v>
      </c>
      <c r="Z2059">
        <v>20200131</v>
      </c>
      <c r="AA2059">
        <f t="shared" si="79"/>
        <v>12.57</v>
      </c>
      <c r="AC2059"/>
      <c r="AE2059" t="s">
        <v>390</v>
      </c>
      <c r="AF2059"/>
      <c r="AL2059">
        <v>340133190</v>
      </c>
      <c r="AM2059" t="s">
        <v>391</v>
      </c>
    </row>
    <row r="2060" spans="1:39" x14ac:dyDescent="0.35">
      <c r="A2060">
        <v>3401</v>
      </c>
      <c r="B2060" t="s">
        <v>28</v>
      </c>
      <c r="C2060">
        <v>2020</v>
      </c>
      <c r="D2060" s="1">
        <v>43831</v>
      </c>
      <c r="E2060">
        <v>24</v>
      </c>
      <c r="F2060">
        <v>100032806</v>
      </c>
      <c r="G2060" t="s">
        <v>101</v>
      </c>
      <c r="H2060">
        <v>40</v>
      </c>
      <c r="I2060">
        <v>71105120</v>
      </c>
      <c r="J2060">
        <v>11210050</v>
      </c>
      <c r="K2060" t="s">
        <v>268</v>
      </c>
      <c r="L2060" s="4">
        <v>16.75</v>
      </c>
      <c r="M2060" t="s">
        <v>54</v>
      </c>
      <c r="N2060" s="4">
        <v>313.33999999999997</v>
      </c>
      <c r="O2060" t="s">
        <v>31</v>
      </c>
      <c r="P2060" t="s">
        <v>98</v>
      </c>
      <c r="X2060" t="s">
        <v>35</v>
      </c>
      <c r="Y2060" t="s">
        <v>389</v>
      </c>
      <c r="Z2060">
        <v>20200131</v>
      </c>
      <c r="AA2060">
        <f t="shared" si="79"/>
        <v>16.75</v>
      </c>
      <c r="AC2060"/>
      <c r="AE2060" t="s">
        <v>390</v>
      </c>
      <c r="AF2060"/>
      <c r="AL2060">
        <v>340136290</v>
      </c>
      <c r="AM2060" t="s">
        <v>391</v>
      </c>
    </row>
    <row r="2061" spans="1:39" x14ac:dyDescent="0.35">
      <c r="A2061">
        <v>3401</v>
      </c>
      <c r="B2061" t="s">
        <v>28</v>
      </c>
      <c r="C2061">
        <v>2020</v>
      </c>
      <c r="D2061" s="1">
        <v>43831</v>
      </c>
      <c r="E2061">
        <v>25</v>
      </c>
      <c r="F2061">
        <v>100032806</v>
      </c>
      <c r="G2061" t="s">
        <v>101</v>
      </c>
      <c r="H2061">
        <v>40</v>
      </c>
      <c r="I2061">
        <v>71105120</v>
      </c>
      <c r="J2061">
        <v>11210050</v>
      </c>
      <c r="K2061" t="s">
        <v>268</v>
      </c>
      <c r="L2061" s="4">
        <v>79.58</v>
      </c>
      <c r="M2061" t="s">
        <v>54</v>
      </c>
      <c r="N2061" s="4">
        <v>1488.68</v>
      </c>
      <c r="O2061" t="s">
        <v>31</v>
      </c>
      <c r="P2061" t="s">
        <v>98</v>
      </c>
      <c r="X2061" t="s">
        <v>35</v>
      </c>
      <c r="Y2061" t="s">
        <v>389</v>
      </c>
      <c r="Z2061">
        <v>20200131</v>
      </c>
      <c r="AA2061">
        <f t="shared" si="79"/>
        <v>79.58</v>
      </c>
      <c r="AC2061"/>
      <c r="AE2061" t="s">
        <v>390</v>
      </c>
      <c r="AF2061"/>
      <c r="AL2061">
        <v>340140390</v>
      </c>
      <c r="AM2061" t="s">
        <v>391</v>
      </c>
    </row>
    <row r="2062" spans="1:39" x14ac:dyDescent="0.35">
      <c r="A2062">
        <v>3401</v>
      </c>
      <c r="B2062" t="s">
        <v>28</v>
      </c>
      <c r="C2062">
        <v>2020</v>
      </c>
      <c r="D2062" s="1">
        <v>43831</v>
      </c>
      <c r="E2062">
        <v>26</v>
      </c>
      <c r="F2062">
        <v>100032806</v>
      </c>
      <c r="G2062" t="s">
        <v>101</v>
      </c>
      <c r="H2062">
        <v>40</v>
      </c>
      <c r="I2062">
        <v>71105120</v>
      </c>
      <c r="J2062">
        <v>11210050</v>
      </c>
      <c r="K2062" t="s">
        <v>268</v>
      </c>
      <c r="L2062" s="4">
        <v>25.13</v>
      </c>
      <c r="M2062" t="s">
        <v>54</v>
      </c>
      <c r="N2062" s="4">
        <v>470.1</v>
      </c>
      <c r="O2062" t="s">
        <v>31</v>
      </c>
      <c r="P2062" t="s">
        <v>98</v>
      </c>
      <c r="X2062" t="s">
        <v>35</v>
      </c>
      <c r="Y2062" t="s">
        <v>389</v>
      </c>
      <c r="Z2062">
        <v>20200131</v>
      </c>
      <c r="AA2062">
        <f t="shared" si="79"/>
        <v>25.13</v>
      </c>
      <c r="AC2062"/>
      <c r="AE2062" t="s">
        <v>390</v>
      </c>
      <c r="AF2062"/>
      <c r="AL2062">
        <v>340146390</v>
      </c>
      <c r="AM2062" t="s">
        <v>391</v>
      </c>
    </row>
    <row r="2063" spans="1:39" x14ac:dyDescent="0.35">
      <c r="A2063">
        <v>3401</v>
      </c>
      <c r="B2063" t="s">
        <v>28</v>
      </c>
      <c r="C2063">
        <v>2020</v>
      </c>
      <c r="D2063" s="1">
        <v>43831</v>
      </c>
      <c r="E2063">
        <v>27</v>
      </c>
      <c r="F2063">
        <v>100032806</v>
      </c>
      <c r="G2063" t="s">
        <v>101</v>
      </c>
      <c r="H2063">
        <v>40</v>
      </c>
      <c r="I2063">
        <v>71105120</v>
      </c>
      <c r="J2063">
        <v>11210050</v>
      </c>
      <c r="K2063" t="s">
        <v>268</v>
      </c>
      <c r="L2063" s="4">
        <v>83.77</v>
      </c>
      <c r="M2063" t="s">
        <v>54</v>
      </c>
      <c r="N2063" s="4">
        <v>1567.06</v>
      </c>
      <c r="O2063" t="s">
        <v>31</v>
      </c>
      <c r="P2063" t="s">
        <v>98</v>
      </c>
      <c r="X2063" t="s">
        <v>35</v>
      </c>
      <c r="Y2063" t="s">
        <v>389</v>
      </c>
      <c r="Z2063">
        <v>20200131</v>
      </c>
      <c r="AA2063">
        <f t="shared" si="79"/>
        <v>83.77</v>
      </c>
      <c r="AC2063"/>
      <c r="AE2063" t="s">
        <v>390</v>
      </c>
      <c r="AF2063"/>
      <c r="AL2063">
        <v>340148290</v>
      </c>
      <c r="AM2063" t="s">
        <v>391</v>
      </c>
    </row>
    <row r="2064" spans="1:39" x14ac:dyDescent="0.35">
      <c r="A2064">
        <v>3401</v>
      </c>
      <c r="B2064" t="s">
        <v>28</v>
      </c>
      <c r="C2064">
        <v>2020</v>
      </c>
      <c r="D2064" s="1">
        <v>43831</v>
      </c>
      <c r="E2064">
        <v>28</v>
      </c>
      <c r="F2064">
        <v>100032806</v>
      </c>
      <c r="G2064" t="s">
        <v>101</v>
      </c>
      <c r="H2064">
        <v>40</v>
      </c>
      <c r="I2064">
        <v>71105120</v>
      </c>
      <c r="J2064">
        <v>11210050</v>
      </c>
      <c r="K2064" t="s">
        <v>268</v>
      </c>
      <c r="L2064" s="4">
        <v>46.07</v>
      </c>
      <c r="M2064" t="s">
        <v>54</v>
      </c>
      <c r="N2064" s="4">
        <v>861.82</v>
      </c>
      <c r="O2064" t="s">
        <v>31</v>
      </c>
      <c r="P2064" t="s">
        <v>98</v>
      </c>
      <c r="X2064" t="s">
        <v>35</v>
      </c>
      <c r="Y2064" t="s">
        <v>389</v>
      </c>
      <c r="Z2064">
        <v>20200131</v>
      </c>
      <c r="AA2064">
        <f t="shared" si="79"/>
        <v>46.07</v>
      </c>
      <c r="AC2064"/>
      <c r="AE2064" t="s">
        <v>390</v>
      </c>
      <c r="AF2064"/>
      <c r="AL2064">
        <v>340153290</v>
      </c>
      <c r="AM2064" t="s">
        <v>391</v>
      </c>
    </row>
    <row r="2065" spans="1:39" x14ac:dyDescent="0.35">
      <c r="A2065">
        <v>3401</v>
      </c>
      <c r="B2065" t="s">
        <v>28</v>
      </c>
      <c r="C2065">
        <v>2020</v>
      </c>
      <c r="D2065" s="1">
        <v>43831</v>
      </c>
      <c r="E2065">
        <v>29</v>
      </c>
      <c r="F2065">
        <v>100032806</v>
      </c>
      <c r="G2065" t="s">
        <v>101</v>
      </c>
      <c r="H2065">
        <v>40</v>
      </c>
      <c r="I2065">
        <v>71105120</v>
      </c>
      <c r="J2065">
        <v>11210050</v>
      </c>
      <c r="K2065" t="s">
        <v>268</v>
      </c>
      <c r="L2065" s="4">
        <v>25.13</v>
      </c>
      <c r="M2065" t="s">
        <v>54</v>
      </c>
      <c r="N2065" s="4">
        <v>470.1</v>
      </c>
      <c r="O2065" t="s">
        <v>31</v>
      </c>
      <c r="P2065" t="s">
        <v>98</v>
      </c>
      <c r="X2065" t="s">
        <v>35</v>
      </c>
      <c r="Y2065" t="s">
        <v>389</v>
      </c>
      <c r="Z2065">
        <v>20200131</v>
      </c>
      <c r="AA2065">
        <f t="shared" si="79"/>
        <v>25.13</v>
      </c>
      <c r="AC2065"/>
      <c r="AE2065" t="s">
        <v>390</v>
      </c>
      <c r="AF2065"/>
      <c r="AL2065">
        <v>340162190</v>
      </c>
      <c r="AM2065" t="s">
        <v>391</v>
      </c>
    </row>
    <row r="2066" spans="1:39" x14ac:dyDescent="0.35">
      <c r="A2066">
        <v>3401</v>
      </c>
      <c r="B2066" t="s">
        <v>28</v>
      </c>
      <c r="C2066">
        <v>2020</v>
      </c>
      <c r="D2066" s="1">
        <v>43831</v>
      </c>
      <c r="E2066">
        <v>30</v>
      </c>
      <c r="F2066">
        <v>100032806</v>
      </c>
      <c r="G2066" t="s">
        <v>101</v>
      </c>
      <c r="H2066">
        <v>40</v>
      </c>
      <c r="I2066">
        <v>71105120</v>
      </c>
      <c r="J2066">
        <v>11210050</v>
      </c>
      <c r="K2066" t="s">
        <v>268</v>
      </c>
      <c r="L2066" s="4">
        <v>25.13</v>
      </c>
      <c r="M2066" t="s">
        <v>54</v>
      </c>
      <c r="N2066" s="4">
        <v>470.1</v>
      </c>
      <c r="O2066" t="s">
        <v>31</v>
      </c>
      <c r="P2066" t="s">
        <v>98</v>
      </c>
      <c r="X2066" t="s">
        <v>35</v>
      </c>
      <c r="Y2066" t="s">
        <v>389</v>
      </c>
      <c r="Z2066">
        <v>20200131</v>
      </c>
      <c r="AA2066">
        <f t="shared" ref="AA2066:AA2129" si="82">L2066</f>
        <v>25.13</v>
      </c>
      <c r="AC2066"/>
      <c r="AE2066" t="s">
        <v>390</v>
      </c>
      <c r="AF2066"/>
      <c r="AL2066">
        <v>340117990</v>
      </c>
      <c r="AM2066" t="s">
        <v>391</v>
      </c>
    </row>
    <row r="2067" spans="1:39" x14ac:dyDescent="0.35">
      <c r="A2067">
        <v>3401</v>
      </c>
      <c r="B2067" t="s">
        <v>28</v>
      </c>
      <c r="C2067">
        <v>2020</v>
      </c>
      <c r="D2067" s="1">
        <v>43831</v>
      </c>
      <c r="E2067">
        <v>31</v>
      </c>
      <c r="F2067">
        <v>100032806</v>
      </c>
      <c r="G2067" t="s">
        <v>101</v>
      </c>
      <c r="H2067">
        <v>40</v>
      </c>
      <c r="I2067">
        <v>71105120</v>
      </c>
      <c r="J2067">
        <v>11210050</v>
      </c>
      <c r="K2067" t="s">
        <v>268</v>
      </c>
      <c r="L2067" s="4">
        <v>4.1900000000000004</v>
      </c>
      <c r="M2067" t="s">
        <v>54</v>
      </c>
      <c r="N2067" s="4">
        <v>78.38</v>
      </c>
      <c r="O2067" t="s">
        <v>31</v>
      </c>
      <c r="P2067" t="s">
        <v>98</v>
      </c>
      <c r="X2067" t="s">
        <v>35</v>
      </c>
      <c r="Y2067" t="s">
        <v>389</v>
      </c>
      <c r="Z2067">
        <v>20200131</v>
      </c>
      <c r="AA2067">
        <f t="shared" si="82"/>
        <v>4.1900000000000004</v>
      </c>
      <c r="AC2067"/>
      <c r="AE2067" t="s">
        <v>390</v>
      </c>
      <c r="AF2067"/>
      <c r="AL2067">
        <v>340112390</v>
      </c>
      <c r="AM2067" t="s">
        <v>391</v>
      </c>
    </row>
    <row r="2068" spans="1:39" x14ac:dyDescent="0.35">
      <c r="A2068">
        <v>3401</v>
      </c>
      <c r="B2068" t="s">
        <v>28</v>
      </c>
      <c r="C2068">
        <v>2020</v>
      </c>
      <c r="D2068" s="1">
        <v>43831</v>
      </c>
      <c r="E2068">
        <v>32</v>
      </c>
      <c r="F2068">
        <v>100032806</v>
      </c>
      <c r="G2068" t="s">
        <v>101</v>
      </c>
      <c r="H2068">
        <v>40</v>
      </c>
      <c r="I2068">
        <v>71105120</v>
      </c>
      <c r="J2068">
        <v>11210050</v>
      </c>
      <c r="K2068" t="s">
        <v>268</v>
      </c>
      <c r="L2068" s="4">
        <v>4.1900000000000004</v>
      </c>
      <c r="M2068" t="s">
        <v>54</v>
      </c>
      <c r="N2068" s="4">
        <v>78.38</v>
      </c>
      <c r="O2068" t="s">
        <v>31</v>
      </c>
      <c r="P2068" t="s">
        <v>98</v>
      </c>
      <c r="X2068" t="s">
        <v>35</v>
      </c>
      <c r="Y2068" t="s">
        <v>389</v>
      </c>
      <c r="Z2068">
        <v>20200131</v>
      </c>
      <c r="AA2068">
        <f t="shared" si="82"/>
        <v>4.1900000000000004</v>
      </c>
      <c r="AC2068"/>
      <c r="AE2068" t="s">
        <v>390</v>
      </c>
      <c r="AF2068"/>
      <c r="AL2068">
        <v>340113090</v>
      </c>
      <c r="AM2068" t="s">
        <v>391</v>
      </c>
    </row>
    <row r="2069" spans="1:39" x14ac:dyDescent="0.35">
      <c r="A2069">
        <v>3402</v>
      </c>
      <c r="B2069" t="s">
        <v>28</v>
      </c>
      <c r="C2069">
        <v>2020</v>
      </c>
      <c r="D2069" s="1">
        <v>43831</v>
      </c>
      <c r="E2069">
        <v>1</v>
      </c>
      <c r="F2069">
        <v>200114719</v>
      </c>
      <c r="G2069" t="s">
        <v>101</v>
      </c>
      <c r="H2069">
        <v>40</v>
      </c>
      <c r="I2069">
        <v>71105120</v>
      </c>
      <c r="J2069">
        <v>11210050</v>
      </c>
      <c r="K2069" t="s">
        <v>268</v>
      </c>
      <c r="L2069" s="4">
        <v>16.75</v>
      </c>
      <c r="M2069" t="s">
        <v>54</v>
      </c>
      <c r="N2069" s="4">
        <v>313.33999999999997</v>
      </c>
      <c r="O2069" t="s">
        <v>31</v>
      </c>
      <c r="P2069" t="s">
        <v>98</v>
      </c>
      <c r="X2069" t="s">
        <v>35</v>
      </c>
      <c r="Y2069" t="s">
        <v>389</v>
      </c>
      <c r="Z2069">
        <v>20200131</v>
      </c>
      <c r="AA2069">
        <f t="shared" si="82"/>
        <v>16.75</v>
      </c>
      <c r="AC2069"/>
      <c r="AE2069" t="s">
        <v>390</v>
      </c>
      <c r="AF2069"/>
      <c r="AL2069">
        <v>340210490</v>
      </c>
      <c r="AM2069" t="s">
        <v>391</v>
      </c>
    </row>
    <row r="2070" spans="1:39" x14ac:dyDescent="0.35">
      <c r="A2070">
        <v>3402</v>
      </c>
      <c r="B2070" t="s">
        <v>28</v>
      </c>
      <c r="C2070">
        <v>2020</v>
      </c>
      <c r="D2070" s="1">
        <v>43831</v>
      </c>
      <c r="E2070">
        <v>2</v>
      </c>
      <c r="F2070">
        <v>200114719</v>
      </c>
      <c r="G2070" t="s">
        <v>101</v>
      </c>
      <c r="H2070">
        <v>40</v>
      </c>
      <c r="I2070">
        <v>71105120</v>
      </c>
      <c r="J2070">
        <v>11210050</v>
      </c>
      <c r="K2070" t="s">
        <v>268</v>
      </c>
      <c r="L2070" s="4">
        <v>8.3800000000000008</v>
      </c>
      <c r="M2070" t="s">
        <v>54</v>
      </c>
      <c r="N2070" s="4">
        <v>156.76</v>
      </c>
      <c r="O2070" t="s">
        <v>31</v>
      </c>
      <c r="P2070" t="s">
        <v>98</v>
      </c>
      <c r="X2070" t="s">
        <v>35</v>
      </c>
      <c r="Y2070" t="s">
        <v>389</v>
      </c>
      <c r="Z2070">
        <v>20200131</v>
      </c>
      <c r="AA2070">
        <f t="shared" si="82"/>
        <v>8.3800000000000008</v>
      </c>
      <c r="AC2070"/>
      <c r="AE2070" t="s">
        <v>390</v>
      </c>
      <c r="AF2070"/>
      <c r="AL2070">
        <v>340210590</v>
      </c>
      <c r="AM2070" t="s">
        <v>391</v>
      </c>
    </row>
    <row r="2071" spans="1:39" x14ac:dyDescent="0.35">
      <c r="A2071">
        <v>3402</v>
      </c>
      <c r="B2071" t="s">
        <v>28</v>
      </c>
      <c r="C2071">
        <v>2020</v>
      </c>
      <c r="D2071" s="1">
        <v>43831</v>
      </c>
      <c r="E2071">
        <v>3</v>
      </c>
      <c r="F2071">
        <v>200114719</v>
      </c>
      <c r="G2071" t="s">
        <v>101</v>
      </c>
      <c r="H2071">
        <v>40</v>
      </c>
      <c r="I2071">
        <v>71105120</v>
      </c>
      <c r="J2071">
        <v>11210050</v>
      </c>
      <c r="K2071" t="s">
        <v>268</v>
      </c>
      <c r="L2071" s="4">
        <v>87.96</v>
      </c>
      <c r="M2071" t="s">
        <v>54</v>
      </c>
      <c r="N2071" s="4">
        <v>1645.44</v>
      </c>
      <c r="O2071" t="s">
        <v>31</v>
      </c>
      <c r="P2071" t="s">
        <v>98</v>
      </c>
      <c r="X2071" t="s">
        <v>35</v>
      </c>
      <c r="Y2071" t="s">
        <v>389</v>
      </c>
      <c r="Z2071">
        <v>20200131</v>
      </c>
      <c r="AA2071">
        <f t="shared" si="82"/>
        <v>87.96</v>
      </c>
      <c r="AC2071"/>
      <c r="AE2071" t="s">
        <v>390</v>
      </c>
      <c r="AF2071"/>
      <c r="AL2071">
        <v>340210790</v>
      </c>
      <c r="AM2071" t="s">
        <v>391</v>
      </c>
    </row>
    <row r="2072" spans="1:39" x14ac:dyDescent="0.35">
      <c r="A2072">
        <v>3402</v>
      </c>
      <c r="B2072" t="s">
        <v>28</v>
      </c>
      <c r="C2072">
        <v>2020</v>
      </c>
      <c r="D2072" s="1">
        <v>43831</v>
      </c>
      <c r="E2072">
        <v>4</v>
      </c>
      <c r="F2072">
        <v>200114719</v>
      </c>
      <c r="G2072" t="s">
        <v>101</v>
      </c>
      <c r="H2072">
        <v>40</v>
      </c>
      <c r="I2072">
        <v>71105120</v>
      </c>
      <c r="J2072">
        <v>11210050</v>
      </c>
      <c r="K2072" t="s">
        <v>268</v>
      </c>
      <c r="L2072" s="4">
        <v>12.57</v>
      </c>
      <c r="M2072" t="s">
        <v>54</v>
      </c>
      <c r="N2072" s="4">
        <v>235.14</v>
      </c>
      <c r="O2072" t="s">
        <v>31</v>
      </c>
      <c r="P2072" t="s">
        <v>98</v>
      </c>
      <c r="X2072" t="s">
        <v>35</v>
      </c>
      <c r="Y2072" t="s">
        <v>389</v>
      </c>
      <c r="Z2072">
        <v>20200131</v>
      </c>
      <c r="AA2072">
        <f t="shared" si="82"/>
        <v>12.57</v>
      </c>
      <c r="AC2072"/>
      <c r="AE2072" t="s">
        <v>390</v>
      </c>
      <c r="AF2072"/>
      <c r="AL2072">
        <v>340210890</v>
      </c>
      <c r="AM2072" t="s">
        <v>391</v>
      </c>
    </row>
    <row r="2073" spans="1:39" x14ac:dyDescent="0.35">
      <c r="A2073">
        <v>3402</v>
      </c>
      <c r="B2073" t="s">
        <v>28</v>
      </c>
      <c r="C2073">
        <v>2020</v>
      </c>
      <c r="D2073" s="1">
        <v>43831</v>
      </c>
      <c r="E2073">
        <v>5</v>
      </c>
      <c r="F2073">
        <v>200114719</v>
      </c>
      <c r="G2073" t="s">
        <v>101</v>
      </c>
      <c r="H2073">
        <v>40</v>
      </c>
      <c r="I2073">
        <v>71105120</v>
      </c>
      <c r="J2073">
        <v>11210050</v>
      </c>
      <c r="K2073" t="s">
        <v>268</v>
      </c>
      <c r="L2073" s="4">
        <v>25.13</v>
      </c>
      <c r="M2073" t="s">
        <v>54</v>
      </c>
      <c r="N2073" s="4">
        <v>470.1</v>
      </c>
      <c r="O2073" t="s">
        <v>31</v>
      </c>
      <c r="P2073" t="s">
        <v>98</v>
      </c>
      <c r="X2073" t="s">
        <v>35</v>
      </c>
      <c r="Y2073" t="s">
        <v>389</v>
      </c>
      <c r="Z2073">
        <v>20200131</v>
      </c>
      <c r="AA2073">
        <f t="shared" si="82"/>
        <v>25.13</v>
      </c>
      <c r="AC2073"/>
      <c r="AE2073" t="s">
        <v>390</v>
      </c>
      <c r="AF2073"/>
      <c r="AL2073">
        <v>340212290</v>
      </c>
      <c r="AM2073" t="s">
        <v>391</v>
      </c>
    </row>
    <row r="2074" spans="1:39" x14ac:dyDescent="0.35">
      <c r="A2074">
        <v>3402</v>
      </c>
      <c r="B2074" t="s">
        <v>28</v>
      </c>
      <c r="C2074">
        <v>2020</v>
      </c>
      <c r="D2074" s="1">
        <v>43831</v>
      </c>
      <c r="E2074">
        <v>6</v>
      </c>
      <c r="F2074">
        <v>200114719</v>
      </c>
      <c r="G2074" t="s">
        <v>101</v>
      </c>
      <c r="H2074">
        <v>40</v>
      </c>
      <c r="I2074">
        <v>71105120</v>
      </c>
      <c r="J2074">
        <v>11210050</v>
      </c>
      <c r="K2074" t="s">
        <v>268</v>
      </c>
      <c r="L2074" s="4">
        <v>12.57</v>
      </c>
      <c r="M2074" t="s">
        <v>54</v>
      </c>
      <c r="N2074" s="4">
        <v>235.14</v>
      </c>
      <c r="O2074" t="s">
        <v>31</v>
      </c>
      <c r="P2074" t="s">
        <v>98</v>
      </c>
      <c r="X2074" t="s">
        <v>35</v>
      </c>
      <c r="Y2074" t="s">
        <v>389</v>
      </c>
      <c r="Z2074">
        <v>20200131</v>
      </c>
      <c r="AA2074">
        <f t="shared" si="82"/>
        <v>12.57</v>
      </c>
      <c r="AC2074"/>
      <c r="AE2074" t="s">
        <v>390</v>
      </c>
      <c r="AF2074"/>
      <c r="AL2074">
        <v>340212490</v>
      </c>
      <c r="AM2074" t="s">
        <v>391</v>
      </c>
    </row>
    <row r="2075" spans="1:39" x14ac:dyDescent="0.35">
      <c r="A2075">
        <v>3402</v>
      </c>
      <c r="B2075" t="s">
        <v>28</v>
      </c>
      <c r="C2075">
        <v>2020</v>
      </c>
      <c r="D2075" s="1">
        <v>43831</v>
      </c>
      <c r="E2075">
        <v>7</v>
      </c>
      <c r="F2075">
        <v>200114719</v>
      </c>
      <c r="G2075" t="s">
        <v>101</v>
      </c>
      <c r="H2075">
        <v>40</v>
      </c>
      <c r="I2075">
        <v>71105120</v>
      </c>
      <c r="J2075">
        <v>11210050</v>
      </c>
      <c r="K2075" t="s">
        <v>268</v>
      </c>
      <c r="L2075" s="4">
        <v>8.3800000000000008</v>
      </c>
      <c r="M2075" t="s">
        <v>54</v>
      </c>
      <c r="N2075" s="4">
        <v>156.76</v>
      </c>
      <c r="O2075" t="s">
        <v>31</v>
      </c>
      <c r="P2075" t="s">
        <v>98</v>
      </c>
      <c r="X2075" t="s">
        <v>35</v>
      </c>
      <c r="Y2075" t="s">
        <v>389</v>
      </c>
      <c r="Z2075">
        <v>20200131</v>
      </c>
      <c r="AA2075">
        <f t="shared" si="82"/>
        <v>8.3800000000000008</v>
      </c>
      <c r="AC2075"/>
      <c r="AE2075" t="s">
        <v>390</v>
      </c>
      <c r="AF2075"/>
      <c r="AL2075">
        <v>340212790</v>
      </c>
      <c r="AM2075" t="s">
        <v>391</v>
      </c>
    </row>
    <row r="2076" spans="1:39" x14ac:dyDescent="0.35">
      <c r="A2076">
        <v>3402</v>
      </c>
      <c r="B2076" t="s">
        <v>28</v>
      </c>
      <c r="C2076">
        <v>2020</v>
      </c>
      <c r="D2076" s="1">
        <v>43831</v>
      </c>
      <c r="E2076">
        <v>8</v>
      </c>
      <c r="F2076">
        <v>200114719</v>
      </c>
      <c r="G2076" t="s">
        <v>101</v>
      </c>
      <c r="H2076">
        <v>40</v>
      </c>
      <c r="I2076">
        <v>71105120</v>
      </c>
      <c r="J2076">
        <v>11210050</v>
      </c>
      <c r="K2076" t="s">
        <v>268</v>
      </c>
      <c r="L2076" s="4">
        <v>8.3800000000000008</v>
      </c>
      <c r="M2076" t="s">
        <v>54</v>
      </c>
      <c r="N2076" s="4">
        <v>156.76</v>
      </c>
      <c r="O2076" t="s">
        <v>31</v>
      </c>
      <c r="P2076" t="s">
        <v>98</v>
      </c>
      <c r="X2076" t="s">
        <v>35</v>
      </c>
      <c r="Y2076" t="s">
        <v>389</v>
      </c>
      <c r="Z2076">
        <v>20200131</v>
      </c>
      <c r="AA2076">
        <f t="shared" si="82"/>
        <v>8.3800000000000008</v>
      </c>
      <c r="AC2076"/>
      <c r="AE2076" t="s">
        <v>390</v>
      </c>
      <c r="AF2076"/>
      <c r="AL2076">
        <v>340212890</v>
      </c>
      <c r="AM2076" t="s">
        <v>391</v>
      </c>
    </row>
    <row r="2077" spans="1:39" x14ac:dyDescent="0.35">
      <c r="A2077">
        <v>3402</v>
      </c>
      <c r="B2077" t="s">
        <v>28</v>
      </c>
      <c r="C2077">
        <v>2020</v>
      </c>
      <c r="D2077" s="1">
        <v>43831</v>
      </c>
      <c r="E2077">
        <v>9</v>
      </c>
      <c r="F2077">
        <v>200114719</v>
      </c>
      <c r="G2077" t="s">
        <v>101</v>
      </c>
      <c r="H2077">
        <v>40</v>
      </c>
      <c r="I2077">
        <v>71105120</v>
      </c>
      <c r="J2077">
        <v>11210050</v>
      </c>
      <c r="K2077" t="s">
        <v>268</v>
      </c>
      <c r="L2077" s="4">
        <v>4.1900000000000004</v>
      </c>
      <c r="M2077" t="s">
        <v>54</v>
      </c>
      <c r="N2077" s="4">
        <v>78.38</v>
      </c>
      <c r="O2077" t="s">
        <v>31</v>
      </c>
      <c r="P2077" t="s">
        <v>98</v>
      </c>
      <c r="X2077" t="s">
        <v>35</v>
      </c>
      <c r="Y2077" t="s">
        <v>389</v>
      </c>
      <c r="Z2077">
        <v>20200131</v>
      </c>
      <c r="AA2077">
        <f t="shared" si="82"/>
        <v>4.1900000000000004</v>
      </c>
      <c r="AC2077"/>
      <c r="AE2077" t="s">
        <v>390</v>
      </c>
      <c r="AF2077"/>
      <c r="AL2077">
        <v>340215190</v>
      </c>
      <c r="AM2077" t="s">
        <v>391</v>
      </c>
    </row>
    <row r="2078" spans="1:39" x14ac:dyDescent="0.35">
      <c r="A2078">
        <v>3402</v>
      </c>
      <c r="B2078" t="s">
        <v>28</v>
      </c>
      <c r="C2078">
        <v>2020</v>
      </c>
      <c r="D2078" s="1">
        <v>43831</v>
      </c>
      <c r="E2078">
        <v>10</v>
      </c>
      <c r="F2078">
        <v>200114719</v>
      </c>
      <c r="G2078" t="s">
        <v>101</v>
      </c>
      <c r="H2078">
        <v>40</v>
      </c>
      <c r="I2078">
        <v>71105120</v>
      </c>
      <c r="J2078">
        <v>11210050</v>
      </c>
      <c r="K2078" t="s">
        <v>268</v>
      </c>
      <c r="L2078" s="4">
        <v>92.15</v>
      </c>
      <c r="M2078" t="s">
        <v>54</v>
      </c>
      <c r="N2078" s="4">
        <v>1723.82</v>
      </c>
      <c r="O2078" t="s">
        <v>31</v>
      </c>
      <c r="P2078" t="s">
        <v>98</v>
      </c>
      <c r="X2078" t="s">
        <v>35</v>
      </c>
      <c r="Y2078" t="s">
        <v>389</v>
      </c>
      <c r="Z2078">
        <v>20200131</v>
      </c>
      <c r="AA2078">
        <f t="shared" si="82"/>
        <v>92.15</v>
      </c>
      <c r="AC2078"/>
      <c r="AE2078" t="s">
        <v>390</v>
      </c>
      <c r="AF2078"/>
      <c r="AL2078">
        <v>340216690</v>
      </c>
      <c r="AM2078" t="s">
        <v>391</v>
      </c>
    </row>
    <row r="2079" spans="1:39" x14ac:dyDescent="0.35">
      <c r="A2079">
        <v>3402</v>
      </c>
      <c r="B2079" t="s">
        <v>28</v>
      </c>
      <c r="C2079">
        <v>2020</v>
      </c>
      <c r="D2079" s="1">
        <v>43831</v>
      </c>
      <c r="E2079">
        <v>11</v>
      </c>
      <c r="F2079">
        <v>200114719</v>
      </c>
      <c r="G2079" t="s">
        <v>101</v>
      </c>
      <c r="H2079">
        <v>40</v>
      </c>
      <c r="I2079">
        <v>71105120</v>
      </c>
      <c r="J2079">
        <v>11210050</v>
      </c>
      <c r="K2079" t="s">
        <v>268</v>
      </c>
      <c r="L2079" s="4">
        <v>67.02</v>
      </c>
      <c r="M2079" t="s">
        <v>54</v>
      </c>
      <c r="N2079" s="4">
        <v>1253.72</v>
      </c>
      <c r="O2079" t="s">
        <v>31</v>
      </c>
      <c r="P2079" t="s">
        <v>98</v>
      </c>
      <c r="X2079" t="s">
        <v>35</v>
      </c>
      <c r="Y2079" t="s">
        <v>389</v>
      </c>
      <c r="Z2079">
        <v>20200131</v>
      </c>
      <c r="AA2079">
        <f t="shared" si="82"/>
        <v>67.02</v>
      </c>
      <c r="AC2079"/>
      <c r="AE2079" t="s">
        <v>390</v>
      </c>
      <c r="AF2079"/>
      <c r="AL2079">
        <v>340217690</v>
      </c>
      <c r="AM2079" t="s">
        <v>391</v>
      </c>
    </row>
    <row r="2080" spans="1:39" x14ac:dyDescent="0.35">
      <c r="A2080">
        <v>3402</v>
      </c>
      <c r="B2080" t="s">
        <v>28</v>
      </c>
      <c r="C2080">
        <v>2020</v>
      </c>
      <c r="D2080" s="1">
        <v>43831</v>
      </c>
      <c r="E2080">
        <v>12</v>
      </c>
      <c r="F2080">
        <v>200114719</v>
      </c>
      <c r="G2080" t="s">
        <v>101</v>
      </c>
      <c r="H2080">
        <v>40</v>
      </c>
      <c r="I2080">
        <v>71105120</v>
      </c>
      <c r="J2080">
        <v>11210050</v>
      </c>
      <c r="K2080" t="s">
        <v>268</v>
      </c>
      <c r="L2080" s="4">
        <v>8.3800000000000008</v>
      </c>
      <c r="M2080" t="s">
        <v>54</v>
      </c>
      <c r="N2080" s="4">
        <v>156.76</v>
      </c>
      <c r="O2080" t="s">
        <v>31</v>
      </c>
      <c r="P2080" t="s">
        <v>98</v>
      </c>
      <c r="X2080" t="s">
        <v>35</v>
      </c>
      <c r="Y2080" t="s">
        <v>389</v>
      </c>
      <c r="Z2080">
        <v>20200131</v>
      </c>
      <c r="AA2080">
        <f t="shared" si="82"/>
        <v>8.3800000000000008</v>
      </c>
      <c r="AC2080"/>
      <c r="AE2080" t="s">
        <v>390</v>
      </c>
      <c r="AF2080"/>
      <c r="AL2080">
        <v>340217990</v>
      </c>
      <c r="AM2080" t="s">
        <v>391</v>
      </c>
    </row>
    <row r="2081" spans="1:39" x14ac:dyDescent="0.35">
      <c r="A2081">
        <v>3402</v>
      </c>
      <c r="B2081" t="s">
        <v>28</v>
      </c>
      <c r="C2081">
        <v>2020</v>
      </c>
      <c r="D2081" s="1">
        <v>43831</v>
      </c>
      <c r="E2081">
        <v>13</v>
      </c>
      <c r="F2081">
        <v>200114719</v>
      </c>
      <c r="G2081" t="s">
        <v>101</v>
      </c>
      <c r="H2081">
        <v>40</v>
      </c>
      <c r="I2081">
        <v>71105120</v>
      </c>
      <c r="J2081">
        <v>11210050</v>
      </c>
      <c r="K2081" t="s">
        <v>268</v>
      </c>
      <c r="L2081" s="4">
        <v>54.45</v>
      </c>
      <c r="M2081" t="s">
        <v>54</v>
      </c>
      <c r="N2081" s="4">
        <v>1018.58</v>
      </c>
      <c r="O2081" t="s">
        <v>31</v>
      </c>
      <c r="P2081" t="s">
        <v>98</v>
      </c>
      <c r="X2081" t="s">
        <v>35</v>
      </c>
      <c r="Y2081" t="s">
        <v>389</v>
      </c>
      <c r="Z2081">
        <v>20200131</v>
      </c>
      <c r="AA2081">
        <f t="shared" si="82"/>
        <v>54.45</v>
      </c>
      <c r="AC2081"/>
      <c r="AE2081" t="s">
        <v>390</v>
      </c>
      <c r="AF2081"/>
      <c r="AL2081">
        <v>340219190</v>
      </c>
      <c r="AM2081" t="s">
        <v>391</v>
      </c>
    </row>
    <row r="2082" spans="1:39" x14ac:dyDescent="0.35">
      <c r="A2082">
        <v>3402</v>
      </c>
      <c r="B2082" t="s">
        <v>28</v>
      </c>
      <c r="C2082">
        <v>2020</v>
      </c>
      <c r="D2082" s="1">
        <v>43831</v>
      </c>
      <c r="E2082">
        <v>14</v>
      </c>
      <c r="F2082">
        <v>200114719</v>
      </c>
      <c r="G2082" t="s">
        <v>101</v>
      </c>
      <c r="H2082">
        <v>40</v>
      </c>
      <c r="I2082">
        <v>71105120</v>
      </c>
      <c r="J2082">
        <v>11210050</v>
      </c>
      <c r="K2082" t="s">
        <v>268</v>
      </c>
      <c r="L2082" s="4">
        <v>29.32</v>
      </c>
      <c r="M2082" t="s">
        <v>54</v>
      </c>
      <c r="N2082" s="4">
        <v>548.48</v>
      </c>
      <c r="O2082" t="s">
        <v>31</v>
      </c>
      <c r="P2082" t="s">
        <v>98</v>
      </c>
      <c r="X2082" t="s">
        <v>35</v>
      </c>
      <c r="Y2082" t="s">
        <v>389</v>
      </c>
      <c r="Z2082">
        <v>20200131</v>
      </c>
      <c r="AA2082">
        <f t="shared" si="82"/>
        <v>29.32</v>
      </c>
      <c r="AC2082"/>
      <c r="AE2082" t="s">
        <v>390</v>
      </c>
      <c r="AF2082"/>
      <c r="AL2082">
        <v>340219290</v>
      </c>
      <c r="AM2082" t="s">
        <v>391</v>
      </c>
    </row>
    <row r="2083" spans="1:39" x14ac:dyDescent="0.35">
      <c r="A2083">
        <v>3402</v>
      </c>
      <c r="B2083" t="s">
        <v>28</v>
      </c>
      <c r="C2083">
        <v>2020</v>
      </c>
      <c r="D2083" s="1">
        <v>43831</v>
      </c>
      <c r="E2083">
        <v>15</v>
      </c>
      <c r="F2083">
        <v>200114719</v>
      </c>
      <c r="G2083" t="s">
        <v>101</v>
      </c>
      <c r="H2083">
        <v>40</v>
      </c>
      <c r="I2083">
        <v>71105120</v>
      </c>
      <c r="J2083">
        <v>11210050</v>
      </c>
      <c r="K2083" t="s">
        <v>268</v>
      </c>
      <c r="L2083" s="4">
        <v>67.02</v>
      </c>
      <c r="M2083" t="s">
        <v>54</v>
      </c>
      <c r="N2083" s="4">
        <v>1253.72</v>
      </c>
      <c r="O2083" t="s">
        <v>31</v>
      </c>
      <c r="P2083" t="s">
        <v>98</v>
      </c>
      <c r="X2083" t="s">
        <v>35</v>
      </c>
      <c r="Y2083" t="s">
        <v>389</v>
      </c>
      <c r="Z2083">
        <v>20200131</v>
      </c>
      <c r="AA2083">
        <f t="shared" si="82"/>
        <v>67.02</v>
      </c>
      <c r="AC2083"/>
      <c r="AE2083" t="s">
        <v>390</v>
      </c>
      <c r="AF2083"/>
      <c r="AL2083">
        <v>340220490</v>
      </c>
      <c r="AM2083" t="s">
        <v>391</v>
      </c>
    </row>
    <row r="2084" spans="1:39" x14ac:dyDescent="0.35">
      <c r="A2084">
        <v>3402</v>
      </c>
      <c r="B2084" t="s">
        <v>28</v>
      </c>
      <c r="C2084">
        <v>2020</v>
      </c>
      <c r="D2084" s="1">
        <v>43831</v>
      </c>
      <c r="E2084">
        <v>16</v>
      </c>
      <c r="F2084">
        <v>200114719</v>
      </c>
      <c r="G2084" t="s">
        <v>101</v>
      </c>
      <c r="H2084">
        <v>40</v>
      </c>
      <c r="I2084">
        <v>71105120</v>
      </c>
      <c r="J2084">
        <v>11210050</v>
      </c>
      <c r="K2084" t="s">
        <v>268</v>
      </c>
      <c r="L2084" s="4">
        <v>58.64</v>
      </c>
      <c r="M2084" t="s">
        <v>54</v>
      </c>
      <c r="N2084" s="4">
        <v>1096.96</v>
      </c>
      <c r="O2084" t="s">
        <v>31</v>
      </c>
      <c r="P2084" t="s">
        <v>98</v>
      </c>
      <c r="X2084" t="s">
        <v>35</v>
      </c>
      <c r="Y2084" t="s">
        <v>389</v>
      </c>
      <c r="Z2084">
        <v>20200131</v>
      </c>
      <c r="AA2084">
        <f t="shared" si="82"/>
        <v>58.64</v>
      </c>
      <c r="AC2084"/>
      <c r="AE2084" t="s">
        <v>390</v>
      </c>
      <c r="AF2084"/>
      <c r="AL2084">
        <v>340221690</v>
      </c>
      <c r="AM2084" t="s">
        <v>391</v>
      </c>
    </row>
    <row r="2085" spans="1:39" x14ac:dyDescent="0.35">
      <c r="A2085">
        <v>3402</v>
      </c>
      <c r="B2085" t="s">
        <v>28</v>
      </c>
      <c r="C2085">
        <v>2020</v>
      </c>
      <c r="D2085" s="1">
        <v>43831</v>
      </c>
      <c r="E2085">
        <v>17</v>
      </c>
      <c r="F2085">
        <v>200114719</v>
      </c>
      <c r="G2085" t="s">
        <v>101</v>
      </c>
      <c r="H2085">
        <v>40</v>
      </c>
      <c r="I2085">
        <v>71105120</v>
      </c>
      <c r="J2085">
        <v>11210050</v>
      </c>
      <c r="K2085" t="s">
        <v>268</v>
      </c>
      <c r="L2085" s="4">
        <v>41.89</v>
      </c>
      <c r="M2085" t="s">
        <v>54</v>
      </c>
      <c r="N2085" s="4">
        <v>783.62</v>
      </c>
      <c r="O2085" t="s">
        <v>31</v>
      </c>
      <c r="P2085" t="s">
        <v>98</v>
      </c>
      <c r="X2085" t="s">
        <v>35</v>
      </c>
      <c r="Y2085" t="s">
        <v>389</v>
      </c>
      <c r="Z2085">
        <v>20200131</v>
      </c>
      <c r="AA2085">
        <f t="shared" si="82"/>
        <v>41.89</v>
      </c>
      <c r="AC2085"/>
      <c r="AE2085" t="s">
        <v>390</v>
      </c>
      <c r="AF2085"/>
      <c r="AL2085">
        <v>340221790</v>
      </c>
      <c r="AM2085" t="s">
        <v>391</v>
      </c>
    </row>
    <row r="2086" spans="1:39" x14ac:dyDescent="0.35">
      <c r="A2086">
        <v>3402</v>
      </c>
      <c r="B2086" t="s">
        <v>28</v>
      </c>
      <c r="C2086">
        <v>2020</v>
      </c>
      <c r="D2086" s="1">
        <v>43831</v>
      </c>
      <c r="E2086">
        <v>18</v>
      </c>
      <c r="F2086">
        <v>200114719</v>
      </c>
      <c r="G2086" t="s">
        <v>101</v>
      </c>
      <c r="H2086">
        <v>40</v>
      </c>
      <c r="I2086">
        <v>71105120</v>
      </c>
      <c r="J2086">
        <v>11210050</v>
      </c>
      <c r="K2086" t="s">
        <v>268</v>
      </c>
      <c r="L2086" s="4">
        <v>87.96</v>
      </c>
      <c r="M2086" t="s">
        <v>54</v>
      </c>
      <c r="N2086" s="4">
        <v>1645.44</v>
      </c>
      <c r="O2086" t="s">
        <v>31</v>
      </c>
      <c r="P2086" t="s">
        <v>98</v>
      </c>
      <c r="X2086" t="s">
        <v>35</v>
      </c>
      <c r="Y2086" t="s">
        <v>389</v>
      </c>
      <c r="Z2086">
        <v>20200131</v>
      </c>
      <c r="AA2086">
        <f t="shared" si="82"/>
        <v>87.96</v>
      </c>
      <c r="AC2086"/>
      <c r="AE2086" t="s">
        <v>390</v>
      </c>
      <c r="AF2086"/>
      <c r="AL2086">
        <v>340225190</v>
      </c>
      <c r="AM2086" t="s">
        <v>391</v>
      </c>
    </row>
    <row r="2087" spans="1:39" x14ac:dyDescent="0.35">
      <c r="A2087">
        <v>3402</v>
      </c>
      <c r="B2087" t="s">
        <v>28</v>
      </c>
      <c r="C2087">
        <v>2020</v>
      </c>
      <c r="D2087" s="1">
        <v>43831</v>
      </c>
      <c r="E2087">
        <v>19</v>
      </c>
      <c r="F2087">
        <v>200114719</v>
      </c>
      <c r="G2087" t="s">
        <v>101</v>
      </c>
      <c r="H2087">
        <v>40</v>
      </c>
      <c r="I2087">
        <v>71105120</v>
      </c>
      <c r="J2087">
        <v>11210050</v>
      </c>
      <c r="K2087" t="s">
        <v>268</v>
      </c>
      <c r="L2087" s="4">
        <v>67.02</v>
      </c>
      <c r="M2087" t="s">
        <v>54</v>
      </c>
      <c r="N2087" s="4">
        <v>1253.72</v>
      </c>
      <c r="O2087" t="s">
        <v>31</v>
      </c>
      <c r="P2087" t="s">
        <v>98</v>
      </c>
      <c r="X2087" t="s">
        <v>35</v>
      </c>
      <c r="Y2087" t="s">
        <v>389</v>
      </c>
      <c r="Z2087">
        <v>20200131</v>
      </c>
      <c r="AA2087">
        <f t="shared" si="82"/>
        <v>67.02</v>
      </c>
      <c r="AC2087"/>
      <c r="AE2087" t="s">
        <v>390</v>
      </c>
      <c r="AF2087"/>
      <c r="AL2087">
        <v>340225290</v>
      </c>
      <c r="AM2087" t="s">
        <v>391</v>
      </c>
    </row>
    <row r="2088" spans="1:39" x14ac:dyDescent="0.35">
      <c r="A2088">
        <v>3402</v>
      </c>
      <c r="B2088" t="s">
        <v>28</v>
      </c>
      <c r="C2088">
        <v>2020</v>
      </c>
      <c r="D2088" s="1">
        <v>43831</v>
      </c>
      <c r="E2088">
        <v>20</v>
      </c>
      <c r="F2088">
        <v>200114719</v>
      </c>
      <c r="G2088" t="s">
        <v>101</v>
      </c>
      <c r="H2088">
        <v>40</v>
      </c>
      <c r="I2088">
        <v>71105120</v>
      </c>
      <c r="J2088">
        <v>11210050</v>
      </c>
      <c r="K2088" t="s">
        <v>268</v>
      </c>
      <c r="L2088" s="4">
        <v>20.94</v>
      </c>
      <c r="M2088" t="s">
        <v>54</v>
      </c>
      <c r="N2088" s="4">
        <v>391.72</v>
      </c>
      <c r="O2088" t="s">
        <v>31</v>
      </c>
      <c r="P2088" t="s">
        <v>98</v>
      </c>
      <c r="X2088" t="s">
        <v>35</v>
      </c>
      <c r="Y2088" t="s">
        <v>389</v>
      </c>
      <c r="Z2088">
        <v>20200131</v>
      </c>
      <c r="AA2088">
        <f t="shared" si="82"/>
        <v>20.94</v>
      </c>
      <c r="AC2088"/>
      <c r="AE2088" t="s">
        <v>390</v>
      </c>
      <c r="AF2088"/>
      <c r="AL2088">
        <v>340225490</v>
      </c>
      <c r="AM2088" t="s">
        <v>391</v>
      </c>
    </row>
    <row r="2089" spans="1:39" x14ac:dyDescent="0.35">
      <c r="A2089">
        <v>3402</v>
      </c>
      <c r="B2089" t="s">
        <v>28</v>
      </c>
      <c r="C2089">
        <v>2020</v>
      </c>
      <c r="D2089" s="1">
        <v>43831</v>
      </c>
      <c r="E2089">
        <v>21</v>
      </c>
      <c r="F2089">
        <v>200114719</v>
      </c>
      <c r="G2089" t="s">
        <v>101</v>
      </c>
      <c r="H2089">
        <v>40</v>
      </c>
      <c r="I2089">
        <v>71105120</v>
      </c>
      <c r="J2089">
        <v>11210050</v>
      </c>
      <c r="K2089" t="s">
        <v>268</v>
      </c>
      <c r="L2089" s="4">
        <v>58.64</v>
      </c>
      <c r="M2089" t="s">
        <v>54</v>
      </c>
      <c r="N2089" s="4">
        <v>1096.96</v>
      </c>
      <c r="O2089" t="s">
        <v>31</v>
      </c>
      <c r="P2089" t="s">
        <v>98</v>
      </c>
      <c r="X2089" t="s">
        <v>35</v>
      </c>
      <c r="Y2089" t="s">
        <v>389</v>
      </c>
      <c r="Z2089">
        <v>20200131</v>
      </c>
      <c r="AA2089">
        <f t="shared" si="82"/>
        <v>58.64</v>
      </c>
      <c r="AC2089"/>
      <c r="AE2089" t="s">
        <v>390</v>
      </c>
      <c r="AF2089"/>
      <c r="AL2089">
        <v>340227190</v>
      </c>
      <c r="AM2089" t="s">
        <v>391</v>
      </c>
    </row>
    <row r="2090" spans="1:39" x14ac:dyDescent="0.35">
      <c r="A2090">
        <v>3402</v>
      </c>
      <c r="B2090" t="s">
        <v>28</v>
      </c>
      <c r="C2090">
        <v>2020</v>
      </c>
      <c r="D2090" s="1">
        <v>43831</v>
      </c>
      <c r="E2090">
        <v>22</v>
      </c>
      <c r="F2090">
        <v>200114719</v>
      </c>
      <c r="G2090" t="s">
        <v>101</v>
      </c>
      <c r="H2090">
        <v>40</v>
      </c>
      <c r="I2090">
        <v>71105120</v>
      </c>
      <c r="J2090">
        <v>11210050</v>
      </c>
      <c r="K2090" t="s">
        <v>268</v>
      </c>
      <c r="L2090" s="4">
        <v>25.13</v>
      </c>
      <c r="M2090" t="s">
        <v>54</v>
      </c>
      <c r="N2090" s="4">
        <v>470.1</v>
      </c>
      <c r="O2090" t="s">
        <v>31</v>
      </c>
      <c r="P2090" t="s">
        <v>98</v>
      </c>
      <c r="X2090" t="s">
        <v>35</v>
      </c>
      <c r="Y2090" t="s">
        <v>389</v>
      </c>
      <c r="Z2090">
        <v>20200131</v>
      </c>
      <c r="AA2090">
        <f t="shared" si="82"/>
        <v>25.13</v>
      </c>
      <c r="AC2090"/>
      <c r="AE2090" t="s">
        <v>390</v>
      </c>
      <c r="AF2090"/>
      <c r="AL2090">
        <v>340227290</v>
      </c>
      <c r="AM2090" t="s">
        <v>391</v>
      </c>
    </row>
    <row r="2091" spans="1:39" x14ac:dyDescent="0.35">
      <c r="A2091">
        <v>3402</v>
      </c>
      <c r="B2091" t="s">
        <v>28</v>
      </c>
      <c r="C2091">
        <v>2020</v>
      </c>
      <c r="D2091" s="1">
        <v>43831</v>
      </c>
      <c r="E2091">
        <v>23</v>
      </c>
      <c r="F2091">
        <v>200114719</v>
      </c>
      <c r="G2091" t="s">
        <v>101</v>
      </c>
      <c r="H2091">
        <v>40</v>
      </c>
      <c r="I2091">
        <v>71105120</v>
      </c>
      <c r="J2091">
        <v>11210050</v>
      </c>
      <c r="K2091" t="s">
        <v>268</v>
      </c>
      <c r="L2091" s="4">
        <v>12.57</v>
      </c>
      <c r="M2091" t="s">
        <v>54</v>
      </c>
      <c r="N2091" s="4">
        <v>235.14</v>
      </c>
      <c r="O2091" t="s">
        <v>31</v>
      </c>
      <c r="P2091" t="s">
        <v>98</v>
      </c>
      <c r="X2091" t="s">
        <v>35</v>
      </c>
      <c r="Y2091" t="s">
        <v>389</v>
      </c>
      <c r="Z2091">
        <v>20200131</v>
      </c>
      <c r="AA2091">
        <f t="shared" si="82"/>
        <v>12.57</v>
      </c>
      <c r="AC2091"/>
      <c r="AE2091" t="s">
        <v>390</v>
      </c>
      <c r="AF2091"/>
      <c r="AL2091">
        <v>340232290</v>
      </c>
      <c r="AM2091" t="s">
        <v>391</v>
      </c>
    </row>
    <row r="2092" spans="1:39" x14ac:dyDescent="0.35">
      <c r="A2092">
        <v>3402</v>
      </c>
      <c r="B2092" t="s">
        <v>28</v>
      </c>
      <c r="C2092">
        <v>2020</v>
      </c>
      <c r="D2092" s="1">
        <v>43831</v>
      </c>
      <c r="E2092">
        <v>24</v>
      </c>
      <c r="F2092">
        <v>200114719</v>
      </c>
      <c r="G2092" t="s">
        <v>101</v>
      </c>
      <c r="H2092">
        <v>40</v>
      </c>
      <c r="I2092">
        <v>71105120</v>
      </c>
      <c r="J2092">
        <v>11210050</v>
      </c>
      <c r="K2092" t="s">
        <v>268</v>
      </c>
      <c r="L2092" s="4">
        <v>25.13</v>
      </c>
      <c r="M2092" t="s">
        <v>54</v>
      </c>
      <c r="N2092" s="4">
        <v>470.1</v>
      </c>
      <c r="O2092" t="s">
        <v>31</v>
      </c>
      <c r="P2092" t="s">
        <v>98</v>
      </c>
      <c r="X2092" t="s">
        <v>35</v>
      </c>
      <c r="Y2092" t="s">
        <v>389</v>
      </c>
      <c r="Z2092">
        <v>20200131</v>
      </c>
      <c r="AA2092">
        <f t="shared" si="82"/>
        <v>25.13</v>
      </c>
      <c r="AC2092"/>
      <c r="AE2092" t="s">
        <v>390</v>
      </c>
      <c r="AF2092"/>
      <c r="AL2092">
        <v>340233190</v>
      </c>
      <c r="AM2092" t="s">
        <v>391</v>
      </c>
    </row>
    <row r="2093" spans="1:39" x14ac:dyDescent="0.35">
      <c r="A2093">
        <v>3402</v>
      </c>
      <c r="B2093" t="s">
        <v>28</v>
      </c>
      <c r="C2093">
        <v>2020</v>
      </c>
      <c r="D2093" s="1">
        <v>43831</v>
      </c>
      <c r="E2093">
        <v>25</v>
      </c>
      <c r="F2093">
        <v>200114719</v>
      </c>
      <c r="G2093" t="s">
        <v>101</v>
      </c>
      <c r="H2093">
        <v>40</v>
      </c>
      <c r="I2093">
        <v>71105120</v>
      </c>
      <c r="J2093">
        <v>11210050</v>
      </c>
      <c r="K2093" t="s">
        <v>268</v>
      </c>
      <c r="L2093" s="4">
        <v>33.51</v>
      </c>
      <c r="M2093" t="s">
        <v>54</v>
      </c>
      <c r="N2093" s="4">
        <v>626.86</v>
      </c>
      <c r="O2093" t="s">
        <v>31</v>
      </c>
      <c r="P2093" t="s">
        <v>98</v>
      </c>
      <c r="X2093" t="s">
        <v>35</v>
      </c>
      <c r="Y2093" t="s">
        <v>389</v>
      </c>
      <c r="Z2093">
        <v>20200131</v>
      </c>
      <c r="AA2093">
        <f t="shared" si="82"/>
        <v>33.51</v>
      </c>
      <c r="AC2093"/>
      <c r="AE2093" t="s">
        <v>390</v>
      </c>
      <c r="AF2093"/>
      <c r="AL2093">
        <v>340236290</v>
      </c>
      <c r="AM2093" t="s">
        <v>391</v>
      </c>
    </row>
    <row r="2094" spans="1:39" x14ac:dyDescent="0.35">
      <c r="A2094">
        <v>3402</v>
      </c>
      <c r="B2094" t="s">
        <v>28</v>
      </c>
      <c r="C2094">
        <v>2020</v>
      </c>
      <c r="D2094" s="1">
        <v>43831</v>
      </c>
      <c r="E2094">
        <v>26</v>
      </c>
      <c r="F2094">
        <v>200114719</v>
      </c>
      <c r="G2094" t="s">
        <v>101</v>
      </c>
      <c r="H2094">
        <v>40</v>
      </c>
      <c r="I2094">
        <v>71105120</v>
      </c>
      <c r="J2094">
        <v>11210050</v>
      </c>
      <c r="K2094" t="s">
        <v>268</v>
      </c>
      <c r="L2094" s="4">
        <v>117.28</v>
      </c>
      <c r="M2094" t="s">
        <v>54</v>
      </c>
      <c r="N2094" s="4">
        <v>2193.92</v>
      </c>
      <c r="O2094" t="s">
        <v>31</v>
      </c>
      <c r="P2094" t="s">
        <v>98</v>
      </c>
      <c r="X2094" t="s">
        <v>35</v>
      </c>
      <c r="Y2094" t="s">
        <v>389</v>
      </c>
      <c r="Z2094">
        <v>20200131</v>
      </c>
      <c r="AA2094">
        <f t="shared" si="82"/>
        <v>117.28</v>
      </c>
      <c r="AC2094"/>
      <c r="AE2094" t="s">
        <v>390</v>
      </c>
      <c r="AF2094"/>
      <c r="AL2094">
        <v>340240390</v>
      </c>
      <c r="AM2094" t="s">
        <v>391</v>
      </c>
    </row>
    <row r="2095" spans="1:39" x14ac:dyDescent="0.35">
      <c r="A2095">
        <v>3402</v>
      </c>
      <c r="B2095" t="s">
        <v>28</v>
      </c>
      <c r="C2095">
        <v>2020</v>
      </c>
      <c r="D2095" s="1">
        <v>43831</v>
      </c>
      <c r="E2095">
        <v>27</v>
      </c>
      <c r="F2095">
        <v>200114719</v>
      </c>
      <c r="G2095" t="s">
        <v>101</v>
      </c>
      <c r="H2095">
        <v>40</v>
      </c>
      <c r="I2095">
        <v>71105120</v>
      </c>
      <c r="J2095">
        <v>11210050</v>
      </c>
      <c r="K2095" t="s">
        <v>268</v>
      </c>
      <c r="L2095" s="4">
        <v>25.13</v>
      </c>
      <c r="M2095" t="s">
        <v>54</v>
      </c>
      <c r="N2095" s="4">
        <v>470.1</v>
      </c>
      <c r="O2095" t="s">
        <v>31</v>
      </c>
      <c r="P2095" t="s">
        <v>98</v>
      </c>
      <c r="X2095" t="s">
        <v>35</v>
      </c>
      <c r="Y2095" t="s">
        <v>389</v>
      </c>
      <c r="Z2095">
        <v>20200131</v>
      </c>
      <c r="AA2095">
        <f t="shared" si="82"/>
        <v>25.13</v>
      </c>
      <c r="AC2095"/>
      <c r="AE2095" t="s">
        <v>390</v>
      </c>
      <c r="AF2095"/>
      <c r="AL2095">
        <v>340246390</v>
      </c>
      <c r="AM2095" t="s">
        <v>391</v>
      </c>
    </row>
    <row r="2096" spans="1:39" x14ac:dyDescent="0.35">
      <c r="A2096">
        <v>3402</v>
      </c>
      <c r="B2096" t="s">
        <v>28</v>
      </c>
      <c r="C2096">
        <v>2020</v>
      </c>
      <c r="D2096" s="1">
        <v>43831</v>
      </c>
      <c r="E2096">
        <v>28</v>
      </c>
      <c r="F2096">
        <v>200114719</v>
      </c>
      <c r="G2096" t="s">
        <v>101</v>
      </c>
      <c r="H2096">
        <v>40</v>
      </c>
      <c r="I2096">
        <v>71105120</v>
      </c>
      <c r="J2096">
        <v>11210050</v>
      </c>
      <c r="K2096" t="s">
        <v>268</v>
      </c>
      <c r="L2096" s="4">
        <v>96.34</v>
      </c>
      <c r="M2096" t="s">
        <v>54</v>
      </c>
      <c r="N2096" s="4">
        <v>1802.2</v>
      </c>
      <c r="O2096" t="s">
        <v>31</v>
      </c>
      <c r="P2096" t="s">
        <v>98</v>
      </c>
      <c r="X2096" t="s">
        <v>35</v>
      </c>
      <c r="Y2096" t="s">
        <v>389</v>
      </c>
      <c r="Z2096">
        <v>20200131</v>
      </c>
      <c r="AA2096">
        <f t="shared" si="82"/>
        <v>96.34</v>
      </c>
      <c r="AC2096"/>
      <c r="AE2096" t="s">
        <v>390</v>
      </c>
      <c r="AF2096"/>
      <c r="AL2096">
        <v>340248290</v>
      </c>
      <c r="AM2096" t="s">
        <v>391</v>
      </c>
    </row>
    <row r="2097" spans="1:39" x14ac:dyDescent="0.35">
      <c r="A2097">
        <v>3402</v>
      </c>
      <c r="B2097" t="s">
        <v>28</v>
      </c>
      <c r="C2097">
        <v>2020</v>
      </c>
      <c r="D2097" s="1">
        <v>43831</v>
      </c>
      <c r="E2097">
        <v>29</v>
      </c>
      <c r="F2097">
        <v>200114719</v>
      </c>
      <c r="G2097" t="s">
        <v>101</v>
      </c>
      <c r="H2097">
        <v>40</v>
      </c>
      <c r="I2097">
        <v>71105120</v>
      </c>
      <c r="J2097">
        <v>11210050</v>
      </c>
      <c r="K2097" t="s">
        <v>268</v>
      </c>
      <c r="L2097" s="4">
        <v>121.47</v>
      </c>
      <c r="M2097" t="s">
        <v>54</v>
      </c>
      <c r="N2097" s="4">
        <v>2272.3000000000002</v>
      </c>
      <c r="O2097" t="s">
        <v>31</v>
      </c>
      <c r="P2097" t="s">
        <v>98</v>
      </c>
      <c r="X2097" t="s">
        <v>35</v>
      </c>
      <c r="Y2097" t="s">
        <v>389</v>
      </c>
      <c r="Z2097">
        <v>20200131</v>
      </c>
      <c r="AA2097">
        <f t="shared" si="82"/>
        <v>121.47</v>
      </c>
      <c r="AC2097"/>
      <c r="AE2097" t="s">
        <v>390</v>
      </c>
      <c r="AF2097"/>
      <c r="AL2097">
        <v>340253290</v>
      </c>
      <c r="AM2097" t="s">
        <v>391</v>
      </c>
    </row>
    <row r="2098" spans="1:39" x14ac:dyDescent="0.35">
      <c r="A2098">
        <v>3402</v>
      </c>
      <c r="B2098" t="s">
        <v>28</v>
      </c>
      <c r="C2098">
        <v>2020</v>
      </c>
      <c r="D2098" s="1">
        <v>43831</v>
      </c>
      <c r="E2098">
        <v>30</v>
      </c>
      <c r="F2098">
        <v>200114719</v>
      </c>
      <c r="G2098" t="s">
        <v>101</v>
      </c>
      <c r="H2098">
        <v>40</v>
      </c>
      <c r="I2098">
        <v>71105120</v>
      </c>
      <c r="J2098">
        <v>11210050</v>
      </c>
      <c r="K2098" t="s">
        <v>268</v>
      </c>
      <c r="L2098" s="4">
        <v>50.26</v>
      </c>
      <c r="M2098" t="s">
        <v>54</v>
      </c>
      <c r="N2098" s="4">
        <v>940.2</v>
      </c>
      <c r="O2098" t="s">
        <v>31</v>
      </c>
      <c r="P2098" t="s">
        <v>98</v>
      </c>
      <c r="X2098" t="s">
        <v>35</v>
      </c>
      <c r="Y2098" t="s">
        <v>389</v>
      </c>
      <c r="Z2098">
        <v>20200131</v>
      </c>
      <c r="AA2098">
        <f t="shared" si="82"/>
        <v>50.26</v>
      </c>
      <c r="AC2098"/>
      <c r="AE2098" t="s">
        <v>390</v>
      </c>
      <c r="AF2098"/>
      <c r="AL2098">
        <v>340255290</v>
      </c>
      <c r="AM2098" t="s">
        <v>391</v>
      </c>
    </row>
    <row r="2099" spans="1:39" x14ac:dyDescent="0.35">
      <c r="A2099">
        <v>3402</v>
      </c>
      <c r="B2099" t="s">
        <v>28</v>
      </c>
      <c r="C2099">
        <v>2020</v>
      </c>
      <c r="D2099" s="1">
        <v>43831</v>
      </c>
      <c r="E2099">
        <v>31</v>
      </c>
      <c r="F2099">
        <v>200114719</v>
      </c>
      <c r="G2099" t="s">
        <v>101</v>
      </c>
      <c r="H2099">
        <v>40</v>
      </c>
      <c r="I2099">
        <v>71105120</v>
      </c>
      <c r="J2099">
        <v>11210050</v>
      </c>
      <c r="K2099" t="s">
        <v>268</v>
      </c>
      <c r="L2099" s="4">
        <v>37.700000000000003</v>
      </c>
      <c r="M2099" t="s">
        <v>54</v>
      </c>
      <c r="N2099" s="4">
        <v>705.24</v>
      </c>
      <c r="O2099" t="s">
        <v>31</v>
      </c>
      <c r="P2099" t="s">
        <v>98</v>
      </c>
      <c r="X2099" t="s">
        <v>35</v>
      </c>
      <c r="Y2099" t="s">
        <v>389</v>
      </c>
      <c r="Z2099">
        <v>20200131</v>
      </c>
      <c r="AA2099">
        <f t="shared" si="82"/>
        <v>37.700000000000003</v>
      </c>
      <c r="AC2099"/>
      <c r="AE2099" t="s">
        <v>390</v>
      </c>
      <c r="AF2099"/>
      <c r="AL2099">
        <v>340262190</v>
      </c>
      <c r="AM2099" t="s">
        <v>391</v>
      </c>
    </row>
    <row r="2100" spans="1:39" x14ac:dyDescent="0.35">
      <c r="A2100">
        <v>3402</v>
      </c>
      <c r="B2100" t="s">
        <v>28</v>
      </c>
      <c r="C2100">
        <v>2020</v>
      </c>
      <c r="D2100" s="1">
        <v>43831</v>
      </c>
      <c r="E2100">
        <v>32</v>
      </c>
      <c r="F2100">
        <v>200114719</v>
      </c>
      <c r="G2100" t="s">
        <v>101</v>
      </c>
      <c r="H2100">
        <v>40</v>
      </c>
      <c r="I2100">
        <v>71105120</v>
      </c>
      <c r="J2100">
        <v>11210050</v>
      </c>
      <c r="K2100" t="s">
        <v>268</v>
      </c>
      <c r="L2100" s="4">
        <v>159.16</v>
      </c>
      <c r="M2100" t="s">
        <v>54</v>
      </c>
      <c r="N2100" s="4">
        <v>2977.36</v>
      </c>
      <c r="O2100" t="s">
        <v>31</v>
      </c>
      <c r="P2100" t="s">
        <v>98</v>
      </c>
      <c r="X2100" t="s">
        <v>35</v>
      </c>
      <c r="Y2100" t="s">
        <v>389</v>
      </c>
      <c r="Z2100">
        <v>20200131</v>
      </c>
      <c r="AA2100">
        <f t="shared" si="82"/>
        <v>159.16</v>
      </c>
      <c r="AC2100"/>
      <c r="AE2100" t="s">
        <v>390</v>
      </c>
      <c r="AF2100"/>
      <c r="AL2100">
        <v>340268190</v>
      </c>
      <c r="AM2100" t="s">
        <v>391</v>
      </c>
    </row>
    <row r="2101" spans="1:39" x14ac:dyDescent="0.35">
      <c r="A2101">
        <v>3402</v>
      </c>
      <c r="B2101" t="s">
        <v>28</v>
      </c>
      <c r="C2101">
        <v>2020</v>
      </c>
      <c r="D2101" s="1">
        <v>43831</v>
      </c>
      <c r="E2101">
        <v>33</v>
      </c>
      <c r="F2101">
        <v>200114719</v>
      </c>
      <c r="G2101" t="s">
        <v>101</v>
      </c>
      <c r="H2101">
        <v>40</v>
      </c>
      <c r="I2101">
        <v>71105120</v>
      </c>
      <c r="J2101">
        <v>11210050</v>
      </c>
      <c r="K2101" t="s">
        <v>268</v>
      </c>
      <c r="L2101" s="4">
        <v>12.57</v>
      </c>
      <c r="M2101" t="s">
        <v>54</v>
      </c>
      <c r="N2101" s="4">
        <v>235.14</v>
      </c>
      <c r="O2101" t="s">
        <v>31</v>
      </c>
      <c r="P2101" t="s">
        <v>98</v>
      </c>
      <c r="X2101" t="s">
        <v>35</v>
      </c>
      <c r="Y2101" t="s">
        <v>389</v>
      </c>
      <c r="Z2101">
        <v>20200131</v>
      </c>
      <c r="AA2101">
        <f t="shared" si="82"/>
        <v>12.57</v>
      </c>
      <c r="AC2101"/>
      <c r="AE2101" t="s">
        <v>390</v>
      </c>
      <c r="AF2101"/>
      <c r="AL2101">
        <v>340275190</v>
      </c>
      <c r="AM2101" t="s">
        <v>391</v>
      </c>
    </row>
    <row r="2102" spans="1:39" x14ac:dyDescent="0.35">
      <c r="A2102">
        <v>3402</v>
      </c>
      <c r="B2102" t="s">
        <v>28</v>
      </c>
      <c r="C2102">
        <v>2020</v>
      </c>
      <c r="D2102" s="1">
        <v>43831</v>
      </c>
      <c r="E2102">
        <v>34</v>
      </c>
      <c r="F2102">
        <v>200114719</v>
      </c>
      <c r="G2102" t="s">
        <v>101</v>
      </c>
      <c r="H2102">
        <v>40</v>
      </c>
      <c r="I2102">
        <v>71105120</v>
      </c>
      <c r="J2102">
        <v>11210050</v>
      </c>
      <c r="K2102" t="s">
        <v>268</v>
      </c>
      <c r="L2102" s="4">
        <v>4.1900000000000004</v>
      </c>
      <c r="M2102" t="s">
        <v>54</v>
      </c>
      <c r="N2102" s="4">
        <v>78.38</v>
      </c>
      <c r="O2102" t="s">
        <v>31</v>
      </c>
      <c r="P2102" t="s">
        <v>98</v>
      </c>
      <c r="X2102" t="s">
        <v>35</v>
      </c>
      <c r="Y2102" t="s">
        <v>389</v>
      </c>
      <c r="Z2102">
        <v>20200131</v>
      </c>
      <c r="AA2102">
        <f t="shared" si="82"/>
        <v>4.1900000000000004</v>
      </c>
      <c r="AC2102"/>
      <c r="AE2102" t="s">
        <v>390</v>
      </c>
      <c r="AF2102"/>
      <c r="AL2102">
        <v>340212690</v>
      </c>
      <c r="AM2102" t="s">
        <v>391</v>
      </c>
    </row>
    <row r="2103" spans="1:39" x14ac:dyDescent="0.35">
      <c r="A2103">
        <v>3402</v>
      </c>
      <c r="B2103" t="s">
        <v>28</v>
      </c>
      <c r="C2103">
        <v>2020</v>
      </c>
      <c r="D2103" s="1">
        <v>43831</v>
      </c>
      <c r="E2103">
        <v>35</v>
      </c>
      <c r="F2103">
        <v>200114719</v>
      </c>
      <c r="G2103" t="s">
        <v>101</v>
      </c>
      <c r="H2103">
        <v>40</v>
      </c>
      <c r="I2103">
        <v>71105120</v>
      </c>
      <c r="J2103">
        <v>11210050</v>
      </c>
      <c r="K2103" t="s">
        <v>268</v>
      </c>
      <c r="L2103" s="4">
        <v>8.3800000000000008</v>
      </c>
      <c r="M2103" t="s">
        <v>54</v>
      </c>
      <c r="N2103" s="4">
        <v>156.76</v>
      </c>
      <c r="O2103" t="s">
        <v>31</v>
      </c>
      <c r="P2103" t="s">
        <v>98</v>
      </c>
      <c r="X2103" t="s">
        <v>35</v>
      </c>
      <c r="Y2103" t="s">
        <v>389</v>
      </c>
      <c r="Z2103">
        <v>20200131</v>
      </c>
      <c r="AA2103">
        <f t="shared" si="82"/>
        <v>8.3800000000000008</v>
      </c>
      <c r="AC2103"/>
      <c r="AE2103" t="s">
        <v>390</v>
      </c>
      <c r="AF2103"/>
      <c r="AL2103">
        <v>340212590</v>
      </c>
      <c r="AM2103" t="s">
        <v>391</v>
      </c>
    </row>
    <row r="2104" spans="1:39" x14ac:dyDescent="0.35">
      <c r="A2104">
        <v>3402</v>
      </c>
      <c r="B2104" t="s">
        <v>28</v>
      </c>
      <c r="C2104">
        <v>2020</v>
      </c>
      <c r="D2104" s="1">
        <v>43831</v>
      </c>
      <c r="E2104">
        <v>36</v>
      </c>
      <c r="F2104">
        <v>200114719</v>
      </c>
      <c r="G2104" t="s">
        <v>101</v>
      </c>
      <c r="H2104">
        <v>40</v>
      </c>
      <c r="I2104">
        <v>71105120</v>
      </c>
      <c r="J2104">
        <v>11210050</v>
      </c>
      <c r="K2104" t="s">
        <v>268</v>
      </c>
      <c r="L2104" s="4">
        <v>12.57</v>
      </c>
      <c r="M2104" t="s">
        <v>54</v>
      </c>
      <c r="N2104" s="4">
        <v>235.14</v>
      </c>
      <c r="O2104" t="s">
        <v>31</v>
      </c>
      <c r="P2104" t="s">
        <v>98</v>
      </c>
      <c r="X2104" t="s">
        <v>35</v>
      </c>
      <c r="Y2104" t="s">
        <v>389</v>
      </c>
      <c r="Z2104">
        <v>20200131</v>
      </c>
      <c r="AA2104">
        <f t="shared" si="82"/>
        <v>12.57</v>
      </c>
      <c r="AC2104"/>
      <c r="AE2104" t="s">
        <v>390</v>
      </c>
      <c r="AF2104"/>
      <c r="AL2104">
        <v>340212390</v>
      </c>
      <c r="AM2104" t="s">
        <v>391</v>
      </c>
    </row>
    <row r="2105" spans="1:39" x14ac:dyDescent="0.35">
      <c r="A2105">
        <v>3402</v>
      </c>
      <c r="B2105" t="s">
        <v>28</v>
      </c>
      <c r="C2105">
        <v>2020</v>
      </c>
      <c r="D2105" s="1">
        <v>43831</v>
      </c>
      <c r="E2105">
        <v>37</v>
      </c>
      <c r="F2105">
        <v>200114719</v>
      </c>
      <c r="G2105" t="s">
        <v>101</v>
      </c>
      <c r="H2105">
        <v>40</v>
      </c>
      <c r="I2105">
        <v>71105120</v>
      </c>
      <c r="J2105">
        <v>11210050</v>
      </c>
      <c r="K2105" t="s">
        <v>268</v>
      </c>
      <c r="L2105" s="4">
        <v>4.1900000000000004</v>
      </c>
      <c r="M2105" t="s">
        <v>54</v>
      </c>
      <c r="N2105" s="4">
        <v>78.38</v>
      </c>
      <c r="O2105" t="s">
        <v>31</v>
      </c>
      <c r="P2105" t="s">
        <v>98</v>
      </c>
      <c r="X2105" t="s">
        <v>35</v>
      </c>
      <c r="Y2105" t="s">
        <v>389</v>
      </c>
      <c r="Z2105">
        <v>20200131</v>
      </c>
      <c r="AA2105">
        <f t="shared" si="82"/>
        <v>4.1900000000000004</v>
      </c>
      <c r="AC2105"/>
      <c r="AE2105" t="s">
        <v>390</v>
      </c>
      <c r="AF2105"/>
      <c r="AL2105">
        <v>340210690</v>
      </c>
      <c r="AM2105" t="s">
        <v>391</v>
      </c>
    </row>
    <row r="2106" spans="1:39" x14ac:dyDescent="0.35">
      <c r="A2106">
        <v>3402</v>
      </c>
      <c r="B2106" t="s">
        <v>28</v>
      </c>
      <c r="C2106">
        <v>2020</v>
      </c>
      <c r="D2106" s="1">
        <v>43831</v>
      </c>
      <c r="E2106">
        <v>38</v>
      </c>
      <c r="F2106">
        <v>200114719</v>
      </c>
      <c r="G2106" t="s">
        <v>101</v>
      </c>
      <c r="H2106">
        <v>40</v>
      </c>
      <c r="I2106">
        <v>71105120</v>
      </c>
      <c r="J2106">
        <v>11210050</v>
      </c>
      <c r="K2106" t="s">
        <v>268</v>
      </c>
      <c r="L2106" s="4">
        <v>8.3800000000000008</v>
      </c>
      <c r="M2106" t="s">
        <v>54</v>
      </c>
      <c r="N2106" s="4">
        <v>156.76</v>
      </c>
      <c r="O2106" t="s">
        <v>31</v>
      </c>
      <c r="P2106" t="s">
        <v>98</v>
      </c>
      <c r="X2106" t="s">
        <v>35</v>
      </c>
      <c r="Y2106" t="s">
        <v>389</v>
      </c>
      <c r="Z2106">
        <v>20200131</v>
      </c>
      <c r="AA2106">
        <f t="shared" si="82"/>
        <v>8.3800000000000008</v>
      </c>
      <c r="AC2106"/>
      <c r="AE2106" t="s">
        <v>390</v>
      </c>
      <c r="AF2106"/>
      <c r="AL2106">
        <v>340213090</v>
      </c>
      <c r="AM2106" t="s">
        <v>391</v>
      </c>
    </row>
    <row r="2107" spans="1:39" x14ac:dyDescent="0.35">
      <c r="A2107">
        <v>3403</v>
      </c>
      <c r="B2107" t="s">
        <v>28</v>
      </c>
      <c r="C2107">
        <v>2020</v>
      </c>
      <c r="D2107" s="1">
        <v>43831</v>
      </c>
      <c r="E2107">
        <v>1</v>
      </c>
      <c r="F2107">
        <v>300018523</v>
      </c>
      <c r="G2107" t="s">
        <v>101</v>
      </c>
      <c r="H2107">
        <v>40</v>
      </c>
      <c r="I2107">
        <v>71105120</v>
      </c>
      <c r="J2107">
        <v>11210050</v>
      </c>
      <c r="K2107" t="s">
        <v>268</v>
      </c>
      <c r="L2107" s="4">
        <v>8.3800000000000008</v>
      </c>
      <c r="M2107" t="s">
        <v>54</v>
      </c>
      <c r="N2107" s="4">
        <v>156.76</v>
      </c>
      <c r="O2107" t="s">
        <v>31</v>
      </c>
      <c r="P2107" t="s">
        <v>98</v>
      </c>
      <c r="X2107" t="s">
        <v>35</v>
      </c>
      <c r="Y2107" t="s">
        <v>389</v>
      </c>
      <c r="Z2107">
        <v>20200131</v>
      </c>
      <c r="AA2107">
        <f t="shared" si="82"/>
        <v>8.3800000000000008</v>
      </c>
      <c r="AC2107"/>
      <c r="AE2107" t="s">
        <v>390</v>
      </c>
      <c r="AF2107"/>
      <c r="AL2107">
        <v>340310490</v>
      </c>
      <c r="AM2107" t="s">
        <v>391</v>
      </c>
    </row>
    <row r="2108" spans="1:39" x14ac:dyDescent="0.35">
      <c r="A2108">
        <v>3403</v>
      </c>
      <c r="B2108" t="s">
        <v>28</v>
      </c>
      <c r="C2108">
        <v>2020</v>
      </c>
      <c r="D2108" s="1">
        <v>43831</v>
      </c>
      <c r="E2108">
        <v>2</v>
      </c>
      <c r="F2108">
        <v>300018523</v>
      </c>
      <c r="G2108" t="s">
        <v>101</v>
      </c>
      <c r="H2108">
        <v>40</v>
      </c>
      <c r="I2108">
        <v>71105120</v>
      </c>
      <c r="J2108">
        <v>11210050</v>
      </c>
      <c r="K2108" t="s">
        <v>268</v>
      </c>
      <c r="L2108" s="4">
        <v>4.1900000000000004</v>
      </c>
      <c r="M2108" t="s">
        <v>54</v>
      </c>
      <c r="N2108" s="4">
        <v>78.38</v>
      </c>
      <c r="O2108" t="s">
        <v>31</v>
      </c>
      <c r="P2108" t="s">
        <v>98</v>
      </c>
      <c r="X2108" t="s">
        <v>35</v>
      </c>
      <c r="Y2108" t="s">
        <v>389</v>
      </c>
      <c r="Z2108">
        <v>20200131</v>
      </c>
      <c r="AA2108">
        <f t="shared" si="82"/>
        <v>4.1900000000000004</v>
      </c>
      <c r="AC2108"/>
      <c r="AE2108" t="s">
        <v>390</v>
      </c>
      <c r="AF2108"/>
      <c r="AL2108">
        <v>340310590</v>
      </c>
      <c r="AM2108" t="s">
        <v>391</v>
      </c>
    </row>
    <row r="2109" spans="1:39" x14ac:dyDescent="0.35">
      <c r="A2109">
        <v>3403</v>
      </c>
      <c r="B2109" t="s">
        <v>28</v>
      </c>
      <c r="C2109">
        <v>2020</v>
      </c>
      <c r="D2109" s="1">
        <v>43831</v>
      </c>
      <c r="E2109">
        <v>3</v>
      </c>
      <c r="F2109">
        <v>300018523</v>
      </c>
      <c r="G2109" t="s">
        <v>101</v>
      </c>
      <c r="H2109">
        <v>40</v>
      </c>
      <c r="I2109">
        <v>71105120</v>
      </c>
      <c r="J2109">
        <v>11210050</v>
      </c>
      <c r="K2109" t="s">
        <v>268</v>
      </c>
      <c r="L2109" s="4">
        <v>12.57</v>
      </c>
      <c r="M2109" t="s">
        <v>54</v>
      </c>
      <c r="N2109" s="4">
        <v>235.14</v>
      </c>
      <c r="O2109" t="s">
        <v>31</v>
      </c>
      <c r="P2109" t="s">
        <v>98</v>
      </c>
      <c r="X2109" t="s">
        <v>35</v>
      </c>
      <c r="Y2109" t="s">
        <v>389</v>
      </c>
      <c r="Z2109">
        <v>20200131</v>
      </c>
      <c r="AA2109">
        <f t="shared" si="82"/>
        <v>12.57</v>
      </c>
      <c r="AC2109"/>
      <c r="AE2109" t="s">
        <v>390</v>
      </c>
      <c r="AF2109"/>
      <c r="AL2109">
        <v>340310790</v>
      </c>
      <c r="AM2109" t="s">
        <v>391</v>
      </c>
    </row>
    <row r="2110" spans="1:39" x14ac:dyDescent="0.35">
      <c r="A2110">
        <v>3403</v>
      </c>
      <c r="B2110" t="s">
        <v>28</v>
      </c>
      <c r="C2110">
        <v>2020</v>
      </c>
      <c r="D2110" s="1">
        <v>43831</v>
      </c>
      <c r="E2110">
        <v>4</v>
      </c>
      <c r="F2110">
        <v>300018523</v>
      </c>
      <c r="G2110" t="s">
        <v>101</v>
      </c>
      <c r="H2110">
        <v>40</v>
      </c>
      <c r="I2110">
        <v>71105120</v>
      </c>
      <c r="J2110">
        <v>11210050</v>
      </c>
      <c r="K2110" t="s">
        <v>268</v>
      </c>
      <c r="L2110" s="4">
        <v>16.75</v>
      </c>
      <c r="M2110" t="s">
        <v>54</v>
      </c>
      <c r="N2110" s="4">
        <v>313.33999999999997</v>
      </c>
      <c r="O2110" t="s">
        <v>31</v>
      </c>
      <c r="P2110" t="s">
        <v>98</v>
      </c>
      <c r="X2110" t="s">
        <v>35</v>
      </c>
      <c r="Y2110" t="s">
        <v>389</v>
      </c>
      <c r="Z2110">
        <v>20200131</v>
      </c>
      <c r="AA2110">
        <f t="shared" si="82"/>
        <v>16.75</v>
      </c>
      <c r="AC2110"/>
      <c r="AE2110" t="s">
        <v>390</v>
      </c>
      <c r="AF2110"/>
      <c r="AL2110">
        <v>340312290</v>
      </c>
      <c r="AM2110" t="s">
        <v>391</v>
      </c>
    </row>
    <row r="2111" spans="1:39" x14ac:dyDescent="0.35">
      <c r="A2111">
        <v>3403</v>
      </c>
      <c r="B2111" t="s">
        <v>28</v>
      </c>
      <c r="C2111">
        <v>2020</v>
      </c>
      <c r="D2111" s="1">
        <v>43831</v>
      </c>
      <c r="E2111">
        <v>5</v>
      </c>
      <c r="F2111">
        <v>300018523</v>
      </c>
      <c r="G2111" t="s">
        <v>101</v>
      </c>
      <c r="H2111">
        <v>40</v>
      </c>
      <c r="I2111">
        <v>71105120</v>
      </c>
      <c r="J2111">
        <v>11210050</v>
      </c>
      <c r="K2111" t="s">
        <v>268</v>
      </c>
      <c r="L2111" s="4">
        <v>8.3800000000000008</v>
      </c>
      <c r="M2111" t="s">
        <v>54</v>
      </c>
      <c r="N2111" s="4">
        <v>156.76</v>
      </c>
      <c r="O2111" t="s">
        <v>31</v>
      </c>
      <c r="P2111" t="s">
        <v>98</v>
      </c>
      <c r="X2111" t="s">
        <v>35</v>
      </c>
      <c r="Y2111" t="s">
        <v>389</v>
      </c>
      <c r="Z2111">
        <v>20200131</v>
      </c>
      <c r="AA2111">
        <f t="shared" si="82"/>
        <v>8.3800000000000008</v>
      </c>
      <c r="AC2111"/>
      <c r="AE2111" t="s">
        <v>390</v>
      </c>
      <c r="AF2111"/>
      <c r="AL2111">
        <v>340312490</v>
      </c>
      <c r="AM2111" t="s">
        <v>391</v>
      </c>
    </row>
    <row r="2112" spans="1:39" x14ac:dyDescent="0.35">
      <c r="A2112">
        <v>3403</v>
      </c>
      <c r="B2112" t="s">
        <v>28</v>
      </c>
      <c r="C2112">
        <v>2020</v>
      </c>
      <c r="D2112" s="1">
        <v>43831</v>
      </c>
      <c r="E2112">
        <v>6</v>
      </c>
      <c r="F2112">
        <v>300018523</v>
      </c>
      <c r="G2112" t="s">
        <v>101</v>
      </c>
      <c r="H2112">
        <v>40</v>
      </c>
      <c r="I2112">
        <v>71105120</v>
      </c>
      <c r="J2112">
        <v>11210050</v>
      </c>
      <c r="K2112" t="s">
        <v>268</v>
      </c>
      <c r="L2112" s="4">
        <v>8.3800000000000008</v>
      </c>
      <c r="M2112" t="s">
        <v>54</v>
      </c>
      <c r="N2112" s="4">
        <v>156.76</v>
      </c>
      <c r="O2112" t="s">
        <v>31</v>
      </c>
      <c r="P2112" t="s">
        <v>98</v>
      </c>
      <c r="X2112" t="s">
        <v>35</v>
      </c>
      <c r="Y2112" t="s">
        <v>389</v>
      </c>
      <c r="Z2112">
        <v>20200131</v>
      </c>
      <c r="AA2112">
        <f t="shared" si="82"/>
        <v>8.3800000000000008</v>
      </c>
      <c r="AC2112"/>
      <c r="AE2112" t="s">
        <v>390</v>
      </c>
      <c r="AF2112"/>
      <c r="AL2112">
        <v>340312690</v>
      </c>
      <c r="AM2112" t="s">
        <v>391</v>
      </c>
    </row>
    <row r="2113" spans="1:39" x14ac:dyDescent="0.35">
      <c r="A2113">
        <v>3403</v>
      </c>
      <c r="B2113" t="s">
        <v>28</v>
      </c>
      <c r="C2113">
        <v>2020</v>
      </c>
      <c r="D2113" s="1">
        <v>43831</v>
      </c>
      <c r="E2113">
        <v>7</v>
      </c>
      <c r="F2113">
        <v>300018523</v>
      </c>
      <c r="G2113" t="s">
        <v>101</v>
      </c>
      <c r="H2113">
        <v>40</v>
      </c>
      <c r="I2113">
        <v>71105120</v>
      </c>
      <c r="J2113">
        <v>11210050</v>
      </c>
      <c r="K2113" t="s">
        <v>268</v>
      </c>
      <c r="L2113" s="4">
        <v>4.1900000000000004</v>
      </c>
      <c r="M2113" t="s">
        <v>54</v>
      </c>
      <c r="N2113" s="4">
        <v>78.38</v>
      </c>
      <c r="O2113" t="s">
        <v>31</v>
      </c>
      <c r="P2113" t="s">
        <v>98</v>
      </c>
      <c r="X2113" t="s">
        <v>35</v>
      </c>
      <c r="Y2113" t="s">
        <v>389</v>
      </c>
      <c r="Z2113">
        <v>20200131</v>
      </c>
      <c r="AA2113">
        <f t="shared" si="82"/>
        <v>4.1900000000000004</v>
      </c>
      <c r="AC2113"/>
      <c r="AE2113" t="s">
        <v>390</v>
      </c>
      <c r="AF2113"/>
      <c r="AL2113">
        <v>340315190</v>
      </c>
      <c r="AM2113" t="s">
        <v>391</v>
      </c>
    </row>
    <row r="2114" spans="1:39" x14ac:dyDescent="0.35">
      <c r="A2114">
        <v>3403</v>
      </c>
      <c r="B2114" t="s">
        <v>28</v>
      </c>
      <c r="C2114">
        <v>2020</v>
      </c>
      <c r="D2114" s="1">
        <v>43831</v>
      </c>
      <c r="E2114">
        <v>8</v>
      </c>
      <c r="F2114">
        <v>300018523</v>
      </c>
      <c r="G2114" t="s">
        <v>101</v>
      </c>
      <c r="H2114">
        <v>40</v>
      </c>
      <c r="I2114">
        <v>71105120</v>
      </c>
      <c r="J2114">
        <v>11210050</v>
      </c>
      <c r="K2114" t="s">
        <v>268</v>
      </c>
      <c r="L2114" s="4">
        <v>62.83</v>
      </c>
      <c r="M2114" t="s">
        <v>54</v>
      </c>
      <c r="N2114" s="4">
        <v>1175.3399999999999</v>
      </c>
      <c r="O2114" t="s">
        <v>31</v>
      </c>
      <c r="P2114" t="s">
        <v>98</v>
      </c>
      <c r="X2114" t="s">
        <v>35</v>
      </c>
      <c r="Y2114" t="s">
        <v>389</v>
      </c>
      <c r="Z2114">
        <v>20200131</v>
      </c>
      <c r="AA2114">
        <f t="shared" si="82"/>
        <v>62.83</v>
      </c>
      <c r="AC2114"/>
      <c r="AE2114" t="s">
        <v>390</v>
      </c>
      <c r="AF2114"/>
      <c r="AL2114">
        <v>340316690</v>
      </c>
      <c r="AM2114" t="s">
        <v>391</v>
      </c>
    </row>
    <row r="2115" spans="1:39" x14ac:dyDescent="0.35">
      <c r="A2115">
        <v>3403</v>
      </c>
      <c r="B2115" t="s">
        <v>28</v>
      </c>
      <c r="C2115">
        <v>2020</v>
      </c>
      <c r="D2115" s="1">
        <v>43831</v>
      </c>
      <c r="E2115">
        <v>9</v>
      </c>
      <c r="F2115">
        <v>300018523</v>
      </c>
      <c r="G2115" t="s">
        <v>101</v>
      </c>
      <c r="H2115">
        <v>40</v>
      </c>
      <c r="I2115">
        <v>71105120</v>
      </c>
      <c r="J2115">
        <v>11210050</v>
      </c>
      <c r="K2115" t="s">
        <v>268</v>
      </c>
      <c r="L2115" s="4">
        <v>16.75</v>
      </c>
      <c r="M2115" t="s">
        <v>54</v>
      </c>
      <c r="N2115" s="4">
        <v>313.33999999999997</v>
      </c>
      <c r="O2115" t="s">
        <v>31</v>
      </c>
      <c r="P2115" t="s">
        <v>98</v>
      </c>
      <c r="X2115" t="s">
        <v>35</v>
      </c>
      <c r="Y2115" t="s">
        <v>389</v>
      </c>
      <c r="Z2115">
        <v>20200131</v>
      </c>
      <c r="AA2115">
        <f t="shared" si="82"/>
        <v>16.75</v>
      </c>
      <c r="AC2115"/>
      <c r="AE2115" t="s">
        <v>390</v>
      </c>
      <c r="AF2115"/>
      <c r="AL2115">
        <v>340317690</v>
      </c>
      <c r="AM2115" t="s">
        <v>391</v>
      </c>
    </row>
    <row r="2116" spans="1:39" x14ac:dyDescent="0.35">
      <c r="A2116">
        <v>3403</v>
      </c>
      <c r="B2116" t="s">
        <v>28</v>
      </c>
      <c r="C2116">
        <v>2020</v>
      </c>
      <c r="D2116" s="1">
        <v>43831</v>
      </c>
      <c r="E2116">
        <v>10</v>
      </c>
      <c r="F2116">
        <v>300018523</v>
      </c>
      <c r="G2116" t="s">
        <v>101</v>
      </c>
      <c r="H2116">
        <v>40</v>
      </c>
      <c r="I2116">
        <v>71105120</v>
      </c>
      <c r="J2116">
        <v>11210050</v>
      </c>
      <c r="K2116" t="s">
        <v>268</v>
      </c>
      <c r="L2116" s="4">
        <v>12.57</v>
      </c>
      <c r="M2116" t="s">
        <v>54</v>
      </c>
      <c r="N2116" s="4">
        <v>235.14</v>
      </c>
      <c r="O2116" t="s">
        <v>31</v>
      </c>
      <c r="P2116" t="s">
        <v>98</v>
      </c>
      <c r="X2116" t="s">
        <v>35</v>
      </c>
      <c r="Y2116" t="s">
        <v>389</v>
      </c>
      <c r="Z2116">
        <v>20200131</v>
      </c>
      <c r="AA2116">
        <f t="shared" si="82"/>
        <v>12.57</v>
      </c>
      <c r="AC2116"/>
      <c r="AE2116" t="s">
        <v>390</v>
      </c>
      <c r="AF2116"/>
      <c r="AL2116">
        <v>340319190</v>
      </c>
      <c r="AM2116" t="s">
        <v>391</v>
      </c>
    </row>
    <row r="2117" spans="1:39" x14ac:dyDescent="0.35">
      <c r="A2117">
        <v>3403</v>
      </c>
      <c r="B2117" t="s">
        <v>28</v>
      </c>
      <c r="C2117">
        <v>2020</v>
      </c>
      <c r="D2117" s="1">
        <v>43831</v>
      </c>
      <c r="E2117">
        <v>11</v>
      </c>
      <c r="F2117">
        <v>300018523</v>
      </c>
      <c r="G2117" t="s">
        <v>101</v>
      </c>
      <c r="H2117">
        <v>40</v>
      </c>
      <c r="I2117">
        <v>71105120</v>
      </c>
      <c r="J2117">
        <v>11210050</v>
      </c>
      <c r="K2117" t="s">
        <v>268</v>
      </c>
      <c r="L2117" s="4">
        <v>12.57</v>
      </c>
      <c r="M2117" t="s">
        <v>54</v>
      </c>
      <c r="N2117" s="4">
        <v>235.14</v>
      </c>
      <c r="O2117" t="s">
        <v>31</v>
      </c>
      <c r="P2117" t="s">
        <v>98</v>
      </c>
      <c r="X2117" t="s">
        <v>35</v>
      </c>
      <c r="Y2117" t="s">
        <v>389</v>
      </c>
      <c r="Z2117">
        <v>20200131</v>
      </c>
      <c r="AA2117">
        <f t="shared" si="82"/>
        <v>12.57</v>
      </c>
      <c r="AC2117"/>
      <c r="AE2117" t="s">
        <v>390</v>
      </c>
      <c r="AF2117"/>
      <c r="AL2117">
        <v>340319290</v>
      </c>
      <c r="AM2117" t="s">
        <v>391</v>
      </c>
    </row>
    <row r="2118" spans="1:39" x14ac:dyDescent="0.35">
      <c r="A2118">
        <v>3403</v>
      </c>
      <c r="B2118" t="s">
        <v>28</v>
      </c>
      <c r="C2118">
        <v>2020</v>
      </c>
      <c r="D2118" s="1">
        <v>43831</v>
      </c>
      <c r="E2118">
        <v>12</v>
      </c>
      <c r="F2118">
        <v>300018523</v>
      </c>
      <c r="G2118" t="s">
        <v>101</v>
      </c>
      <c r="H2118">
        <v>40</v>
      </c>
      <c r="I2118">
        <v>71105120</v>
      </c>
      <c r="J2118">
        <v>11210050</v>
      </c>
      <c r="K2118" t="s">
        <v>268</v>
      </c>
      <c r="L2118" s="4">
        <v>4.1900000000000004</v>
      </c>
      <c r="M2118" t="s">
        <v>54</v>
      </c>
      <c r="N2118" s="4">
        <v>78.38</v>
      </c>
      <c r="O2118" t="s">
        <v>31</v>
      </c>
      <c r="P2118" t="s">
        <v>98</v>
      </c>
      <c r="X2118" t="s">
        <v>35</v>
      </c>
      <c r="Y2118" t="s">
        <v>389</v>
      </c>
      <c r="Z2118">
        <v>20200131</v>
      </c>
      <c r="AA2118">
        <f t="shared" si="82"/>
        <v>4.1900000000000004</v>
      </c>
      <c r="AC2118"/>
      <c r="AE2118" t="s">
        <v>390</v>
      </c>
      <c r="AF2118"/>
      <c r="AL2118">
        <v>340320490</v>
      </c>
      <c r="AM2118" t="s">
        <v>391</v>
      </c>
    </row>
    <row r="2119" spans="1:39" x14ac:dyDescent="0.35">
      <c r="A2119">
        <v>3403</v>
      </c>
      <c r="B2119" t="s">
        <v>28</v>
      </c>
      <c r="C2119">
        <v>2020</v>
      </c>
      <c r="D2119" s="1">
        <v>43831</v>
      </c>
      <c r="E2119">
        <v>13</v>
      </c>
      <c r="F2119">
        <v>300018523</v>
      </c>
      <c r="G2119" t="s">
        <v>101</v>
      </c>
      <c r="H2119">
        <v>40</v>
      </c>
      <c r="I2119">
        <v>71105120</v>
      </c>
      <c r="J2119">
        <v>11210050</v>
      </c>
      <c r="K2119" t="s">
        <v>268</v>
      </c>
      <c r="L2119" s="4">
        <v>25.13</v>
      </c>
      <c r="M2119" t="s">
        <v>54</v>
      </c>
      <c r="N2119" s="4">
        <v>470.1</v>
      </c>
      <c r="O2119" t="s">
        <v>31</v>
      </c>
      <c r="P2119" t="s">
        <v>98</v>
      </c>
      <c r="X2119" t="s">
        <v>35</v>
      </c>
      <c r="Y2119" t="s">
        <v>389</v>
      </c>
      <c r="Z2119">
        <v>20200131</v>
      </c>
      <c r="AA2119">
        <f t="shared" si="82"/>
        <v>25.13</v>
      </c>
      <c r="AC2119"/>
      <c r="AE2119" t="s">
        <v>390</v>
      </c>
      <c r="AF2119"/>
      <c r="AL2119">
        <v>340321690</v>
      </c>
      <c r="AM2119" t="s">
        <v>391</v>
      </c>
    </row>
    <row r="2120" spans="1:39" x14ac:dyDescent="0.35">
      <c r="A2120">
        <v>3403</v>
      </c>
      <c r="B2120" t="s">
        <v>28</v>
      </c>
      <c r="C2120">
        <v>2020</v>
      </c>
      <c r="D2120" s="1">
        <v>43831</v>
      </c>
      <c r="E2120">
        <v>14</v>
      </c>
      <c r="F2120">
        <v>300018523</v>
      </c>
      <c r="G2120" t="s">
        <v>101</v>
      </c>
      <c r="H2120">
        <v>40</v>
      </c>
      <c r="I2120">
        <v>71105120</v>
      </c>
      <c r="J2120">
        <v>11210050</v>
      </c>
      <c r="K2120" t="s">
        <v>268</v>
      </c>
      <c r="L2120" s="4">
        <v>25.13</v>
      </c>
      <c r="M2120" t="s">
        <v>54</v>
      </c>
      <c r="N2120" s="4">
        <v>470.1</v>
      </c>
      <c r="O2120" t="s">
        <v>31</v>
      </c>
      <c r="P2120" t="s">
        <v>98</v>
      </c>
      <c r="X2120" t="s">
        <v>35</v>
      </c>
      <c r="Y2120" t="s">
        <v>389</v>
      </c>
      <c r="Z2120">
        <v>20200131</v>
      </c>
      <c r="AA2120">
        <f t="shared" si="82"/>
        <v>25.13</v>
      </c>
      <c r="AC2120"/>
      <c r="AE2120" t="s">
        <v>390</v>
      </c>
      <c r="AF2120"/>
      <c r="AL2120">
        <v>340321790</v>
      </c>
      <c r="AM2120" t="s">
        <v>391</v>
      </c>
    </row>
    <row r="2121" spans="1:39" x14ac:dyDescent="0.35">
      <c r="A2121">
        <v>3403</v>
      </c>
      <c r="B2121" t="s">
        <v>28</v>
      </c>
      <c r="C2121">
        <v>2020</v>
      </c>
      <c r="D2121" s="1">
        <v>43831</v>
      </c>
      <c r="E2121">
        <v>15</v>
      </c>
      <c r="F2121">
        <v>300018523</v>
      </c>
      <c r="G2121" t="s">
        <v>101</v>
      </c>
      <c r="H2121">
        <v>40</v>
      </c>
      <c r="I2121">
        <v>71105120</v>
      </c>
      <c r="J2121">
        <v>11210050</v>
      </c>
      <c r="K2121" t="s">
        <v>268</v>
      </c>
      <c r="L2121" s="4">
        <v>37.700000000000003</v>
      </c>
      <c r="M2121" t="s">
        <v>54</v>
      </c>
      <c r="N2121" s="4">
        <v>705.24</v>
      </c>
      <c r="O2121" t="s">
        <v>31</v>
      </c>
      <c r="P2121" t="s">
        <v>98</v>
      </c>
      <c r="X2121" t="s">
        <v>35</v>
      </c>
      <c r="Y2121" t="s">
        <v>389</v>
      </c>
      <c r="Z2121">
        <v>20200131</v>
      </c>
      <c r="AA2121">
        <f t="shared" si="82"/>
        <v>37.700000000000003</v>
      </c>
      <c r="AC2121"/>
      <c r="AE2121" t="s">
        <v>390</v>
      </c>
      <c r="AF2121"/>
      <c r="AL2121">
        <v>340325190</v>
      </c>
      <c r="AM2121" t="s">
        <v>391</v>
      </c>
    </row>
    <row r="2122" spans="1:39" x14ac:dyDescent="0.35">
      <c r="A2122">
        <v>3403</v>
      </c>
      <c r="B2122" t="s">
        <v>28</v>
      </c>
      <c r="C2122">
        <v>2020</v>
      </c>
      <c r="D2122" s="1">
        <v>43831</v>
      </c>
      <c r="E2122">
        <v>16</v>
      </c>
      <c r="F2122">
        <v>300018523</v>
      </c>
      <c r="G2122" t="s">
        <v>101</v>
      </c>
      <c r="H2122">
        <v>40</v>
      </c>
      <c r="I2122">
        <v>71105120</v>
      </c>
      <c r="J2122">
        <v>11210050</v>
      </c>
      <c r="K2122" t="s">
        <v>268</v>
      </c>
      <c r="L2122" s="4">
        <v>16.75</v>
      </c>
      <c r="M2122" t="s">
        <v>54</v>
      </c>
      <c r="N2122" s="4">
        <v>313.33999999999997</v>
      </c>
      <c r="O2122" t="s">
        <v>31</v>
      </c>
      <c r="P2122" t="s">
        <v>98</v>
      </c>
      <c r="X2122" t="s">
        <v>35</v>
      </c>
      <c r="Y2122" t="s">
        <v>389</v>
      </c>
      <c r="Z2122">
        <v>20200131</v>
      </c>
      <c r="AA2122">
        <f t="shared" si="82"/>
        <v>16.75</v>
      </c>
      <c r="AC2122"/>
      <c r="AE2122" t="s">
        <v>390</v>
      </c>
      <c r="AF2122"/>
      <c r="AL2122">
        <v>340325290</v>
      </c>
      <c r="AM2122" t="s">
        <v>391</v>
      </c>
    </row>
    <row r="2123" spans="1:39" x14ac:dyDescent="0.35">
      <c r="A2123">
        <v>3403</v>
      </c>
      <c r="B2123" t="s">
        <v>28</v>
      </c>
      <c r="C2123">
        <v>2020</v>
      </c>
      <c r="D2123" s="1">
        <v>43831</v>
      </c>
      <c r="E2123">
        <v>17</v>
      </c>
      <c r="F2123">
        <v>300018523</v>
      </c>
      <c r="G2123" t="s">
        <v>101</v>
      </c>
      <c r="H2123">
        <v>40</v>
      </c>
      <c r="I2123">
        <v>71105120</v>
      </c>
      <c r="J2123">
        <v>11210050</v>
      </c>
      <c r="K2123" t="s">
        <v>268</v>
      </c>
      <c r="L2123" s="4">
        <v>12.57</v>
      </c>
      <c r="M2123" t="s">
        <v>54</v>
      </c>
      <c r="N2123" s="4">
        <v>235.14</v>
      </c>
      <c r="O2123" t="s">
        <v>31</v>
      </c>
      <c r="P2123" t="s">
        <v>98</v>
      </c>
      <c r="X2123" t="s">
        <v>35</v>
      </c>
      <c r="Y2123" t="s">
        <v>389</v>
      </c>
      <c r="Z2123">
        <v>20200131</v>
      </c>
      <c r="AA2123">
        <f t="shared" si="82"/>
        <v>12.57</v>
      </c>
      <c r="AC2123"/>
      <c r="AE2123" t="s">
        <v>390</v>
      </c>
      <c r="AF2123"/>
      <c r="AL2123">
        <v>340325490</v>
      </c>
      <c r="AM2123" t="s">
        <v>391</v>
      </c>
    </row>
    <row r="2124" spans="1:39" x14ac:dyDescent="0.35">
      <c r="A2124">
        <v>3403</v>
      </c>
      <c r="B2124" t="s">
        <v>28</v>
      </c>
      <c r="C2124">
        <v>2020</v>
      </c>
      <c r="D2124" s="1">
        <v>43831</v>
      </c>
      <c r="E2124">
        <v>18</v>
      </c>
      <c r="F2124">
        <v>300018523</v>
      </c>
      <c r="G2124" t="s">
        <v>101</v>
      </c>
      <c r="H2124">
        <v>40</v>
      </c>
      <c r="I2124">
        <v>71105120</v>
      </c>
      <c r="J2124">
        <v>11210050</v>
      </c>
      <c r="K2124" t="s">
        <v>268</v>
      </c>
      <c r="L2124" s="4">
        <v>16.75</v>
      </c>
      <c r="M2124" t="s">
        <v>54</v>
      </c>
      <c r="N2124" s="4">
        <v>313.33999999999997</v>
      </c>
      <c r="O2124" t="s">
        <v>31</v>
      </c>
      <c r="P2124" t="s">
        <v>98</v>
      </c>
      <c r="X2124" t="s">
        <v>35</v>
      </c>
      <c r="Y2124" t="s">
        <v>389</v>
      </c>
      <c r="Z2124">
        <v>20200131</v>
      </c>
      <c r="AA2124">
        <f t="shared" si="82"/>
        <v>16.75</v>
      </c>
      <c r="AC2124"/>
      <c r="AE2124" t="s">
        <v>390</v>
      </c>
      <c r="AF2124"/>
      <c r="AL2124">
        <v>340327190</v>
      </c>
      <c r="AM2124" t="s">
        <v>391</v>
      </c>
    </row>
    <row r="2125" spans="1:39" x14ac:dyDescent="0.35">
      <c r="A2125">
        <v>3403</v>
      </c>
      <c r="B2125" t="s">
        <v>28</v>
      </c>
      <c r="C2125">
        <v>2020</v>
      </c>
      <c r="D2125" s="1">
        <v>43831</v>
      </c>
      <c r="E2125">
        <v>19</v>
      </c>
      <c r="F2125">
        <v>300018523</v>
      </c>
      <c r="G2125" t="s">
        <v>101</v>
      </c>
      <c r="H2125">
        <v>40</v>
      </c>
      <c r="I2125">
        <v>71105120</v>
      </c>
      <c r="J2125">
        <v>11210050</v>
      </c>
      <c r="K2125" t="s">
        <v>268</v>
      </c>
      <c r="L2125" s="4">
        <v>8.3800000000000008</v>
      </c>
      <c r="M2125" t="s">
        <v>54</v>
      </c>
      <c r="N2125" s="4">
        <v>156.76</v>
      </c>
      <c r="O2125" t="s">
        <v>31</v>
      </c>
      <c r="P2125" t="s">
        <v>98</v>
      </c>
      <c r="X2125" t="s">
        <v>35</v>
      </c>
      <c r="Y2125" t="s">
        <v>389</v>
      </c>
      <c r="Z2125">
        <v>20200131</v>
      </c>
      <c r="AA2125">
        <f t="shared" si="82"/>
        <v>8.3800000000000008</v>
      </c>
      <c r="AC2125"/>
      <c r="AE2125" t="s">
        <v>390</v>
      </c>
      <c r="AF2125"/>
      <c r="AL2125">
        <v>340327290</v>
      </c>
      <c r="AM2125" t="s">
        <v>391</v>
      </c>
    </row>
    <row r="2126" spans="1:39" x14ac:dyDescent="0.35">
      <c r="A2126">
        <v>3403</v>
      </c>
      <c r="B2126" t="s">
        <v>28</v>
      </c>
      <c r="C2126">
        <v>2020</v>
      </c>
      <c r="D2126" s="1">
        <v>43831</v>
      </c>
      <c r="E2126">
        <v>20</v>
      </c>
      <c r="F2126">
        <v>300018523</v>
      </c>
      <c r="G2126" t="s">
        <v>101</v>
      </c>
      <c r="H2126">
        <v>40</v>
      </c>
      <c r="I2126">
        <v>71105120</v>
      </c>
      <c r="J2126">
        <v>11210050</v>
      </c>
      <c r="K2126" t="s">
        <v>268</v>
      </c>
      <c r="L2126" s="4">
        <v>4.1900000000000004</v>
      </c>
      <c r="M2126" t="s">
        <v>54</v>
      </c>
      <c r="N2126" s="4">
        <v>78.38</v>
      </c>
      <c r="O2126" t="s">
        <v>31</v>
      </c>
      <c r="P2126" t="s">
        <v>98</v>
      </c>
      <c r="X2126" t="s">
        <v>35</v>
      </c>
      <c r="Y2126" t="s">
        <v>389</v>
      </c>
      <c r="Z2126">
        <v>20200131</v>
      </c>
      <c r="AA2126">
        <f t="shared" si="82"/>
        <v>4.1900000000000004</v>
      </c>
      <c r="AC2126"/>
      <c r="AE2126" t="s">
        <v>390</v>
      </c>
      <c r="AF2126"/>
      <c r="AL2126">
        <v>340332290</v>
      </c>
      <c r="AM2126" t="s">
        <v>391</v>
      </c>
    </row>
    <row r="2127" spans="1:39" x14ac:dyDescent="0.35">
      <c r="A2127">
        <v>3403</v>
      </c>
      <c r="B2127" t="s">
        <v>28</v>
      </c>
      <c r="C2127">
        <v>2020</v>
      </c>
      <c r="D2127" s="1">
        <v>43831</v>
      </c>
      <c r="E2127">
        <v>21</v>
      </c>
      <c r="F2127">
        <v>300018523</v>
      </c>
      <c r="G2127" t="s">
        <v>101</v>
      </c>
      <c r="H2127">
        <v>40</v>
      </c>
      <c r="I2127">
        <v>71105120</v>
      </c>
      <c r="J2127">
        <v>11210050</v>
      </c>
      <c r="K2127" t="s">
        <v>268</v>
      </c>
      <c r="L2127" s="4">
        <v>25.13</v>
      </c>
      <c r="M2127" t="s">
        <v>54</v>
      </c>
      <c r="N2127" s="4">
        <v>470.1</v>
      </c>
      <c r="O2127" t="s">
        <v>31</v>
      </c>
      <c r="P2127" t="s">
        <v>98</v>
      </c>
      <c r="X2127" t="s">
        <v>35</v>
      </c>
      <c r="Y2127" t="s">
        <v>389</v>
      </c>
      <c r="Z2127">
        <v>20200131</v>
      </c>
      <c r="AA2127">
        <f t="shared" si="82"/>
        <v>25.13</v>
      </c>
      <c r="AC2127"/>
      <c r="AE2127" t="s">
        <v>390</v>
      </c>
      <c r="AF2127"/>
      <c r="AL2127">
        <v>340333190</v>
      </c>
      <c r="AM2127" t="s">
        <v>391</v>
      </c>
    </row>
    <row r="2128" spans="1:39" x14ac:dyDescent="0.35">
      <c r="A2128">
        <v>3403</v>
      </c>
      <c r="B2128" t="s">
        <v>28</v>
      </c>
      <c r="C2128">
        <v>2020</v>
      </c>
      <c r="D2128" s="1">
        <v>43831</v>
      </c>
      <c r="E2128">
        <v>22</v>
      </c>
      <c r="F2128">
        <v>300018523</v>
      </c>
      <c r="G2128" t="s">
        <v>101</v>
      </c>
      <c r="H2128">
        <v>40</v>
      </c>
      <c r="I2128">
        <v>71105120</v>
      </c>
      <c r="J2128">
        <v>11210050</v>
      </c>
      <c r="K2128" t="s">
        <v>268</v>
      </c>
      <c r="L2128" s="4">
        <v>16.75</v>
      </c>
      <c r="M2128" t="s">
        <v>54</v>
      </c>
      <c r="N2128" s="4">
        <v>313.33999999999997</v>
      </c>
      <c r="O2128" t="s">
        <v>31</v>
      </c>
      <c r="P2128" t="s">
        <v>98</v>
      </c>
      <c r="X2128" t="s">
        <v>35</v>
      </c>
      <c r="Y2128" t="s">
        <v>389</v>
      </c>
      <c r="Z2128">
        <v>20200131</v>
      </c>
      <c r="AA2128">
        <f t="shared" si="82"/>
        <v>16.75</v>
      </c>
      <c r="AC2128"/>
      <c r="AE2128" t="s">
        <v>390</v>
      </c>
      <c r="AF2128"/>
      <c r="AL2128">
        <v>340336290</v>
      </c>
      <c r="AM2128" t="s">
        <v>391</v>
      </c>
    </row>
    <row r="2129" spans="1:39" x14ac:dyDescent="0.35">
      <c r="A2129">
        <v>3403</v>
      </c>
      <c r="B2129" t="s">
        <v>28</v>
      </c>
      <c r="C2129">
        <v>2020</v>
      </c>
      <c r="D2129" s="1">
        <v>43831</v>
      </c>
      <c r="E2129">
        <v>23</v>
      </c>
      <c r="F2129">
        <v>300018523</v>
      </c>
      <c r="G2129" t="s">
        <v>101</v>
      </c>
      <c r="H2129">
        <v>40</v>
      </c>
      <c r="I2129">
        <v>71105120</v>
      </c>
      <c r="J2129">
        <v>11210050</v>
      </c>
      <c r="K2129" t="s">
        <v>268</v>
      </c>
      <c r="L2129" s="4">
        <v>67.02</v>
      </c>
      <c r="M2129" t="s">
        <v>54</v>
      </c>
      <c r="N2129" s="4">
        <v>1253.72</v>
      </c>
      <c r="O2129" t="s">
        <v>31</v>
      </c>
      <c r="P2129" t="s">
        <v>98</v>
      </c>
      <c r="X2129" t="s">
        <v>35</v>
      </c>
      <c r="Y2129" t="s">
        <v>389</v>
      </c>
      <c r="Z2129">
        <v>20200131</v>
      </c>
      <c r="AA2129">
        <f t="shared" si="82"/>
        <v>67.02</v>
      </c>
      <c r="AC2129"/>
      <c r="AE2129" t="s">
        <v>390</v>
      </c>
      <c r="AF2129"/>
      <c r="AL2129">
        <v>340340390</v>
      </c>
      <c r="AM2129" t="s">
        <v>391</v>
      </c>
    </row>
    <row r="2130" spans="1:39" x14ac:dyDescent="0.35">
      <c r="A2130">
        <v>3403</v>
      </c>
      <c r="B2130" t="s">
        <v>28</v>
      </c>
      <c r="C2130">
        <v>2020</v>
      </c>
      <c r="D2130" s="1">
        <v>43831</v>
      </c>
      <c r="E2130">
        <v>24</v>
      </c>
      <c r="F2130">
        <v>300018523</v>
      </c>
      <c r="G2130" t="s">
        <v>101</v>
      </c>
      <c r="H2130">
        <v>40</v>
      </c>
      <c r="I2130">
        <v>71105120</v>
      </c>
      <c r="J2130">
        <v>11210050</v>
      </c>
      <c r="K2130" t="s">
        <v>268</v>
      </c>
      <c r="L2130" s="4">
        <v>8.3800000000000008</v>
      </c>
      <c r="M2130" t="s">
        <v>54</v>
      </c>
      <c r="N2130" s="4">
        <v>156.76</v>
      </c>
      <c r="O2130" t="s">
        <v>31</v>
      </c>
      <c r="P2130" t="s">
        <v>98</v>
      </c>
      <c r="X2130" t="s">
        <v>35</v>
      </c>
      <c r="Y2130" t="s">
        <v>389</v>
      </c>
      <c r="Z2130">
        <v>20200131</v>
      </c>
      <c r="AA2130">
        <f t="shared" ref="AA2130:AA2193" si="83">L2130</f>
        <v>8.3800000000000008</v>
      </c>
      <c r="AC2130"/>
      <c r="AE2130" t="s">
        <v>390</v>
      </c>
      <c r="AF2130"/>
      <c r="AL2130">
        <v>340346390</v>
      </c>
      <c r="AM2130" t="s">
        <v>391</v>
      </c>
    </row>
    <row r="2131" spans="1:39" x14ac:dyDescent="0.35">
      <c r="A2131">
        <v>3403</v>
      </c>
      <c r="B2131" t="s">
        <v>28</v>
      </c>
      <c r="C2131">
        <v>2020</v>
      </c>
      <c r="D2131" s="1">
        <v>43831</v>
      </c>
      <c r="E2131">
        <v>25</v>
      </c>
      <c r="F2131">
        <v>300018523</v>
      </c>
      <c r="G2131" t="s">
        <v>101</v>
      </c>
      <c r="H2131">
        <v>40</v>
      </c>
      <c r="I2131">
        <v>71105120</v>
      </c>
      <c r="J2131">
        <v>11210050</v>
      </c>
      <c r="K2131" t="s">
        <v>268</v>
      </c>
      <c r="L2131" s="4">
        <v>41.89</v>
      </c>
      <c r="M2131" t="s">
        <v>54</v>
      </c>
      <c r="N2131" s="4">
        <v>783.62</v>
      </c>
      <c r="O2131" t="s">
        <v>31</v>
      </c>
      <c r="P2131" t="s">
        <v>98</v>
      </c>
      <c r="X2131" t="s">
        <v>35</v>
      </c>
      <c r="Y2131" t="s">
        <v>389</v>
      </c>
      <c r="Z2131">
        <v>20200131</v>
      </c>
      <c r="AA2131">
        <f t="shared" si="83"/>
        <v>41.89</v>
      </c>
      <c r="AC2131"/>
      <c r="AE2131" t="s">
        <v>390</v>
      </c>
      <c r="AF2131"/>
      <c r="AL2131">
        <v>340348290</v>
      </c>
      <c r="AM2131" t="s">
        <v>391</v>
      </c>
    </row>
    <row r="2132" spans="1:39" x14ac:dyDescent="0.35">
      <c r="A2132">
        <v>3403</v>
      </c>
      <c r="B2132" t="s">
        <v>28</v>
      </c>
      <c r="C2132">
        <v>2020</v>
      </c>
      <c r="D2132" s="1">
        <v>43831</v>
      </c>
      <c r="E2132">
        <v>26</v>
      </c>
      <c r="F2132">
        <v>300018523</v>
      </c>
      <c r="G2132" t="s">
        <v>101</v>
      </c>
      <c r="H2132">
        <v>40</v>
      </c>
      <c r="I2132">
        <v>71105120</v>
      </c>
      <c r="J2132">
        <v>11210050</v>
      </c>
      <c r="K2132" t="s">
        <v>268</v>
      </c>
      <c r="L2132" s="4">
        <v>12.57</v>
      </c>
      <c r="M2132" t="s">
        <v>54</v>
      </c>
      <c r="N2132" s="4">
        <v>235.14</v>
      </c>
      <c r="O2132" t="s">
        <v>31</v>
      </c>
      <c r="P2132" t="s">
        <v>98</v>
      </c>
      <c r="X2132" t="s">
        <v>35</v>
      </c>
      <c r="Y2132" t="s">
        <v>389</v>
      </c>
      <c r="Z2132">
        <v>20200131</v>
      </c>
      <c r="AA2132">
        <f t="shared" si="83"/>
        <v>12.57</v>
      </c>
      <c r="AC2132"/>
      <c r="AE2132" t="s">
        <v>390</v>
      </c>
      <c r="AF2132"/>
      <c r="AL2132">
        <v>340353290</v>
      </c>
      <c r="AM2132" t="s">
        <v>391</v>
      </c>
    </row>
    <row r="2133" spans="1:39" x14ac:dyDescent="0.35">
      <c r="A2133">
        <v>3403</v>
      </c>
      <c r="B2133" t="s">
        <v>28</v>
      </c>
      <c r="C2133">
        <v>2020</v>
      </c>
      <c r="D2133" s="1">
        <v>43831</v>
      </c>
      <c r="E2133">
        <v>27</v>
      </c>
      <c r="F2133">
        <v>300018523</v>
      </c>
      <c r="G2133" t="s">
        <v>101</v>
      </c>
      <c r="H2133">
        <v>40</v>
      </c>
      <c r="I2133">
        <v>71105120</v>
      </c>
      <c r="J2133">
        <v>11210050</v>
      </c>
      <c r="K2133" t="s">
        <v>268</v>
      </c>
      <c r="L2133" s="4">
        <v>4.1900000000000004</v>
      </c>
      <c r="M2133" t="s">
        <v>54</v>
      </c>
      <c r="N2133" s="4">
        <v>78.38</v>
      </c>
      <c r="O2133" t="s">
        <v>31</v>
      </c>
      <c r="P2133" t="s">
        <v>98</v>
      </c>
      <c r="X2133" t="s">
        <v>35</v>
      </c>
      <c r="Y2133" t="s">
        <v>389</v>
      </c>
      <c r="Z2133">
        <v>20200131</v>
      </c>
      <c r="AA2133">
        <f t="shared" si="83"/>
        <v>4.1900000000000004</v>
      </c>
      <c r="AC2133"/>
      <c r="AE2133" t="s">
        <v>390</v>
      </c>
      <c r="AF2133"/>
      <c r="AL2133">
        <v>340368190</v>
      </c>
      <c r="AM2133" t="s">
        <v>391</v>
      </c>
    </row>
    <row r="2134" spans="1:39" x14ac:dyDescent="0.35">
      <c r="A2134">
        <v>3403</v>
      </c>
      <c r="B2134" t="s">
        <v>28</v>
      </c>
      <c r="C2134">
        <v>2020</v>
      </c>
      <c r="D2134" s="1">
        <v>43831</v>
      </c>
      <c r="E2134">
        <v>28</v>
      </c>
      <c r="F2134">
        <v>300018523</v>
      </c>
      <c r="G2134" t="s">
        <v>101</v>
      </c>
      <c r="H2134">
        <v>40</v>
      </c>
      <c r="I2134">
        <v>71105120</v>
      </c>
      <c r="J2134">
        <v>11210050</v>
      </c>
      <c r="K2134" t="s">
        <v>268</v>
      </c>
      <c r="L2134" s="4">
        <v>8.3800000000000008</v>
      </c>
      <c r="M2134" t="s">
        <v>54</v>
      </c>
      <c r="N2134" s="4">
        <v>156.76</v>
      </c>
      <c r="O2134" t="s">
        <v>31</v>
      </c>
      <c r="P2134" t="s">
        <v>98</v>
      </c>
      <c r="X2134" t="s">
        <v>35</v>
      </c>
      <c r="Y2134" t="s">
        <v>389</v>
      </c>
      <c r="Z2134">
        <v>20200131</v>
      </c>
      <c r="AA2134">
        <f t="shared" si="83"/>
        <v>8.3800000000000008</v>
      </c>
      <c r="AC2134"/>
      <c r="AE2134" t="s">
        <v>390</v>
      </c>
      <c r="AF2134"/>
      <c r="AL2134">
        <v>340312890</v>
      </c>
      <c r="AM2134" t="s">
        <v>391</v>
      </c>
    </row>
    <row r="2135" spans="1:39" x14ac:dyDescent="0.35">
      <c r="A2135">
        <v>3403</v>
      </c>
      <c r="B2135" t="s">
        <v>28</v>
      </c>
      <c r="C2135">
        <v>2020</v>
      </c>
      <c r="D2135" s="1">
        <v>43831</v>
      </c>
      <c r="E2135">
        <v>29</v>
      </c>
      <c r="F2135">
        <v>300018523</v>
      </c>
      <c r="G2135" t="s">
        <v>101</v>
      </c>
      <c r="H2135">
        <v>40</v>
      </c>
      <c r="I2135">
        <v>71105120</v>
      </c>
      <c r="J2135">
        <v>11210050</v>
      </c>
      <c r="K2135" t="s">
        <v>268</v>
      </c>
      <c r="L2135" s="4">
        <v>4.1900000000000004</v>
      </c>
      <c r="M2135" t="s">
        <v>54</v>
      </c>
      <c r="N2135" s="4">
        <v>78.38</v>
      </c>
      <c r="O2135" t="s">
        <v>31</v>
      </c>
      <c r="P2135" t="s">
        <v>98</v>
      </c>
      <c r="X2135" t="s">
        <v>35</v>
      </c>
      <c r="Y2135" t="s">
        <v>389</v>
      </c>
      <c r="Z2135">
        <v>20200131</v>
      </c>
      <c r="AA2135">
        <f t="shared" si="83"/>
        <v>4.1900000000000004</v>
      </c>
      <c r="AC2135"/>
      <c r="AE2135" t="s">
        <v>390</v>
      </c>
      <c r="AF2135"/>
      <c r="AL2135">
        <v>340310890</v>
      </c>
      <c r="AM2135" t="s">
        <v>391</v>
      </c>
    </row>
    <row r="2136" spans="1:39" x14ac:dyDescent="0.35">
      <c r="A2136">
        <v>3403</v>
      </c>
      <c r="B2136" t="s">
        <v>28</v>
      </c>
      <c r="C2136">
        <v>2020</v>
      </c>
      <c r="D2136" s="1">
        <v>43831</v>
      </c>
      <c r="E2136">
        <v>30</v>
      </c>
      <c r="F2136">
        <v>300018523</v>
      </c>
      <c r="G2136" t="s">
        <v>101</v>
      </c>
      <c r="H2136">
        <v>40</v>
      </c>
      <c r="I2136">
        <v>71105120</v>
      </c>
      <c r="J2136">
        <v>11210050</v>
      </c>
      <c r="K2136" t="s">
        <v>268</v>
      </c>
      <c r="L2136" s="4">
        <v>4.1900000000000004</v>
      </c>
      <c r="M2136" t="s">
        <v>54</v>
      </c>
      <c r="N2136" s="4">
        <v>78.38</v>
      </c>
      <c r="O2136" t="s">
        <v>31</v>
      </c>
      <c r="P2136" t="s">
        <v>98</v>
      </c>
      <c r="X2136" t="s">
        <v>35</v>
      </c>
      <c r="Y2136" t="s">
        <v>389</v>
      </c>
      <c r="Z2136">
        <v>20200131</v>
      </c>
      <c r="AA2136">
        <f t="shared" si="83"/>
        <v>4.1900000000000004</v>
      </c>
      <c r="AC2136"/>
      <c r="AE2136" t="s">
        <v>390</v>
      </c>
      <c r="AF2136"/>
      <c r="AL2136">
        <v>340312790</v>
      </c>
      <c r="AM2136" t="s">
        <v>391</v>
      </c>
    </row>
    <row r="2137" spans="1:39" x14ac:dyDescent="0.35">
      <c r="A2137">
        <v>3403</v>
      </c>
      <c r="B2137" t="s">
        <v>28</v>
      </c>
      <c r="C2137">
        <v>2020</v>
      </c>
      <c r="D2137" s="1">
        <v>43831</v>
      </c>
      <c r="E2137">
        <v>31</v>
      </c>
      <c r="F2137">
        <v>300018523</v>
      </c>
      <c r="G2137" t="s">
        <v>101</v>
      </c>
      <c r="H2137">
        <v>40</v>
      </c>
      <c r="I2137">
        <v>71105120</v>
      </c>
      <c r="J2137">
        <v>11210050</v>
      </c>
      <c r="K2137" t="s">
        <v>268</v>
      </c>
      <c r="L2137" s="4">
        <v>4.1900000000000004</v>
      </c>
      <c r="M2137" t="s">
        <v>54</v>
      </c>
      <c r="N2137" s="4">
        <v>78.38</v>
      </c>
      <c r="O2137" t="s">
        <v>31</v>
      </c>
      <c r="P2137" t="s">
        <v>98</v>
      </c>
      <c r="X2137" t="s">
        <v>35</v>
      </c>
      <c r="Y2137" t="s">
        <v>389</v>
      </c>
      <c r="Z2137">
        <v>20200131</v>
      </c>
      <c r="AA2137">
        <f t="shared" si="83"/>
        <v>4.1900000000000004</v>
      </c>
      <c r="AC2137"/>
      <c r="AE2137" t="s">
        <v>390</v>
      </c>
      <c r="AF2137"/>
      <c r="AL2137">
        <v>340310690</v>
      </c>
      <c r="AM2137" t="s">
        <v>391</v>
      </c>
    </row>
    <row r="2138" spans="1:39" x14ac:dyDescent="0.35">
      <c r="A2138">
        <v>3406</v>
      </c>
      <c r="B2138" t="s">
        <v>28</v>
      </c>
      <c r="C2138">
        <v>2020</v>
      </c>
      <c r="D2138" s="1">
        <v>43831</v>
      </c>
      <c r="E2138">
        <v>1</v>
      </c>
      <c r="F2138">
        <v>600031589</v>
      </c>
      <c r="G2138" t="s">
        <v>101</v>
      </c>
      <c r="H2138">
        <v>40</v>
      </c>
      <c r="I2138">
        <v>71105120</v>
      </c>
      <c r="J2138">
        <v>11210050</v>
      </c>
      <c r="K2138" t="s">
        <v>268</v>
      </c>
      <c r="L2138" s="4">
        <v>16.75</v>
      </c>
      <c r="M2138" t="s">
        <v>54</v>
      </c>
      <c r="N2138" s="4">
        <v>313.33999999999997</v>
      </c>
      <c r="O2138" t="s">
        <v>31</v>
      </c>
      <c r="P2138" t="s">
        <v>98</v>
      </c>
      <c r="X2138" t="s">
        <v>35</v>
      </c>
      <c r="Y2138" t="s">
        <v>389</v>
      </c>
      <c r="Z2138">
        <v>20200131</v>
      </c>
      <c r="AA2138">
        <f t="shared" si="83"/>
        <v>16.75</v>
      </c>
      <c r="AC2138"/>
      <c r="AE2138" t="s">
        <v>390</v>
      </c>
      <c r="AF2138"/>
      <c r="AL2138">
        <v>340610490</v>
      </c>
      <c r="AM2138" t="s">
        <v>391</v>
      </c>
    </row>
    <row r="2139" spans="1:39" x14ac:dyDescent="0.35">
      <c r="A2139">
        <v>3406</v>
      </c>
      <c r="B2139" t="s">
        <v>28</v>
      </c>
      <c r="C2139">
        <v>2020</v>
      </c>
      <c r="D2139" s="1">
        <v>43831</v>
      </c>
      <c r="E2139">
        <v>2</v>
      </c>
      <c r="F2139">
        <v>600031589</v>
      </c>
      <c r="G2139" t="s">
        <v>101</v>
      </c>
      <c r="H2139">
        <v>40</v>
      </c>
      <c r="I2139">
        <v>71105120</v>
      </c>
      <c r="J2139">
        <v>11210050</v>
      </c>
      <c r="K2139" t="s">
        <v>268</v>
      </c>
      <c r="L2139" s="4">
        <v>8.3800000000000008</v>
      </c>
      <c r="M2139" t="s">
        <v>54</v>
      </c>
      <c r="N2139" s="4">
        <v>156.76</v>
      </c>
      <c r="O2139" t="s">
        <v>31</v>
      </c>
      <c r="P2139" t="s">
        <v>98</v>
      </c>
      <c r="X2139" t="s">
        <v>35</v>
      </c>
      <c r="Y2139" t="s">
        <v>389</v>
      </c>
      <c r="Z2139">
        <v>20200131</v>
      </c>
      <c r="AA2139">
        <f t="shared" si="83"/>
        <v>8.3800000000000008</v>
      </c>
      <c r="AC2139"/>
      <c r="AE2139" t="s">
        <v>390</v>
      </c>
      <c r="AF2139"/>
      <c r="AL2139">
        <v>340610590</v>
      </c>
      <c r="AM2139" t="s">
        <v>391</v>
      </c>
    </row>
    <row r="2140" spans="1:39" x14ac:dyDescent="0.35">
      <c r="A2140">
        <v>3406</v>
      </c>
      <c r="B2140" t="s">
        <v>28</v>
      </c>
      <c r="C2140">
        <v>2020</v>
      </c>
      <c r="D2140" s="1">
        <v>43831</v>
      </c>
      <c r="E2140">
        <v>3</v>
      </c>
      <c r="F2140">
        <v>600031589</v>
      </c>
      <c r="G2140" t="s">
        <v>101</v>
      </c>
      <c r="H2140">
        <v>40</v>
      </c>
      <c r="I2140">
        <v>71105120</v>
      </c>
      <c r="J2140">
        <v>11210050</v>
      </c>
      <c r="K2140" t="s">
        <v>268</v>
      </c>
      <c r="L2140" s="4">
        <v>4.1900000000000004</v>
      </c>
      <c r="M2140" t="s">
        <v>54</v>
      </c>
      <c r="N2140" s="4">
        <v>78.38</v>
      </c>
      <c r="O2140" t="s">
        <v>31</v>
      </c>
      <c r="P2140" t="s">
        <v>98</v>
      </c>
      <c r="X2140" t="s">
        <v>35</v>
      </c>
      <c r="Y2140" t="s">
        <v>389</v>
      </c>
      <c r="Z2140">
        <v>20200131</v>
      </c>
      <c r="AA2140">
        <f t="shared" si="83"/>
        <v>4.1900000000000004</v>
      </c>
      <c r="AC2140"/>
      <c r="AE2140" t="s">
        <v>390</v>
      </c>
      <c r="AF2140"/>
      <c r="AL2140">
        <v>340610690</v>
      </c>
      <c r="AM2140" t="s">
        <v>391</v>
      </c>
    </row>
    <row r="2141" spans="1:39" x14ac:dyDescent="0.35">
      <c r="A2141">
        <v>3406</v>
      </c>
      <c r="B2141" t="s">
        <v>28</v>
      </c>
      <c r="C2141">
        <v>2020</v>
      </c>
      <c r="D2141" s="1">
        <v>43831</v>
      </c>
      <c r="E2141">
        <v>4</v>
      </c>
      <c r="F2141">
        <v>600031589</v>
      </c>
      <c r="G2141" t="s">
        <v>101</v>
      </c>
      <c r="H2141">
        <v>40</v>
      </c>
      <c r="I2141">
        <v>71105120</v>
      </c>
      <c r="J2141">
        <v>11210050</v>
      </c>
      <c r="K2141" t="s">
        <v>268</v>
      </c>
      <c r="L2141" s="4">
        <v>16.75</v>
      </c>
      <c r="M2141" t="s">
        <v>54</v>
      </c>
      <c r="N2141" s="4">
        <v>313.33999999999997</v>
      </c>
      <c r="O2141" t="s">
        <v>31</v>
      </c>
      <c r="P2141" t="s">
        <v>98</v>
      </c>
      <c r="X2141" t="s">
        <v>35</v>
      </c>
      <c r="Y2141" t="s">
        <v>389</v>
      </c>
      <c r="Z2141">
        <v>20200131</v>
      </c>
      <c r="AA2141">
        <f t="shared" si="83"/>
        <v>16.75</v>
      </c>
      <c r="AC2141"/>
      <c r="AE2141" t="s">
        <v>390</v>
      </c>
      <c r="AF2141"/>
      <c r="AL2141">
        <v>340610790</v>
      </c>
      <c r="AM2141" t="s">
        <v>391</v>
      </c>
    </row>
    <row r="2142" spans="1:39" x14ac:dyDescent="0.35">
      <c r="A2142">
        <v>3406</v>
      </c>
      <c r="B2142" t="s">
        <v>28</v>
      </c>
      <c r="C2142">
        <v>2020</v>
      </c>
      <c r="D2142" s="1">
        <v>43831</v>
      </c>
      <c r="E2142">
        <v>5</v>
      </c>
      <c r="F2142">
        <v>600031589</v>
      </c>
      <c r="G2142" t="s">
        <v>101</v>
      </c>
      <c r="H2142">
        <v>40</v>
      </c>
      <c r="I2142">
        <v>71105120</v>
      </c>
      <c r="J2142">
        <v>11210050</v>
      </c>
      <c r="K2142" t="s">
        <v>268</v>
      </c>
      <c r="L2142" s="4">
        <v>8.3800000000000008</v>
      </c>
      <c r="M2142" t="s">
        <v>54</v>
      </c>
      <c r="N2142" s="4">
        <v>156.76</v>
      </c>
      <c r="O2142" t="s">
        <v>31</v>
      </c>
      <c r="P2142" t="s">
        <v>98</v>
      </c>
      <c r="X2142" t="s">
        <v>35</v>
      </c>
      <c r="Y2142" t="s">
        <v>389</v>
      </c>
      <c r="Z2142">
        <v>20200131</v>
      </c>
      <c r="AA2142">
        <f t="shared" si="83"/>
        <v>8.3800000000000008</v>
      </c>
      <c r="AC2142"/>
      <c r="AE2142" t="s">
        <v>390</v>
      </c>
      <c r="AF2142"/>
      <c r="AL2142">
        <v>340610890</v>
      </c>
      <c r="AM2142" t="s">
        <v>391</v>
      </c>
    </row>
    <row r="2143" spans="1:39" x14ac:dyDescent="0.35">
      <c r="A2143">
        <v>3406</v>
      </c>
      <c r="B2143" t="s">
        <v>28</v>
      </c>
      <c r="C2143">
        <v>2020</v>
      </c>
      <c r="D2143" s="1">
        <v>43831</v>
      </c>
      <c r="E2143">
        <v>6</v>
      </c>
      <c r="F2143">
        <v>600031589</v>
      </c>
      <c r="G2143" t="s">
        <v>101</v>
      </c>
      <c r="H2143">
        <v>40</v>
      </c>
      <c r="I2143">
        <v>71105120</v>
      </c>
      <c r="J2143">
        <v>11210050</v>
      </c>
      <c r="K2143" t="s">
        <v>268</v>
      </c>
      <c r="L2143" s="4">
        <v>37.700000000000003</v>
      </c>
      <c r="M2143" t="s">
        <v>54</v>
      </c>
      <c r="N2143" s="4">
        <v>705.24</v>
      </c>
      <c r="O2143" t="s">
        <v>31</v>
      </c>
      <c r="P2143" t="s">
        <v>98</v>
      </c>
      <c r="X2143" t="s">
        <v>35</v>
      </c>
      <c r="Y2143" t="s">
        <v>389</v>
      </c>
      <c r="Z2143">
        <v>20200131</v>
      </c>
      <c r="AA2143">
        <f t="shared" si="83"/>
        <v>37.700000000000003</v>
      </c>
      <c r="AC2143"/>
      <c r="AE2143" t="s">
        <v>390</v>
      </c>
      <c r="AF2143"/>
      <c r="AL2143">
        <v>340612290</v>
      </c>
      <c r="AM2143" t="s">
        <v>391</v>
      </c>
    </row>
    <row r="2144" spans="1:39" x14ac:dyDescent="0.35">
      <c r="A2144">
        <v>3406</v>
      </c>
      <c r="B2144" t="s">
        <v>28</v>
      </c>
      <c r="C2144">
        <v>2020</v>
      </c>
      <c r="D2144" s="1">
        <v>43831</v>
      </c>
      <c r="E2144">
        <v>7</v>
      </c>
      <c r="F2144">
        <v>600031589</v>
      </c>
      <c r="G2144" t="s">
        <v>101</v>
      </c>
      <c r="H2144">
        <v>40</v>
      </c>
      <c r="I2144">
        <v>71105120</v>
      </c>
      <c r="J2144">
        <v>11210050</v>
      </c>
      <c r="K2144" t="s">
        <v>268</v>
      </c>
      <c r="L2144" s="4">
        <v>12.57</v>
      </c>
      <c r="M2144" t="s">
        <v>54</v>
      </c>
      <c r="N2144" s="4">
        <v>235.14</v>
      </c>
      <c r="O2144" t="s">
        <v>31</v>
      </c>
      <c r="P2144" t="s">
        <v>98</v>
      </c>
      <c r="X2144" t="s">
        <v>35</v>
      </c>
      <c r="Y2144" t="s">
        <v>389</v>
      </c>
      <c r="Z2144">
        <v>20200131</v>
      </c>
      <c r="AA2144">
        <f t="shared" si="83"/>
        <v>12.57</v>
      </c>
      <c r="AC2144"/>
      <c r="AE2144" t="s">
        <v>390</v>
      </c>
      <c r="AF2144"/>
      <c r="AL2144">
        <v>340612490</v>
      </c>
      <c r="AM2144" t="s">
        <v>391</v>
      </c>
    </row>
    <row r="2145" spans="1:39" x14ac:dyDescent="0.35">
      <c r="A2145">
        <v>3406</v>
      </c>
      <c r="B2145" t="s">
        <v>28</v>
      </c>
      <c r="C2145">
        <v>2020</v>
      </c>
      <c r="D2145" s="1">
        <v>43831</v>
      </c>
      <c r="E2145">
        <v>8</v>
      </c>
      <c r="F2145">
        <v>600031589</v>
      </c>
      <c r="G2145" t="s">
        <v>101</v>
      </c>
      <c r="H2145">
        <v>40</v>
      </c>
      <c r="I2145">
        <v>71105120</v>
      </c>
      <c r="J2145">
        <v>11210050</v>
      </c>
      <c r="K2145" t="s">
        <v>268</v>
      </c>
      <c r="L2145" s="4">
        <v>8.3800000000000008</v>
      </c>
      <c r="M2145" t="s">
        <v>54</v>
      </c>
      <c r="N2145" s="4">
        <v>156.76</v>
      </c>
      <c r="O2145" t="s">
        <v>31</v>
      </c>
      <c r="P2145" t="s">
        <v>98</v>
      </c>
      <c r="X2145" t="s">
        <v>35</v>
      </c>
      <c r="Y2145" t="s">
        <v>389</v>
      </c>
      <c r="Z2145">
        <v>20200131</v>
      </c>
      <c r="AA2145">
        <f t="shared" si="83"/>
        <v>8.3800000000000008</v>
      </c>
      <c r="AC2145"/>
      <c r="AE2145" t="s">
        <v>390</v>
      </c>
      <c r="AF2145"/>
      <c r="AL2145">
        <v>340612590</v>
      </c>
      <c r="AM2145" t="s">
        <v>391</v>
      </c>
    </row>
    <row r="2146" spans="1:39" x14ac:dyDescent="0.35">
      <c r="A2146">
        <v>3406</v>
      </c>
      <c r="B2146" t="s">
        <v>28</v>
      </c>
      <c r="C2146">
        <v>2020</v>
      </c>
      <c r="D2146" s="1">
        <v>43831</v>
      </c>
      <c r="E2146">
        <v>9</v>
      </c>
      <c r="F2146">
        <v>600031589</v>
      </c>
      <c r="G2146" t="s">
        <v>101</v>
      </c>
      <c r="H2146">
        <v>40</v>
      </c>
      <c r="I2146">
        <v>71105120</v>
      </c>
      <c r="J2146">
        <v>11210050</v>
      </c>
      <c r="K2146" t="s">
        <v>268</v>
      </c>
      <c r="L2146" s="4">
        <v>8.3800000000000008</v>
      </c>
      <c r="M2146" t="s">
        <v>54</v>
      </c>
      <c r="N2146" s="4">
        <v>156.76</v>
      </c>
      <c r="O2146" t="s">
        <v>31</v>
      </c>
      <c r="P2146" t="s">
        <v>98</v>
      </c>
      <c r="X2146" t="s">
        <v>35</v>
      </c>
      <c r="Y2146" t="s">
        <v>389</v>
      </c>
      <c r="Z2146">
        <v>20200131</v>
      </c>
      <c r="AA2146">
        <f t="shared" si="83"/>
        <v>8.3800000000000008</v>
      </c>
      <c r="AC2146"/>
      <c r="AE2146" t="s">
        <v>390</v>
      </c>
      <c r="AF2146"/>
      <c r="AL2146">
        <v>340612790</v>
      </c>
      <c r="AM2146" t="s">
        <v>391</v>
      </c>
    </row>
    <row r="2147" spans="1:39" x14ac:dyDescent="0.35">
      <c r="A2147">
        <v>3406</v>
      </c>
      <c r="B2147" t="s">
        <v>28</v>
      </c>
      <c r="C2147">
        <v>2020</v>
      </c>
      <c r="D2147" s="1">
        <v>43831</v>
      </c>
      <c r="E2147">
        <v>10</v>
      </c>
      <c r="F2147">
        <v>600031589</v>
      </c>
      <c r="G2147" t="s">
        <v>101</v>
      </c>
      <c r="H2147">
        <v>40</v>
      </c>
      <c r="I2147">
        <v>71105120</v>
      </c>
      <c r="J2147">
        <v>11210050</v>
      </c>
      <c r="K2147" t="s">
        <v>268</v>
      </c>
      <c r="L2147" s="4">
        <v>4.1900000000000004</v>
      </c>
      <c r="M2147" t="s">
        <v>54</v>
      </c>
      <c r="N2147" s="4">
        <v>78.38</v>
      </c>
      <c r="O2147" t="s">
        <v>31</v>
      </c>
      <c r="P2147" t="s">
        <v>98</v>
      </c>
      <c r="X2147" t="s">
        <v>35</v>
      </c>
      <c r="Y2147" t="s">
        <v>389</v>
      </c>
      <c r="Z2147">
        <v>20200131</v>
      </c>
      <c r="AA2147">
        <f t="shared" si="83"/>
        <v>4.1900000000000004</v>
      </c>
      <c r="AC2147"/>
      <c r="AE2147" t="s">
        <v>390</v>
      </c>
      <c r="AF2147"/>
      <c r="AL2147">
        <v>340612890</v>
      </c>
      <c r="AM2147" t="s">
        <v>391</v>
      </c>
    </row>
    <row r="2148" spans="1:39" x14ac:dyDescent="0.35">
      <c r="A2148">
        <v>3406</v>
      </c>
      <c r="B2148" t="s">
        <v>28</v>
      </c>
      <c r="C2148">
        <v>2020</v>
      </c>
      <c r="D2148" s="1">
        <v>43831</v>
      </c>
      <c r="E2148">
        <v>11</v>
      </c>
      <c r="F2148">
        <v>600031589</v>
      </c>
      <c r="G2148" t="s">
        <v>101</v>
      </c>
      <c r="H2148">
        <v>40</v>
      </c>
      <c r="I2148">
        <v>71105120</v>
      </c>
      <c r="J2148">
        <v>11210050</v>
      </c>
      <c r="K2148" t="s">
        <v>268</v>
      </c>
      <c r="L2148" s="4">
        <v>4.1900000000000004</v>
      </c>
      <c r="M2148" t="s">
        <v>54</v>
      </c>
      <c r="N2148" s="4">
        <v>78.38</v>
      </c>
      <c r="O2148" t="s">
        <v>31</v>
      </c>
      <c r="P2148" t="s">
        <v>98</v>
      </c>
      <c r="X2148" t="s">
        <v>35</v>
      </c>
      <c r="Y2148" t="s">
        <v>389</v>
      </c>
      <c r="Z2148">
        <v>20200131</v>
      </c>
      <c r="AA2148">
        <f t="shared" si="83"/>
        <v>4.1900000000000004</v>
      </c>
      <c r="AC2148"/>
      <c r="AE2148" t="s">
        <v>390</v>
      </c>
      <c r="AF2148"/>
      <c r="AL2148">
        <v>340613190</v>
      </c>
      <c r="AM2148" t="s">
        <v>391</v>
      </c>
    </row>
    <row r="2149" spans="1:39" x14ac:dyDescent="0.35">
      <c r="A2149">
        <v>3406</v>
      </c>
      <c r="B2149" t="s">
        <v>28</v>
      </c>
      <c r="C2149">
        <v>2020</v>
      </c>
      <c r="D2149" s="1">
        <v>43831</v>
      </c>
      <c r="E2149">
        <v>12</v>
      </c>
      <c r="F2149">
        <v>600031589</v>
      </c>
      <c r="G2149" t="s">
        <v>101</v>
      </c>
      <c r="H2149">
        <v>40</v>
      </c>
      <c r="I2149">
        <v>71105120</v>
      </c>
      <c r="J2149">
        <v>11210050</v>
      </c>
      <c r="K2149" t="s">
        <v>268</v>
      </c>
      <c r="L2149" s="4">
        <v>12.57</v>
      </c>
      <c r="M2149" t="s">
        <v>54</v>
      </c>
      <c r="N2149" s="4">
        <v>235.14</v>
      </c>
      <c r="O2149" t="s">
        <v>31</v>
      </c>
      <c r="P2149" t="s">
        <v>98</v>
      </c>
      <c r="X2149" t="s">
        <v>35</v>
      </c>
      <c r="Y2149" t="s">
        <v>389</v>
      </c>
      <c r="Z2149">
        <v>20200131</v>
      </c>
      <c r="AA2149">
        <f t="shared" si="83"/>
        <v>12.57</v>
      </c>
      <c r="AC2149"/>
      <c r="AE2149" t="s">
        <v>390</v>
      </c>
      <c r="AF2149"/>
      <c r="AL2149">
        <v>340614190</v>
      </c>
      <c r="AM2149" t="s">
        <v>391</v>
      </c>
    </row>
    <row r="2150" spans="1:39" x14ac:dyDescent="0.35">
      <c r="A2150">
        <v>3406</v>
      </c>
      <c r="B2150" t="s">
        <v>28</v>
      </c>
      <c r="C2150">
        <v>2020</v>
      </c>
      <c r="D2150" s="1">
        <v>43831</v>
      </c>
      <c r="E2150">
        <v>13</v>
      </c>
      <c r="F2150">
        <v>600031589</v>
      </c>
      <c r="G2150" t="s">
        <v>101</v>
      </c>
      <c r="H2150">
        <v>40</v>
      </c>
      <c r="I2150">
        <v>71105120</v>
      </c>
      <c r="J2150">
        <v>11210050</v>
      </c>
      <c r="K2150" t="s">
        <v>268</v>
      </c>
      <c r="L2150" s="4">
        <v>8.3800000000000008</v>
      </c>
      <c r="M2150" t="s">
        <v>54</v>
      </c>
      <c r="N2150" s="4">
        <v>156.76</v>
      </c>
      <c r="O2150" t="s">
        <v>31</v>
      </c>
      <c r="P2150" t="s">
        <v>98</v>
      </c>
      <c r="X2150" t="s">
        <v>35</v>
      </c>
      <c r="Y2150" t="s">
        <v>389</v>
      </c>
      <c r="Z2150">
        <v>20200131</v>
      </c>
      <c r="AA2150">
        <f t="shared" si="83"/>
        <v>8.3800000000000008</v>
      </c>
      <c r="AC2150"/>
      <c r="AE2150" t="s">
        <v>390</v>
      </c>
      <c r="AF2150"/>
      <c r="AL2150">
        <v>340615190</v>
      </c>
      <c r="AM2150" t="s">
        <v>391</v>
      </c>
    </row>
    <row r="2151" spans="1:39" x14ac:dyDescent="0.35">
      <c r="A2151">
        <v>3406</v>
      </c>
      <c r="B2151" t="s">
        <v>28</v>
      </c>
      <c r="C2151">
        <v>2020</v>
      </c>
      <c r="D2151" s="1">
        <v>43831</v>
      </c>
      <c r="E2151">
        <v>14</v>
      </c>
      <c r="F2151">
        <v>600031589</v>
      </c>
      <c r="G2151" t="s">
        <v>101</v>
      </c>
      <c r="H2151">
        <v>40</v>
      </c>
      <c r="I2151">
        <v>71105120</v>
      </c>
      <c r="J2151">
        <v>11210050</v>
      </c>
      <c r="K2151" t="s">
        <v>268</v>
      </c>
      <c r="L2151" s="4">
        <v>46.07</v>
      </c>
      <c r="M2151" t="s">
        <v>54</v>
      </c>
      <c r="N2151" s="4">
        <v>861.82</v>
      </c>
      <c r="O2151" t="s">
        <v>31</v>
      </c>
      <c r="P2151" t="s">
        <v>98</v>
      </c>
      <c r="X2151" t="s">
        <v>35</v>
      </c>
      <c r="Y2151" t="s">
        <v>389</v>
      </c>
      <c r="Z2151">
        <v>20200131</v>
      </c>
      <c r="AA2151">
        <f t="shared" si="83"/>
        <v>46.07</v>
      </c>
      <c r="AC2151"/>
      <c r="AE2151" t="s">
        <v>390</v>
      </c>
      <c r="AF2151"/>
      <c r="AL2151">
        <v>340616690</v>
      </c>
      <c r="AM2151" t="s">
        <v>391</v>
      </c>
    </row>
    <row r="2152" spans="1:39" x14ac:dyDescent="0.35">
      <c r="A2152">
        <v>3406</v>
      </c>
      <c r="B2152" t="s">
        <v>28</v>
      </c>
      <c r="C2152">
        <v>2020</v>
      </c>
      <c r="D2152" s="1">
        <v>43831</v>
      </c>
      <c r="E2152">
        <v>15</v>
      </c>
      <c r="F2152">
        <v>600031589</v>
      </c>
      <c r="G2152" t="s">
        <v>101</v>
      </c>
      <c r="H2152">
        <v>40</v>
      </c>
      <c r="I2152">
        <v>71105120</v>
      </c>
      <c r="J2152">
        <v>11210050</v>
      </c>
      <c r="K2152" t="s">
        <v>268</v>
      </c>
      <c r="L2152" s="4">
        <v>37.700000000000003</v>
      </c>
      <c r="M2152" t="s">
        <v>54</v>
      </c>
      <c r="N2152" s="4">
        <v>705.24</v>
      </c>
      <c r="O2152" t="s">
        <v>31</v>
      </c>
      <c r="P2152" t="s">
        <v>98</v>
      </c>
      <c r="X2152" t="s">
        <v>35</v>
      </c>
      <c r="Y2152" t="s">
        <v>389</v>
      </c>
      <c r="Z2152">
        <v>20200131</v>
      </c>
      <c r="AA2152">
        <f t="shared" si="83"/>
        <v>37.700000000000003</v>
      </c>
      <c r="AC2152"/>
      <c r="AE2152" t="s">
        <v>390</v>
      </c>
      <c r="AF2152"/>
      <c r="AL2152">
        <v>340617690</v>
      </c>
      <c r="AM2152" t="s">
        <v>391</v>
      </c>
    </row>
    <row r="2153" spans="1:39" x14ac:dyDescent="0.35">
      <c r="A2153">
        <v>3406</v>
      </c>
      <c r="B2153" t="s">
        <v>28</v>
      </c>
      <c r="C2153">
        <v>2020</v>
      </c>
      <c r="D2153" s="1">
        <v>43831</v>
      </c>
      <c r="E2153">
        <v>16</v>
      </c>
      <c r="F2153">
        <v>600031589</v>
      </c>
      <c r="G2153" t="s">
        <v>101</v>
      </c>
      <c r="H2153">
        <v>40</v>
      </c>
      <c r="I2153">
        <v>71105120</v>
      </c>
      <c r="J2153">
        <v>11210050</v>
      </c>
      <c r="K2153" t="s">
        <v>268</v>
      </c>
      <c r="L2153" s="4">
        <v>33.51</v>
      </c>
      <c r="M2153" t="s">
        <v>54</v>
      </c>
      <c r="N2153" s="4">
        <v>626.86</v>
      </c>
      <c r="O2153" t="s">
        <v>31</v>
      </c>
      <c r="P2153" t="s">
        <v>98</v>
      </c>
      <c r="X2153" t="s">
        <v>35</v>
      </c>
      <c r="Y2153" t="s">
        <v>389</v>
      </c>
      <c r="Z2153">
        <v>20200131</v>
      </c>
      <c r="AA2153">
        <f t="shared" si="83"/>
        <v>33.51</v>
      </c>
      <c r="AC2153"/>
      <c r="AE2153" t="s">
        <v>390</v>
      </c>
      <c r="AF2153"/>
      <c r="AL2153">
        <v>340617990</v>
      </c>
      <c r="AM2153" t="s">
        <v>391</v>
      </c>
    </row>
    <row r="2154" spans="1:39" x14ac:dyDescent="0.35">
      <c r="A2154">
        <v>3406</v>
      </c>
      <c r="B2154" t="s">
        <v>28</v>
      </c>
      <c r="C2154">
        <v>2020</v>
      </c>
      <c r="D2154" s="1">
        <v>43831</v>
      </c>
      <c r="E2154">
        <v>17</v>
      </c>
      <c r="F2154">
        <v>600031589</v>
      </c>
      <c r="G2154" t="s">
        <v>101</v>
      </c>
      <c r="H2154">
        <v>40</v>
      </c>
      <c r="I2154">
        <v>71105120</v>
      </c>
      <c r="J2154">
        <v>11210050</v>
      </c>
      <c r="K2154" t="s">
        <v>268</v>
      </c>
      <c r="L2154" s="4">
        <v>12.57</v>
      </c>
      <c r="M2154" t="s">
        <v>54</v>
      </c>
      <c r="N2154" s="4">
        <v>235.14</v>
      </c>
      <c r="O2154" t="s">
        <v>31</v>
      </c>
      <c r="P2154" t="s">
        <v>98</v>
      </c>
      <c r="X2154" t="s">
        <v>35</v>
      </c>
      <c r="Y2154" t="s">
        <v>389</v>
      </c>
      <c r="Z2154">
        <v>20200131</v>
      </c>
      <c r="AA2154">
        <f t="shared" si="83"/>
        <v>12.57</v>
      </c>
      <c r="AC2154"/>
      <c r="AE2154" t="s">
        <v>390</v>
      </c>
      <c r="AF2154"/>
      <c r="AL2154">
        <v>340619190</v>
      </c>
      <c r="AM2154" t="s">
        <v>391</v>
      </c>
    </row>
    <row r="2155" spans="1:39" x14ac:dyDescent="0.35">
      <c r="A2155">
        <v>3406</v>
      </c>
      <c r="B2155" t="s">
        <v>28</v>
      </c>
      <c r="C2155">
        <v>2020</v>
      </c>
      <c r="D2155" s="1">
        <v>43831</v>
      </c>
      <c r="E2155">
        <v>18</v>
      </c>
      <c r="F2155">
        <v>600031589</v>
      </c>
      <c r="G2155" t="s">
        <v>101</v>
      </c>
      <c r="H2155">
        <v>40</v>
      </c>
      <c r="I2155">
        <v>71105120</v>
      </c>
      <c r="J2155">
        <v>11210050</v>
      </c>
      <c r="K2155" t="s">
        <v>268</v>
      </c>
      <c r="L2155" s="4">
        <v>4.1900000000000004</v>
      </c>
      <c r="M2155" t="s">
        <v>54</v>
      </c>
      <c r="N2155" s="4">
        <v>78.38</v>
      </c>
      <c r="O2155" t="s">
        <v>31</v>
      </c>
      <c r="P2155" t="s">
        <v>98</v>
      </c>
      <c r="X2155" t="s">
        <v>35</v>
      </c>
      <c r="Y2155" t="s">
        <v>389</v>
      </c>
      <c r="Z2155">
        <v>20200131</v>
      </c>
      <c r="AA2155">
        <f t="shared" si="83"/>
        <v>4.1900000000000004</v>
      </c>
      <c r="AC2155"/>
      <c r="AE2155" t="s">
        <v>390</v>
      </c>
      <c r="AF2155"/>
      <c r="AL2155">
        <v>340619290</v>
      </c>
      <c r="AM2155" t="s">
        <v>391</v>
      </c>
    </row>
    <row r="2156" spans="1:39" x14ac:dyDescent="0.35">
      <c r="A2156">
        <v>3406</v>
      </c>
      <c r="B2156" t="s">
        <v>28</v>
      </c>
      <c r="C2156">
        <v>2020</v>
      </c>
      <c r="D2156" s="1">
        <v>43831</v>
      </c>
      <c r="E2156">
        <v>19</v>
      </c>
      <c r="F2156">
        <v>600031589</v>
      </c>
      <c r="G2156" t="s">
        <v>101</v>
      </c>
      <c r="H2156">
        <v>40</v>
      </c>
      <c r="I2156">
        <v>71105120</v>
      </c>
      <c r="J2156">
        <v>11210050</v>
      </c>
      <c r="K2156" t="s">
        <v>268</v>
      </c>
      <c r="L2156" s="4">
        <v>12.57</v>
      </c>
      <c r="M2156" t="s">
        <v>54</v>
      </c>
      <c r="N2156" s="4">
        <v>235.14</v>
      </c>
      <c r="O2156" t="s">
        <v>31</v>
      </c>
      <c r="P2156" t="s">
        <v>98</v>
      </c>
      <c r="X2156" t="s">
        <v>35</v>
      </c>
      <c r="Y2156" t="s">
        <v>389</v>
      </c>
      <c r="Z2156">
        <v>20200131</v>
      </c>
      <c r="AA2156">
        <f t="shared" si="83"/>
        <v>12.57</v>
      </c>
      <c r="AC2156"/>
      <c r="AE2156" t="s">
        <v>390</v>
      </c>
      <c r="AF2156"/>
      <c r="AL2156">
        <v>340620490</v>
      </c>
      <c r="AM2156" t="s">
        <v>391</v>
      </c>
    </row>
    <row r="2157" spans="1:39" x14ac:dyDescent="0.35">
      <c r="A2157">
        <v>3406</v>
      </c>
      <c r="B2157" t="s">
        <v>28</v>
      </c>
      <c r="C2157">
        <v>2020</v>
      </c>
      <c r="D2157" s="1">
        <v>43831</v>
      </c>
      <c r="E2157">
        <v>20</v>
      </c>
      <c r="F2157">
        <v>600031589</v>
      </c>
      <c r="G2157" t="s">
        <v>101</v>
      </c>
      <c r="H2157">
        <v>40</v>
      </c>
      <c r="I2157">
        <v>71105120</v>
      </c>
      <c r="J2157">
        <v>11210050</v>
      </c>
      <c r="K2157" t="s">
        <v>268</v>
      </c>
      <c r="L2157" s="4">
        <v>41.89</v>
      </c>
      <c r="M2157" t="s">
        <v>54</v>
      </c>
      <c r="N2157" s="4">
        <v>783.62</v>
      </c>
      <c r="O2157" t="s">
        <v>31</v>
      </c>
      <c r="P2157" t="s">
        <v>98</v>
      </c>
      <c r="X2157" t="s">
        <v>35</v>
      </c>
      <c r="Y2157" t="s">
        <v>389</v>
      </c>
      <c r="Z2157">
        <v>20200131</v>
      </c>
      <c r="AA2157">
        <f t="shared" si="83"/>
        <v>41.89</v>
      </c>
      <c r="AC2157"/>
      <c r="AE2157" t="s">
        <v>390</v>
      </c>
      <c r="AF2157"/>
      <c r="AL2157">
        <v>340621690</v>
      </c>
      <c r="AM2157" t="s">
        <v>391</v>
      </c>
    </row>
    <row r="2158" spans="1:39" x14ac:dyDescent="0.35">
      <c r="A2158">
        <v>3406</v>
      </c>
      <c r="B2158" t="s">
        <v>28</v>
      </c>
      <c r="C2158">
        <v>2020</v>
      </c>
      <c r="D2158" s="1">
        <v>43831</v>
      </c>
      <c r="E2158">
        <v>21</v>
      </c>
      <c r="F2158">
        <v>600031589</v>
      </c>
      <c r="G2158" t="s">
        <v>101</v>
      </c>
      <c r="H2158">
        <v>40</v>
      </c>
      <c r="I2158">
        <v>71105120</v>
      </c>
      <c r="J2158">
        <v>11210050</v>
      </c>
      <c r="K2158" t="s">
        <v>268</v>
      </c>
      <c r="L2158" s="4">
        <v>41.89</v>
      </c>
      <c r="M2158" t="s">
        <v>54</v>
      </c>
      <c r="N2158" s="4">
        <v>783.62</v>
      </c>
      <c r="O2158" t="s">
        <v>31</v>
      </c>
      <c r="P2158" t="s">
        <v>98</v>
      </c>
      <c r="X2158" t="s">
        <v>35</v>
      </c>
      <c r="Y2158" t="s">
        <v>389</v>
      </c>
      <c r="Z2158">
        <v>20200131</v>
      </c>
      <c r="AA2158">
        <f t="shared" si="83"/>
        <v>41.89</v>
      </c>
      <c r="AC2158"/>
      <c r="AE2158" t="s">
        <v>390</v>
      </c>
      <c r="AF2158"/>
      <c r="AL2158">
        <v>340621790</v>
      </c>
      <c r="AM2158" t="s">
        <v>391</v>
      </c>
    </row>
    <row r="2159" spans="1:39" x14ac:dyDescent="0.35">
      <c r="A2159">
        <v>3406</v>
      </c>
      <c r="B2159" t="s">
        <v>28</v>
      </c>
      <c r="C2159">
        <v>2020</v>
      </c>
      <c r="D2159" s="1">
        <v>43831</v>
      </c>
      <c r="E2159">
        <v>22</v>
      </c>
      <c r="F2159">
        <v>600031589</v>
      </c>
      <c r="G2159" t="s">
        <v>101</v>
      </c>
      <c r="H2159">
        <v>40</v>
      </c>
      <c r="I2159">
        <v>71105120</v>
      </c>
      <c r="J2159">
        <v>11210050</v>
      </c>
      <c r="K2159" t="s">
        <v>268</v>
      </c>
      <c r="L2159" s="4">
        <v>20.94</v>
      </c>
      <c r="M2159" t="s">
        <v>54</v>
      </c>
      <c r="N2159" s="4">
        <v>391.72</v>
      </c>
      <c r="O2159" t="s">
        <v>31</v>
      </c>
      <c r="P2159" t="s">
        <v>98</v>
      </c>
      <c r="X2159" t="s">
        <v>35</v>
      </c>
      <c r="Y2159" t="s">
        <v>389</v>
      </c>
      <c r="Z2159">
        <v>20200131</v>
      </c>
      <c r="AA2159">
        <f t="shared" si="83"/>
        <v>20.94</v>
      </c>
      <c r="AC2159"/>
      <c r="AE2159" t="s">
        <v>390</v>
      </c>
      <c r="AF2159"/>
      <c r="AL2159">
        <v>340625190</v>
      </c>
      <c r="AM2159" t="s">
        <v>391</v>
      </c>
    </row>
    <row r="2160" spans="1:39" x14ac:dyDescent="0.35">
      <c r="A2160">
        <v>3406</v>
      </c>
      <c r="B2160" t="s">
        <v>28</v>
      </c>
      <c r="C2160">
        <v>2020</v>
      </c>
      <c r="D2160" s="1">
        <v>43831</v>
      </c>
      <c r="E2160">
        <v>23</v>
      </c>
      <c r="F2160">
        <v>600031589</v>
      </c>
      <c r="G2160" t="s">
        <v>101</v>
      </c>
      <c r="H2160">
        <v>40</v>
      </c>
      <c r="I2160">
        <v>71105120</v>
      </c>
      <c r="J2160">
        <v>11210050</v>
      </c>
      <c r="K2160" t="s">
        <v>268</v>
      </c>
      <c r="L2160" s="4">
        <v>12.57</v>
      </c>
      <c r="M2160" t="s">
        <v>54</v>
      </c>
      <c r="N2160" s="4">
        <v>235.14</v>
      </c>
      <c r="O2160" t="s">
        <v>31</v>
      </c>
      <c r="P2160" t="s">
        <v>98</v>
      </c>
      <c r="X2160" t="s">
        <v>35</v>
      </c>
      <c r="Y2160" t="s">
        <v>389</v>
      </c>
      <c r="Z2160">
        <v>20200131</v>
      </c>
      <c r="AA2160">
        <f t="shared" si="83"/>
        <v>12.57</v>
      </c>
      <c r="AC2160"/>
      <c r="AE2160" t="s">
        <v>390</v>
      </c>
      <c r="AF2160"/>
      <c r="AL2160">
        <v>340625290</v>
      </c>
      <c r="AM2160" t="s">
        <v>391</v>
      </c>
    </row>
    <row r="2161" spans="1:39" x14ac:dyDescent="0.35">
      <c r="A2161">
        <v>3406</v>
      </c>
      <c r="B2161" t="s">
        <v>28</v>
      </c>
      <c r="C2161">
        <v>2020</v>
      </c>
      <c r="D2161" s="1">
        <v>43831</v>
      </c>
      <c r="E2161">
        <v>24</v>
      </c>
      <c r="F2161">
        <v>600031589</v>
      </c>
      <c r="G2161" t="s">
        <v>101</v>
      </c>
      <c r="H2161">
        <v>40</v>
      </c>
      <c r="I2161">
        <v>71105120</v>
      </c>
      <c r="J2161">
        <v>11210050</v>
      </c>
      <c r="K2161" t="s">
        <v>268</v>
      </c>
      <c r="L2161" s="4">
        <v>4.1900000000000004</v>
      </c>
      <c r="M2161" t="s">
        <v>54</v>
      </c>
      <c r="N2161" s="4">
        <v>78.38</v>
      </c>
      <c r="O2161" t="s">
        <v>31</v>
      </c>
      <c r="P2161" t="s">
        <v>98</v>
      </c>
      <c r="X2161" t="s">
        <v>35</v>
      </c>
      <c r="Y2161" t="s">
        <v>389</v>
      </c>
      <c r="Z2161">
        <v>20200131</v>
      </c>
      <c r="AA2161">
        <f t="shared" si="83"/>
        <v>4.1900000000000004</v>
      </c>
      <c r="AC2161"/>
      <c r="AE2161" t="s">
        <v>390</v>
      </c>
      <c r="AF2161"/>
      <c r="AL2161">
        <v>340625490</v>
      </c>
      <c r="AM2161" t="s">
        <v>391</v>
      </c>
    </row>
    <row r="2162" spans="1:39" x14ac:dyDescent="0.35">
      <c r="A2162">
        <v>3406</v>
      </c>
      <c r="B2162" t="s">
        <v>28</v>
      </c>
      <c r="C2162">
        <v>2020</v>
      </c>
      <c r="D2162" s="1">
        <v>43831</v>
      </c>
      <c r="E2162">
        <v>25</v>
      </c>
      <c r="F2162">
        <v>600031589</v>
      </c>
      <c r="G2162" t="s">
        <v>101</v>
      </c>
      <c r="H2162">
        <v>40</v>
      </c>
      <c r="I2162">
        <v>71105120</v>
      </c>
      <c r="J2162">
        <v>11210050</v>
      </c>
      <c r="K2162" t="s">
        <v>268</v>
      </c>
      <c r="L2162" s="4">
        <v>33.51</v>
      </c>
      <c r="M2162" t="s">
        <v>54</v>
      </c>
      <c r="N2162" s="4">
        <v>626.86</v>
      </c>
      <c r="O2162" t="s">
        <v>31</v>
      </c>
      <c r="P2162" t="s">
        <v>98</v>
      </c>
      <c r="X2162" t="s">
        <v>35</v>
      </c>
      <c r="Y2162" t="s">
        <v>389</v>
      </c>
      <c r="Z2162">
        <v>20200131</v>
      </c>
      <c r="AA2162">
        <f t="shared" si="83"/>
        <v>33.51</v>
      </c>
      <c r="AC2162"/>
      <c r="AE2162" t="s">
        <v>390</v>
      </c>
      <c r="AF2162"/>
      <c r="AL2162">
        <v>340627190</v>
      </c>
      <c r="AM2162" t="s">
        <v>391</v>
      </c>
    </row>
    <row r="2163" spans="1:39" x14ac:dyDescent="0.35">
      <c r="A2163">
        <v>3406</v>
      </c>
      <c r="B2163" t="s">
        <v>28</v>
      </c>
      <c r="C2163">
        <v>2020</v>
      </c>
      <c r="D2163" s="1">
        <v>43831</v>
      </c>
      <c r="E2163">
        <v>26</v>
      </c>
      <c r="F2163">
        <v>600031589</v>
      </c>
      <c r="G2163" t="s">
        <v>101</v>
      </c>
      <c r="H2163">
        <v>40</v>
      </c>
      <c r="I2163">
        <v>71105120</v>
      </c>
      <c r="J2163">
        <v>11210050</v>
      </c>
      <c r="K2163" t="s">
        <v>268</v>
      </c>
      <c r="L2163" s="4">
        <v>16.75</v>
      </c>
      <c r="M2163" t="s">
        <v>54</v>
      </c>
      <c r="N2163" s="4">
        <v>313.33999999999997</v>
      </c>
      <c r="O2163" t="s">
        <v>31</v>
      </c>
      <c r="P2163" t="s">
        <v>98</v>
      </c>
      <c r="X2163" t="s">
        <v>35</v>
      </c>
      <c r="Y2163" t="s">
        <v>389</v>
      </c>
      <c r="Z2163">
        <v>20200131</v>
      </c>
      <c r="AA2163">
        <f t="shared" si="83"/>
        <v>16.75</v>
      </c>
      <c r="AC2163"/>
      <c r="AE2163" t="s">
        <v>390</v>
      </c>
      <c r="AF2163"/>
      <c r="AL2163">
        <v>340627290</v>
      </c>
      <c r="AM2163" t="s">
        <v>391</v>
      </c>
    </row>
    <row r="2164" spans="1:39" x14ac:dyDescent="0.35">
      <c r="A2164">
        <v>3406</v>
      </c>
      <c r="B2164" t="s">
        <v>28</v>
      </c>
      <c r="C2164">
        <v>2020</v>
      </c>
      <c r="D2164" s="1">
        <v>43831</v>
      </c>
      <c r="E2164">
        <v>27</v>
      </c>
      <c r="F2164">
        <v>600031589</v>
      </c>
      <c r="G2164" t="s">
        <v>101</v>
      </c>
      <c r="H2164">
        <v>40</v>
      </c>
      <c r="I2164">
        <v>71105120</v>
      </c>
      <c r="J2164">
        <v>11210050</v>
      </c>
      <c r="K2164" t="s">
        <v>268</v>
      </c>
      <c r="L2164" s="4">
        <v>8.3800000000000008</v>
      </c>
      <c r="M2164" t="s">
        <v>54</v>
      </c>
      <c r="N2164" s="4">
        <v>156.76</v>
      </c>
      <c r="O2164" t="s">
        <v>31</v>
      </c>
      <c r="P2164" t="s">
        <v>98</v>
      </c>
      <c r="X2164" t="s">
        <v>35</v>
      </c>
      <c r="Y2164" t="s">
        <v>389</v>
      </c>
      <c r="Z2164">
        <v>20200131</v>
      </c>
      <c r="AA2164">
        <f t="shared" si="83"/>
        <v>8.3800000000000008</v>
      </c>
      <c r="AC2164"/>
      <c r="AE2164" t="s">
        <v>390</v>
      </c>
      <c r="AF2164"/>
      <c r="AL2164">
        <v>340633190</v>
      </c>
      <c r="AM2164" t="s">
        <v>391</v>
      </c>
    </row>
    <row r="2165" spans="1:39" x14ac:dyDescent="0.35">
      <c r="A2165">
        <v>3406</v>
      </c>
      <c r="B2165" t="s">
        <v>28</v>
      </c>
      <c r="C2165">
        <v>2020</v>
      </c>
      <c r="D2165" s="1">
        <v>43831</v>
      </c>
      <c r="E2165">
        <v>28</v>
      </c>
      <c r="F2165">
        <v>600031589</v>
      </c>
      <c r="G2165" t="s">
        <v>101</v>
      </c>
      <c r="H2165">
        <v>40</v>
      </c>
      <c r="I2165">
        <v>71105120</v>
      </c>
      <c r="J2165">
        <v>11210050</v>
      </c>
      <c r="K2165" t="s">
        <v>268</v>
      </c>
      <c r="L2165" s="4">
        <v>12.57</v>
      </c>
      <c r="M2165" t="s">
        <v>54</v>
      </c>
      <c r="N2165" s="4">
        <v>235.14</v>
      </c>
      <c r="O2165" t="s">
        <v>31</v>
      </c>
      <c r="P2165" t="s">
        <v>98</v>
      </c>
      <c r="X2165" t="s">
        <v>35</v>
      </c>
      <c r="Y2165" t="s">
        <v>389</v>
      </c>
      <c r="Z2165">
        <v>20200131</v>
      </c>
      <c r="AA2165">
        <f t="shared" si="83"/>
        <v>12.57</v>
      </c>
      <c r="AC2165"/>
      <c r="AE2165" t="s">
        <v>390</v>
      </c>
      <c r="AF2165"/>
      <c r="AL2165">
        <v>340636290</v>
      </c>
      <c r="AM2165" t="s">
        <v>391</v>
      </c>
    </row>
    <row r="2166" spans="1:39" x14ac:dyDescent="0.35">
      <c r="A2166">
        <v>3406</v>
      </c>
      <c r="B2166" t="s">
        <v>28</v>
      </c>
      <c r="C2166">
        <v>2020</v>
      </c>
      <c r="D2166" s="1">
        <v>43831</v>
      </c>
      <c r="E2166">
        <v>29</v>
      </c>
      <c r="F2166">
        <v>600031589</v>
      </c>
      <c r="G2166" t="s">
        <v>101</v>
      </c>
      <c r="H2166">
        <v>40</v>
      </c>
      <c r="I2166">
        <v>71105120</v>
      </c>
      <c r="J2166">
        <v>11210050</v>
      </c>
      <c r="K2166" t="s">
        <v>268</v>
      </c>
      <c r="L2166" s="4">
        <v>71.2</v>
      </c>
      <c r="M2166" t="s">
        <v>54</v>
      </c>
      <c r="N2166" s="4">
        <v>1331.92</v>
      </c>
      <c r="O2166" t="s">
        <v>31</v>
      </c>
      <c r="P2166" t="s">
        <v>98</v>
      </c>
      <c r="X2166" t="s">
        <v>35</v>
      </c>
      <c r="Y2166" t="s">
        <v>389</v>
      </c>
      <c r="Z2166">
        <v>20200131</v>
      </c>
      <c r="AA2166">
        <f t="shared" si="83"/>
        <v>71.2</v>
      </c>
      <c r="AC2166"/>
      <c r="AE2166" t="s">
        <v>390</v>
      </c>
      <c r="AF2166"/>
      <c r="AL2166">
        <v>340640390</v>
      </c>
      <c r="AM2166" t="s">
        <v>391</v>
      </c>
    </row>
    <row r="2167" spans="1:39" x14ac:dyDescent="0.35">
      <c r="A2167">
        <v>3406</v>
      </c>
      <c r="B2167" t="s">
        <v>28</v>
      </c>
      <c r="C2167">
        <v>2020</v>
      </c>
      <c r="D2167" s="1">
        <v>43831</v>
      </c>
      <c r="E2167">
        <v>30</v>
      </c>
      <c r="F2167">
        <v>600031589</v>
      </c>
      <c r="G2167" t="s">
        <v>101</v>
      </c>
      <c r="H2167">
        <v>40</v>
      </c>
      <c r="I2167">
        <v>71105120</v>
      </c>
      <c r="J2167">
        <v>11210050</v>
      </c>
      <c r="K2167" t="s">
        <v>268</v>
      </c>
      <c r="L2167" s="4">
        <v>20.94</v>
      </c>
      <c r="M2167" t="s">
        <v>54</v>
      </c>
      <c r="N2167" s="4">
        <v>391.72</v>
      </c>
      <c r="O2167" t="s">
        <v>31</v>
      </c>
      <c r="P2167" t="s">
        <v>98</v>
      </c>
      <c r="X2167" t="s">
        <v>35</v>
      </c>
      <c r="Y2167" t="s">
        <v>389</v>
      </c>
      <c r="Z2167">
        <v>20200131</v>
      </c>
      <c r="AA2167">
        <f t="shared" si="83"/>
        <v>20.94</v>
      </c>
      <c r="AC2167"/>
      <c r="AE2167" t="s">
        <v>390</v>
      </c>
      <c r="AF2167"/>
      <c r="AL2167">
        <v>340646390</v>
      </c>
      <c r="AM2167" t="s">
        <v>391</v>
      </c>
    </row>
    <row r="2168" spans="1:39" x14ac:dyDescent="0.35">
      <c r="A2168">
        <v>3406</v>
      </c>
      <c r="B2168" t="s">
        <v>28</v>
      </c>
      <c r="C2168">
        <v>2020</v>
      </c>
      <c r="D2168" s="1">
        <v>43831</v>
      </c>
      <c r="E2168">
        <v>31</v>
      </c>
      <c r="F2168">
        <v>600031589</v>
      </c>
      <c r="G2168" t="s">
        <v>101</v>
      </c>
      <c r="H2168">
        <v>40</v>
      </c>
      <c r="I2168">
        <v>71105120</v>
      </c>
      <c r="J2168">
        <v>11210050</v>
      </c>
      <c r="K2168" t="s">
        <v>268</v>
      </c>
      <c r="L2168" s="4">
        <v>58.64</v>
      </c>
      <c r="M2168" t="s">
        <v>54</v>
      </c>
      <c r="N2168" s="4">
        <v>1096.96</v>
      </c>
      <c r="O2168" t="s">
        <v>31</v>
      </c>
      <c r="P2168" t="s">
        <v>98</v>
      </c>
      <c r="X2168" t="s">
        <v>35</v>
      </c>
      <c r="Y2168" t="s">
        <v>389</v>
      </c>
      <c r="Z2168">
        <v>20200131</v>
      </c>
      <c r="AA2168">
        <f t="shared" si="83"/>
        <v>58.64</v>
      </c>
      <c r="AC2168"/>
      <c r="AE2168" t="s">
        <v>390</v>
      </c>
      <c r="AF2168"/>
      <c r="AL2168">
        <v>340648290</v>
      </c>
      <c r="AM2168" t="s">
        <v>391</v>
      </c>
    </row>
    <row r="2169" spans="1:39" x14ac:dyDescent="0.35">
      <c r="A2169">
        <v>3406</v>
      </c>
      <c r="B2169" t="s">
        <v>28</v>
      </c>
      <c r="C2169">
        <v>2020</v>
      </c>
      <c r="D2169" s="1">
        <v>43831</v>
      </c>
      <c r="E2169">
        <v>32</v>
      </c>
      <c r="F2169">
        <v>600031589</v>
      </c>
      <c r="G2169" t="s">
        <v>101</v>
      </c>
      <c r="H2169">
        <v>40</v>
      </c>
      <c r="I2169">
        <v>71105120</v>
      </c>
      <c r="J2169">
        <v>11210050</v>
      </c>
      <c r="K2169" t="s">
        <v>268</v>
      </c>
      <c r="L2169" s="4">
        <v>50.26</v>
      </c>
      <c r="M2169" t="s">
        <v>54</v>
      </c>
      <c r="N2169" s="4">
        <v>940.2</v>
      </c>
      <c r="O2169" t="s">
        <v>31</v>
      </c>
      <c r="P2169" t="s">
        <v>98</v>
      </c>
      <c r="X2169" t="s">
        <v>35</v>
      </c>
      <c r="Y2169" t="s">
        <v>389</v>
      </c>
      <c r="Z2169">
        <v>20200131</v>
      </c>
      <c r="AA2169">
        <f t="shared" si="83"/>
        <v>50.26</v>
      </c>
      <c r="AC2169"/>
      <c r="AE2169" t="s">
        <v>390</v>
      </c>
      <c r="AF2169"/>
      <c r="AL2169">
        <v>340653290</v>
      </c>
      <c r="AM2169" t="s">
        <v>391</v>
      </c>
    </row>
    <row r="2170" spans="1:39" x14ac:dyDescent="0.35">
      <c r="A2170">
        <v>3406</v>
      </c>
      <c r="B2170" t="s">
        <v>28</v>
      </c>
      <c r="C2170">
        <v>2020</v>
      </c>
      <c r="D2170" s="1">
        <v>43831</v>
      </c>
      <c r="E2170">
        <v>33</v>
      </c>
      <c r="F2170">
        <v>600031589</v>
      </c>
      <c r="G2170" t="s">
        <v>101</v>
      </c>
      <c r="H2170">
        <v>40</v>
      </c>
      <c r="I2170">
        <v>71105120</v>
      </c>
      <c r="J2170">
        <v>11210050</v>
      </c>
      <c r="K2170" t="s">
        <v>268</v>
      </c>
      <c r="L2170" s="4">
        <v>25.13</v>
      </c>
      <c r="M2170" t="s">
        <v>54</v>
      </c>
      <c r="N2170" s="4">
        <v>470.1</v>
      </c>
      <c r="O2170" t="s">
        <v>31</v>
      </c>
      <c r="P2170" t="s">
        <v>98</v>
      </c>
      <c r="X2170" t="s">
        <v>35</v>
      </c>
      <c r="Y2170" t="s">
        <v>389</v>
      </c>
      <c r="Z2170">
        <v>20200131</v>
      </c>
      <c r="AA2170">
        <f t="shared" si="83"/>
        <v>25.13</v>
      </c>
      <c r="AC2170"/>
      <c r="AE2170" t="s">
        <v>390</v>
      </c>
      <c r="AF2170"/>
      <c r="AL2170">
        <v>340662190</v>
      </c>
      <c r="AM2170" t="s">
        <v>391</v>
      </c>
    </row>
    <row r="2171" spans="1:39" x14ac:dyDescent="0.35">
      <c r="A2171">
        <v>3406</v>
      </c>
      <c r="B2171" t="s">
        <v>28</v>
      </c>
      <c r="C2171">
        <v>2020</v>
      </c>
      <c r="D2171" s="1">
        <v>43831</v>
      </c>
      <c r="E2171">
        <v>34</v>
      </c>
      <c r="F2171">
        <v>600031589</v>
      </c>
      <c r="G2171" t="s">
        <v>101</v>
      </c>
      <c r="H2171">
        <v>40</v>
      </c>
      <c r="I2171">
        <v>71105120</v>
      </c>
      <c r="J2171">
        <v>11210050</v>
      </c>
      <c r="K2171" t="s">
        <v>268</v>
      </c>
      <c r="L2171" s="4">
        <v>25.13</v>
      </c>
      <c r="M2171" t="s">
        <v>54</v>
      </c>
      <c r="N2171" s="4">
        <v>470.1</v>
      </c>
      <c r="O2171" t="s">
        <v>31</v>
      </c>
      <c r="P2171" t="s">
        <v>98</v>
      </c>
      <c r="X2171" t="s">
        <v>35</v>
      </c>
      <c r="Y2171" t="s">
        <v>389</v>
      </c>
      <c r="Z2171">
        <v>20200131</v>
      </c>
      <c r="AA2171">
        <f t="shared" si="83"/>
        <v>25.13</v>
      </c>
      <c r="AC2171"/>
      <c r="AE2171" t="s">
        <v>390</v>
      </c>
      <c r="AF2171"/>
      <c r="AL2171">
        <v>340668390</v>
      </c>
      <c r="AM2171" t="s">
        <v>391</v>
      </c>
    </row>
    <row r="2172" spans="1:39" x14ac:dyDescent="0.35">
      <c r="A2172">
        <v>3406</v>
      </c>
      <c r="B2172" t="s">
        <v>28</v>
      </c>
      <c r="C2172">
        <v>2020</v>
      </c>
      <c r="D2172" s="1">
        <v>43831</v>
      </c>
      <c r="E2172">
        <v>35</v>
      </c>
      <c r="F2172">
        <v>600031589</v>
      </c>
      <c r="G2172" t="s">
        <v>101</v>
      </c>
      <c r="H2172">
        <v>40</v>
      </c>
      <c r="I2172">
        <v>71105120</v>
      </c>
      <c r="J2172">
        <v>11210050</v>
      </c>
      <c r="K2172" t="s">
        <v>268</v>
      </c>
      <c r="L2172" s="4">
        <v>4.1900000000000004</v>
      </c>
      <c r="M2172" t="s">
        <v>54</v>
      </c>
      <c r="N2172" s="4">
        <v>78.38</v>
      </c>
      <c r="O2172" t="s">
        <v>31</v>
      </c>
      <c r="P2172" t="s">
        <v>98</v>
      </c>
      <c r="X2172" t="s">
        <v>35</v>
      </c>
      <c r="Y2172" t="s">
        <v>389</v>
      </c>
      <c r="Z2172">
        <v>20200131</v>
      </c>
      <c r="AA2172">
        <f t="shared" si="83"/>
        <v>4.1900000000000004</v>
      </c>
      <c r="AC2172"/>
      <c r="AE2172" t="s">
        <v>390</v>
      </c>
      <c r="AF2172"/>
      <c r="AL2172">
        <v>340668490</v>
      </c>
      <c r="AM2172" t="s">
        <v>391</v>
      </c>
    </row>
    <row r="2173" spans="1:39" x14ac:dyDescent="0.35">
      <c r="A2173">
        <v>3406</v>
      </c>
      <c r="B2173" t="s">
        <v>28</v>
      </c>
      <c r="C2173">
        <v>2020</v>
      </c>
      <c r="D2173" s="1">
        <v>43831</v>
      </c>
      <c r="E2173">
        <v>36</v>
      </c>
      <c r="F2173">
        <v>600031589</v>
      </c>
      <c r="G2173" t="s">
        <v>101</v>
      </c>
      <c r="H2173">
        <v>40</v>
      </c>
      <c r="I2173">
        <v>71105120</v>
      </c>
      <c r="J2173">
        <v>11210050</v>
      </c>
      <c r="K2173" t="s">
        <v>268</v>
      </c>
      <c r="L2173" s="4">
        <v>4.1900000000000004</v>
      </c>
      <c r="M2173" t="s">
        <v>54</v>
      </c>
      <c r="N2173" s="4">
        <v>78.38</v>
      </c>
      <c r="O2173" t="s">
        <v>31</v>
      </c>
      <c r="P2173" t="s">
        <v>98</v>
      </c>
      <c r="X2173" t="s">
        <v>35</v>
      </c>
      <c r="Y2173" t="s">
        <v>389</v>
      </c>
      <c r="Z2173">
        <v>20200131</v>
      </c>
      <c r="AA2173">
        <f t="shared" si="83"/>
        <v>4.1900000000000004</v>
      </c>
      <c r="AC2173"/>
      <c r="AE2173" t="s">
        <v>390</v>
      </c>
      <c r="AF2173"/>
      <c r="AL2173">
        <v>340612390</v>
      </c>
      <c r="AM2173" t="s">
        <v>391</v>
      </c>
    </row>
    <row r="2174" spans="1:39" x14ac:dyDescent="0.35">
      <c r="A2174">
        <v>3407</v>
      </c>
      <c r="B2174" t="s">
        <v>28</v>
      </c>
      <c r="C2174">
        <v>2020</v>
      </c>
      <c r="D2174" s="1">
        <v>43831</v>
      </c>
      <c r="E2174">
        <v>1</v>
      </c>
      <c r="F2174">
        <v>700040930</v>
      </c>
      <c r="G2174" t="s">
        <v>101</v>
      </c>
      <c r="H2174">
        <v>40</v>
      </c>
      <c r="I2174">
        <v>71105120</v>
      </c>
      <c r="J2174">
        <v>11210050</v>
      </c>
      <c r="K2174" t="s">
        <v>268</v>
      </c>
      <c r="L2174" s="4">
        <v>16.75</v>
      </c>
      <c r="M2174" t="s">
        <v>54</v>
      </c>
      <c r="N2174" s="4">
        <v>313.33999999999997</v>
      </c>
      <c r="O2174" t="s">
        <v>31</v>
      </c>
      <c r="P2174" t="s">
        <v>98</v>
      </c>
      <c r="X2174" t="s">
        <v>35</v>
      </c>
      <c r="Y2174" t="s">
        <v>389</v>
      </c>
      <c r="Z2174">
        <v>20200131</v>
      </c>
      <c r="AA2174">
        <f t="shared" si="83"/>
        <v>16.75</v>
      </c>
      <c r="AC2174"/>
      <c r="AE2174" t="s">
        <v>390</v>
      </c>
      <c r="AF2174"/>
      <c r="AL2174">
        <v>340710490</v>
      </c>
      <c r="AM2174" t="s">
        <v>391</v>
      </c>
    </row>
    <row r="2175" spans="1:39" x14ac:dyDescent="0.35">
      <c r="A2175">
        <v>3407</v>
      </c>
      <c r="B2175" t="s">
        <v>28</v>
      </c>
      <c r="C2175">
        <v>2020</v>
      </c>
      <c r="D2175" s="1">
        <v>43831</v>
      </c>
      <c r="E2175">
        <v>2</v>
      </c>
      <c r="F2175">
        <v>700040930</v>
      </c>
      <c r="G2175" t="s">
        <v>101</v>
      </c>
      <c r="H2175">
        <v>40</v>
      </c>
      <c r="I2175">
        <v>71105120</v>
      </c>
      <c r="J2175">
        <v>11210050</v>
      </c>
      <c r="K2175" t="s">
        <v>268</v>
      </c>
      <c r="L2175" s="4">
        <v>20.94</v>
      </c>
      <c r="M2175" t="s">
        <v>54</v>
      </c>
      <c r="N2175" s="4">
        <v>391.72</v>
      </c>
      <c r="O2175" t="s">
        <v>31</v>
      </c>
      <c r="P2175" t="s">
        <v>98</v>
      </c>
      <c r="X2175" t="s">
        <v>35</v>
      </c>
      <c r="Y2175" t="s">
        <v>389</v>
      </c>
      <c r="Z2175">
        <v>20200131</v>
      </c>
      <c r="AA2175">
        <f t="shared" si="83"/>
        <v>20.94</v>
      </c>
      <c r="AC2175"/>
      <c r="AE2175" t="s">
        <v>390</v>
      </c>
      <c r="AF2175"/>
      <c r="AL2175">
        <v>340710790</v>
      </c>
      <c r="AM2175" t="s">
        <v>391</v>
      </c>
    </row>
    <row r="2176" spans="1:39" x14ac:dyDescent="0.35">
      <c r="A2176">
        <v>3407</v>
      </c>
      <c r="B2176" t="s">
        <v>28</v>
      </c>
      <c r="C2176">
        <v>2020</v>
      </c>
      <c r="D2176" s="1">
        <v>43831</v>
      </c>
      <c r="E2176">
        <v>3</v>
      </c>
      <c r="F2176">
        <v>700040930</v>
      </c>
      <c r="G2176" t="s">
        <v>101</v>
      </c>
      <c r="H2176">
        <v>40</v>
      </c>
      <c r="I2176">
        <v>71105120</v>
      </c>
      <c r="J2176">
        <v>11210050</v>
      </c>
      <c r="K2176" t="s">
        <v>268</v>
      </c>
      <c r="L2176" s="4">
        <v>4.1900000000000004</v>
      </c>
      <c r="M2176" t="s">
        <v>54</v>
      </c>
      <c r="N2176" s="4">
        <v>78.38</v>
      </c>
      <c r="O2176" t="s">
        <v>31</v>
      </c>
      <c r="P2176" t="s">
        <v>98</v>
      </c>
      <c r="X2176" t="s">
        <v>35</v>
      </c>
      <c r="Y2176" t="s">
        <v>389</v>
      </c>
      <c r="Z2176">
        <v>20200131</v>
      </c>
      <c r="AA2176">
        <f t="shared" si="83"/>
        <v>4.1900000000000004</v>
      </c>
      <c r="AC2176"/>
      <c r="AE2176" t="s">
        <v>390</v>
      </c>
      <c r="AF2176"/>
      <c r="AL2176">
        <v>340710890</v>
      </c>
      <c r="AM2176" t="s">
        <v>391</v>
      </c>
    </row>
    <row r="2177" spans="1:39" x14ac:dyDescent="0.35">
      <c r="A2177">
        <v>3407</v>
      </c>
      <c r="B2177" t="s">
        <v>28</v>
      </c>
      <c r="C2177">
        <v>2020</v>
      </c>
      <c r="D2177" s="1">
        <v>43831</v>
      </c>
      <c r="E2177">
        <v>4</v>
      </c>
      <c r="F2177">
        <v>700040930</v>
      </c>
      <c r="G2177" t="s">
        <v>101</v>
      </c>
      <c r="H2177">
        <v>40</v>
      </c>
      <c r="I2177">
        <v>71105120</v>
      </c>
      <c r="J2177">
        <v>11210050</v>
      </c>
      <c r="K2177" t="s">
        <v>268</v>
      </c>
      <c r="L2177" s="4">
        <v>20.94</v>
      </c>
      <c r="M2177" t="s">
        <v>54</v>
      </c>
      <c r="N2177" s="4">
        <v>391.72</v>
      </c>
      <c r="O2177" t="s">
        <v>31</v>
      </c>
      <c r="P2177" t="s">
        <v>98</v>
      </c>
      <c r="X2177" t="s">
        <v>35</v>
      </c>
      <c r="Y2177" t="s">
        <v>389</v>
      </c>
      <c r="Z2177">
        <v>20200131</v>
      </c>
      <c r="AA2177">
        <f t="shared" si="83"/>
        <v>20.94</v>
      </c>
      <c r="AC2177"/>
      <c r="AE2177" t="s">
        <v>390</v>
      </c>
      <c r="AF2177"/>
      <c r="AL2177">
        <v>340712290</v>
      </c>
      <c r="AM2177" t="s">
        <v>391</v>
      </c>
    </row>
    <row r="2178" spans="1:39" x14ac:dyDescent="0.35">
      <c r="A2178">
        <v>3407</v>
      </c>
      <c r="B2178" t="s">
        <v>28</v>
      </c>
      <c r="C2178">
        <v>2020</v>
      </c>
      <c r="D2178" s="1">
        <v>43831</v>
      </c>
      <c r="E2178">
        <v>5</v>
      </c>
      <c r="F2178">
        <v>700040930</v>
      </c>
      <c r="G2178" t="s">
        <v>101</v>
      </c>
      <c r="H2178">
        <v>40</v>
      </c>
      <c r="I2178">
        <v>71105120</v>
      </c>
      <c r="J2178">
        <v>11210050</v>
      </c>
      <c r="K2178" t="s">
        <v>268</v>
      </c>
      <c r="L2178" s="4">
        <v>12.57</v>
      </c>
      <c r="M2178" t="s">
        <v>54</v>
      </c>
      <c r="N2178" s="4">
        <v>235.14</v>
      </c>
      <c r="O2178" t="s">
        <v>31</v>
      </c>
      <c r="P2178" t="s">
        <v>98</v>
      </c>
      <c r="X2178" t="s">
        <v>35</v>
      </c>
      <c r="Y2178" t="s">
        <v>389</v>
      </c>
      <c r="Z2178">
        <v>20200131</v>
      </c>
      <c r="AA2178">
        <f t="shared" si="83"/>
        <v>12.57</v>
      </c>
      <c r="AC2178"/>
      <c r="AE2178" t="s">
        <v>390</v>
      </c>
      <c r="AF2178"/>
      <c r="AL2178">
        <v>340712390</v>
      </c>
      <c r="AM2178" t="s">
        <v>391</v>
      </c>
    </row>
    <row r="2179" spans="1:39" x14ac:dyDescent="0.35">
      <c r="A2179">
        <v>3407</v>
      </c>
      <c r="B2179" t="s">
        <v>28</v>
      </c>
      <c r="C2179">
        <v>2020</v>
      </c>
      <c r="D2179" s="1">
        <v>43831</v>
      </c>
      <c r="E2179">
        <v>6</v>
      </c>
      <c r="F2179">
        <v>700040930</v>
      </c>
      <c r="G2179" t="s">
        <v>101</v>
      </c>
      <c r="H2179">
        <v>40</v>
      </c>
      <c r="I2179">
        <v>71105120</v>
      </c>
      <c r="J2179">
        <v>11210050</v>
      </c>
      <c r="K2179" t="s">
        <v>268</v>
      </c>
      <c r="L2179" s="4">
        <v>12.57</v>
      </c>
      <c r="M2179" t="s">
        <v>54</v>
      </c>
      <c r="N2179" s="4">
        <v>235.14</v>
      </c>
      <c r="O2179" t="s">
        <v>31</v>
      </c>
      <c r="P2179" t="s">
        <v>98</v>
      </c>
      <c r="X2179" t="s">
        <v>35</v>
      </c>
      <c r="Y2179" t="s">
        <v>389</v>
      </c>
      <c r="Z2179">
        <v>20200131</v>
      </c>
      <c r="AA2179">
        <f t="shared" si="83"/>
        <v>12.57</v>
      </c>
      <c r="AC2179"/>
      <c r="AE2179" t="s">
        <v>390</v>
      </c>
      <c r="AF2179"/>
      <c r="AL2179">
        <v>340712590</v>
      </c>
      <c r="AM2179" t="s">
        <v>391</v>
      </c>
    </row>
    <row r="2180" spans="1:39" x14ac:dyDescent="0.35">
      <c r="A2180">
        <v>3407</v>
      </c>
      <c r="B2180" t="s">
        <v>28</v>
      </c>
      <c r="C2180">
        <v>2020</v>
      </c>
      <c r="D2180" s="1">
        <v>43831</v>
      </c>
      <c r="E2180">
        <v>7</v>
      </c>
      <c r="F2180">
        <v>700040930</v>
      </c>
      <c r="G2180" t="s">
        <v>101</v>
      </c>
      <c r="H2180">
        <v>40</v>
      </c>
      <c r="I2180">
        <v>71105120</v>
      </c>
      <c r="J2180">
        <v>11210050</v>
      </c>
      <c r="K2180" t="s">
        <v>268</v>
      </c>
      <c r="L2180" s="4">
        <v>4.1900000000000004</v>
      </c>
      <c r="M2180" t="s">
        <v>54</v>
      </c>
      <c r="N2180" s="4">
        <v>78.38</v>
      </c>
      <c r="O2180" t="s">
        <v>31</v>
      </c>
      <c r="P2180" t="s">
        <v>98</v>
      </c>
      <c r="X2180" t="s">
        <v>35</v>
      </c>
      <c r="Y2180" t="s">
        <v>389</v>
      </c>
      <c r="Z2180">
        <v>20200131</v>
      </c>
      <c r="AA2180">
        <f t="shared" si="83"/>
        <v>4.1900000000000004</v>
      </c>
      <c r="AC2180"/>
      <c r="AE2180" t="s">
        <v>390</v>
      </c>
      <c r="AF2180"/>
      <c r="AL2180">
        <v>340712690</v>
      </c>
      <c r="AM2180" t="s">
        <v>391</v>
      </c>
    </row>
    <row r="2181" spans="1:39" x14ac:dyDescent="0.35">
      <c r="A2181">
        <v>3407</v>
      </c>
      <c r="B2181" t="s">
        <v>28</v>
      </c>
      <c r="C2181">
        <v>2020</v>
      </c>
      <c r="D2181" s="1">
        <v>43831</v>
      </c>
      <c r="E2181">
        <v>8</v>
      </c>
      <c r="F2181">
        <v>700040930</v>
      </c>
      <c r="G2181" t="s">
        <v>101</v>
      </c>
      <c r="H2181">
        <v>40</v>
      </c>
      <c r="I2181">
        <v>71105120</v>
      </c>
      <c r="J2181">
        <v>11210050</v>
      </c>
      <c r="K2181" t="s">
        <v>268</v>
      </c>
      <c r="L2181" s="4">
        <v>8.3800000000000008</v>
      </c>
      <c r="M2181" t="s">
        <v>54</v>
      </c>
      <c r="N2181" s="4">
        <v>156.76</v>
      </c>
      <c r="O2181" t="s">
        <v>31</v>
      </c>
      <c r="P2181" t="s">
        <v>98</v>
      </c>
      <c r="X2181" t="s">
        <v>35</v>
      </c>
      <c r="Y2181" t="s">
        <v>389</v>
      </c>
      <c r="Z2181">
        <v>20200131</v>
      </c>
      <c r="AA2181">
        <f t="shared" si="83"/>
        <v>8.3800000000000008</v>
      </c>
      <c r="AC2181"/>
      <c r="AE2181" t="s">
        <v>390</v>
      </c>
      <c r="AF2181"/>
      <c r="AL2181">
        <v>340712790</v>
      </c>
      <c r="AM2181" t="s">
        <v>391</v>
      </c>
    </row>
    <row r="2182" spans="1:39" x14ac:dyDescent="0.35">
      <c r="A2182">
        <v>3407</v>
      </c>
      <c r="B2182" t="s">
        <v>28</v>
      </c>
      <c r="C2182">
        <v>2020</v>
      </c>
      <c r="D2182" s="1">
        <v>43831</v>
      </c>
      <c r="E2182">
        <v>9</v>
      </c>
      <c r="F2182">
        <v>700040930</v>
      </c>
      <c r="G2182" t="s">
        <v>101</v>
      </c>
      <c r="H2182">
        <v>40</v>
      </c>
      <c r="I2182">
        <v>71105120</v>
      </c>
      <c r="J2182">
        <v>11210050</v>
      </c>
      <c r="K2182" t="s">
        <v>268</v>
      </c>
      <c r="L2182" s="4">
        <v>8.3800000000000008</v>
      </c>
      <c r="M2182" t="s">
        <v>54</v>
      </c>
      <c r="N2182" s="4">
        <v>156.76</v>
      </c>
      <c r="O2182" t="s">
        <v>31</v>
      </c>
      <c r="P2182" t="s">
        <v>98</v>
      </c>
      <c r="X2182" t="s">
        <v>35</v>
      </c>
      <c r="Y2182" t="s">
        <v>389</v>
      </c>
      <c r="Z2182">
        <v>20200131</v>
      </c>
      <c r="AA2182">
        <f t="shared" si="83"/>
        <v>8.3800000000000008</v>
      </c>
      <c r="AC2182"/>
      <c r="AE2182" t="s">
        <v>390</v>
      </c>
      <c r="AF2182"/>
      <c r="AL2182">
        <v>340712890</v>
      </c>
      <c r="AM2182" t="s">
        <v>391</v>
      </c>
    </row>
    <row r="2183" spans="1:39" x14ac:dyDescent="0.35">
      <c r="A2183">
        <v>3407</v>
      </c>
      <c r="B2183" t="s">
        <v>28</v>
      </c>
      <c r="C2183">
        <v>2020</v>
      </c>
      <c r="D2183" s="1">
        <v>43831</v>
      </c>
      <c r="E2183">
        <v>10</v>
      </c>
      <c r="F2183">
        <v>700040930</v>
      </c>
      <c r="G2183" t="s">
        <v>101</v>
      </c>
      <c r="H2183">
        <v>40</v>
      </c>
      <c r="I2183">
        <v>71105120</v>
      </c>
      <c r="J2183">
        <v>11210050</v>
      </c>
      <c r="K2183" t="s">
        <v>268</v>
      </c>
      <c r="L2183" s="4">
        <v>62.83</v>
      </c>
      <c r="M2183" t="s">
        <v>54</v>
      </c>
      <c r="N2183" s="4">
        <v>1175.3399999999999</v>
      </c>
      <c r="O2183" t="s">
        <v>31</v>
      </c>
      <c r="P2183" t="s">
        <v>98</v>
      </c>
      <c r="X2183" t="s">
        <v>35</v>
      </c>
      <c r="Y2183" t="s">
        <v>389</v>
      </c>
      <c r="Z2183">
        <v>20200131</v>
      </c>
      <c r="AA2183">
        <f t="shared" si="83"/>
        <v>62.83</v>
      </c>
      <c r="AC2183"/>
      <c r="AE2183" t="s">
        <v>390</v>
      </c>
      <c r="AF2183"/>
      <c r="AL2183">
        <v>340716690</v>
      </c>
      <c r="AM2183" t="s">
        <v>391</v>
      </c>
    </row>
    <row r="2184" spans="1:39" x14ac:dyDescent="0.35">
      <c r="A2184">
        <v>3407</v>
      </c>
      <c r="B2184" t="s">
        <v>28</v>
      </c>
      <c r="C2184">
        <v>2020</v>
      </c>
      <c r="D2184" s="1">
        <v>43831</v>
      </c>
      <c r="E2184">
        <v>11</v>
      </c>
      <c r="F2184">
        <v>700040930</v>
      </c>
      <c r="G2184" t="s">
        <v>101</v>
      </c>
      <c r="H2184">
        <v>40</v>
      </c>
      <c r="I2184">
        <v>71105120</v>
      </c>
      <c r="J2184">
        <v>11210050</v>
      </c>
      <c r="K2184" t="s">
        <v>268</v>
      </c>
      <c r="L2184" s="4">
        <v>46.07</v>
      </c>
      <c r="M2184" t="s">
        <v>54</v>
      </c>
      <c r="N2184" s="4">
        <v>861.82</v>
      </c>
      <c r="O2184" t="s">
        <v>31</v>
      </c>
      <c r="P2184" t="s">
        <v>98</v>
      </c>
      <c r="X2184" t="s">
        <v>35</v>
      </c>
      <c r="Y2184" t="s">
        <v>389</v>
      </c>
      <c r="Z2184">
        <v>20200131</v>
      </c>
      <c r="AA2184">
        <f t="shared" si="83"/>
        <v>46.07</v>
      </c>
      <c r="AC2184"/>
      <c r="AE2184" t="s">
        <v>390</v>
      </c>
      <c r="AF2184"/>
      <c r="AL2184">
        <v>340717690</v>
      </c>
      <c r="AM2184" t="s">
        <v>391</v>
      </c>
    </row>
    <row r="2185" spans="1:39" x14ac:dyDescent="0.35">
      <c r="A2185">
        <v>3407</v>
      </c>
      <c r="B2185" t="s">
        <v>28</v>
      </c>
      <c r="C2185">
        <v>2020</v>
      </c>
      <c r="D2185" s="1">
        <v>43831</v>
      </c>
      <c r="E2185">
        <v>12</v>
      </c>
      <c r="F2185">
        <v>700040930</v>
      </c>
      <c r="G2185" t="s">
        <v>101</v>
      </c>
      <c r="H2185">
        <v>40</v>
      </c>
      <c r="I2185">
        <v>71105120</v>
      </c>
      <c r="J2185">
        <v>11210050</v>
      </c>
      <c r="K2185" t="s">
        <v>268</v>
      </c>
      <c r="L2185" s="4">
        <v>4.1900000000000004</v>
      </c>
      <c r="M2185" t="s">
        <v>54</v>
      </c>
      <c r="N2185" s="4">
        <v>78.38</v>
      </c>
      <c r="O2185" t="s">
        <v>31</v>
      </c>
      <c r="P2185" t="s">
        <v>98</v>
      </c>
      <c r="X2185" t="s">
        <v>35</v>
      </c>
      <c r="Y2185" t="s">
        <v>389</v>
      </c>
      <c r="Z2185">
        <v>20200131</v>
      </c>
      <c r="AA2185">
        <f t="shared" si="83"/>
        <v>4.1900000000000004</v>
      </c>
      <c r="AC2185"/>
      <c r="AE2185" t="s">
        <v>390</v>
      </c>
      <c r="AF2185"/>
      <c r="AL2185">
        <v>340717990</v>
      </c>
      <c r="AM2185" t="s">
        <v>391</v>
      </c>
    </row>
    <row r="2186" spans="1:39" x14ac:dyDescent="0.35">
      <c r="A2186">
        <v>3407</v>
      </c>
      <c r="B2186" t="s">
        <v>28</v>
      </c>
      <c r="C2186">
        <v>2020</v>
      </c>
      <c r="D2186" s="1">
        <v>43831</v>
      </c>
      <c r="E2186">
        <v>13</v>
      </c>
      <c r="F2186">
        <v>700040930</v>
      </c>
      <c r="G2186" t="s">
        <v>101</v>
      </c>
      <c r="H2186">
        <v>40</v>
      </c>
      <c r="I2186">
        <v>71105120</v>
      </c>
      <c r="J2186">
        <v>11210050</v>
      </c>
      <c r="K2186" t="s">
        <v>268</v>
      </c>
      <c r="L2186" s="4">
        <v>50.26</v>
      </c>
      <c r="M2186" t="s">
        <v>54</v>
      </c>
      <c r="N2186" s="4">
        <v>940.2</v>
      </c>
      <c r="O2186" t="s">
        <v>31</v>
      </c>
      <c r="P2186" t="s">
        <v>98</v>
      </c>
      <c r="X2186" t="s">
        <v>35</v>
      </c>
      <c r="Y2186" t="s">
        <v>389</v>
      </c>
      <c r="Z2186">
        <v>20200131</v>
      </c>
      <c r="AA2186">
        <f t="shared" si="83"/>
        <v>50.26</v>
      </c>
      <c r="AC2186"/>
      <c r="AE2186" t="s">
        <v>390</v>
      </c>
      <c r="AF2186"/>
      <c r="AL2186">
        <v>340719190</v>
      </c>
      <c r="AM2186" t="s">
        <v>391</v>
      </c>
    </row>
    <row r="2187" spans="1:39" x14ac:dyDescent="0.35">
      <c r="A2187">
        <v>3407</v>
      </c>
      <c r="B2187" t="s">
        <v>28</v>
      </c>
      <c r="C2187">
        <v>2020</v>
      </c>
      <c r="D2187" s="1">
        <v>43831</v>
      </c>
      <c r="E2187">
        <v>14</v>
      </c>
      <c r="F2187">
        <v>700040930</v>
      </c>
      <c r="G2187" t="s">
        <v>101</v>
      </c>
      <c r="H2187">
        <v>40</v>
      </c>
      <c r="I2187">
        <v>71105120</v>
      </c>
      <c r="J2187">
        <v>11210050</v>
      </c>
      <c r="K2187" t="s">
        <v>268</v>
      </c>
      <c r="L2187" s="4">
        <v>16.75</v>
      </c>
      <c r="M2187" t="s">
        <v>54</v>
      </c>
      <c r="N2187" s="4">
        <v>313.33999999999997</v>
      </c>
      <c r="O2187" t="s">
        <v>31</v>
      </c>
      <c r="P2187" t="s">
        <v>98</v>
      </c>
      <c r="X2187" t="s">
        <v>35</v>
      </c>
      <c r="Y2187" t="s">
        <v>389</v>
      </c>
      <c r="Z2187">
        <v>20200131</v>
      </c>
      <c r="AA2187">
        <f t="shared" si="83"/>
        <v>16.75</v>
      </c>
      <c r="AC2187"/>
      <c r="AE2187" t="s">
        <v>390</v>
      </c>
      <c r="AF2187"/>
      <c r="AL2187">
        <v>340719290</v>
      </c>
      <c r="AM2187" t="s">
        <v>391</v>
      </c>
    </row>
    <row r="2188" spans="1:39" x14ac:dyDescent="0.35">
      <c r="A2188">
        <v>3407</v>
      </c>
      <c r="B2188" t="s">
        <v>28</v>
      </c>
      <c r="C2188">
        <v>2020</v>
      </c>
      <c r="D2188" s="1">
        <v>43831</v>
      </c>
      <c r="E2188">
        <v>15</v>
      </c>
      <c r="F2188">
        <v>700040930</v>
      </c>
      <c r="G2188" t="s">
        <v>101</v>
      </c>
      <c r="H2188">
        <v>40</v>
      </c>
      <c r="I2188">
        <v>71105120</v>
      </c>
      <c r="J2188">
        <v>11210050</v>
      </c>
      <c r="K2188" t="s">
        <v>268</v>
      </c>
      <c r="L2188" s="4">
        <v>12.57</v>
      </c>
      <c r="M2188" t="s">
        <v>54</v>
      </c>
      <c r="N2188" s="4">
        <v>235.14</v>
      </c>
      <c r="O2188" t="s">
        <v>31</v>
      </c>
      <c r="P2188" t="s">
        <v>98</v>
      </c>
      <c r="X2188" t="s">
        <v>35</v>
      </c>
      <c r="Y2188" t="s">
        <v>389</v>
      </c>
      <c r="Z2188">
        <v>20200131</v>
      </c>
      <c r="AA2188">
        <f t="shared" si="83"/>
        <v>12.57</v>
      </c>
      <c r="AC2188"/>
      <c r="AE2188" t="s">
        <v>390</v>
      </c>
      <c r="AF2188"/>
      <c r="AL2188">
        <v>340720490</v>
      </c>
      <c r="AM2188" t="s">
        <v>391</v>
      </c>
    </row>
    <row r="2189" spans="1:39" x14ac:dyDescent="0.35">
      <c r="A2189">
        <v>3407</v>
      </c>
      <c r="B2189" t="s">
        <v>28</v>
      </c>
      <c r="C2189">
        <v>2020</v>
      </c>
      <c r="D2189" s="1">
        <v>43831</v>
      </c>
      <c r="E2189">
        <v>16</v>
      </c>
      <c r="F2189">
        <v>700040930</v>
      </c>
      <c r="G2189" t="s">
        <v>101</v>
      </c>
      <c r="H2189">
        <v>40</v>
      </c>
      <c r="I2189">
        <v>71105120</v>
      </c>
      <c r="J2189">
        <v>11210050</v>
      </c>
      <c r="K2189" t="s">
        <v>268</v>
      </c>
      <c r="L2189" s="4">
        <v>33.51</v>
      </c>
      <c r="M2189" t="s">
        <v>54</v>
      </c>
      <c r="N2189" s="4">
        <v>626.86</v>
      </c>
      <c r="O2189" t="s">
        <v>31</v>
      </c>
      <c r="P2189" t="s">
        <v>98</v>
      </c>
      <c r="X2189" t="s">
        <v>35</v>
      </c>
      <c r="Y2189" t="s">
        <v>389</v>
      </c>
      <c r="Z2189">
        <v>20200131</v>
      </c>
      <c r="AA2189">
        <f t="shared" si="83"/>
        <v>33.51</v>
      </c>
      <c r="AC2189"/>
      <c r="AE2189" t="s">
        <v>390</v>
      </c>
      <c r="AF2189"/>
      <c r="AL2189">
        <v>340721690</v>
      </c>
      <c r="AM2189" t="s">
        <v>391</v>
      </c>
    </row>
    <row r="2190" spans="1:39" x14ac:dyDescent="0.35">
      <c r="A2190">
        <v>3407</v>
      </c>
      <c r="B2190" t="s">
        <v>28</v>
      </c>
      <c r="C2190">
        <v>2020</v>
      </c>
      <c r="D2190" s="1">
        <v>43831</v>
      </c>
      <c r="E2190">
        <v>17</v>
      </c>
      <c r="F2190">
        <v>700040930</v>
      </c>
      <c r="G2190" t="s">
        <v>101</v>
      </c>
      <c r="H2190">
        <v>40</v>
      </c>
      <c r="I2190">
        <v>71105120</v>
      </c>
      <c r="J2190">
        <v>11210050</v>
      </c>
      <c r="K2190" t="s">
        <v>268</v>
      </c>
      <c r="L2190" s="4">
        <v>46.07</v>
      </c>
      <c r="M2190" t="s">
        <v>54</v>
      </c>
      <c r="N2190" s="4">
        <v>861.82</v>
      </c>
      <c r="O2190" t="s">
        <v>31</v>
      </c>
      <c r="P2190" t="s">
        <v>98</v>
      </c>
      <c r="X2190" t="s">
        <v>35</v>
      </c>
      <c r="Y2190" t="s">
        <v>389</v>
      </c>
      <c r="Z2190">
        <v>20200131</v>
      </c>
      <c r="AA2190">
        <f t="shared" si="83"/>
        <v>46.07</v>
      </c>
      <c r="AC2190"/>
      <c r="AE2190" t="s">
        <v>390</v>
      </c>
      <c r="AF2190"/>
      <c r="AL2190">
        <v>340721790</v>
      </c>
      <c r="AM2190" t="s">
        <v>391</v>
      </c>
    </row>
    <row r="2191" spans="1:39" x14ac:dyDescent="0.35">
      <c r="A2191">
        <v>3407</v>
      </c>
      <c r="B2191" t="s">
        <v>28</v>
      </c>
      <c r="C2191">
        <v>2020</v>
      </c>
      <c r="D2191" s="1">
        <v>43831</v>
      </c>
      <c r="E2191">
        <v>18</v>
      </c>
      <c r="F2191">
        <v>700040930</v>
      </c>
      <c r="G2191" t="s">
        <v>101</v>
      </c>
      <c r="H2191">
        <v>40</v>
      </c>
      <c r="I2191">
        <v>71105120</v>
      </c>
      <c r="J2191">
        <v>11210050</v>
      </c>
      <c r="K2191" t="s">
        <v>268</v>
      </c>
      <c r="L2191" s="4">
        <v>50.26</v>
      </c>
      <c r="M2191" t="s">
        <v>54</v>
      </c>
      <c r="N2191" s="4">
        <v>940.2</v>
      </c>
      <c r="O2191" t="s">
        <v>31</v>
      </c>
      <c r="P2191" t="s">
        <v>98</v>
      </c>
      <c r="X2191" t="s">
        <v>35</v>
      </c>
      <c r="Y2191" t="s">
        <v>389</v>
      </c>
      <c r="Z2191">
        <v>20200131</v>
      </c>
      <c r="AA2191">
        <f t="shared" si="83"/>
        <v>50.26</v>
      </c>
      <c r="AC2191"/>
      <c r="AE2191" t="s">
        <v>390</v>
      </c>
      <c r="AF2191"/>
      <c r="AL2191">
        <v>340725190</v>
      </c>
      <c r="AM2191" t="s">
        <v>391</v>
      </c>
    </row>
    <row r="2192" spans="1:39" x14ac:dyDescent="0.35">
      <c r="A2192">
        <v>3407</v>
      </c>
      <c r="B2192" t="s">
        <v>28</v>
      </c>
      <c r="C2192">
        <v>2020</v>
      </c>
      <c r="D2192" s="1">
        <v>43831</v>
      </c>
      <c r="E2192">
        <v>19</v>
      </c>
      <c r="F2192">
        <v>700040930</v>
      </c>
      <c r="G2192" t="s">
        <v>101</v>
      </c>
      <c r="H2192">
        <v>40</v>
      </c>
      <c r="I2192">
        <v>71105120</v>
      </c>
      <c r="J2192">
        <v>11210050</v>
      </c>
      <c r="K2192" t="s">
        <v>268</v>
      </c>
      <c r="L2192" s="4">
        <v>8.3800000000000008</v>
      </c>
      <c r="M2192" t="s">
        <v>54</v>
      </c>
      <c r="N2192" s="4">
        <v>156.76</v>
      </c>
      <c r="O2192" t="s">
        <v>31</v>
      </c>
      <c r="P2192" t="s">
        <v>98</v>
      </c>
      <c r="X2192" t="s">
        <v>35</v>
      </c>
      <c r="Y2192" t="s">
        <v>389</v>
      </c>
      <c r="Z2192">
        <v>20200131</v>
      </c>
      <c r="AA2192">
        <f t="shared" si="83"/>
        <v>8.3800000000000008</v>
      </c>
      <c r="AC2192"/>
      <c r="AE2192" t="s">
        <v>390</v>
      </c>
      <c r="AF2192"/>
      <c r="AL2192">
        <v>340725490</v>
      </c>
      <c r="AM2192" t="s">
        <v>391</v>
      </c>
    </row>
    <row r="2193" spans="1:39" x14ac:dyDescent="0.35">
      <c r="A2193">
        <v>3407</v>
      </c>
      <c r="B2193" t="s">
        <v>28</v>
      </c>
      <c r="C2193">
        <v>2020</v>
      </c>
      <c r="D2193" s="1">
        <v>43831</v>
      </c>
      <c r="E2193">
        <v>20</v>
      </c>
      <c r="F2193">
        <v>700040930</v>
      </c>
      <c r="G2193" t="s">
        <v>101</v>
      </c>
      <c r="H2193">
        <v>40</v>
      </c>
      <c r="I2193">
        <v>71105120</v>
      </c>
      <c r="J2193">
        <v>11210050</v>
      </c>
      <c r="K2193" t="s">
        <v>268</v>
      </c>
      <c r="L2193" s="4">
        <v>41.89</v>
      </c>
      <c r="M2193" t="s">
        <v>54</v>
      </c>
      <c r="N2193" s="4">
        <v>783.62</v>
      </c>
      <c r="O2193" t="s">
        <v>31</v>
      </c>
      <c r="P2193" t="s">
        <v>98</v>
      </c>
      <c r="X2193" t="s">
        <v>35</v>
      </c>
      <c r="Y2193" t="s">
        <v>389</v>
      </c>
      <c r="Z2193">
        <v>20200131</v>
      </c>
      <c r="AA2193">
        <f t="shared" si="83"/>
        <v>41.89</v>
      </c>
      <c r="AC2193"/>
      <c r="AE2193" t="s">
        <v>390</v>
      </c>
      <c r="AF2193"/>
      <c r="AL2193">
        <v>340727190</v>
      </c>
      <c r="AM2193" t="s">
        <v>391</v>
      </c>
    </row>
    <row r="2194" spans="1:39" x14ac:dyDescent="0.35">
      <c r="A2194">
        <v>3407</v>
      </c>
      <c r="B2194" t="s">
        <v>28</v>
      </c>
      <c r="C2194">
        <v>2020</v>
      </c>
      <c r="D2194" s="1">
        <v>43831</v>
      </c>
      <c r="E2194">
        <v>21</v>
      </c>
      <c r="F2194">
        <v>700040930</v>
      </c>
      <c r="G2194" t="s">
        <v>101</v>
      </c>
      <c r="H2194">
        <v>40</v>
      </c>
      <c r="I2194">
        <v>71105120</v>
      </c>
      <c r="J2194">
        <v>11210050</v>
      </c>
      <c r="K2194" t="s">
        <v>268</v>
      </c>
      <c r="L2194" s="4">
        <v>12.57</v>
      </c>
      <c r="M2194" t="s">
        <v>54</v>
      </c>
      <c r="N2194" s="4">
        <v>235.14</v>
      </c>
      <c r="O2194" t="s">
        <v>31</v>
      </c>
      <c r="P2194" t="s">
        <v>98</v>
      </c>
      <c r="X2194" t="s">
        <v>35</v>
      </c>
      <c r="Y2194" t="s">
        <v>389</v>
      </c>
      <c r="Z2194">
        <v>20200131</v>
      </c>
      <c r="AA2194">
        <f t="shared" ref="AA2194:AA2257" si="84">L2194</f>
        <v>12.57</v>
      </c>
      <c r="AC2194"/>
      <c r="AE2194" t="s">
        <v>390</v>
      </c>
      <c r="AF2194"/>
      <c r="AL2194">
        <v>340727290</v>
      </c>
      <c r="AM2194" t="s">
        <v>391</v>
      </c>
    </row>
    <row r="2195" spans="1:39" x14ac:dyDescent="0.35">
      <c r="A2195">
        <v>3407</v>
      </c>
      <c r="B2195" t="s">
        <v>28</v>
      </c>
      <c r="C2195">
        <v>2020</v>
      </c>
      <c r="D2195" s="1">
        <v>43831</v>
      </c>
      <c r="E2195">
        <v>22</v>
      </c>
      <c r="F2195">
        <v>700040930</v>
      </c>
      <c r="G2195" t="s">
        <v>101</v>
      </c>
      <c r="H2195">
        <v>40</v>
      </c>
      <c r="I2195">
        <v>71105120</v>
      </c>
      <c r="J2195">
        <v>11210050</v>
      </c>
      <c r="K2195" t="s">
        <v>268</v>
      </c>
      <c r="L2195" s="4">
        <v>4.1900000000000004</v>
      </c>
      <c r="M2195" t="s">
        <v>54</v>
      </c>
      <c r="N2195" s="4">
        <v>78.38</v>
      </c>
      <c r="O2195" t="s">
        <v>31</v>
      </c>
      <c r="P2195" t="s">
        <v>98</v>
      </c>
      <c r="X2195" t="s">
        <v>35</v>
      </c>
      <c r="Y2195" t="s">
        <v>389</v>
      </c>
      <c r="Z2195">
        <v>20200131</v>
      </c>
      <c r="AA2195">
        <f t="shared" si="84"/>
        <v>4.1900000000000004</v>
      </c>
      <c r="AC2195"/>
      <c r="AE2195" t="s">
        <v>390</v>
      </c>
      <c r="AF2195"/>
      <c r="AL2195">
        <v>340732290</v>
      </c>
      <c r="AM2195" t="s">
        <v>391</v>
      </c>
    </row>
    <row r="2196" spans="1:39" x14ac:dyDescent="0.35">
      <c r="A2196">
        <v>3407</v>
      </c>
      <c r="B2196" t="s">
        <v>28</v>
      </c>
      <c r="C2196">
        <v>2020</v>
      </c>
      <c r="D2196" s="1">
        <v>43831</v>
      </c>
      <c r="E2196">
        <v>23</v>
      </c>
      <c r="F2196">
        <v>700040930</v>
      </c>
      <c r="G2196" t="s">
        <v>101</v>
      </c>
      <c r="H2196">
        <v>40</v>
      </c>
      <c r="I2196">
        <v>71105120</v>
      </c>
      <c r="J2196">
        <v>11210050</v>
      </c>
      <c r="K2196" t="s">
        <v>268</v>
      </c>
      <c r="L2196" s="4">
        <v>16.75</v>
      </c>
      <c r="M2196" t="s">
        <v>54</v>
      </c>
      <c r="N2196" s="4">
        <v>313.33999999999997</v>
      </c>
      <c r="O2196" t="s">
        <v>31</v>
      </c>
      <c r="P2196" t="s">
        <v>98</v>
      </c>
      <c r="X2196" t="s">
        <v>35</v>
      </c>
      <c r="Y2196" t="s">
        <v>389</v>
      </c>
      <c r="Z2196">
        <v>20200131</v>
      </c>
      <c r="AA2196">
        <f t="shared" si="84"/>
        <v>16.75</v>
      </c>
      <c r="AC2196"/>
      <c r="AE2196" t="s">
        <v>390</v>
      </c>
      <c r="AF2196"/>
      <c r="AL2196">
        <v>340736290</v>
      </c>
      <c r="AM2196" t="s">
        <v>391</v>
      </c>
    </row>
    <row r="2197" spans="1:39" x14ac:dyDescent="0.35">
      <c r="A2197">
        <v>3407</v>
      </c>
      <c r="B2197" t="s">
        <v>28</v>
      </c>
      <c r="C2197">
        <v>2020</v>
      </c>
      <c r="D2197" s="1">
        <v>43831</v>
      </c>
      <c r="E2197">
        <v>24</v>
      </c>
      <c r="F2197">
        <v>700040930</v>
      </c>
      <c r="G2197" t="s">
        <v>101</v>
      </c>
      <c r="H2197">
        <v>40</v>
      </c>
      <c r="I2197">
        <v>71105120</v>
      </c>
      <c r="J2197">
        <v>11210050</v>
      </c>
      <c r="K2197" t="s">
        <v>268</v>
      </c>
      <c r="L2197" s="4">
        <v>58.64</v>
      </c>
      <c r="M2197" t="s">
        <v>54</v>
      </c>
      <c r="N2197" s="4">
        <v>1096.96</v>
      </c>
      <c r="O2197" t="s">
        <v>31</v>
      </c>
      <c r="P2197" t="s">
        <v>98</v>
      </c>
      <c r="X2197" t="s">
        <v>35</v>
      </c>
      <c r="Y2197" t="s">
        <v>389</v>
      </c>
      <c r="Z2197">
        <v>20200131</v>
      </c>
      <c r="AA2197">
        <f t="shared" si="84"/>
        <v>58.64</v>
      </c>
      <c r="AC2197"/>
      <c r="AE2197" t="s">
        <v>390</v>
      </c>
      <c r="AF2197"/>
      <c r="AL2197">
        <v>340740390</v>
      </c>
      <c r="AM2197" t="s">
        <v>391</v>
      </c>
    </row>
    <row r="2198" spans="1:39" x14ac:dyDescent="0.35">
      <c r="A2198">
        <v>3407</v>
      </c>
      <c r="B2198" t="s">
        <v>28</v>
      </c>
      <c r="C2198">
        <v>2020</v>
      </c>
      <c r="D2198" s="1">
        <v>43831</v>
      </c>
      <c r="E2198">
        <v>25</v>
      </c>
      <c r="F2198">
        <v>700040930</v>
      </c>
      <c r="G2198" t="s">
        <v>101</v>
      </c>
      <c r="H2198">
        <v>40</v>
      </c>
      <c r="I2198">
        <v>71105120</v>
      </c>
      <c r="J2198">
        <v>11210050</v>
      </c>
      <c r="K2198" t="s">
        <v>268</v>
      </c>
      <c r="L2198" s="4">
        <v>8.3800000000000008</v>
      </c>
      <c r="M2198" t="s">
        <v>54</v>
      </c>
      <c r="N2198" s="4">
        <v>156.76</v>
      </c>
      <c r="O2198" t="s">
        <v>31</v>
      </c>
      <c r="P2198" t="s">
        <v>98</v>
      </c>
      <c r="X2198" t="s">
        <v>35</v>
      </c>
      <c r="Y2198" t="s">
        <v>389</v>
      </c>
      <c r="Z2198">
        <v>20200131</v>
      </c>
      <c r="AA2198">
        <f t="shared" si="84"/>
        <v>8.3800000000000008</v>
      </c>
      <c r="AC2198"/>
      <c r="AE2198" t="s">
        <v>390</v>
      </c>
      <c r="AF2198"/>
      <c r="AL2198">
        <v>340746390</v>
      </c>
      <c r="AM2198" t="s">
        <v>391</v>
      </c>
    </row>
    <row r="2199" spans="1:39" x14ac:dyDescent="0.35">
      <c r="A2199">
        <v>3407</v>
      </c>
      <c r="B2199" t="s">
        <v>28</v>
      </c>
      <c r="C2199">
        <v>2020</v>
      </c>
      <c r="D2199" s="1">
        <v>43831</v>
      </c>
      <c r="E2199">
        <v>26</v>
      </c>
      <c r="F2199">
        <v>700040930</v>
      </c>
      <c r="G2199" t="s">
        <v>101</v>
      </c>
      <c r="H2199">
        <v>40</v>
      </c>
      <c r="I2199">
        <v>71105120</v>
      </c>
      <c r="J2199">
        <v>11210050</v>
      </c>
      <c r="K2199" t="s">
        <v>268</v>
      </c>
      <c r="L2199" s="4">
        <v>87.96</v>
      </c>
      <c r="M2199" t="s">
        <v>54</v>
      </c>
      <c r="N2199" s="4">
        <v>1645.44</v>
      </c>
      <c r="O2199" t="s">
        <v>31</v>
      </c>
      <c r="P2199" t="s">
        <v>98</v>
      </c>
      <c r="X2199" t="s">
        <v>35</v>
      </c>
      <c r="Y2199" t="s">
        <v>389</v>
      </c>
      <c r="Z2199">
        <v>20200131</v>
      </c>
      <c r="AA2199">
        <f t="shared" si="84"/>
        <v>87.96</v>
      </c>
      <c r="AC2199"/>
      <c r="AE2199" t="s">
        <v>390</v>
      </c>
      <c r="AF2199"/>
      <c r="AL2199">
        <v>340748290</v>
      </c>
      <c r="AM2199" t="s">
        <v>391</v>
      </c>
    </row>
    <row r="2200" spans="1:39" x14ac:dyDescent="0.35">
      <c r="A2200">
        <v>3407</v>
      </c>
      <c r="B2200" t="s">
        <v>28</v>
      </c>
      <c r="C2200">
        <v>2020</v>
      </c>
      <c r="D2200" s="1">
        <v>43831</v>
      </c>
      <c r="E2200">
        <v>27</v>
      </c>
      <c r="F2200">
        <v>700040930</v>
      </c>
      <c r="G2200" t="s">
        <v>101</v>
      </c>
      <c r="H2200">
        <v>40</v>
      </c>
      <c r="I2200">
        <v>71105120</v>
      </c>
      <c r="J2200">
        <v>11210050</v>
      </c>
      <c r="K2200" t="s">
        <v>268</v>
      </c>
      <c r="L2200" s="4">
        <v>20.94</v>
      </c>
      <c r="M2200" t="s">
        <v>54</v>
      </c>
      <c r="N2200" s="4">
        <v>391.72</v>
      </c>
      <c r="O2200" t="s">
        <v>31</v>
      </c>
      <c r="P2200" t="s">
        <v>98</v>
      </c>
      <c r="X2200" t="s">
        <v>35</v>
      </c>
      <c r="Y2200" t="s">
        <v>389</v>
      </c>
      <c r="Z2200">
        <v>20200131</v>
      </c>
      <c r="AA2200">
        <f t="shared" si="84"/>
        <v>20.94</v>
      </c>
      <c r="AC2200"/>
      <c r="AE2200" t="s">
        <v>390</v>
      </c>
      <c r="AF2200"/>
      <c r="AL2200">
        <v>340753290</v>
      </c>
      <c r="AM2200" t="s">
        <v>391</v>
      </c>
    </row>
    <row r="2201" spans="1:39" x14ac:dyDescent="0.35">
      <c r="A2201">
        <v>3407</v>
      </c>
      <c r="B2201" t="s">
        <v>28</v>
      </c>
      <c r="C2201">
        <v>2020</v>
      </c>
      <c r="D2201" s="1">
        <v>43831</v>
      </c>
      <c r="E2201">
        <v>28</v>
      </c>
      <c r="F2201">
        <v>700040930</v>
      </c>
      <c r="G2201" t="s">
        <v>101</v>
      </c>
      <c r="H2201">
        <v>40</v>
      </c>
      <c r="I2201">
        <v>71105120</v>
      </c>
      <c r="J2201">
        <v>11210050</v>
      </c>
      <c r="K2201" t="s">
        <v>268</v>
      </c>
      <c r="L2201" s="4">
        <v>25.13</v>
      </c>
      <c r="M2201" t="s">
        <v>54</v>
      </c>
      <c r="N2201" s="4">
        <v>470.1</v>
      </c>
      <c r="O2201" t="s">
        <v>31</v>
      </c>
      <c r="P2201" t="s">
        <v>98</v>
      </c>
      <c r="X2201" t="s">
        <v>35</v>
      </c>
      <c r="Y2201" t="s">
        <v>389</v>
      </c>
      <c r="Z2201">
        <v>20200131</v>
      </c>
      <c r="AA2201">
        <f t="shared" si="84"/>
        <v>25.13</v>
      </c>
      <c r="AC2201"/>
      <c r="AE2201" t="s">
        <v>390</v>
      </c>
      <c r="AF2201"/>
      <c r="AL2201">
        <v>340762190</v>
      </c>
      <c r="AM2201" t="s">
        <v>391</v>
      </c>
    </row>
    <row r="2202" spans="1:39" x14ac:dyDescent="0.35">
      <c r="A2202">
        <v>3407</v>
      </c>
      <c r="B2202" t="s">
        <v>28</v>
      </c>
      <c r="C2202">
        <v>2020</v>
      </c>
      <c r="D2202" s="1">
        <v>43831</v>
      </c>
      <c r="E2202">
        <v>29</v>
      </c>
      <c r="F2202">
        <v>700040930</v>
      </c>
      <c r="G2202" t="s">
        <v>101</v>
      </c>
      <c r="H2202">
        <v>40</v>
      </c>
      <c r="I2202">
        <v>71105120</v>
      </c>
      <c r="J2202">
        <v>11210050</v>
      </c>
      <c r="K2202" t="s">
        <v>268</v>
      </c>
      <c r="L2202" s="4">
        <v>16.75</v>
      </c>
      <c r="M2202" t="s">
        <v>54</v>
      </c>
      <c r="N2202" s="4">
        <v>313.33999999999997</v>
      </c>
      <c r="O2202" t="s">
        <v>31</v>
      </c>
      <c r="P2202" t="s">
        <v>98</v>
      </c>
      <c r="X2202" t="s">
        <v>35</v>
      </c>
      <c r="Y2202" t="s">
        <v>389</v>
      </c>
      <c r="Z2202">
        <v>20200131</v>
      </c>
      <c r="AA2202">
        <f t="shared" si="84"/>
        <v>16.75</v>
      </c>
      <c r="AC2202"/>
      <c r="AE2202" t="s">
        <v>390</v>
      </c>
      <c r="AF2202"/>
      <c r="AL2202">
        <v>340768190</v>
      </c>
      <c r="AM2202" t="s">
        <v>391</v>
      </c>
    </row>
    <row r="2203" spans="1:39" x14ac:dyDescent="0.35">
      <c r="A2203">
        <v>3407</v>
      </c>
      <c r="B2203" t="s">
        <v>28</v>
      </c>
      <c r="C2203">
        <v>2020</v>
      </c>
      <c r="D2203" s="1">
        <v>43831</v>
      </c>
      <c r="E2203">
        <v>30</v>
      </c>
      <c r="F2203">
        <v>700040930</v>
      </c>
      <c r="G2203" t="s">
        <v>101</v>
      </c>
      <c r="H2203">
        <v>40</v>
      </c>
      <c r="I2203">
        <v>71105120</v>
      </c>
      <c r="J2203">
        <v>11210050</v>
      </c>
      <c r="K2203" t="s">
        <v>268</v>
      </c>
      <c r="L2203" s="4">
        <v>4.1900000000000004</v>
      </c>
      <c r="M2203" t="s">
        <v>54</v>
      </c>
      <c r="N2203" s="4">
        <v>78.38</v>
      </c>
      <c r="O2203" t="s">
        <v>31</v>
      </c>
      <c r="P2203" t="s">
        <v>98</v>
      </c>
      <c r="X2203" t="s">
        <v>35</v>
      </c>
      <c r="Y2203" t="s">
        <v>389</v>
      </c>
      <c r="Z2203">
        <v>20200131</v>
      </c>
      <c r="AA2203">
        <f t="shared" si="84"/>
        <v>4.1900000000000004</v>
      </c>
      <c r="AC2203"/>
      <c r="AE2203" t="s">
        <v>390</v>
      </c>
      <c r="AF2203"/>
      <c r="AL2203">
        <v>340768690</v>
      </c>
      <c r="AM2203" t="s">
        <v>391</v>
      </c>
    </row>
    <row r="2204" spans="1:39" x14ac:dyDescent="0.35">
      <c r="A2204">
        <v>3407</v>
      </c>
      <c r="B2204" t="s">
        <v>28</v>
      </c>
      <c r="C2204">
        <v>2020</v>
      </c>
      <c r="D2204" s="1">
        <v>43831</v>
      </c>
      <c r="E2204">
        <v>31</v>
      </c>
      <c r="F2204">
        <v>700040930</v>
      </c>
      <c r="G2204" t="s">
        <v>101</v>
      </c>
      <c r="H2204">
        <v>40</v>
      </c>
      <c r="I2204">
        <v>71105120</v>
      </c>
      <c r="J2204">
        <v>11210050</v>
      </c>
      <c r="K2204" t="s">
        <v>268</v>
      </c>
      <c r="L2204" s="4">
        <v>12.57</v>
      </c>
      <c r="M2204" t="s">
        <v>54</v>
      </c>
      <c r="N2204" s="4">
        <v>235.14</v>
      </c>
      <c r="O2204" t="s">
        <v>31</v>
      </c>
      <c r="P2204" t="s">
        <v>98</v>
      </c>
      <c r="X2204" t="s">
        <v>35</v>
      </c>
      <c r="Y2204" t="s">
        <v>389</v>
      </c>
      <c r="Z2204">
        <v>20200131</v>
      </c>
      <c r="AA2204">
        <f t="shared" si="84"/>
        <v>12.57</v>
      </c>
      <c r="AC2204"/>
      <c r="AE2204" t="s">
        <v>390</v>
      </c>
      <c r="AF2204"/>
      <c r="AL2204">
        <v>340712490</v>
      </c>
      <c r="AM2204" t="s">
        <v>391</v>
      </c>
    </row>
    <row r="2205" spans="1:39" x14ac:dyDescent="0.35">
      <c r="A2205">
        <v>3407</v>
      </c>
      <c r="B2205" t="s">
        <v>28</v>
      </c>
      <c r="C2205">
        <v>2020</v>
      </c>
      <c r="D2205" s="1">
        <v>43831</v>
      </c>
      <c r="E2205">
        <v>32</v>
      </c>
      <c r="F2205">
        <v>700040930</v>
      </c>
      <c r="G2205" t="s">
        <v>101</v>
      </c>
      <c r="H2205">
        <v>40</v>
      </c>
      <c r="I2205">
        <v>71105120</v>
      </c>
      <c r="J2205">
        <v>11210050</v>
      </c>
      <c r="K2205" t="s">
        <v>268</v>
      </c>
      <c r="L2205" s="4">
        <v>4.1900000000000004</v>
      </c>
      <c r="M2205" t="s">
        <v>54</v>
      </c>
      <c r="N2205" s="4">
        <v>78.38</v>
      </c>
      <c r="O2205" t="s">
        <v>31</v>
      </c>
      <c r="P2205" t="s">
        <v>98</v>
      </c>
      <c r="X2205" t="s">
        <v>35</v>
      </c>
      <c r="Y2205" t="s">
        <v>389</v>
      </c>
      <c r="Z2205">
        <v>20200131</v>
      </c>
      <c r="AA2205">
        <f t="shared" si="84"/>
        <v>4.1900000000000004</v>
      </c>
      <c r="AC2205"/>
      <c r="AE2205" t="s">
        <v>390</v>
      </c>
      <c r="AF2205"/>
      <c r="AL2205">
        <v>340725290</v>
      </c>
      <c r="AM2205" t="s">
        <v>391</v>
      </c>
    </row>
    <row r="2206" spans="1:39" x14ac:dyDescent="0.35">
      <c r="A2206">
        <v>3409</v>
      </c>
      <c r="B2206" t="s">
        <v>28</v>
      </c>
      <c r="C2206">
        <v>2020</v>
      </c>
      <c r="D2206" s="1">
        <v>43831</v>
      </c>
      <c r="E2206">
        <v>1</v>
      </c>
      <c r="F2206">
        <v>900011589</v>
      </c>
      <c r="G2206" t="s">
        <v>101</v>
      </c>
      <c r="H2206">
        <v>40</v>
      </c>
      <c r="I2206">
        <v>71105120</v>
      </c>
      <c r="J2206">
        <v>11210050</v>
      </c>
      <c r="K2206" t="s">
        <v>268</v>
      </c>
      <c r="L2206" s="4">
        <v>25.13</v>
      </c>
      <c r="M2206" t="s">
        <v>54</v>
      </c>
      <c r="N2206" s="4">
        <v>470.1</v>
      </c>
      <c r="O2206" t="s">
        <v>31</v>
      </c>
      <c r="P2206" t="s">
        <v>98</v>
      </c>
      <c r="X2206" t="s">
        <v>35</v>
      </c>
      <c r="Y2206" t="s">
        <v>389</v>
      </c>
      <c r="Z2206">
        <v>20200131</v>
      </c>
      <c r="AA2206">
        <f t="shared" si="84"/>
        <v>25.13</v>
      </c>
      <c r="AC2206"/>
      <c r="AE2206" t="s">
        <v>390</v>
      </c>
      <c r="AF2206"/>
      <c r="AL2206">
        <v>340910490</v>
      </c>
      <c r="AM2206" t="s">
        <v>391</v>
      </c>
    </row>
    <row r="2207" spans="1:39" x14ac:dyDescent="0.35">
      <c r="A2207">
        <v>3409</v>
      </c>
      <c r="B2207" t="s">
        <v>28</v>
      </c>
      <c r="C2207">
        <v>2020</v>
      </c>
      <c r="D2207" s="1">
        <v>43831</v>
      </c>
      <c r="E2207">
        <v>2</v>
      </c>
      <c r="F2207">
        <v>900011589</v>
      </c>
      <c r="G2207" t="s">
        <v>101</v>
      </c>
      <c r="H2207">
        <v>40</v>
      </c>
      <c r="I2207">
        <v>71105120</v>
      </c>
      <c r="J2207">
        <v>11210050</v>
      </c>
      <c r="K2207" t="s">
        <v>268</v>
      </c>
      <c r="L2207" s="4">
        <v>4.1900000000000004</v>
      </c>
      <c r="M2207" t="s">
        <v>54</v>
      </c>
      <c r="N2207" s="4">
        <v>78.38</v>
      </c>
      <c r="O2207" t="s">
        <v>31</v>
      </c>
      <c r="P2207" t="s">
        <v>98</v>
      </c>
      <c r="X2207" t="s">
        <v>35</v>
      </c>
      <c r="Y2207" t="s">
        <v>389</v>
      </c>
      <c r="Z2207">
        <v>20200131</v>
      </c>
      <c r="AA2207">
        <f t="shared" si="84"/>
        <v>4.1900000000000004</v>
      </c>
      <c r="AC2207"/>
      <c r="AE2207" t="s">
        <v>390</v>
      </c>
      <c r="AF2207"/>
      <c r="AL2207">
        <v>340910690</v>
      </c>
      <c r="AM2207" t="s">
        <v>391</v>
      </c>
    </row>
    <row r="2208" spans="1:39" x14ac:dyDescent="0.35">
      <c r="A2208">
        <v>3409</v>
      </c>
      <c r="B2208" t="s">
        <v>28</v>
      </c>
      <c r="C2208">
        <v>2020</v>
      </c>
      <c r="D2208" s="1">
        <v>43831</v>
      </c>
      <c r="E2208">
        <v>3</v>
      </c>
      <c r="F2208">
        <v>900011589</v>
      </c>
      <c r="G2208" t="s">
        <v>101</v>
      </c>
      <c r="H2208">
        <v>40</v>
      </c>
      <c r="I2208">
        <v>71105120</v>
      </c>
      <c r="J2208">
        <v>11210050</v>
      </c>
      <c r="K2208" t="s">
        <v>268</v>
      </c>
      <c r="L2208" s="4">
        <v>20.94</v>
      </c>
      <c r="M2208" t="s">
        <v>54</v>
      </c>
      <c r="N2208" s="4">
        <v>391.72</v>
      </c>
      <c r="O2208" t="s">
        <v>31</v>
      </c>
      <c r="P2208" t="s">
        <v>98</v>
      </c>
      <c r="X2208" t="s">
        <v>35</v>
      </c>
      <c r="Y2208" t="s">
        <v>389</v>
      </c>
      <c r="Z2208">
        <v>20200131</v>
      </c>
      <c r="AA2208">
        <f t="shared" si="84"/>
        <v>20.94</v>
      </c>
      <c r="AC2208"/>
      <c r="AE2208" t="s">
        <v>390</v>
      </c>
      <c r="AF2208"/>
      <c r="AL2208">
        <v>340910790</v>
      </c>
      <c r="AM2208" t="s">
        <v>391</v>
      </c>
    </row>
    <row r="2209" spans="1:39" x14ac:dyDescent="0.35">
      <c r="A2209">
        <v>3409</v>
      </c>
      <c r="B2209" t="s">
        <v>28</v>
      </c>
      <c r="C2209">
        <v>2020</v>
      </c>
      <c r="D2209" s="1">
        <v>43831</v>
      </c>
      <c r="E2209">
        <v>4</v>
      </c>
      <c r="F2209">
        <v>900011589</v>
      </c>
      <c r="G2209" t="s">
        <v>101</v>
      </c>
      <c r="H2209">
        <v>40</v>
      </c>
      <c r="I2209">
        <v>71105120</v>
      </c>
      <c r="J2209">
        <v>11210050</v>
      </c>
      <c r="K2209" t="s">
        <v>268</v>
      </c>
      <c r="L2209" s="4">
        <v>8.3800000000000008</v>
      </c>
      <c r="M2209" t="s">
        <v>54</v>
      </c>
      <c r="N2209" s="4">
        <v>156.76</v>
      </c>
      <c r="O2209" t="s">
        <v>31</v>
      </c>
      <c r="P2209" t="s">
        <v>98</v>
      </c>
      <c r="X2209" t="s">
        <v>35</v>
      </c>
      <c r="Y2209" t="s">
        <v>389</v>
      </c>
      <c r="Z2209">
        <v>20200131</v>
      </c>
      <c r="AA2209">
        <f t="shared" si="84"/>
        <v>8.3800000000000008</v>
      </c>
      <c r="AC2209"/>
      <c r="AE2209" t="s">
        <v>390</v>
      </c>
      <c r="AF2209"/>
      <c r="AL2209">
        <v>340912490</v>
      </c>
      <c r="AM2209" t="s">
        <v>391</v>
      </c>
    </row>
    <row r="2210" spans="1:39" x14ac:dyDescent="0.35">
      <c r="A2210">
        <v>3409</v>
      </c>
      <c r="B2210" t="s">
        <v>28</v>
      </c>
      <c r="C2210">
        <v>2020</v>
      </c>
      <c r="D2210" s="1">
        <v>43831</v>
      </c>
      <c r="E2210">
        <v>5</v>
      </c>
      <c r="F2210">
        <v>900011589</v>
      </c>
      <c r="G2210" t="s">
        <v>101</v>
      </c>
      <c r="H2210">
        <v>40</v>
      </c>
      <c r="I2210">
        <v>71105120</v>
      </c>
      <c r="J2210">
        <v>11210050</v>
      </c>
      <c r="K2210" t="s">
        <v>268</v>
      </c>
      <c r="L2210" s="4">
        <v>8.3800000000000008</v>
      </c>
      <c r="M2210" t="s">
        <v>54</v>
      </c>
      <c r="N2210" s="4">
        <v>156.76</v>
      </c>
      <c r="O2210" t="s">
        <v>31</v>
      </c>
      <c r="P2210" t="s">
        <v>98</v>
      </c>
      <c r="X2210" t="s">
        <v>35</v>
      </c>
      <c r="Y2210" t="s">
        <v>389</v>
      </c>
      <c r="Z2210">
        <v>20200131</v>
      </c>
      <c r="AA2210">
        <f t="shared" si="84"/>
        <v>8.3800000000000008</v>
      </c>
      <c r="AC2210"/>
      <c r="AE2210" t="s">
        <v>390</v>
      </c>
      <c r="AF2210"/>
      <c r="AL2210">
        <v>340912690</v>
      </c>
      <c r="AM2210" t="s">
        <v>391</v>
      </c>
    </row>
    <row r="2211" spans="1:39" x14ac:dyDescent="0.35">
      <c r="A2211">
        <v>3409</v>
      </c>
      <c r="B2211" t="s">
        <v>28</v>
      </c>
      <c r="C2211">
        <v>2020</v>
      </c>
      <c r="D2211" s="1">
        <v>43831</v>
      </c>
      <c r="E2211">
        <v>6</v>
      </c>
      <c r="F2211">
        <v>900011589</v>
      </c>
      <c r="G2211" t="s">
        <v>101</v>
      </c>
      <c r="H2211">
        <v>40</v>
      </c>
      <c r="I2211">
        <v>71105120</v>
      </c>
      <c r="J2211">
        <v>11210050</v>
      </c>
      <c r="K2211" t="s">
        <v>268</v>
      </c>
      <c r="L2211" s="4">
        <v>4.1900000000000004</v>
      </c>
      <c r="M2211" t="s">
        <v>54</v>
      </c>
      <c r="N2211" s="4">
        <v>78.38</v>
      </c>
      <c r="O2211" t="s">
        <v>31</v>
      </c>
      <c r="P2211" t="s">
        <v>98</v>
      </c>
      <c r="X2211" t="s">
        <v>35</v>
      </c>
      <c r="Y2211" t="s">
        <v>389</v>
      </c>
      <c r="Z2211">
        <v>20200131</v>
      </c>
      <c r="AA2211">
        <f t="shared" si="84"/>
        <v>4.1900000000000004</v>
      </c>
      <c r="AC2211"/>
      <c r="AE2211" t="s">
        <v>390</v>
      </c>
      <c r="AF2211"/>
      <c r="AL2211">
        <v>340912890</v>
      </c>
      <c r="AM2211" t="s">
        <v>391</v>
      </c>
    </row>
    <row r="2212" spans="1:39" x14ac:dyDescent="0.35">
      <c r="A2212">
        <v>3409</v>
      </c>
      <c r="B2212" t="s">
        <v>28</v>
      </c>
      <c r="C2212">
        <v>2020</v>
      </c>
      <c r="D2212" s="1">
        <v>43831</v>
      </c>
      <c r="E2212">
        <v>7</v>
      </c>
      <c r="F2212">
        <v>900011589</v>
      </c>
      <c r="G2212" t="s">
        <v>101</v>
      </c>
      <c r="H2212">
        <v>40</v>
      </c>
      <c r="I2212">
        <v>71105120</v>
      </c>
      <c r="J2212">
        <v>11210050</v>
      </c>
      <c r="K2212" t="s">
        <v>268</v>
      </c>
      <c r="L2212" s="4">
        <v>12.57</v>
      </c>
      <c r="M2212" t="s">
        <v>54</v>
      </c>
      <c r="N2212" s="4">
        <v>235.14</v>
      </c>
      <c r="O2212" t="s">
        <v>31</v>
      </c>
      <c r="P2212" t="s">
        <v>98</v>
      </c>
      <c r="X2212" t="s">
        <v>35</v>
      </c>
      <c r="Y2212" t="s">
        <v>389</v>
      </c>
      <c r="Z2212">
        <v>20200131</v>
      </c>
      <c r="AA2212">
        <f t="shared" si="84"/>
        <v>12.57</v>
      </c>
      <c r="AC2212"/>
      <c r="AE2212" t="s">
        <v>390</v>
      </c>
      <c r="AF2212"/>
      <c r="AL2212">
        <v>340913090</v>
      </c>
      <c r="AM2212" t="s">
        <v>391</v>
      </c>
    </row>
    <row r="2213" spans="1:39" x14ac:dyDescent="0.35">
      <c r="A2213">
        <v>3409</v>
      </c>
      <c r="B2213" t="s">
        <v>28</v>
      </c>
      <c r="C2213">
        <v>2020</v>
      </c>
      <c r="D2213" s="1">
        <v>43831</v>
      </c>
      <c r="E2213">
        <v>8</v>
      </c>
      <c r="F2213">
        <v>900011589</v>
      </c>
      <c r="G2213" t="s">
        <v>101</v>
      </c>
      <c r="H2213">
        <v>40</v>
      </c>
      <c r="I2213">
        <v>71105120</v>
      </c>
      <c r="J2213">
        <v>11210050</v>
      </c>
      <c r="K2213" t="s">
        <v>268</v>
      </c>
      <c r="L2213" s="4">
        <v>12.57</v>
      </c>
      <c r="M2213" t="s">
        <v>54</v>
      </c>
      <c r="N2213" s="4">
        <v>235.14</v>
      </c>
      <c r="O2213" t="s">
        <v>31</v>
      </c>
      <c r="P2213" t="s">
        <v>98</v>
      </c>
      <c r="X2213" t="s">
        <v>35</v>
      </c>
      <c r="Y2213" t="s">
        <v>389</v>
      </c>
      <c r="Z2213">
        <v>20200131</v>
      </c>
      <c r="AA2213">
        <f t="shared" si="84"/>
        <v>12.57</v>
      </c>
      <c r="AC2213"/>
      <c r="AE2213" t="s">
        <v>390</v>
      </c>
      <c r="AF2213"/>
      <c r="AL2213">
        <v>340917690</v>
      </c>
      <c r="AM2213" t="s">
        <v>391</v>
      </c>
    </row>
    <row r="2214" spans="1:39" x14ac:dyDescent="0.35">
      <c r="A2214">
        <v>3409</v>
      </c>
      <c r="B2214" t="s">
        <v>28</v>
      </c>
      <c r="C2214">
        <v>2020</v>
      </c>
      <c r="D2214" s="1">
        <v>43831</v>
      </c>
      <c r="E2214">
        <v>9</v>
      </c>
      <c r="F2214">
        <v>900011589</v>
      </c>
      <c r="G2214" t="s">
        <v>101</v>
      </c>
      <c r="H2214">
        <v>40</v>
      </c>
      <c r="I2214">
        <v>71105120</v>
      </c>
      <c r="J2214">
        <v>11210050</v>
      </c>
      <c r="K2214" t="s">
        <v>268</v>
      </c>
      <c r="L2214" s="4">
        <v>46.07</v>
      </c>
      <c r="M2214" t="s">
        <v>54</v>
      </c>
      <c r="N2214" s="4">
        <v>861.82</v>
      </c>
      <c r="O2214" t="s">
        <v>31</v>
      </c>
      <c r="P2214" t="s">
        <v>98</v>
      </c>
      <c r="X2214" t="s">
        <v>35</v>
      </c>
      <c r="Y2214" t="s">
        <v>389</v>
      </c>
      <c r="Z2214">
        <v>20200131</v>
      </c>
      <c r="AA2214">
        <f t="shared" si="84"/>
        <v>46.07</v>
      </c>
      <c r="AC2214"/>
      <c r="AE2214" t="s">
        <v>390</v>
      </c>
      <c r="AF2214"/>
      <c r="AL2214">
        <v>340919190</v>
      </c>
      <c r="AM2214" t="s">
        <v>391</v>
      </c>
    </row>
    <row r="2215" spans="1:39" x14ac:dyDescent="0.35">
      <c r="A2215">
        <v>3409</v>
      </c>
      <c r="B2215" t="s">
        <v>28</v>
      </c>
      <c r="C2215">
        <v>2020</v>
      </c>
      <c r="D2215" s="1">
        <v>43831</v>
      </c>
      <c r="E2215">
        <v>10</v>
      </c>
      <c r="F2215">
        <v>900011589</v>
      </c>
      <c r="G2215" t="s">
        <v>101</v>
      </c>
      <c r="H2215">
        <v>40</v>
      </c>
      <c r="I2215">
        <v>71105120</v>
      </c>
      <c r="J2215">
        <v>11210050</v>
      </c>
      <c r="K2215" t="s">
        <v>268</v>
      </c>
      <c r="L2215" s="4">
        <v>4.1900000000000004</v>
      </c>
      <c r="M2215" t="s">
        <v>54</v>
      </c>
      <c r="N2215" s="4">
        <v>78.38</v>
      </c>
      <c r="O2215" t="s">
        <v>31</v>
      </c>
      <c r="P2215" t="s">
        <v>98</v>
      </c>
      <c r="X2215" t="s">
        <v>35</v>
      </c>
      <c r="Y2215" t="s">
        <v>389</v>
      </c>
      <c r="Z2215">
        <v>20200131</v>
      </c>
      <c r="AA2215">
        <f t="shared" si="84"/>
        <v>4.1900000000000004</v>
      </c>
      <c r="AC2215"/>
      <c r="AE2215" t="s">
        <v>390</v>
      </c>
      <c r="AF2215"/>
      <c r="AL2215">
        <v>340919290</v>
      </c>
      <c r="AM2215" t="s">
        <v>391</v>
      </c>
    </row>
    <row r="2216" spans="1:39" x14ac:dyDescent="0.35">
      <c r="A2216">
        <v>3409</v>
      </c>
      <c r="B2216" t="s">
        <v>28</v>
      </c>
      <c r="C2216">
        <v>2020</v>
      </c>
      <c r="D2216" s="1">
        <v>43831</v>
      </c>
      <c r="E2216">
        <v>11</v>
      </c>
      <c r="F2216">
        <v>900011589</v>
      </c>
      <c r="G2216" t="s">
        <v>101</v>
      </c>
      <c r="H2216">
        <v>40</v>
      </c>
      <c r="I2216">
        <v>71105120</v>
      </c>
      <c r="J2216">
        <v>11210050</v>
      </c>
      <c r="K2216" t="s">
        <v>268</v>
      </c>
      <c r="L2216" s="4">
        <v>8.3800000000000008</v>
      </c>
      <c r="M2216" t="s">
        <v>54</v>
      </c>
      <c r="N2216" s="4">
        <v>156.76</v>
      </c>
      <c r="O2216" t="s">
        <v>31</v>
      </c>
      <c r="P2216" t="s">
        <v>98</v>
      </c>
      <c r="X2216" t="s">
        <v>35</v>
      </c>
      <c r="Y2216" t="s">
        <v>389</v>
      </c>
      <c r="Z2216">
        <v>20200131</v>
      </c>
      <c r="AA2216">
        <f t="shared" si="84"/>
        <v>8.3800000000000008</v>
      </c>
      <c r="AC2216"/>
      <c r="AE2216" t="s">
        <v>390</v>
      </c>
      <c r="AF2216"/>
      <c r="AL2216">
        <v>340921690</v>
      </c>
      <c r="AM2216" t="s">
        <v>391</v>
      </c>
    </row>
    <row r="2217" spans="1:39" x14ac:dyDescent="0.35">
      <c r="A2217">
        <v>3409</v>
      </c>
      <c r="B2217" t="s">
        <v>28</v>
      </c>
      <c r="C2217">
        <v>2020</v>
      </c>
      <c r="D2217" s="1">
        <v>43831</v>
      </c>
      <c r="E2217">
        <v>12</v>
      </c>
      <c r="F2217">
        <v>900011589</v>
      </c>
      <c r="G2217" t="s">
        <v>101</v>
      </c>
      <c r="H2217">
        <v>40</v>
      </c>
      <c r="I2217">
        <v>71105120</v>
      </c>
      <c r="J2217">
        <v>11210050</v>
      </c>
      <c r="K2217" t="s">
        <v>268</v>
      </c>
      <c r="L2217" s="4">
        <v>33.51</v>
      </c>
      <c r="M2217" t="s">
        <v>54</v>
      </c>
      <c r="N2217" s="4">
        <v>626.86</v>
      </c>
      <c r="O2217" t="s">
        <v>31</v>
      </c>
      <c r="P2217" t="s">
        <v>98</v>
      </c>
      <c r="X2217" t="s">
        <v>35</v>
      </c>
      <c r="Y2217" t="s">
        <v>389</v>
      </c>
      <c r="Z2217">
        <v>20200131</v>
      </c>
      <c r="AA2217">
        <f t="shared" si="84"/>
        <v>33.51</v>
      </c>
      <c r="AC2217"/>
      <c r="AE2217" t="s">
        <v>390</v>
      </c>
      <c r="AF2217"/>
      <c r="AL2217">
        <v>340921790</v>
      </c>
      <c r="AM2217" t="s">
        <v>391</v>
      </c>
    </row>
    <row r="2218" spans="1:39" x14ac:dyDescent="0.35">
      <c r="A2218">
        <v>3409</v>
      </c>
      <c r="B2218" t="s">
        <v>28</v>
      </c>
      <c r="C2218">
        <v>2020</v>
      </c>
      <c r="D2218" s="1">
        <v>43831</v>
      </c>
      <c r="E2218">
        <v>13</v>
      </c>
      <c r="F2218">
        <v>900011589</v>
      </c>
      <c r="G2218" t="s">
        <v>101</v>
      </c>
      <c r="H2218">
        <v>40</v>
      </c>
      <c r="I2218">
        <v>71105120</v>
      </c>
      <c r="J2218">
        <v>11210050</v>
      </c>
      <c r="K2218" t="s">
        <v>268</v>
      </c>
      <c r="L2218" s="4">
        <v>25.13</v>
      </c>
      <c r="M2218" t="s">
        <v>54</v>
      </c>
      <c r="N2218" s="4">
        <v>470.1</v>
      </c>
      <c r="O2218" t="s">
        <v>31</v>
      </c>
      <c r="P2218" t="s">
        <v>98</v>
      </c>
      <c r="X2218" t="s">
        <v>35</v>
      </c>
      <c r="Y2218" t="s">
        <v>389</v>
      </c>
      <c r="Z2218">
        <v>20200131</v>
      </c>
      <c r="AA2218">
        <f t="shared" si="84"/>
        <v>25.13</v>
      </c>
      <c r="AC2218"/>
      <c r="AE2218" t="s">
        <v>390</v>
      </c>
      <c r="AF2218"/>
      <c r="AL2218">
        <v>340925190</v>
      </c>
      <c r="AM2218" t="s">
        <v>391</v>
      </c>
    </row>
    <row r="2219" spans="1:39" x14ac:dyDescent="0.35">
      <c r="A2219">
        <v>3409</v>
      </c>
      <c r="B2219" t="s">
        <v>28</v>
      </c>
      <c r="C2219">
        <v>2020</v>
      </c>
      <c r="D2219" s="1">
        <v>43831</v>
      </c>
      <c r="E2219">
        <v>14</v>
      </c>
      <c r="F2219">
        <v>900011589</v>
      </c>
      <c r="G2219" t="s">
        <v>101</v>
      </c>
      <c r="H2219">
        <v>40</v>
      </c>
      <c r="I2219">
        <v>71105120</v>
      </c>
      <c r="J2219">
        <v>11210050</v>
      </c>
      <c r="K2219" t="s">
        <v>268</v>
      </c>
      <c r="L2219" s="4">
        <v>12.57</v>
      </c>
      <c r="M2219" t="s">
        <v>54</v>
      </c>
      <c r="N2219" s="4">
        <v>235.14</v>
      </c>
      <c r="O2219" t="s">
        <v>31</v>
      </c>
      <c r="P2219" t="s">
        <v>98</v>
      </c>
      <c r="X2219" t="s">
        <v>35</v>
      </c>
      <c r="Y2219" t="s">
        <v>389</v>
      </c>
      <c r="Z2219">
        <v>20200131</v>
      </c>
      <c r="AA2219">
        <f t="shared" si="84"/>
        <v>12.57</v>
      </c>
      <c r="AC2219"/>
      <c r="AE2219" t="s">
        <v>390</v>
      </c>
      <c r="AF2219"/>
      <c r="AL2219">
        <v>340925290</v>
      </c>
      <c r="AM2219" t="s">
        <v>391</v>
      </c>
    </row>
    <row r="2220" spans="1:39" x14ac:dyDescent="0.35">
      <c r="A2220">
        <v>3409</v>
      </c>
      <c r="B2220" t="s">
        <v>28</v>
      </c>
      <c r="C2220">
        <v>2020</v>
      </c>
      <c r="D2220" s="1">
        <v>43831</v>
      </c>
      <c r="E2220">
        <v>15</v>
      </c>
      <c r="F2220">
        <v>900011589</v>
      </c>
      <c r="G2220" t="s">
        <v>101</v>
      </c>
      <c r="H2220">
        <v>40</v>
      </c>
      <c r="I2220">
        <v>71105120</v>
      </c>
      <c r="J2220">
        <v>11210050</v>
      </c>
      <c r="K2220" t="s">
        <v>268</v>
      </c>
      <c r="L2220" s="4">
        <v>8.3800000000000008</v>
      </c>
      <c r="M2220" t="s">
        <v>54</v>
      </c>
      <c r="N2220" s="4">
        <v>156.76</v>
      </c>
      <c r="O2220" t="s">
        <v>31</v>
      </c>
      <c r="P2220" t="s">
        <v>98</v>
      </c>
      <c r="X2220" t="s">
        <v>35</v>
      </c>
      <c r="Y2220" t="s">
        <v>389</v>
      </c>
      <c r="Z2220">
        <v>20200131</v>
      </c>
      <c r="AA2220">
        <f t="shared" si="84"/>
        <v>8.3800000000000008</v>
      </c>
      <c r="AC2220"/>
      <c r="AE2220" t="s">
        <v>390</v>
      </c>
      <c r="AF2220"/>
      <c r="AL2220">
        <v>340925490</v>
      </c>
      <c r="AM2220" t="s">
        <v>391</v>
      </c>
    </row>
    <row r="2221" spans="1:39" x14ac:dyDescent="0.35">
      <c r="A2221">
        <v>3409</v>
      </c>
      <c r="B2221" t="s">
        <v>28</v>
      </c>
      <c r="C2221">
        <v>2020</v>
      </c>
      <c r="D2221" s="1">
        <v>43831</v>
      </c>
      <c r="E2221">
        <v>16</v>
      </c>
      <c r="F2221">
        <v>900011589</v>
      </c>
      <c r="G2221" t="s">
        <v>101</v>
      </c>
      <c r="H2221">
        <v>40</v>
      </c>
      <c r="I2221">
        <v>71105120</v>
      </c>
      <c r="J2221">
        <v>11210050</v>
      </c>
      <c r="K2221" t="s">
        <v>268</v>
      </c>
      <c r="L2221" s="4">
        <v>16.75</v>
      </c>
      <c r="M2221" t="s">
        <v>54</v>
      </c>
      <c r="N2221" s="4">
        <v>313.33999999999997</v>
      </c>
      <c r="O2221" t="s">
        <v>31</v>
      </c>
      <c r="P2221" t="s">
        <v>98</v>
      </c>
      <c r="X2221" t="s">
        <v>35</v>
      </c>
      <c r="Y2221" t="s">
        <v>389</v>
      </c>
      <c r="Z2221">
        <v>20200131</v>
      </c>
      <c r="AA2221">
        <f t="shared" si="84"/>
        <v>16.75</v>
      </c>
      <c r="AC2221"/>
      <c r="AE2221" t="s">
        <v>390</v>
      </c>
      <c r="AF2221"/>
      <c r="AL2221">
        <v>340927190</v>
      </c>
      <c r="AM2221" t="s">
        <v>391</v>
      </c>
    </row>
    <row r="2222" spans="1:39" x14ac:dyDescent="0.35">
      <c r="A2222">
        <v>3409</v>
      </c>
      <c r="B2222" t="s">
        <v>28</v>
      </c>
      <c r="C2222">
        <v>2020</v>
      </c>
      <c r="D2222" s="1">
        <v>43831</v>
      </c>
      <c r="E2222">
        <v>17</v>
      </c>
      <c r="F2222">
        <v>900011589</v>
      </c>
      <c r="G2222" t="s">
        <v>101</v>
      </c>
      <c r="H2222">
        <v>40</v>
      </c>
      <c r="I2222">
        <v>71105120</v>
      </c>
      <c r="J2222">
        <v>11210050</v>
      </c>
      <c r="K2222" t="s">
        <v>268</v>
      </c>
      <c r="L2222" s="4">
        <v>12.57</v>
      </c>
      <c r="M2222" t="s">
        <v>54</v>
      </c>
      <c r="N2222" s="4">
        <v>235.14</v>
      </c>
      <c r="O2222" t="s">
        <v>31</v>
      </c>
      <c r="P2222" t="s">
        <v>98</v>
      </c>
      <c r="X2222" t="s">
        <v>35</v>
      </c>
      <c r="Y2222" t="s">
        <v>389</v>
      </c>
      <c r="Z2222">
        <v>20200131</v>
      </c>
      <c r="AA2222">
        <f t="shared" si="84"/>
        <v>12.57</v>
      </c>
      <c r="AC2222"/>
      <c r="AE2222" t="s">
        <v>390</v>
      </c>
      <c r="AF2222"/>
      <c r="AL2222">
        <v>340927290</v>
      </c>
      <c r="AM2222" t="s">
        <v>391</v>
      </c>
    </row>
    <row r="2223" spans="1:39" x14ac:dyDescent="0.35">
      <c r="A2223">
        <v>3409</v>
      </c>
      <c r="B2223" t="s">
        <v>28</v>
      </c>
      <c r="C2223">
        <v>2020</v>
      </c>
      <c r="D2223" s="1">
        <v>43831</v>
      </c>
      <c r="E2223">
        <v>18</v>
      </c>
      <c r="F2223">
        <v>900011589</v>
      </c>
      <c r="G2223" t="s">
        <v>101</v>
      </c>
      <c r="H2223">
        <v>40</v>
      </c>
      <c r="I2223">
        <v>71105120</v>
      </c>
      <c r="J2223">
        <v>11210050</v>
      </c>
      <c r="K2223" t="s">
        <v>268</v>
      </c>
      <c r="L2223" s="4">
        <v>12.57</v>
      </c>
      <c r="M2223" t="s">
        <v>54</v>
      </c>
      <c r="N2223" s="4">
        <v>235.14</v>
      </c>
      <c r="O2223" t="s">
        <v>31</v>
      </c>
      <c r="P2223" t="s">
        <v>98</v>
      </c>
      <c r="X2223" t="s">
        <v>35</v>
      </c>
      <c r="Y2223" t="s">
        <v>389</v>
      </c>
      <c r="Z2223">
        <v>20200131</v>
      </c>
      <c r="AA2223">
        <f t="shared" si="84"/>
        <v>12.57</v>
      </c>
      <c r="AC2223"/>
      <c r="AE2223" t="s">
        <v>390</v>
      </c>
      <c r="AF2223"/>
      <c r="AL2223">
        <v>340936290</v>
      </c>
      <c r="AM2223" t="s">
        <v>391</v>
      </c>
    </row>
    <row r="2224" spans="1:39" x14ac:dyDescent="0.35">
      <c r="A2224">
        <v>3409</v>
      </c>
      <c r="B2224" t="s">
        <v>28</v>
      </c>
      <c r="C2224">
        <v>2020</v>
      </c>
      <c r="D2224" s="1">
        <v>43831</v>
      </c>
      <c r="E2224">
        <v>19</v>
      </c>
      <c r="F2224">
        <v>900011589</v>
      </c>
      <c r="G2224" t="s">
        <v>101</v>
      </c>
      <c r="H2224">
        <v>40</v>
      </c>
      <c r="I2224">
        <v>71105120</v>
      </c>
      <c r="J2224">
        <v>11210050</v>
      </c>
      <c r="K2224" t="s">
        <v>268</v>
      </c>
      <c r="L2224" s="4">
        <v>33.51</v>
      </c>
      <c r="M2224" t="s">
        <v>54</v>
      </c>
      <c r="N2224" s="4">
        <v>626.86</v>
      </c>
      <c r="O2224" t="s">
        <v>31</v>
      </c>
      <c r="P2224" t="s">
        <v>98</v>
      </c>
      <c r="X2224" t="s">
        <v>35</v>
      </c>
      <c r="Y2224" t="s">
        <v>389</v>
      </c>
      <c r="Z2224">
        <v>20200131</v>
      </c>
      <c r="AA2224">
        <f t="shared" si="84"/>
        <v>33.51</v>
      </c>
      <c r="AC2224"/>
      <c r="AE2224" t="s">
        <v>390</v>
      </c>
      <c r="AF2224"/>
      <c r="AL2224">
        <v>340940390</v>
      </c>
      <c r="AM2224" t="s">
        <v>391</v>
      </c>
    </row>
    <row r="2225" spans="1:39" x14ac:dyDescent="0.35">
      <c r="A2225">
        <v>3409</v>
      </c>
      <c r="B2225" t="s">
        <v>28</v>
      </c>
      <c r="C2225">
        <v>2020</v>
      </c>
      <c r="D2225" s="1">
        <v>43831</v>
      </c>
      <c r="E2225">
        <v>20</v>
      </c>
      <c r="F2225">
        <v>900011589</v>
      </c>
      <c r="G2225" t="s">
        <v>101</v>
      </c>
      <c r="H2225">
        <v>40</v>
      </c>
      <c r="I2225">
        <v>71105120</v>
      </c>
      <c r="J2225">
        <v>11210050</v>
      </c>
      <c r="K2225" t="s">
        <v>268</v>
      </c>
      <c r="L2225" s="4">
        <v>12.57</v>
      </c>
      <c r="M2225" t="s">
        <v>54</v>
      </c>
      <c r="N2225" s="4">
        <v>235.14</v>
      </c>
      <c r="O2225" t="s">
        <v>31</v>
      </c>
      <c r="P2225" t="s">
        <v>98</v>
      </c>
      <c r="X2225" t="s">
        <v>35</v>
      </c>
      <c r="Y2225" t="s">
        <v>389</v>
      </c>
      <c r="Z2225">
        <v>20200131</v>
      </c>
      <c r="AA2225">
        <f t="shared" si="84"/>
        <v>12.57</v>
      </c>
      <c r="AC2225"/>
      <c r="AE2225" t="s">
        <v>390</v>
      </c>
      <c r="AF2225"/>
      <c r="AL2225">
        <v>340946390</v>
      </c>
      <c r="AM2225" t="s">
        <v>391</v>
      </c>
    </row>
    <row r="2226" spans="1:39" x14ac:dyDescent="0.35">
      <c r="A2226">
        <v>3409</v>
      </c>
      <c r="B2226" t="s">
        <v>28</v>
      </c>
      <c r="C2226">
        <v>2020</v>
      </c>
      <c r="D2226" s="1">
        <v>43831</v>
      </c>
      <c r="E2226">
        <v>21</v>
      </c>
      <c r="F2226">
        <v>900011589</v>
      </c>
      <c r="G2226" t="s">
        <v>101</v>
      </c>
      <c r="H2226">
        <v>40</v>
      </c>
      <c r="I2226">
        <v>71105120</v>
      </c>
      <c r="J2226">
        <v>11210050</v>
      </c>
      <c r="K2226" t="s">
        <v>268</v>
      </c>
      <c r="L2226" s="4">
        <v>20.94</v>
      </c>
      <c r="M2226" t="s">
        <v>54</v>
      </c>
      <c r="N2226" s="4">
        <v>391.72</v>
      </c>
      <c r="O2226" t="s">
        <v>31</v>
      </c>
      <c r="P2226" t="s">
        <v>98</v>
      </c>
      <c r="X2226" t="s">
        <v>35</v>
      </c>
      <c r="Y2226" t="s">
        <v>389</v>
      </c>
      <c r="Z2226">
        <v>20200131</v>
      </c>
      <c r="AA2226">
        <f t="shared" si="84"/>
        <v>20.94</v>
      </c>
      <c r="AC2226"/>
      <c r="AE2226" t="s">
        <v>390</v>
      </c>
      <c r="AF2226"/>
      <c r="AL2226">
        <v>340948290</v>
      </c>
      <c r="AM2226" t="s">
        <v>391</v>
      </c>
    </row>
    <row r="2227" spans="1:39" x14ac:dyDescent="0.35">
      <c r="A2227">
        <v>3409</v>
      </c>
      <c r="B2227" t="s">
        <v>28</v>
      </c>
      <c r="C2227">
        <v>2020</v>
      </c>
      <c r="D2227" s="1">
        <v>43831</v>
      </c>
      <c r="E2227">
        <v>22</v>
      </c>
      <c r="F2227">
        <v>900011589</v>
      </c>
      <c r="G2227" t="s">
        <v>101</v>
      </c>
      <c r="H2227">
        <v>40</v>
      </c>
      <c r="I2227">
        <v>71105120</v>
      </c>
      <c r="J2227">
        <v>11210050</v>
      </c>
      <c r="K2227" t="s">
        <v>268</v>
      </c>
      <c r="L2227" s="4">
        <v>16.75</v>
      </c>
      <c r="M2227" t="s">
        <v>54</v>
      </c>
      <c r="N2227" s="4">
        <v>313.33999999999997</v>
      </c>
      <c r="O2227" t="s">
        <v>31</v>
      </c>
      <c r="P2227" t="s">
        <v>98</v>
      </c>
      <c r="X2227" t="s">
        <v>35</v>
      </c>
      <c r="Y2227" t="s">
        <v>389</v>
      </c>
      <c r="Z2227">
        <v>20200131</v>
      </c>
      <c r="AA2227">
        <f t="shared" si="84"/>
        <v>16.75</v>
      </c>
      <c r="AC2227"/>
      <c r="AE2227" t="s">
        <v>390</v>
      </c>
      <c r="AF2227"/>
      <c r="AL2227">
        <v>340953290</v>
      </c>
      <c r="AM2227" t="s">
        <v>391</v>
      </c>
    </row>
    <row r="2228" spans="1:39" x14ac:dyDescent="0.35">
      <c r="A2228">
        <v>3409</v>
      </c>
      <c r="B2228" t="s">
        <v>28</v>
      </c>
      <c r="C2228">
        <v>2020</v>
      </c>
      <c r="D2228" s="1">
        <v>43831</v>
      </c>
      <c r="E2228">
        <v>23</v>
      </c>
      <c r="F2228">
        <v>900011589</v>
      </c>
      <c r="G2228" t="s">
        <v>101</v>
      </c>
      <c r="H2228">
        <v>40</v>
      </c>
      <c r="I2228">
        <v>71105120</v>
      </c>
      <c r="J2228">
        <v>11210050</v>
      </c>
      <c r="K2228" t="s">
        <v>268</v>
      </c>
      <c r="L2228" s="4">
        <v>4.1900000000000004</v>
      </c>
      <c r="M2228" t="s">
        <v>54</v>
      </c>
      <c r="N2228" s="4">
        <v>78.38</v>
      </c>
      <c r="O2228" t="s">
        <v>31</v>
      </c>
      <c r="P2228" t="s">
        <v>98</v>
      </c>
      <c r="X2228" t="s">
        <v>35</v>
      </c>
      <c r="Y2228" t="s">
        <v>389</v>
      </c>
      <c r="Z2228">
        <v>20200131</v>
      </c>
      <c r="AA2228">
        <f t="shared" si="84"/>
        <v>4.1900000000000004</v>
      </c>
      <c r="AC2228"/>
      <c r="AE2228" t="s">
        <v>390</v>
      </c>
      <c r="AF2228"/>
      <c r="AL2228">
        <v>340962190</v>
      </c>
      <c r="AM2228" t="s">
        <v>391</v>
      </c>
    </row>
    <row r="2229" spans="1:39" x14ac:dyDescent="0.35">
      <c r="A2229">
        <v>3409</v>
      </c>
      <c r="B2229" t="s">
        <v>28</v>
      </c>
      <c r="C2229">
        <v>2020</v>
      </c>
      <c r="D2229" s="1">
        <v>43831</v>
      </c>
      <c r="E2229">
        <v>24</v>
      </c>
      <c r="F2229">
        <v>900011589</v>
      </c>
      <c r="G2229" t="s">
        <v>101</v>
      </c>
      <c r="H2229">
        <v>40</v>
      </c>
      <c r="I2229">
        <v>71105120</v>
      </c>
      <c r="J2229">
        <v>11210050</v>
      </c>
      <c r="K2229" t="s">
        <v>268</v>
      </c>
      <c r="L2229" s="4">
        <v>4.1900000000000004</v>
      </c>
      <c r="M2229" t="s">
        <v>54</v>
      </c>
      <c r="N2229" s="4">
        <v>78.38</v>
      </c>
      <c r="O2229" t="s">
        <v>31</v>
      </c>
      <c r="P2229" t="s">
        <v>98</v>
      </c>
      <c r="X2229" t="s">
        <v>35</v>
      </c>
      <c r="Y2229" t="s">
        <v>389</v>
      </c>
      <c r="Z2229">
        <v>20200131</v>
      </c>
      <c r="AA2229">
        <f t="shared" si="84"/>
        <v>4.1900000000000004</v>
      </c>
      <c r="AC2229"/>
      <c r="AE2229" t="s">
        <v>390</v>
      </c>
      <c r="AF2229"/>
      <c r="AL2229">
        <v>340980490</v>
      </c>
      <c r="AM2229" t="s">
        <v>391</v>
      </c>
    </row>
    <row r="2230" spans="1:39" x14ac:dyDescent="0.35">
      <c r="A2230">
        <v>3409</v>
      </c>
      <c r="B2230" t="s">
        <v>28</v>
      </c>
      <c r="C2230">
        <v>2020</v>
      </c>
      <c r="D2230" s="1">
        <v>43831</v>
      </c>
      <c r="E2230">
        <v>25</v>
      </c>
      <c r="F2230">
        <v>900011589</v>
      </c>
      <c r="G2230" t="s">
        <v>101</v>
      </c>
      <c r="H2230">
        <v>40</v>
      </c>
      <c r="I2230">
        <v>71105120</v>
      </c>
      <c r="J2230">
        <v>11210050</v>
      </c>
      <c r="K2230" t="s">
        <v>268</v>
      </c>
      <c r="L2230" s="4">
        <v>4.1900000000000004</v>
      </c>
      <c r="M2230" t="s">
        <v>54</v>
      </c>
      <c r="N2230" s="4">
        <v>78.38</v>
      </c>
      <c r="O2230" t="s">
        <v>31</v>
      </c>
      <c r="P2230" t="s">
        <v>98</v>
      </c>
      <c r="X2230" t="s">
        <v>35</v>
      </c>
      <c r="Y2230" t="s">
        <v>389</v>
      </c>
      <c r="Z2230">
        <v>20200131</v>
      </c>
      <c r="AA2230">
        <f t="shared" si="84"/>
        <v>4.1900000000000004</v>
      </c>
      <c r="AC2230"/>
      <c r="AE2230" t="s">
        <v>390</v>
      </c>
      <c r="AF2230"/>
      <c r="AL2230">
        <v>340980690</v>
      </c>
      <c r="AM2230" t="s">
        <v>391</v>
      </c>
    </row>
    <row r="2231" spans="1:39" x14ac:dyDescent="0.35">
      <c r="A2231">
        <v>3409</v>
      </c>
      <c r="B2231" t="s">
        <v>28</v>
      </c>
      <c r="C2231">
        <v>2020</v>
      </c>
      <c r="D2231" s="1">
        <v>43831</v>
      </c>
      <c r="E2231">
        <v>26</v>
      </c>
      <c r="F2231">
        <v>900011589</v>
      </c>
      <c r="G2231" t="s">
        <v>101</v>
      </c>
      <c r="H2231">
        <v>40</v>
      </c>
      <c r="I2231">
        <v>71105120</v>
      </c>
      <c r="J2231">
        <v>11210050</v>
      </c>
      <c r="K2231" t="s">
        <v>268</v>
      </c>
      <c r="L2231" s="4">
        <v>4.1900000000000004</v>
      </c>
      <c r="M2231" t="s">
        <v>54</v>
      </c>
      <c r="N2231" s="4">
        <v>78.38</v>
      </c>
      <c r="O2231" t="s">
        <v>31</v>
      </c>
      <c r="P2231" t="s">
        <v>98</v>
      </c>
      <c r="X2231" t="s">
        <v>35</v>
      </c>
      <c r="Y2231" t="s">
        <v>389</v>
      </c>
      <c r="Z2231">
        <v>20200131</v>
      </c>
      <c r="AA2231">
        <f t="shared" si="84"/>
        <v>4.1900000000000004</v>
      </c>
      <c r="AC2231"/>
      <c r="AE2231" t="s">
        <v>390</v>
      </c>
      <c r="AF2231"/>
      <c r="AL2231">
        <v>340981090</v>
      </c>
      <c r="AM2231" t="s">
        <v>391</v>
      </c>
    </row>
    <row r="2232" spans="1:39" x14ac:dyDescent="0.35">
      <c r="A2232">
        <v>3409</v>
      </c>
      <c r="B2232" t="s">
        <v>28</v>
      </c>
      <c r="C2232">
        <v>2020</v>
      </c>
      <c r="D2232" s="1">
        <v>43831</v>
      </c>
      <c r="E2232">
        <v>27</v>
      </c>
      <c r="F2232">
        <v>900011589</v>
      </c>
      <c r="G2232" t="s">
        <v>101</v>
      </c>
      <c r="H2232">
        <v>40</v>
      </c>
      <c r="I2232">
        <v>71105120</v>
      </c>
      <c r="J2232">
        <v>11210050</v>
      </c>
      <c r="K2232" t="s">
        <v>268</v>
      </c>
      <c r="L2232" s="4">
        <v>12.57</v>
      </c>
      <c r="M2232" t="s">
        <v>54</v>
      </c>
      <c r="N2232" s="4">
        <v>235.14</v>
      </c>
      <c r="O2232" t="s">
        <v>31</v>
      </c>
      <c r="P2232" t="s">
        <v>98</v>
      </c>
      <c r="X2232" t="s">
        <v>35</v>
      </c>
      <c r="Y2232" t="s">
        <v>389</v>
      </c>
      <c r="Z2232">
        <v>20200131</v>
      </c>
      <c r="AA2232">
        <f t="shared" si="84"/>
        <v>12.57</v>
      </c>
      <c r="AC2232"/>
      <c r="AE2232" t="s">
        <v>390</v>
      </c>
      <c r="AF2232"/>
      <c r="AL2232">
        <v>340981990</v>
      </c>
      <c r="AM2232" t="s">
        <v>391</v>
      </c>
    </row>
    <row r="2233" spans="1:39" x14ac:dyDescent="0.35">
      <c r="A2233">
        <v>3409</v>
      </c>
      <c r="B2233" t="s">
        <v>28</v>
      </c>
      <c r="C2233">
        <v>2020</v>
      </c>
      <c r="D2233" s="1">
        <v>43831</v>
      </c>
      <c r="E2233">
        <v>28</v>
      </c>
      <c r="F2233">
        <v>900011589</v>
      </c>
      <c r="G2233" t="s">
        <v>101</v>
      </c>
      <c r="H2233">
        <v>40</v>
      </c>
      <c r="I2233">
        <v>71105120</v>
      </c>
      <c r="J2233">
        <v>11210050</v>
      </c>
      <c r="K2233" t="s">
        <v>268</v>
      </c>
      <c r="L2233" s="4">
        <v>4.1900000000000004</v>
      </c>
      <c r="M2233" t="s">
        <v>54</v>
      </c>
      <c r="N2233" s="4">
        <v>78.38</v>
      </c>
      <c r="O2233" t="s">
        <v>31</v>
      </c>
      <c r="P2233" t="s">
        <v>98</v>
      </c>
      <c r="X2233" t="s">
        <v>35</v>
      </c>
      <c r="Y2233" t="s">
        <v>389</v>
      </c>
      <c r="Z2233">
        <v>20200131</v>
      </c>
      <c r="AA2233">
        <f t="shared" si="84"/>
        <v>4.1900000000000004</v>
      </c>
      <c r="AC2233"/>
      <c r="AE2233" t="s">
        <v>390</v>
      </c>
      <c r="AF2233"/>
      <c r="AL2233">
        <v>340982590</v>
      </c>
      <c r="AM2233" t="s">
        <v>391</v>
      </c>
    </row>
    <row r="2234" spans="1:39" x14ac:dyDescent="0.35">
      <c r="A2234">
        <v>3409</v>
      </c>
      <c r="B2234" t="s">
        <v>28</v>
      </c>
      <c r="C2234">
        <v>2020</v>
      </c>
      <c r="D2234" s="1">
        <v>43831</v>
      </c>
      <c r="E2234">
        <v>29</v>
      </c>
      <c r="F2234">
        <v>900011589</v>
      </c>
      <c r="G2234" t="s">
        <v>101</v>
      </c>
      <c r="H2234">
        <v>40</v>
      </c>
      <c r="I2234">
        <v>71105120</v>
      </c>
      <c r="J2234">
        <v>11210050</v>
      </c>
      <c r="K2234" t="s">
        <v>268</v>
      </c>
      <c r="L2234" s="4">
        <v>4.1900000000000004</v>
      </c>
      <c r="M2234" t="s">
        <v>54</v>
      </c>
      <c r="N2234" s="4">
        <v>78.38</v>
      </c>
      <c r="O2234" t="s">
        <v>31</v>
      </c>
      <c r="P2234" t="s">
        <v>98</v>
      </c>
      <c r="X2234" t="s">
        <v>35</v>
      </c>
      <c r="Y2234" t="s">
        <v>389</v>
      </c>
      <c r="Z2234">
        <v>20200131</v>
      </c>
      <c r="AA2234">
        <f t="shared" si="84"/>
        <v>4.1900000000000004</v>
      </c>
      <c r="AC2234"/>
      <c r="AE2234" t="s">
        <v>390</v>
      </c>
      <c r="AF2234"/>
      <c r="AL2234">
        <v>340910590</v>
      </c>
      <c r="AM2234" t="s">
        <v>391</v>
      </c>
    </row>
    <row r="2235" spans="1:39" x14ac:dyDescent="0.35">
      <c r="A2235">
        <v>3409</v>
      </c>
      <c r="B2235" t="s">
        <v>28</v>
      </c>
      <c r="C2235">
        <v>2020</v>
      </c>
      <c r="D2235" s="1">
        <v>43831</v>
      </c>
      <c r="E2235">
        <v>30</v>
      </c>
      <c r="F2235">
        <v>900011589</v>
      </c>
      <c r="G2235" t="s">
        <v>101</v>
      </c>
      <c r="H2235">
        <v>40</v>
      </c>
      <c r="I2235">
        <v>71105120</v>
      </c>
      <c r="J2235">
        <v>11210050</v>
      </c>
      <c r="K2235" t="s">
        <v>268</v>
      </c>
      <c r="L2235" s="4">
        <v>8.3800000000000008</v>
      </c>
      <c r="M2235" t="s">
        <v>54</v>
      </c>
      <c r="N2235" s="4">
        <v>156.76</v>
      </c>
      <c r="O2235" t="s">
        <v>31</v>
      </c>
      <c r="P2235" t="s">
        <v>98</v>
      </c>
      <c r="X2235" t="s">
        <v>35</v>
      </c>
      <c r="Y2235" t="s">
        <v>389</v>
      </c>
      <c r="Z2235">
        <v>20200131</v>
      </c>
      <c r="AA2235">
        <f t="shared" si="84"/>
        <v>8.3800000000000008</v>
      </c>
      <c r="AC2235"/>
      <c r="AE2235" t="s">
        <v>390</v>
      </c>
      <c r="AF2235"/>
      <c r="AL2235">
        <v>340912290</v>
      </c>
      <c r="AM2235" t="s">
        <v>391</v>
      </c>
    </row>
    <row r="2236" spans="1:39" x14ac:dyDescent="0.35">
      <c r="A2236">
        <v>3409</v>
      </c>
      <c r="B2236" t="s">
        <v>28</v>
      </c>
      <c r="C2236">
        <v>2020</v>
      </c>
      <c r="D2236" s="1">
        <v>43831</v>
      </c>
      <c r="E2236">
        <v>31</v>
      </c>
      <c r="F2236">
        <v>900011589</v>
      </c>
      <c r="G2236" t="s">
        <v>101</v>
      </c>
      <c r="H2236">
        <v>40</v>
      </c>
      <c r="I2236">
        <v>71105120</v>
      </c>
      <c r="J2236">
        <v>11210050</v>
      </c>
      <c r="K2236" t="s">
        <v>268</v>
      </c>
      <c r="L2236" s="4">
        <v>4.1900000000000004</v>
      </c>
      <c r="M2236" t="s">
        <v>54</v>
      </c>
      <c r="N2236" s="4">
        <v>78.38</v>
      </c>
      <c r="O2236" t="s">
        <v>31</v>
      </c>
      <c r="P2236" t="s">
        <v>98</v>
      </c>
      <c r="X2236" t="s">
        <v>35</v>
      </c>
      <c r="Y2236" t="s">
        <v>389</v>
      </c>
      <c r="Z2236">
        <v>20200131</v>
      </c>
      <c r="AA2236">
        <f t="shared" si="84"/>
        <v>4.1900000000000004</v>
      </c>
      <c r="AC2236"/>
      <c r="AE2236" t="s">
        <v>390</v>
      </c>
      <c r="AF2236"/>
      <c r="AL2236">
        <v>340981790</v>
      </c>
      <c r="AM2236" t="s">
        <v>391</v>
      </c>
    </row>
    <row r="2237" spans="1:39" x14ac:dyDescent="0.35">
      <c r="A2237">
        <v>3413</v>
      </c>
      <c r="B2237" t="s">
        <v>28</v>
      </c>
      <c r="C2237">
        <v>2020</v>
      </c>
      <c r="D2237" s="1">
        <v>43831</v>
      </c>
      <c r="E2237">
        <v>1</v>
      </c>
      <c r="F2237">
        <v>130000470</v>
      </c>
      <c r="G2237" t="s">
        <v>101</v>
      </c>
      <c r="H2237">
        <v>40</v>
      </c>
      <c r="I2237">
        <v>71105120</v>
      </c>
      <c r="J2237">
        <v>11210050</v>
      </c>
      <c r="K2237" t="s">
        <v>268</v>
      </c>
      <c r="L2237" s="4">
        <v>12.57</v>
      </c>
      <c r="M2237" t="s">
        <v>54</v>
      </c>
      <c r="N2237" s="4">
        <v>235.14</v>
      </c>
      <c r="O2237" t="s">
        <v>31</v>
      </c>
      <c r="P2237" t="s">
        <v>98</v>
      </c>
      <c r="X2237" t="s">
        <v>35</v>
      </c>
      <c r="Y2237" t="s">
        <v>389</v>
      </c>
      <c r="Z2237">
        <v>20200131</v>
      </c>
      <c r="AA2237">
        <f t="shared" si="84"/>
        <v>12.57</v>
      </c>
      <c r="AC2237"/>
      <c r="AE2237" t="s">
        <v>390</v>
      </c>
      <c r="AF2237"/>
      <c r="AL2237">
        <v>341340390</v>
      </c>
      <c r="AM2237" t="s">
        <v>391</v>
      </c>
    </row>
    <row r="2238" spans="1:39" x14ac:dyDescent="0.35">
      <c r="A2238">
        <v>3413</v>
      </c>
      <c r="B2238" t="s">
        <v>28</v>
      </c>
      <c r="C2238">
        <v>2020</v>
      </c>
      <c r="D2238" s="1">
        <v>43831</v>
      </c>
      <c r="E2238">
        <v>2</v>
      </c>
      <c r="F2238">
        <v>130000470</v>
      </c>
      <c r="G2238" t="s">
        <v>101</v>
      </c>
      <c r="H2238">
        <v>40</v>
      </c>
      <c r="I2238">
        <v>71105120</v>
      </c>
      <c r="J2238">
        <v>11210050</v>
      </c>
      <c r="K2238" t="s">
        <v>268</v>
      </c>
      <c r="L2238" s="4">
        <v>4.5</v>
      </c>
      <c r="M2238" t="s">
        <v>54</v>
      </c>
      <c r="N2238" s="4">
        <v>84.18</v>
      </c>
      <c r="O2238" t="s">
        <v>31</v>
      </c>
      <c r="P2238" t="s">
        <v>98</v>
      </c>
      <c r="X2238" t="s">
        <v>35</v>
      </c>
      <c r="Y2238" t="s">
        <v>389</v>
      </c>
      <c r="Z2238">
        <v>20200131</v>
      </c>
      <c r="AA2238">
        <f t="shared" si="84"/>
        <v>4.5</v>
      </c>
      <c r="AC2238"/>
      <c r="AE2238" t="s">
        <v>390</v>
      </c>
      <c r="AF2238"/>
      <c r="AL2238">
        <v>341327190</v>
      </c>
      <c r="AM2238" t="s">
        <v>391</v>
      </c>
    </row>
    <row r="2239" spans="1:39" x14ac:dyDescent="0.35">
      <c r="A2239">
        <v>3413</v>
      </c>
      <c r="B2239" t="s">
        <v>28</v>
      </c>
      <c r="C2239">
        <v>2020</v>
      </c>
      <c r="D2239" s="1">
        <v>43831</v>
      </c>
      <c r="E2239">
        <v>3</v>
      </c>
      <c r="F2239">
        <v>130000470</v>
      </c>
      <c r="G2239" t="s">
        <v>101</v>
      </c>
      <c r="H2239">
        <v>40</v>
      </c>
      <c r="I2239">
        <v>71105120</v>
      </c>
      <c r="J2239">
        <v>11210050</v>
      </c>
      <c r="K2239" t="s">
        <v>268</v>
      </c>
      <c r="L2239" s="4">
        <v>4.5</v>
      </c>
      <c r="M2239" t="s">
        <v>54</v>
      </c>
      <c r="N2239" s="4">
        <v>84.18</v>
      </c>
      <c r="O2239" t="s">
        <v>31</v>
      </c>
      <c r="P2239" t="s">
        <v>98</v>
      </c>
      <c r="X2239" t="s">
        <v>35</v>
      </c>
      <c r="Y2239" t="s">
        <v>389</v>
      </c>
      <c r="Z2239">
        <v>20200131</v>
      </c>
      <c r="AA2239">
        <f t="shared" si="84"/>
        <v>4.5</v>
      </c>
      <c r="AC2239"/>
      <c r="AE2239" t="s">
        <v>390</v>
      </c>
      <c r="AF2239"/>
      <c r="AL2239">
        <v>341317690</v>
      </c>
      <c r="AM2239" t="s">
        <v>391</v>
      </c>
    </row>
    <row r="2240" spans="1:39" x14ac:dyDescent="0.35">
      <c r="A2240">
        <v>3413</v>
      </c>
      <c r="B2240" t="s">
        <v>28</v>
      </c>
      <c r="C2240">
        <v>2020</v>
      </c>
      <c r="D2240" s="1">
        <v>43831</v>
      </c>
      <c r="E2240">
        <v>4</v>
      </c>
      <c r="F2240">
        <v>130000470</v>
      </c>
      <c r="G2240" t="s">
        <v>101</v>
      </c>
      <c r="H2240">
        <v>40</v>
      </c>
      <c r="I2240">
        <v>71105120</v>
      </c>
      <c r="J2240">
        <v>11210050</v>
      </c>
      <c r="K2240" t="s">
        <v>268</v>
      </c>
      <c r="L2240" s="4">
        <v>9</v>
      </c>
      <c r="M2240" t="s">
        <v>54</v>
      </c>
      <c r="N2240" s="4">
        <v>168.36</v>
      </c>
      <c r="O2240" t="s">
        <v>31</v>
      </c>
      <c r="P2240" t="s">
        <v>98</v>
      </c>
      <c r="X2240" t="s">
        <v>35</v>
      </c>
      <c r="Y2240" t="s">
        <v>389</v>
      </c>
      <c r="Z2240">
        <v>20200131</v>
      </c>
      <c r="AA2240">
        <f t="shared" si="84"/>
        <v>9</v>
      </c>
      <c r="AC2240"/>
      <c r="AE2240" t="s">
        <v>390</v>
      </c>
      <c r="AF2240"/>
      <c r="AL2240">
        <v>341321790</v>
      </c>
      <c r="AM2240" t="s">
        <v>391</v>
      </c>
    </row>
    <row r="2241" spans="1:39" x14ac:dyDescent="0.35">
      <c r="A2241">
        <v>3413</v>
      </c>
      <c r="B2241" t="s">
        <v>28</v>
      </c>
      <c r="C2241">
        <v>2020</v>
      </c>
      <c r="D2241" s="1">
        <v>43831</v>
      </c>
      <c r="E2241">
        <v>5</v>
      </c>
      <c r="F2241">
        <v>130000470</v>
      </c>
      <c r="G2241" t="s">
        <v>101</v>
      </c>
      <c r="H2241">
        <v>40</v>
      </c>
      <c r="I2241">
        <v>71105120</v>
      </c>
      <c r="J2241">
        <v>11210050</v>
      </c>
      <c r="K2241" t="s">
        <v>268</v>
      </c>
      <c r="L2241" s="4">
        <v>4.1900000000000004</v>
      </c>
      <c r="M2241" t="s">
        <v>54</v>
      </c>
      <c r="N2241" s="4">
        <v>78.38</v>
      </c>
      <c r="O2241" t="s">
        <v>31</v>
      </c>
      <c r="P2241" t="s">
        <v>98</v>
      </c>
      <c r="X2241" t="s">
        <v>35</v>
      </c>
      <c r="Y2241" t="s">
        <v>389</v>
      </c>
      <c r="Z2241">
        <v>20200131</v>
      </c>
      <c r="AA2241">
        <f t="shared" si="84"/>
        <v>4.1900000000000004</v>
      </c>
      <c r="AC2241"/>
      <c r="AE2241" t="s">
        <v>390</v>
      </c>
      <c r="AF2241"/>
      <c r="AL2241">
        <v>341327290</v>
      </c>
      <c r="AM2241" t="s">
        <v>391</v>
      </c>
    </row>
    <row r="2242" spans="1:39" x14ac:dyDescent="0.35">
      <c r="A2242">
        <v>3403</v>
      </c>
      <c r="B2242" t="s">
        <v>28</v>
      </c>
      <c r="C2242">
        <v>2020</v>
      </c>
      <c r="D2242" s="1">
        <v>43831</v>
      </c>
      <c r="E2242">
        <v>1</v>
      </c>
      <c r="F2242">
        <v>300019145</v>
      </c>
      <c r="G2242" t="s">
        <v>101</v>
      </c>
      <c r="H2242">
        <v>40</v>
      </c>
      <c r="I2242">
        <v>71105120</v>
      </c>
      <c r="J2242">
        <v>21220060</v>
      </c>
      <c r="K2242" t="s">
        <v>268</v>
      </c>
      <c r="L2242">
        <v>32</v>
      </c>
      <c r="M2242" t="s">
        <v>54</v>
      </c>
      <c r="N2242">
        <v>598.62</v>
      </c>
      <c r="O2242" t="s">
        <v>31</v>
      </c>
      <c r="W2242">
        <v>300238848</v>
      </c>
      <c r="X2242" t="s">
        <v>32</v>
      </c>
      <c r="Y2242"/>
      <c r="Z2242">
        <v>20200131</v>
      </c>
      <c r="AA2242">
        <f t="shared" si="84"/>
        <v>32</v>
      </c>
      <c r="AC2242"/>
      <c r="AE2242" t="s">
        <v>932</v>
      </c>
      <c r="AF2242"/>
      <c r="AL2242">
        <v>340310490</v>
      </c>
      <c r="AM2242" t="s">
        <v>534</v>
      </c>
    </row>
    <row r="2243" spans="1:39" x14ac:dyDescent="0.35">
      <c r="A2243">
        <v>3403</v>
      </c>
      <c r="B2243" t="s">
        <v>28</v>
      </c>
      <c r="C2243">
        <v>2020</v>
      </c>
      <c r="D2243" s="1">
        <v>43831</v>
      </c>
      <c r="E2243">
        <v>2</v>
      </c>
      <c r="F2243">
        <v>300019145</v>
      </c>
      <c r="G2243" t="s">
        <v>101</v>
      </c>
      <c r="H2243">
        <v>40</v>
      </c>
      <c r="I2243">
        <v>71105120</v>
      </c>
      <c r="J2243">
        <v>21220060</v>
      </c>
      <c r="K2243" t="s">
        <v>268</v>
      </c>
      <c r="L2243">
        <v>399.95</v>
      </c>
      <c r="M2243" t="s">
        <v>54</v>
      </c>
      <c r="N2243">
        <v>7481.74</v>
      </c>
      <c r="O2243" t="s">
        <v>31</v>
      </c>
      <c r="W2243">
        <v>300238848</v>
      </c>
      <c r="X2243" t="s">
        <v>32</v>
      </c>
      <c r="Y2243"/>
      <c r="Z2243">
        <v>20200131</v>
      </c>
      <c r="AA2243">
        <f t="shared" si="84"/>
        <v>399.95</v>
      </c>
      <c r="AC2243"/>
      <c r="AE2243" t="s">
        <v>932</v>
      </c>
      <c r="AF2243"/>
      <c r="AL2243">
        <v>340312290</v>
      </c>
      <c r="AM2243" t="s">
        <v>534</v>
      </c>
    </row>
    <row r="2244" spans="1:39" x14ac:dyDescent="0.35">
      <c r="A2244">
        <v>3403</v>
      </c>
      <c r="B2244" t="s">
        <v>28</v>
      </c>
      <c r="C2244">
        <v>2020</v>
      </c>
      <c r="D2244" s="1">
        <v>43831</v>
      </c>
      <c r="E2244">
        <v>3</v>
      </c>
      <c r="F2244">
        <v>300019145</v>
      </c>
      <c r="G2244" t="s">
        <v>101</v>
      </c>
      <c r="H2244">
        <v>40</v>
      </c>
      <c r="I2244">
        <v>71105120</v>
      </c>
      <c r="J2244">
        <v>21220060</v>
      </c>
      <c r="K2244" t="s">
        <v>268</v>
      </c>
      <c r="L2244">
        <v>32</v>
      </c>
      <c r="M2244" t="s">
        <v>54</v>
      </c>
      <c r="N2244">
        <v>598.61</v>
      </c>
      <c r="O2244" t="s">
        <v>31</v>
      </c>
      <c r="W2244">
        <v>300238848</v>
      </c>
      <c r="X2244" t="s">
        <v>32</v>
      </c>
      <c r="Y2244"/>
      <c r="Z2244">
        <v>20200131</v>
      </c>
      <c r="AA2244">
        <f t="shared" si="84"/>
        <v>32</v>
      </c>
      <c r="AC2244"/>
      <c r="AE2244" t="s">
        <v>932</v>
      </c>
      <c r="AF2244"/>
      <c r="AL2244">
        <v>340320490</v>
      </c>
      <c r="AM2244" t="s">
        <v>534</v>
      </c>
    </row>
    <row r="2245" spans="1:39" x14ac:dyDescent="0.35">
      <c r="A2245">
        <v>3403</v>
      </c>
      <c r="B2245" t="s">
        <v>28</v>
      </c>
      <c r="C2245">
        <v>2020</v>
      </c>
      <c r="D2245" s="1">
        <v>43831</v>
      </c>
      <c r="E2245">
        <v>4</v>
      </c>
      <c r="F2245">
        <v>300019145</v>
      </c>
      <c r="G2245" t="s">
        <v>101</v>
      </c>
      <c r="H2245">
        <v>40</v>
      </c>
      <c r="I2245">
        <v>71105120</v>
      </c>
      <c r="J2245">
        <v>21220060</v>
      </c>
      <c r="K2245" t="s">
        <v>268</v>
      </c>
      <c r="L2245">
        <v>16</v>
      </c>
      <c r="M2245" t="s">
        <v>54</v>
      </c>
      <c r="N2245">
        <v>299.31</v>
      </c>
      <c r="O2245" t="s">
        <v>31</v>
      </c>
      <c r="W2245">
        <v>300238848</v>
      </c>
      <c r="X2245" t="s">
        <v>32</v>
      </c>
      <c r="Y2245"/>
      <c r="Z2245">
        <v>20200131</v>
      </c>
      <c r="AA2245">
        <f t="shared" si="84"/>
        <v>16</v>
      </c>
      <c r="AC2245"/>
      <c r="AE2245" t="s">
        <v>932</v>
      </c>
      <c r="AF2245"/>
      <c r="AL2245">
        <v>340325490</v>
      </c>
      <c r="AM2245" t="s">
        <v>534</v>
      </c>
    </row>
    <row r="2246" spans="1:39" x14ac:dyDescent="0.35">
      <c r="A2246">
        <v>3403</v>
      </c>
      <c r="B2246" t="s">
        <v>28</v>
      </c>
      <c r="C2246">
        <v>2020</v>
      </c>
      <c r="D2246" s="1">
        <v>43831</v>
      </c>
      <c r="E2246">
        <v>5</v>
      </c>
      <c r="F2246">
        <v>300019145</v>
      </c>
      <c r="G2246" t="s">
        <v>101</v>
      </c>
      <c r="H2246">
        <v>40</v>
      </c>
      <c r="I2246">
        <v>71105120</v>
      </c>
      <c r="J2246">
        <v>21220060</v>
      </c>
      <c r="K2246" t="s">
        <v>268</v>
      </c>
      <c r="L2246">
        <v>32</v>
      </c>
      <c r="M2246" t="s">
        <v>54</v>
      </c>
      <c r="N2246">
        <v>598.61</v>
      </c>
      <c r="O2246" t="s">
        <v>31</v>
      </c>
      <c r="W2246">
        <v>300238848</v>
      </c>
      <c r="X2246" t="s">
        <v>32</v>
      </c>
      <c r="Y2246"/>
      <c r="Z2246">
        <v>20200131</v>
      </c>
      <c r="AA2246">
        <f t="shared" si="84"/>
        <v>32</v>
      </c>
      <c r="AC2246"/>
      <c r="AE2246" t="s">
        <v>932</v>
      </c>
      <c r="AF2246"/>
      <c r="AL2246">
        <v>340343690</v>
      </c>
      <c r="AM2246" t="s">
        <v>534</v>
      </c>
    </row>
    <row r="2247" spans="1:39" x14ac:dyDescent="0.35">
      <c r="A2247">
        <v>3403</v>
      </c>
      <c r="B2247" t="s">
        <v>28</v>
      </c>
      <c r="C2247">
        <v>2020</v>
      </c>
      <c r="D2247" s="1">
        <v>43831</v>
      </c>
      <c r="E2247">
        <v>6</v>
      </c>
      <c r="F2247">
        <v>300019145</v>
      </c>
      <c r="G2247" t="s">
        <v>101</v>
      </c>
      <c r="H2247">
        <v>40</v>
      </c>
      <c r="I2247">
        <v>71105120</v>
      </c>
      <c r="J2247">
        <v>21220060</v>
      </c>
      <c r="K2247" t="s">
        <v>268</v>
      </c>
      <c r="L2247">
        <v>111.99</v>
      </c>
      <c r="M2247" t="s">
        <v>54</v>
      </c>
      <c r="N2247">
        <v>2094.96</v>
      </c>
      <c r="O2247" t="s">
        <v>31</v>
      </c>
      <c r="W2247">
        <v>300238848</v>
      </c>
      <c r="X2247" t="s">
        <v>32</v>
      </c>
      <c r="Y2247"/>
      <c r="Z2247">
        <v>20200131</v>
      </c>
      <c r="AA2247">
        <f t="shared" si="84"/>
        <v>111.99</v>
      </c>
      <c r="AC2247"/>
      <c r="AE2247" t="s">
        <v>932</v>
      </c>
      <c r="AF2247"/>
      <c r="AL2247">
        <v>340340390</v>
      </c>
      <c r="AM2247" t="s">
        <v>534</v>
      </c>
    </row>
    <row r="2248" spans="1:39" x14ac:dyDescent="0.35">
      <c r="A2248">
        <v>3403</v>
      </c>
      <c r="B2248" t="s">
        <v>28</v>
      </c>
      <c r="C2248">
        <v>2020</v>
      </c>
      <c r="D2248" s="1">
        <v>43831</v>
      </c>
      <c r="E2248">
        <v>7</v>
      </c>
      <c r="F2248">
        <v>300019145</v>
      </c>
      <c r="G2248" t="s">
        <v>101</v>
      </c>
      <c r="H2248">
        <v>40</v>
      </c>
      <c r="I2248">
        <v>71105120</v>
      </c>
      <c r="J2248">
        <v>21220060</v>
      </c>
      <c r="K2248" t="s">
        <v>268</v>
      </c>
      <c r="L2248">
        <v>32</v>
      </c>
      <c r="M2248" t="s">
        <v>54</v>
      </c>
      <c r="N2248">
        <v>598.61</v>
      </c>
      <c r="O2248" t="s">
        <v>31</v>
      </c>
      <c r="W2248">
        <v>300238848</v>
      </c>
      <c r="X2248" t="s">
        <v>32</v>
      </c>
      <c r="Y2248"/>
      <c r="Z2248">
        <v>20200131</v>
      </c>
      <c r="AA2248">
        <f t="shared" si="84"/>
        <v>32</v>
      </c>
      <c r="AC2248"/>
      <c r="AE2248" t="s">
        <v>932</v>
      </c>
      <c r="AF2248"/>
      <c r="AL2248">
        <v>340325190</v>
      </c>
      <c r="AM2248" t="s">
        <v>534</v>
      </c>
    </row>
    <row r="2249" spans="1:39" x14ac:dyDescent="0.35">
      <c r="A2249">
        <v>3403</v>
      </c>
      <c r="B2249" t="s">
        <v>28</v>
      </c>
      <c r="C2249">
        <v>2020</v>
      </c>
      <c r="D2249" s="1">
        <v>43831</v>
      </c>
      <c r="E2249">
        <v>8</v>
      </c>
      <c r="F2249">
        <v>300019145</v>
      </c>
      <c r="G2249" t="s">
        <v>101</v>
      </c>
      <c r="H2249">
        <v>40</v>
      </c>
      <c r="I2249">
        <v>71105120</v>
      </c>
      <c r="J2249">
        <v>21220060</v>
      </c>
      <c r="K2249" t="s">
        <v>268</v>
      </c>
      <c r="L2249">
        <v>79.989999999999995</v>
      </c>
      <c r="M2249" t="s">
        <v>54</v>
      </c>
      <c r="N2249">
        <v>1496.35</v>
      </c>
      <c r="O2249" t="s">
        <v>31</v>
      </c>
      <c r="W2249">
        <v>300238848</v>
      </c>
      <c r="X2249" t="s">
        <v>32</v>
      </c>
      <c r="Y2249"/>
      <c r="Z2249">
        <v>20200131</v>
      </c>
      <c r="AA2249">
        <f t="shared" si="84"/>
        <v>79.989999999999995</v>
      </c>
      <c r="AC2249"/>
      <c r="AE2249" t="s">
        <v>932</v>
      </c>
      <c r="AF2249"/>
      <c r="AL2249">
        <v>340321690</v>
      </c>
      <c r="AM2249" t="s">
        <v>534</v>
      </c>
    </row>
    <row r="2250" spans="1:39" x14ac:dyDescent="0.35">
      <c r="A2250">
        <v>3403</v>
      </c>
      <c r="B2250" t="s">
        <v>28</v>
      </c>
      <c r="C2250">
        <v>2020</v>
      </c>
      <c r="D2250" s="1">
        <v>43831</v>
      </c>
      <c r="E2250">
        <v>9</v>
      </c>
      <c r="F2250">
        <v>300019145</v>
      </c>
      <c r="G2250" t="s">
        <v>101</v>
      </c>
      <c r="H2250">
        <v>40</v>
      </c>
      <c r="I2250">
        <v>71105120</v>
      </c>
      <c r="J2250">
        <v>21220060</v>
      </c>
      <c r="K2250" t="s">
        <v>268</v>
      </c>
      <c r="L2250">
        <v>175.98</v>
      </c>
      <c r="M2250" t="s">
        <v>54</v>
      </c>
      <c r="N2250">
        <v>3292.01</v>
      </c>
      <c r="O2250" t="s">
        <v>31</v>
      </c>
      <c r="W2250">
        <v>300238848</v>
      </c>
      <c r="X2250" t="s">
        <v>32</v>
      </c>
      <c r="Y2250"/>
      <c r="Z2250">
        <v>20200131</v>
      </c>
      <c r="AA2250">
        <f t="shared" si="84"/>
        <v>175.98</v>
      </c>
      <c r="AC2250"/>
      <c r="AE2250" t="s">
        <v>932</v>
      </c>
      <c r="AF2250"/>
      <c r="AL2250">
        <v>340348290</v>
      </c>
      <c r="AM2250" t="s">
        <v>534</v>
      </c>
    </row>
    <row r="2251" spans="1:39" x14ac:dyDescent="0.35">
      <c r="A2251">
        <v>3403</v>
      </c>
      <c r="B2251" t="s">
        <v>28</v>
      </c>
      <c r="C2251">
        <v>2020</v>
      </c>
      <c r="D2251" s="1">
        <v>43831</v>
      </c>
      <c r="E2251">
        <v>10</v>
      </c>
      <c r="F2251">
        <v>300019145</v>
      </c>
      <c r="G2251" t="s">
        <v>101</v>
      </c>
      <c r="H2251">
        <v>40</v>
      </c>
      <c r="I2251">
        <v>71105120</v>
      </c>
      <c r="J2251">
        <v>21220060</v>
      </c>
      <c r="K2251" t="s">
        <v>268</v>
      </c>
      <c r="L2251">
        <v>143.97999999999999</v>
      </c>
      <c r="M2251" t="s">
        <v>54</v>
      </c>
      <c r="N2251">
        <v>2693.39</v>
      </c>
      <c r="O2251" t="s">
        <v>31</v>
      </c>
      <c r="W2251">
        <v>300238848</v>
      </c>
      <c r="X2251" t="s">
        <v>32</v>
      </c>
      <c r="Y2251"/>
      <c r="Z2251">
        <v>20200131</v>
      </c>
      <c r="AA2251">
        <f t="shared" si="84"/>
        <v>143.97999999999999</v>
      </c>
      <c r="AC2251"/>
      <c r="AE2251" t="s">
        <v>932</v>
      </c>
      <c r="AF2251"/>
      <c r="AL2251">
        <v>340316690</v>
      </c>
      <c r="AM2251" t="s">
        <v>534</v>
      </c>
    </row>
    <row r="2252" spans="1:39" x14ac:dyDescent="0.35">
      <c r="A2252">
        <v>3403</v>
      </c>
      <c r="B2252" t="s">
        <v>28</v>
      </c>
      <c r="C2252">
        <v>2020</v>
      </c>
      <c r="D2252" s="1">
        <v>43831</v>
      </c>
      <c r="E2252">
        <v>11</v>
      </c>
      <c r="F2252">
        <v>300019145</v>
      </c>
      <c r="G2252" t="s">
        <v>101</v>
      </c>
      <c r="H2252">
        <v>40</v>
      </c>
      <c r="I2252">
        <v>71105120</v>
      </c>
      <c r="J2252">
        <v>21220060</v>
      </c>
      <c r="K2252" t="s">
        <v>268</v>
      </c>
      <c r="L2252">
        <v>239.97</v>
      </c>
      <c r="M2252" t="s">
        <v>54</v>
      </c>
      <c r="N2252">
        <v>4489.05</v>
      </c>
      <c r="O2252" t="s">
        <v>31</v>
      </c>
      <c r="W2252">
        <v>300238848</v>
      </c>
      <c r="X2252" t="s">
        <v>32</v>
      </c>
      <c r="Y2252"/>
      <c r="Z2252">
        <v>20200131</v>
      </c>
      <c r="AA2252">
        <f t="shared" si="84"/>
        <v>239.97</v>
      </c>
      <c r="AC2252"/>
      <c r="AE2252" t="s">
        <v>932</v>
      </c>
      <c r="AF2252"/>
      <c r="AL2252">
        <v>340310790</v>
      </c>
      <c r="AM2252" t="s">
        <v>534</v>
      </c>
    </row>
    <row r="2253" spans="1:39" x14ac:dyDescent="0.35">
      <c r="A2253">
        <v>3403</v>
      </c>
      <c r="B2253" t="s">
        <v>28</v>
      </c>
      <c r="C2253">
        <v>2020</v>
      </c>
      <c r="D2253" s="1">
        <v>43831</v>
      </c>
      <c r="E2253">
        <v>12</v>
      </c>
      <c r="F2253">
        <v>300019145</v>
      </c>
      <c r="G2253" t="s">
        <v>101</v>
      </c>
      <c r="H2253">
        <v>40</v>
      </c>
      <c r="I2253">
        <v>71105120</v>
      </c>
      <c r="J2253">
        <v>21220060</v>
      </c>
      <c r="K2253" t="s">
        <v>268</v>
      </c>
      <c r="L2253">
        <v>175.98</v>
      </c>
      <c r="M2253" t="s">
        <v>54</v>
      </c>
      <c r="N2253">
        <v>3292.01</v>
      </c>
      <c r="O2253" t="s">
        <v>31</v>
      </c>
      <c r="W2253">
        <v>300238848</v>
      </c>
      <c r="X2253" t="s">
        <v>32</v>
      </c>
      <c r="Y2253"/>
      <c r="Z2253">
        <v>20200131</v>
      </c>
      <c r="AA2253">
        <f t="shared" si="84"/>
        <v>175.98</v>
      </c>
      <c r="AC2253"/>
      <c r="AE2253" t="s">
        <v>932</v>
      </c>
      <c r="AF2253"/>
      <c r="AL2253">
        <v>340319190</v>
      </c>
      <c r="AM2253" t="s">
        <v>534</v>
      </c>
    </row>
    <row r="2254" spans="1:39" x14ac:dyDescent="0.35">
      <c r="A2254">
        <v>3403</v>
      </c>
      <c r="B2254" t="s">
        <v>28</v>
      </c>
      <c r="C2254">
        <v>2020</v>
      </c>
      <c r="D2254" s="1">
        <v>43831</v>
      </c>
      <c r="E2254">
        <v>13</v>
      </c>
      <c r="F2254">
        <v>300019145</v>
      </c>
      <c r="G2254" t="s">
        <v>101</v>
      </c>
      <c r="H2254">
        <v>40</v>
      </c>
      <c r="I2254">
        <v>71105120</v>
      </c>
      <c r="J2254">
        <v>21220060</v>
      </c>
      <c r="K2254" t="s">
        <v>268</v>
      </c>
      <c r="L2254">
        <v>47.99</v>
      </c>
      <c r="M2254" t="s">
        <v>54</v>
      </c>
      <c r="N2254">
        <v>897.73</v>
      </c>
      <c r="O2254" t="s">
        <v>31</v>
      </c>
      <c r="W2254">
        <v>300238848</v>
      </c>
      <c r="X2254" t="s">
        <v>32</v>
      </c>
      <c r="Y2254"/>
      <c r="Z2254">
        <v>20200131</v>
      </c>
      <c r="AA2254">
        <f t="shared" si="84"/>
        <v>47.99</v>
      </c>
      <c r="AC2254"/>
      <c r="AE2254" t="s">
        <v>932</v>
      </c>
      <c r="AF2254"/>
      <c r="AL2254">
        <v>340368190</v>
      </c>
      <c r="AM2254" t="s">
        <v>534</v>
      </c>
    </row>
    <row r="2255" spans="1:39" x14ac:dyDescent="0.35">
      <c r="A2255">
        <v>3403</v>
      </c>
      <c r="B2255" t="s">
        <v>28</v>
      </c>
      <c r="C2255">
        <v>2020</v>
      </c>
      <c r="D2255" s="1">
        <v>43831</v>
      </c>
      <c r="E2255">
        <v>14</v>
      </c>
      <c r="F2255">
        <v>300019145</v>
      </c>
      <c r="G2255" t="s">
        <v>101</v>
      </c>
      <c r="H2255">
        <v>40</v>
      </c>
      <c r="I2255">
        <v>71105120</v>
      </c>
      <c r="J2255">
        <v>21220060</v>
      </c>
      <c r="K2255" t="s">
        <v>268</v>
      </c>
      <c r="L2255">
        <v>16</v>
      </c>
      <c r="M2255" t="s">
        <v>54</v>
      </c>
      <c r="N2255">
        <v>299.31</v>
      </c>
      <c r="O2255" t="s">
        <v>31</v>
      </c>
      <c r="W2255">
        <v>300238848</v>
      </c>
      <c r="X2255" t="s">
        <v>32</v>
      </c>
      <c r="Y2255"/>
      <c r="Z2255">
        <v>20200131</v>
      </c>
      <c r="AA2255">
        <f t="shared" si="84"/>
        <v>16</v>
      </c>
      <c r="AC2255"/>
      <c r="AE2255" t="s">
        <v>932</v>
      </c>
      <c r="AF2255"/>
      <c r="AL2255">
        <v>340315190</v>
      </c>
      <c r="AM2255" t="s">
        <v>534</v>
      </c>
    </row>
    <row r="2256" spans="1:39" x14ac:dyDescent="0.35">
      <c r="A2256">
        <v>3403</v>
      </c>
      <c r="B2256" t="s">
        <v>28</v>
      </c>
      <c r="C2256">
        <v>2020</v>
      </c>
      <c r="D2256" s="1">
        <v>43831</v>
      </c>
      <c r="E2256">
        <v>15</v>
      </c>
      <c r="F2256">
        <v>300019145</v>
      </c>
      <c r="G2256" t="s">
        <v>101</v>
      </c>
      <c r="H2256">
        <v>40</v>
      </c>
      <c r="I2256">
        <v>71105120</v>
      </c>
      <c r="J2256">
        <v>21220060</v>
      </c>
      <c r="K2256" t="s">
        <v>268</v>
      </c>
      <c r="L2256">
        <v>16</v>
      </c>
      <c r="M2256" t="s">
        <v>54</v>
      </c>
      <c r="N2256">
        <v>299.31</v>
      </c>
      <c r="O2256" t="s">
        <v>31</v>
      </c>
      <c r="W2256">
        <v>300238848</v>
      </c>
      <c r="X2256" t="s">
        <v>32</v>
      </c>
      <c r="Y2256"/>
      <c r="Z2256">
        <v>20200131</v>
      </c>
      <c r="AA2256">
        <f t="shared" si="84"/>
        <v>16</v>
      </c>
      <c r="AC2256"/>
      <c r="AE2256" t="s">
        <v>932</v>
      </c>
      <c r="AF2256"/>
      <c r="AL2256">
        <v>340325290</v>
      </c>
      <c r="AM2256" t="s">
        <v>534</v>
      </c>
    </row>
    <row r="2257" spans="1:39" x14ac:dyDescent="0.35">
      <c r="A2257">
        <v>3403</v>
      </c>
      <c r="B2257" t="s">
        <v>28</v>
      </c>
      <c r="C2257">
        <v>2020</v>
      </c>
      <c r="D2257" s="1">
        <v>43831</v>
      </c>
      <c r="E2257">
        <v>16</v>
      </c>
      <c r="F2257">
        <v>300019145</v>
      </c>
      <c r="G2257" t="s">
        <v>101</v>
      </c>
      <c r="H2257">
        <v>40</v>
      </c>
      <c r="I2257">
        <v>71105120</v>
      </c>
      <c r="J2257">
        <v>21220060</v>
      </c>
      <c r="K2257" t="s">
        <v>268</v>
      </c>
      <c r="L2257">
        <v>47.99</v>
      </c>
      <c r="M2257" t="s">
        <v>54</v>
      </c>
      <c r="N2257">
        <v>897.73</v>
      </c>
      <c r="O2257" t="s">
        <v>31</v>
      </c>
      <c r="W2257">
        <v>300238848</v>
      </c>
      <c r="X2257" t="s">
        <v>32</v>
      </c>
      <c r="Y2257"/>
      <c r="Z2257">
        <v>20200131</v>
      </c>
      <c r="AA2257">
        <f t="shared" si="84"/>
        <v>47.99</v>
      </c>
      <c r="AC2257"/>
      <c r="AE2257" t="s">
        <v>932</v>
      </c>
      <c r="AF2257"/>
      <c r="AL2257">
        <v>340346390</v>
      </c>
      <c r="AM2257" t="s">
        <v>534</v>
      </c>
    </row>
    <row r="2258" spans="1:39" x14ac:dyDescent="0.35">
      <c r="A2258">
        <v>3403</v>
      </c>
      <c r="B2258" t="s">
        <v>28</v>
      </c>
      <c r="C2258">
        <v>2020</v>
      </c>
      <c r="D2258" s="1">
        <v>43831</v>
      </c>
      <c r="E2258">
        <v>17</v>
      </c>
      <c r="F2258">
        <v>300019145</v>
      </c>
      <c r="G2258" t="s">
        <v>101</v>
      </c>
      <c r="H2258">
        <v>40</v>
      </c>
      <c r="I2258">
        <v>71105120</v>
      </c>
      <c r="J2258">
        <v>21220060</v>
      </c>
      <c r="K2258" t="s">
        <v>268</v>
      </c>
      <c r="L2258">
        <v>95.99</v>
      </c>
      <c r="M2258" t="s">
        <v>54</v>
      </c>
      <c r="N2258">
        <v>1795.66</v>
      </c>
      <c r="O2258" t="s">
        <v>31</v>
      </c>
      <c r="W2258">
        <v>300238848</v>
      </c>
      <c r="X2258" t="s">
        <v>32</v>
      </c>
      <c r="Y2258"/>
      <c r="Z2258">
        <v>20200131</v>
      </c>
      <c r="AA2258">
        <f t="shared" ref="AA2258:AA2321" si="85">L2258</f>
        <v>95.99</v>
      </c>
      <c r="AC2258"/>
      <c r="AE2258" t="s">
        <v>932</v>
      </c>
      <c r="AF2258"/>
      <c r="AL2258">
        <v>340353290</v>
      </c>
      <c r="AM2258" t="s">
        <v>534</v>
      </c>
    </row>
    <row r="2259" spans="1:39" x14ac:dyDescent="0.35">
      <c r="A2259">
        <v>3403</v>
      </c>
      <c r="B2259" t="s">
        <v>28</v>
      </c>
      <c r="C2259">
        <v>2020</v>
      </c>
      <c r="D2259" s="1">
        <v>43831</v>
      </c>
      <c r="E2259">
        <v>18</v>
      </c>
      <c r="F2259">
        <v>300019145</v>
      </c>
      <c r="G2259" t="s">
        <v>101</v>
      </c>
      <c r="H2259">
        <v>40</v>
      </c>
      <c r="I2259">
        <v>71105120</v>
      </c>
      <c r="J2259">
        <v>21220060</v>
      </c>
      <c r="K2259" t="s">
        <v>268</v>
      </c>
      <c r="L2259">
        <v>95.95</v>
      </c>
      <c r="M2259" t="s">
        <v>54</v>
      </c>
      <c r="N2259">
        <v>1794.91</v>
      </c>
      <c r="O2259" t="s">
        <v>31</v>
      </c>
      <c r="W2259">
        <v>300238848</v>
      </c>
      <c r="X2259" t="s">
        <v>32</v>
      </c>
      <c r="Y2259"/>
      <c r="Z2259">
        <v>20200131</v>
      </c>
      <c r="AA2259">
        <f t="shared" si="85"/>
        <v>95.95</v>
      </c>
      <c r="AC2259"/>
      <c r="AE2259" t="s">
        <v>932</v>
      </c>
      <c r="AF2259"/>
      <c r="AL2259">
        <v>340321790</v>
      </c>
      <c r="AM2259" t="s">
        <v>534</v>
      </c>
    </row>
    <row r="2260" spans="1:39" x14ac:dyDescent="0.35">
      <c r="A2260">
        <v>3402</v>
      </c>
      <c r="B2260" t="s">
        <v>28</v>
      </c>
      <c r="C2260">
        <v>2020</v>
      </c>
      <c r="D2260" s="1">
        <v>43831</v>
      </c>
      <c r="E2260">
        <v>1</v>
      </c>
      <c r="F2260">
        <v>200120044</v>
      </c>
      <c r="G2260" t="s">
        <v>101</v>
      </c>
      <c r="H2260">
        <v>40</v>
      </c>
      <c r="I2260">
        <v>71105120</v>
      </c>
      <c r="J2260">
        <v>21220040</v>
      </c>
      <c r="K2260" t="s">
        <v>268</v>
      </c>
      <c r="L2260" s="4">
        <v>253.96</v>
      </c>
      <c r="M2260" t="s">
        <v>54</v>
      </c>
      <c r="N2260" s="4">
        <v>4750.75</v>
      </c>
      <c r="O2260" t="s">
        <v>31</v>
      </c>
      <c r="X2260" t="s">
        <v>32</v>
      </c>
      <c r="Y2260"/>
      <c r="Z2260">
        <v>20200131</v>
      </c>
      <c r="AA2260">
        <f t="shared" si="85"/>
        <v>253.96</v>
      </c>
      <c r="AC2260"/>
      <c r="AE2260" t="s">
        <v>933</v>
      </c>
      <c r="AF2260"/>
      <c r="AL2260">
        <v>340225190</v>
      </c>
      <c r="AM2260" t="s">
        <v>105</v>
      </c>
    </row>
    <row r="2261" spans="1:39" x14ac:dyDescent="0.35">
      <c r="A2261">
        <v>3409</v>
      </c>
      <c r="B2261" t="s">
        <v>28</v>
      </c>
      <c r="C2261">
        <v>2020</v>
      </c>
      <c r="D2261" s="1">
        <v>43831</v>
      </c>
      <c r="E2261">
        <v>1</v>
      </c>
      <c r="F2261">
        <v>900012083</v>
      </c>
      <c r="G2261" t="s">
        <v>101</v>
      </c>
      <c r="H2261">
        <v>40</v>
      </c>
      <c r="I2261">
        <v>71105120</v>
      </c>
      <c r="J2261">
        <v>11610090</v>
      </c>
      <c r="K2261" t="s">
        <v>268</v>
      </c>
      <c r="L2261" s="4">
        <v>4313.3999999999996</v>
      </c>
      <c r="M2261" t="s">
        <v>54</v>
      </c>
      <c r="N2261" s="4">
        <v>82253.95</v>
      </c>
      <c r="O2261" t="s">
        <v>31</v>
      </c>
      <c r="X2261" t="s">
        <v>65</v>
      </c>
      <c r="Y2261">
        <v>8235573</v>
      </c>
      <c r="Z2261">
        <v>20200131</v>
      </c>
      <c r="AA2261">
        <f t="shared" si="85"/>
        <v>4313.3999999999996</v>
      </c>
      <c r="AC2261"/>
      <c r="AE2261" t="s">
        <v>934</v>
      </c>
      <c r="AF2261"/>
      <c r="AL2261">
        <v>340946390</v>
      </c>
      <c r="AM2261" t="s">
        <v>208</v>
      </c>
    </row>
    <row r="2262" spans="1:39" x14ac:dyDescent="0.35">
      <c r="A2262">
        <v>3400</v>
      </c>
      <c r="B2262" t="s">
        <v>28</v>
      </c>
      <c r="C2262">
        <v>2020</v>
      </c>
      <c r="D2262" s="1">
        <v>43831</v>
      </c>
      <c r="E2262">
        <v>2</v>
      </c>
      <c r="F2262">
        <v>100011875</v>
      </c>
      <c r="G2262" t="s">
        <v>101</v>
      </c>
      <c r="H2262">
        <v>50</v>
      </c>
      <c r="I2262">
        <v>71105120</v>
      </c>
      <c r="J2262">
        <v>71105160</v>
      </c>
      <c r="K2262" t="s">
        <v>268</v>
      </c>
      <c r="L2262" s="4">
        <v>11004</v>
      </c>
      <c r="M2262" t="s">
        <v>54</v>
      </c>
      <c r="N2262" s="4">
        <v>207219.63</v>
      </c>
      <c r="O2262" t="s">
        <v>31</v>
      </c>
      <c r="X2262" t="s">
        <v>72</v>
      </c>
      <c r="Y2262" t="s">
        <v>935</v>
      </c>
      <c r="Z2262">
        <v>20200131</v>
      </c>
      <c r="AA2262">
        <f t="shared" si="85"/>
        <v>11004</v>
      </c>
      <c r="AC2262"/>
      <c r="AE2262" t="s">
        <v>527</v>
      </c>
      <c r="AF2262"/>
      <c r="AL2262">
        <v>340041850</v>
      </c>
      <c r="AM2262" t="s">
        <v>388</v>
      </c>
    </row>
    <row r="2263" spans="1:39" x14ac:dyDescent="0.35">
      <c r="A2263">
        <v>3402</v>
      </c>
      <c r="B2263" t="s">
        <v>28</v>
      </c>
      <c r="C2263">
        <v>2020</v>
      </c>
      <c r="D2263" s="1">
        <v>43831</v>
      </c>
      <c r="E2263">
        <v>1</v>
      </c>
      <c r="F2263">
        <v>200108022</v>
      </c>
      <c r="G2263" t="s">
        <v>120</v>
      </c>
      <c r="H2263">
        <v>81</v>
      </c>
      <c r="I2263">
        <v>71106150</v>
      </c>
      <c r="J2263">
        <v>21021040</v>
      </c>
      <c r="K2263" t="s">
        <v>102</v>
      </c>
      <c r="L2263" s="4">
        <v>3425.05</v>
      </c>
      <c r="M2263" t="s">
        <v>54</v>
      </c>
      <c r="N2263" s="4">
        <v>64071.38</v>
      </c>
      <c r="O2263" t="s">
        <v>31</v>
      </c>
      <c r="T2263">
        <v>605735</v>
      </c>
      <c r="U2263" t="s">
        <v>896</v>
      </c>
      <c r="X2263" t="s">
        <v>28</v>
      </c>
      <c r="Y2263" s="1">
        <v>43831</v>
      </c>
      <c r="Z2263">
        <v>20200131</v>
      </c>
      <c r="AA2263">
        <f t="shared" si="85"/>
        <v>3425.05</v>
      </c>
      <c r="AC2263"/>
      <c r="AE2263" t="s">
        <v>936</v>
      </c>
      <c r="AF2263"/>
      <c r="AL2263">
        <v>340220490</v>
      </c>
      <c r="AM2263" t="s">
        <v>622</v>
      </c>
    </row>
    <row r="2264" spans="1:39" x14ac:dyDescent="0.35">
      <c r="A2264">
        <v>3401</v>
      </c>
      <c r="B2264" t="s">
        <v>28</v>
      </c>
      <c r="C2264">
        <v>2020</v>
      </c>
      <c r="D2264" s="1">
        <v>43831</v>
      </c>
      <c r="E2264">
        <v>1</v>
      </c>
      <c r="F2264">
        <v>100031639</v>
      </c>
      <c r="G2264" t="s">
        <v>120</v>
      </c>
      <c r="H2264">
        <v>81</v>
      </c>
      <c r="I2264">
        <v>71105060</v>
      </c>
      <c r="J2264">
        <v>21021040</v>
      </c>
      <c r="K2264" t="s">
        <v>238</v>
      </c>
      <c r="L2264" s="4">
        <v>11000</v>
      </c>
      <c r="M2264" t="s">
        <v>31</v>
      </c>
      <c r="N2264" s="4">
        <v>11000</v>
      </c>
      <c r="O2264" t="s">
        <v>31</v>
      </c>
      <c r="R2264" t="s">
        <v>937</v>
      </c>
      <c r="S2264" t="s">
        <v>1137</v>
      </c>
      <c r="T2264">
        <v>201195</v>
      </c>
      <c r="U2264" t="s">
        <v>938</v>
      </c>
      <c r="X2264" t="s">
        <v>28</v>
      </c>
      <c r="Y2264" s="8">
        <v>4501218465</v>
      </c>
      <c r="Z2264">
        <v>300</v>
      </c>
      <c r="AA2264">
        <f t="shared" si="85"/>
        <v>11000</v>
      </c>
      <c r="AB2264">
        <f>AA2264*0.16</f>
        <v>1760</v>
      </c>
      <c r="AC2264" s="4">
        <f>AA2264+AB2264</f>
        <v>12760</v>
      </c>
      <c r="AD2264">
        <v>100102074</v>
      </c>
      <c r="AE2264" t="s">
        <v>939</v>
      </c>
      <c r="AF2264" s="4">
        <f>AC2264</f>
        <v>12760</v>
      </c>
      <c r="AG2264" t="s">
        <v>1138</v>
      </c>
      <c r="AH2264" t="s">
        <v>1123</v>
      </c>
      <c r="AI2264">
        <v>100463413</v>
      </c>
      <c r="AJ2264" t="s">
        <v>1136</v>
      </c>
      <c r="AK2264" t="s">
        <v>1135</v>
      </c>
      <c r="AL2264">
        <v>340117690</v>
      </c>
      <c r="AM2264" t="s">
        <v>124</v>
      </c>
    </row>
    <row r="2265" spans="1:39" x14ac:dyDescent="0.35">
      <c r="A2265">
        <v>3401</v>
      </c>
      <c r="B2265" t="s">
        <v>28</v>
      </c>
      <c r="C2265">
        <v>2020</v>
      </c>
      <c r="D2265" s="1">
        <v>43831</v>
      </c>
      <c r="E2265">
        <v>1</v>
      </c>
      <c r="F2265">
        <v>100031651</v>
      </c>
      <c r="G2265" t="s">
        <v>120</v>
      </c>
      <c r="H2265">
        <v>81</v>
      </c>
      <c r="I2265">
        <v>71105060</v>
      </c>
      <c r="J2265">
        <v>21021040</v>
      </c>
      <c r="K2265" t="s">
        <v>238</v>
      </c>
      <c r="L2265" s="4">
        <v>30000</v>
      </c>
      <c r="M2265" t="s">
        <v>31</v>
      </c>
      <c r="N2265" s="4">
        <v>30000</v>
      </c>
      <c r="O2265" t="s">
        <v>31</v>
      </c>
      <c r="R2265" t="s">
        <v>940</v>
      </c>
      <c r="S2265" t="s">
        <v>1132</v>
      </c>
      <c r="T2265">
        <v>107358</v>
      </c>
      <c r="U2265" t="s">
        <v>941</v>
      </c>
      <c r="X2265" t="s">
        <v>28</v>
      </c>
      <c r="Y2265" s="8">
        <v>4501183949</v>
      </c>
      <c r="Z2265" t="s">
        <v>1133</v>
      </c>
      <c r="AA2265">
        <f t="shared" si="85"/>
        <v>30000</v>
      </c>
      <c r="AB2265">
        <f>AA2265*0.16</f>
        <v>4800</v>
      </c>
      <c r="AC2265">
        <f>AA2265+AB2265</f>
        <v>34800</v>
      </c>
      <c r="AD2265">
        <v>100058738</v>
      </c>
      <c r="AE2265" t="s">
        <v>939</v>
      </c>
      <c r="AF2265" s="4">
        <f>AC2265</f>
        <v>34800</v>
      </c>
      <c r="AG2265" t="s">
        <v>1134</v>
      </c>
      <c r="AH2265" t="s">
        <v>1123</v>
      </c>
      <c r="AI2265">
        <v>100432718</v>
      </c>
      <c r="AJ2265" t="s">
        <v>1136</v>
      </c>
      <c r="AK2265" t="s">
        <v>1135</v>
      </c>
      <c r="AL2265">
        <v>340117690</v>
      </c>
      <c r="AM2265" t="s">
        <v>124</v>
      </c>
    </row>
    <row r="2266" spans="1:39" x14ac:dyDescent="0.35">
      <c r="A2266">
        <v>3403</v>
      </c>
      <c r="B2266" t="s">
        <v>28</v>
      </c>
      <c r="C2266">
        <v>2020</v>
      </c>
      <c r="D2266" s="1">
        <v>43831</v>
      </c>
      <c r="E2266">
        <v>1</v>
      </c>
      <c r="F2266">
        <v>300017598</v>
      </c>
      <c r="G2266" t="s">
        <v>120</v>
      </c>
      <c r="H2266">
        <v>81</v>
      </c>
      <c r="I2266">
        <v>71104010</v>
      </c>
      <c r="J2266">
        <v>21021040</v>
      </c>
      <c r="K2266" t="s">
        <v>121</v>
      </c>
      <c r="L2266" s="4">
        <v>48695</v>
      </c>
      <c r="M2266" t="s">
        <v>31</v>
      </c>
      <c r="N2266" s="4">
        <v>48695</v>
      </c>
      <c r="O2266" t="s">
        <v>31</v>
      </c>
      <c r="R2266" t="s">
        <v>542</v>
      </c>
      <c r="S2266" t="s">
        <v>1131</v>
      </c>
      <c r="T2266">
        <v>107211</v>
      </c>
      <c r="U2266" t="s">
        <v>123</v>
      </c>
      <c r="X2266" t="s">
        <v>28</v>
      </c>
      <c r="Y2266" s="8">
        <v>4501228713</v>
      </c>
      <c r="Z2266">
        <v>20200131</v>
      </c>
      <c r="AA2266">
        <f t="shared" si="85"/>
        <v>48695</v>
      </c>
      <c r="AB2266">
        <f>AA2266*0.16</f>
        <v>7791.2</v>
      </c>
      <c r="AC2266">
        <f>AB2266+AA2266</f>
        <v>56486.2</v>
      </c>
      <c r="AD2266">
        <v>300021003</v>
      </c>
      <c r="AE2266" t="s">
        <v>942</v>
      </c>
      <c r="AF2266" s="4">
        <f>AC2266</f>
        <v>56486.2</v>
      </c>
      <c r="AG2266" t="s">
        <v>51</v>
      </c>
      <c r="AH2266" t="s">
        <v>1123</v>
      </c>
      <c r="AI2266">
        <v>300021371</v>
      </c>
      <c r="AJ2266" t="s">
        <v>1148</v>
      </c>
      <c r="AK2266" t="s">
        <v>1129</v>
      </c>
      <c r="AL2266">
        <v>340318590</v>
      </c>
      <c r="AM2266" t="s">
        <v>222</v>
      </c>
    </row>
    <row r="2267" spans="1:39" x14ac:dyDescent="0.35">
      <c r="A2267">
        <v>3402</v>
      </c>
      <c r="B2267" t="s">
        <v>28</v>
      </c>
      <c r="C2267">
        <v>2020</v>
      </c>
      <c r="D2267" s="1">
        <v>43831</v>
      </c>
      <c r="E2267">
        <v>1</v>
      </c>
      <c r="F2267">
        <v>200108558</v>
      </c>
      <c r="G2267" t="s">
        <v>120</v>
      </c>
      <c r="H2267">
        <v>81</v>
      </c>
      <c r="I2267">
        <v>71104010</v>
      </c>
      <c r="J2267">
        <v>21021040</v>
      </c>
      <c r="K2267" t="s">
        <v>121</v>
      </c>
      <c r="L2267" s="4">
        <v>350.05</v>
      </c>
      <c r="M2267" t="s">
        <v>31</v>
      </c>
      <c r="N2267" s="4">
        <v>350.05</v>
      </c>
      <c r="O2267" t="s">
        <v>31</v>
      </c>
      <c r="R2267" t="s">
        <v>133</v>
      </c>
      <c r="S2267" t="s">
        <v>1131</v>
      </c>
      <c r="T2267">
        <v>107211</v>
      </c>
      <c r="U2267" t="s">
        <v>123</v>
      </c>
      <c r="X2267" t="s">
        <v>28</v>
      </c>
      <c r="Y2267" s="8">
        <v>4501226797</v>
      </c>
      <c r="Z2267">
        <v>20200131</v>
      </c>
      <c r="AA2267">
        <f t="shared" si="85"/>
        <v>350.05</v>
      </c>
      <c r="AB2267">
        <f t="shared" ref="AB2267:AB2278" si="86">AA2267*0.16</f>
        <v>56.008000000000003</v>
      </c>
      <c r="AC2267">
        <f t="shared" ref="AC2267:AC2278" si="87">AA2267+AB2267</f>
        <v>406.05799999999999</v>
      </c>
      <c r="AD2267">
        <v>200127172</v>
      </c>
      <c r="AE2267" t="s">
        <v>943</v>
      </c>
      <c r="AF2267" s="4">
        <f t="shared" ref="AF2267:AF2278" si="88">AC2267</f>
        <v>406.05799999999999</v>
      </c>
      <c r="AG2267" t="s">
        <v>1146</v>
      </c>
      <c r="AH2267" t="s">
        <v>1123</v>
      </c>
      <c r="AI2267">
        <v>200130320</v>
      </c>
      <c r="AJ2267" t="s">
        <v>1148</v>
      </c>
      <c r="AK2267" t="s">
        <v>1129</v>
      </c>
      <c r="AL2267">
        <v>340255290</v>
      </c>
      <c r="AM2267" t="s">
        <v>135</v>
      </c>
    </row>
    <row r="2268" spans="1:39" x14ac:dyDescent="0.35">
      <c r="A2268">
        <v>3402</v>
      </c>
      <c r="B2268" t="s">
        <v>28</v>
      </c>
      <c r="C2268">
        <v>2020</v>
      </c>
      <c r="D2268" s="1">
        <v>43831</v>
      </c>
      <c r="E2268">
        <v>3</v>
      </c>
      <c r="F2268">
        <v>200108558</v>
      </c>
      <c r="G2268" t="s">
        <v>120</v>
      </c>
      <c r="H2268">
        <v>81</v>
      </c>
      <c r="I2268">
        <v>71104010</v>
      </c>
      <c r="J2268">
        <v>21021040</v>
      </c>
      <c r="K2268" t="s">
        <v>121</v>
      </c>
      <c r="L2268" s="4">
        <v>2310.02</v>
      </c>
      <c r="M2268" t="s">
        <v>31</v>
      </c>
      <c r="N2268" s="4">
        <v>2310.02</v>
      </c>
      <c r="O2268" t="s">
        <v>31</v>
      </c>
      <c r="R2268" t="s">
        <v>133</v>
      </c>
      <c r="S2268" t="s">
        <v>1131</v>
      </c>
      <c r="T2268">
        <v>107211</v>
      </c>
      <c r="U2268" t="s">
        <v>123</v>
      </c>
      <c r="X2268" t="s">
        <v>28</v>
      </c>
      <c r="Y2268" s="8">
        <v>4501226797</v>
      </c>
      <c r="Z2268">
        <v>20200131</v>
      </c>
      <c r="AA2268">
        <f t="shared" si="85"/>
        <v>2310.02</v>
      </c>
      <c r="AB2268">
        <f t="shared" si="86"/>
        <v>369.60320000000002</v>
      </c>
      <c r="AC2268">
        <f t="shared" si="87"/>
        <v>2679.6232</v>
      </c>
      <c r="AD2268">
        <v>200127172</v>
      </c>
      <c r="AE2268" t="s">
        <v>944</v>
      </c>
      <c r="AF2268" s="4">
        <f t="shared" si="88"/>
        <v>2679.6232</v>
      </c>
      <c r="AG2268" t="s">
        <v>1146</v>
      </c>
      <c r="AH2268" t="s">
        <v>1123</v>
      </c>
      <c r="AI2268">
        <v>200130320</v>
      </c>
      <c r="AJ2268" t="s">
        <v>1148</v>
      </c>
      <c r="AK2268" t="s">
        <v>1129</v>
      </c>
      <c r="AL2268">
        <v>340255290</v>
      </c>
      <c r="AM2268" t="s">
        <v>135</v>
      </c>
    </row>
    <row r="2269" spans="1:39" x14ac:dyDescent="0.35">
      <c r="A2269">
        <v>3402</v>
      </c>
      <c r="B2269" t="s">
        <v>28</v>
      </c>
      <c r="C2269">
        <v>2020</v>
      </c>
      <c r="D2269" s="1">
        <v>43831</v>
      </c>
      <c r="E2269">
        <v>5</v>
      </c>
      <c r="F2269">
        <v>200108558</v>
      </c>
      <c r="G2269" t="s">
        <v>120</v>
      </c>
      <c r="H2269">
        <v>81</v>
      </c>
      <c r="I2269">
        <v>71104010</v>
      </c>
      <c r="J2269">
        <v>21021040</v>
      </c>
      <c r="K2269" t="s">
        <v>121</v>
      </c>
      <c r="L2269" s="4">
        <v>1540.03</v>
      </c>
      <c r="M2269" t="s">
        <v>31</v>
      </c>
      <c r="N2269" s="4">
        <v>1540.03</v>
      </c>
      <c r="O2269" t="s">
        <v>31</v>
      </c>
      <c r="R2269" t="s">
        <v>133</v>
      </c>
      <c r="S2269" t="s">
        <v>1131</v>
      </c>
      <c r="T2269">
        <v>107211</v>
      </c>
      <c r="U2269" t="s">
        <v>123</v>
      </c>
      <c r="X2269" t="s">
        <v>28</v>
      </c>
      <c r="Y2269" s="8">
        <v>4501226797</v>
      </c>
      <c r="Z2269">
        <v>20200131</v>
      </c>
      <c r="AA2269">
        <f t="shared" si="85"/>
        <v>1540.03</v>
      </c>
      <c r="AB2269">
        <f t="shared" si="86"/>
        <v>246.40479999999999</v>
      </c>
      <c r="AC2269">
        <f t="shared" si="87"/>
        <v>1786.4348</v>
      </c>
      <c r="AD2269">
        <v>200127172</v>
      </c>
      <c r="AE2269" t="s">
        <v>945</v>
      </c>
      <c r="AF2269" s="4">
        <f t="shared" si="88"/>
        <v>1786.4348</v>
      </c>
      <c r="AG2269" t="s">
        <v>1146</v>
      </c>
      <c r="AH2269" t="s">
        <v>1123</v>
      </c>
      <c r="AI2269">
        <v>200130320</v>
      </c>
      <c r="AJ2269" t="s">
        <v>1148</v>
      </c>
      <c r="AK2269" t="s">
        <v>1129</v>
      </c>
      <c r="AL2269">
        <v>340255290</v>
      </c>
      <c r="AM2269" t="s">
        <v>135</v>
      </c>
    </row>
    <row r="2270" spans="1:39" x14ac:dyDescent="0.35">
      <c r="A2270">
        <v>3402</v>
      </c>
      <c r="B2270" t="s">
        <v>28</v>
      </c>
      <c r="C2270">
        <v>2020</v>
      </c>
      <c r="D2270" s="1">
        <v>43831</v>
      </c>
      <c r="E2270">
        <v>7</v>
      </c>
      <c r="F2270">
        <v>200108558</v>
      </c>
      <c r="G2270" t="s">
        <v>120</v>
      </c>
      <c r="H2270">
        <v>81</v>
      </c>
      <c r="I2270">
        <v>71104010</v>
      </c>
      <c r="J2270">
        <v>21021040</v>
      </c>
      <c r="K2270" t="s">
        <v>121</v>
      </c>
      <c r="L2270" s="4">
        <v>350.05</v>
      </c>
      <c r="M2270" t="s">
        <v>31</v>
      </c>
      <c r="N2270" s="4">
        <v>350.05</v>
      </c>
      <c r="O2270" t="s">
        <v>31</v>
      </c>
      <c r="R2270" t="s">
        <v>133</v>
      </c>
      <c r="S2270" t="s">
        <v>1131</v>
      </c>
      <c r="T2270">
        <v>107211</v>
      </c>
      <c r="U2270" t="s">
        <v>123</v>
      </c>
      <c r="X2270" t="s">
        <v>28</v>
      </c>
      <c r="Y2270" s="8">
        <v>4501226797</v>
      </c>
      <c r="Z2270">
        <v>20200131</v>
      </c>
      <c r="AA2270">
        <f t="shared" si="85"/>
        <v>350.05</v>
      </c>
      <c r="AB2270">
        <f t="shared" si="86"/>
        <v>56.008000000000003</v>
      </c>
      <c r="AC2270">
        <f t="shared" si="87"/>
        <v>406.05799999999999</v>
      </c>
      <c r="AD2270">
        <v>200127172</v>
      </c>
      <c r="AE2270" t="s">
        <v>946</v>
      </c>
      <c r="AF2270" s="4">
        <f t="shared" si="88"/>
        <v>406.05799999999999</v>
      </c>
      <c r="AG2270" t="s">
        <v>1146</v>
      </c>
      <c r="AH2270" t="s">
        <v>1123</v>
      </c>
      <c r="AI2270">
        <v>200130320</v>
      </c>
      <c r="AJ2270" t="s">
        <v>1148</v>
      </c>
      <c r="AK2270" t="s">
        <v>1129</v>
      </c>
      <c r="AL2270">
        <v>340255290</v>
      </c>
      <c r="AM2270" t="s">
        <v>135</v>
      </c>
    </row>
    <row r="2271" spans="1:39" x14ac:dyDescent="0.35">
      <c r="A2271">
        <v>3402</v>
      </c>
      <c r="B2271" t="s">
        <v>28</v>
      </c>
      <c r="C2271">
        <v>2020</v>
      </c>
      <c r="D2271" s="1">
        <v>43831</v>
      </c>
      <c r="E2271">
        <v>1</v>
      </c>
      <c r="F2271">
        <v>200108560</v>
      </c>
      <c r="G2271" t="s">
        <v>120</v>
      </c>
      <c r="H2271">
        <v>81</v>
      </c>
      <c r="I2271">
        <v>71104010</v>
      </c>
      <c r="J2271">
        <v>21021040</v>
      </c>
      <c r="K2271" t="s">
        <v>121</v>
      </c>
      <c r="L2271" s="4">
        <v>3608</v>
      </c>
      <c r="M2271" t="s">
        <v>31</v>
      </c>
      <c r="N2271" s="4">
        <v>3608</v>
      </c>
      <c r="O2271" t="s">
        <v>31</v>
      </c>
      <c r="R2271" t="s">
        <v>133</v>
      </c>
      <c r="S2271" t="s">
        <v>1131</v>
      </c>
      <c r="T2271">
        <v>107211</v>
      </c>
      <c r="U2271" t="s">
        <v>123</v>
      </c>
      <c r="X2271" t="s">
        <v>28</v>
      </c>
      <c r="Y2271" s="8">
        <v>4501226797</v>
      </c>
      <c r="Z2271">
        <v>20200131</v>
      </c>
      <c r="AA2271">
        <f t="shared" si="85"/>
        <v>3608</v>
      </c>
      <c r="AB2271">
        <f t="shared" si="86"/>
        <v>577.28</v>
      </c>
      <c r="AC2271">
        <f t="shared" si="87"/>
        <v>4185.28</v>
      </c>
      <c r="AD2271">
        <v>200127172</v>
      </c>
      <c r="AE2271" t="s">
        <v>947</v>
      </c>
      <c r="AF2271" s="4">
        <f t="shared" si="88"/>
        <v>4185.28</v>
      </c>
      <c r="AG2271" t="s">
        <v>1146</v>
      </c>
      <c r="AH2271" t="s">
        <v>1123</v>
      </c>
      <c r="AI2271">
        <v>200130320</v>
      </c>
      <c r="AJ2271" t="s">
        <v>1148</v>
      </c>
      <c r="AK2271" t="s">
        <v>1129</v>
      </c>
      <c r="AL2271">
        <v>340255290</v>
      </c>
      <c r="AM2271" t="s">
        <v>135</v>
      </c>
    </row>
    <row r="2272" spans="1:39" x14ac:dyDescent="0.35">
      <c r="A2272">
        <v>3402</v>
      </c>
      <c r="B2272" t="s">
        <v>28</v>
      </c>
      <c r="C2272">
        <v>2020</v>
      </c>
      <c r="D2272" s="1">
        <v>43831</v>
      </c>
      <c r="E2272">
        <v>3</v>
      </c>
      <c r="F2272">
        <v>200108560</v>
      </c>
      <c r="G2272" t="s">
        <v>120</v>
      </c>
      <c r="H2272">
        <v>81</v>
      </c>
      <c r="I2272">
        <v>71104010</v>
      </c>
      <c r="J2272">
        <v>21021040</v>
      </c>
      <c r="K2272" t="s">
        <v>121</v>
      </c>
      <c r="L2272" s="4">
        <v>1600.05</v>
      </c>
      <c r="M2272" t="s">
        <v>31</v>
      </c>
      <c r="N2272" s="4">
        <v>1600.05</v>
      </c>
      <c r="O2272" t="s">
        <v>31</v>
      </c>
      <c r="R2272" t="s">
        <v>133</v>
      </c>
      <c r="S2272" t="s">
        <v>1131</v>
      </c>
      <c r="T2272">
        <v>107211</v>
      </c>
      <c r="U2272" t="s">
        <v>123</v>
      </c>
      <c r="X2272" t="s">
        <v>28</v>
      </c>
      <c r="Y2272" s="8">
        <v>4501226797</v>
      </c>
      <c r="Z2272">
        <v>20200131</v>
      </c>
      <c r="AA2272">
        <f t="shared" si="85"/>
        <v>1600.05</v>
      </c>
      <c r="AB2272">
        <f t="shared" si="86"/>
        <v>256.00799999999998</v>
      </c>
      <c r="AC2272">
        <f t="shared" si="87"/>
        <v>1856.058</v>
      </c>
      <c r="AD2272">
        <v>200127172</v>
      </c>
      <c r="AE2272" t="s">
        <v>948</v>
      </c>
      <c r="AF2272" s="4">
        <f t="shared" si="88"/>
        <v>1856.058</v>
      </c>
      <c r="AG2272" t="s">
        <v>1146</v>
      </c>
      <c r="AH2272" t="s">
        <v>1123</v>
      </c>
      <c r="AI2272">
        <v>200130320</v>
      </c>
      <c r="AJ2272" t="s">
        <v>1148</v>
      </c>
      <c r="AK2272" t="s">
        <v>1129</v>
      </c>
      <c r="AL2272">
        <v>340255290</v>
      </c>
      <c r="AM2272" t="s">
        <v>135</v>
      </c>
    </row>
    <row r="2273" spans="1:39" x14ac:dyDescent="0.35">
      <c r="A2273">
        <v>3402</v>
      </c>
      <c r="B2273" t="s">
        <v>28</v>
      </c>
      <c r="C2273">
        <v>2020</v>
      </c>
      <c r="D2273" s="1">
        <v>43831</v>
      </c>
      <c r="E2273">
        <v>5</v>
      </c>
      <c r="F2273">
        <v>200108560</v>
      </c>
      <c r="G2273" t="s">
        <v>120</v>
      </c>
      <c r="H2273">
        <v>81</v>
      </c>
      <c r="I2273">
        <v>71104010</v>
      </c>
      <c r="J2273">
        <v>21021040</v>
      </c>
      <c r="K2273" t="s">
        <v>121</v>
      </c>
      <c r="L2273" s="4">
        <v>0.08</v>
      </c>
      <c r="M2273" t="s">
        <v>31</v>
      </c>
      <c r="N2273" s="4">
        <v>0.08</v>
      </c>
      <c r="O2273" t="s">
        <v>31</v>
      </c>
      <c r="R2273" t="s">
        <v>133</v>
      </c>
      <c r="S2273" t="s">
        <v>1131</v>
      </c>
      <c r="T2273">
        <v>107211</v>
      </c>
      <c r="U2273" t="s">
        <v>123</v>
      </c>
      <c r="X2273" t="s">
        <v>28</v>
      </c>
      <c r="Y2273" s="8">
        <v>4501226797</v>
      </c>
      <c r="Z2273">
        <v>20200131</v>
      </c>
      <c r="AA2273">
        <f t="shared" si="85"/>
        <v>0.08</v>
      </c>
      <c r="AB2273">
        <f t="shared" si="86"/>
        <v>1.2800000000000001E-2</v>
      </c>
      <c r="AC2273">
        <f t="shared" si="87"/>
        <v>9.2800000000000007E-2</v>
      </c>
      <c r="AD2273">
        <v>200127172</v>
      </c>
      <c r="AE2273" t="s">
        <v>949</v>
      </c>
      <c r="AF2273" s="4">
        <f t="shared" si="88"/>
        <v>9.2800000000000007E-2</v>
      </c>
      <c r="AG2273" t="s">
        <v>1146</v>
      </c>
      <c r="AH2273" t="s">
        <v>1123</v>
      </c>
      <c r="AI2273">
        <v>200130320</v>
      </c>
      <c r="AJ2273" t="s">
        <v>1148</v>
      </c>
      <c r="AK2273" t="s">
        <v>1129</v>
      </c>
      <c r="AL2273">
        <v>340255290</v>
      </c>
      <c r="AM2273" t="s">
        <v>135</v>
      </c>
    </row>
    <row r="2274" spans="1:39" x14ac:dyDescent="0.35">
      <c r="A2274">
        <v>3402</v>
      </c>
      <c r="B2274" t="s">
        <v>28</v>
      </c>
      <c r="C2274">
        <v>2020</v>
      </c>
      <c r="D2274" s="1">
        <v>43831</v>
      </c>
      <c r="E2274">
        <v>7</v>
      </c>
      <c r="F2274">
        <v>200108560</v>
      </c>
      <c r="G2274" t="s">
        <v>120</v>
      </c>
      <c r="H2274">
        <v>81</v>
      </c>
      <c r="I2274">
        <v>71104010</v>
      </c>
      <c r="J2274">
        <v>21021040</v>
      </c>
      <c r="K2274" t="s">
        <v>121</v>
      </c>
      <c r="L2274" s="4">
        <v>1512.03</v>
      </c>
      <c r="M2274" t="s">
        <v>31</v>
      </c>
      <c r="N2274" s="4">
        <v>1512.03</v>
      </c>
      <c r="O2274" t="s">
        <v>31</v>
      </c>
      <c r="R2274" t="s">
        <v>133</v>
      </c>
      <c r="S2274" t="s">
        <v>1131</v>
      </c>
      <c r="T2274">
        <v>107211</v>
      </c>
      <c r="U2274" t="s">
        <v>123</v>
      </c>
      <c r="X2274" t="s">
        <v>28</v>
      </c>
      <c r="Y2274" s="8">
        <v>4501226797</v>
      </c>
      <c r="Z2274">
        <v>20200131</v>
      </c>
      <c r="AA2274">
        <f t="shared" si="85"/>
        <v>1512.03</v>
      </c>
      <c r="AB2274">
        <f t="shared" si="86"/>
        <v>241.9248</v>
      </c>
      <c r="AC2274">
        <f t="shared" si="87"/>
        <v>1753.9548</v>
      </c>
      <c r="AD2274">
        <v>200127172</v>
      </c>
      <c r="AE2274" t="s">
        <v>950</v>
      </c>
      <c r="AF2274" s="4">
        <f t="shared" si="88"/>
        <v>1753.9548</v>
      </c>
      <c r="AG2274" t="s">
        <v>1146</v>
      </c>
      <c r="AH2274" t="s">
        <v>1123</v>
      </c>
      <c r="AI2274">
        <v>200130320</v>
      </c>
      <c r="AJ2274" t="s">
        <v>1148</v>
      </c>
      <c r="AK2274" t="s">
        <v>1129</v>
      </c>
      <c r="AL2274">
        <v>340255290</v>
      </c>
      <c r="AM2274" t="s">
        <v>135</v>
      </c>
    </row>
    <row r="2275" spans="1:39" x14ac:dyDescent="0.35">
      <c r="A2275">
        <v>3402</v>
      </c>
      <c r="B2275" t="s">
        <v>28</v>
      </c>
      <c r="C2275">
        <v>2020</v>
      </c>
      <c r="D2275" s="1">
        <v>43831</v>
      </c>
      <c r="E2275">
        <v>1</v>
      </c>
      <c r="F2275">
        <v>200108562</v>
      </c>
      <c r="G2275" t="s">
        <v>120</v>
      </c>
      <c r="H2275">
        <v>81</v>
      </c>
      <c r="I2275">
        <v>71104010</v>
      </c>
      <c r="J2275">
        <v>21021040</v>
      </c>
      <c r="K2275" t="s">
        <v>121</v>
      </c>
      <c r="L2275" s="4">
        <v>0.04</v>
      </c>
      <c r="M2275" t="s">
        <v>31</v>
      </c>
      <c r="N2275" s="4">
        <v>0.04</v>
      </c>
      <c r="O2275" t="s">
        <v>31</v>
      </c>
      <c r="R2275" t="s">
        <v>133</v>
      </c>
      <c r="S2275" t="s">
        <v>1131</v>
      </c>
      <c r="T2275">
        <v>107211</v>
      </c>
      <c r="U2275" t="s">
        <v>123</v>
      </c>
      <c r="X2275" t="s">
        <v>28</v>
      </c>
      <c r="Y2275" s="8">
        <v>4501226797</v>
      </c>
      <c r="Z2275">
        <v>20200131</v>
      </c>
      <c r="AA2275">
        <f t="shared" si="85"/>
        <v>0.04</v>
      </c>
      <c r="AB2275">
        <f t="shared" si="86"/>
        <v>6.4000000000000003E-3</v>
      </c>
      <c r="AC2275">
        <f t="shared" si="87"/>
        <v>4.6400000000000004E-2</v>
      </c>
      <c r="AD2275">
        <v>200127172</v>
      </c>
      <c r="AE2275" t="s">
        <v>951</v>
      </c>
      <c r="AF2275" s="4">
        <f t="shared" si="88"/>
        <v>4.6400000000000004E-2</v>
      </c>
      <c r="AG2275" t="s">
        <v>1146</v>
      </c>
      <c r="AH2275" t="s">
        <v>1123</v>
      </c>
      <c r="AI2275">
        <v>200130320</v>
      </c>
      <c r="AJ2275" t="s">
        <v>1148</v>
      </c>
      <c r="AK2275" t="s">
        <v>1129</v>
      </c>
      <c r="AL2275">
        <v>340255290</v>
      </c>
      <c r="AM2275" t="s">
        <v>135</v>
      </c>
    </row>
    <row r="2276" spans="1:39" x14ac:dyDescent="0.35">
      <c r="A2276">
        <v>3402</v>
      </c>
      <c r="B2276" t="s">
        <v>28</v>
      </c>
      <c r="C2276">
        <v>2020</v>
      </c>
      <c r="D2276" s="1">
        <v>43831</v>
      </c>
      <c r="E2276">
        <v>3</v>
      </c>
      <c r="F2276">
        <v>200108562</v>
      </c>
      <c r="G2276" t="s">
        <v>120</v>
      </c>
      <c r="H2276">
        <v>81</v>
      </c>
      <c r="I2276">
        <v>71104010</v>
      </c>
      <c r="J2276">
        <v>21021040</v>
      </c>
      <c r="K2276" t="s">
        <v>121</v>
      </c>
      <c r="L2276" s="4">
        <v>0.04</v>
      </c>
      <c r="M2276" t="s">
        <v>31</v>
      </c>
      <c r="N2276" s="4">
        <v>0.04</v>
      </c>
      <c r="O2276" t="s">
        <v>31</v>
      </c>
      <c r="R2276" t="s">
        <v>133</v>
      </c>
      <c r="S2276" t="s">
        <v>1131</v>
      </c>
      <c r="T2276">
        <v>107211</v>
      </c>
      <c r="U2276" t="s">
        <v>123</v>
      </c>
      <c r="X2276" t="s">
        <v>28</v>
      </c>
      <c r="Y2276" s="8">
        <v>4501226797</v>
      </c>
      <c r="Z2276">
        <v>20200131</v>
      </c>
      <c r="AA2276">
        <f t="shared" si="85"/>
        <v>0.04</v>
      </c>
      <c r="AB2276">
        <f t="shared" si="86"/>
        <v>6.4000000000000003E-3</v>
      </c>
      <c r="AC2276">
        <f t="shared" si="87"/>
        <v>4.6400000000000004E-2</v>
      </c>
      <c r="AD2276">
        <v>200127172</v>
      </c>
      <c r="AE2276" t="s">
        <v>952</v>
      </c>
      <c r="AF2276" s="4">
        <f t="shared" si="88"/>
        <v>4.6400000000000004E-2</v>
      </c>
      <c r="AG2276" t="s">
        <v>1146</v>
      </c>
      <c r="AH2276" t="s">
        <v>1123</v>
      </c>
      <c r="AI2276">
        <v>200130320</v>
      </c>
      <c r="AJ2276" t="s">
        <v>1148</v>
      </c>
      <c r="AK2276" t="s">
        <v>1129</v>
      </c>
      <c r="AL2276">
        <v>340255290</v>
      </c>
      <c r="AM2276" t="s">
        <v>135</v>
      </c>
    </row>
    <row r="2277" spans="1:39" x14ac:dyDescent="0.35">
      <c r="A2277">
        <v>3402</v>
      </c>
      <c r="B2277" t="s">
        <v>28</v>
      </c>
      <c r="C2277">
        <v>2020</v>
      </c>
      <c r="D2277" s="1">
        <v>43831</v>
      </c>
      <c r="E2277">
        <v>5</v>
      </c>
      <c r="F2277">
        <v>200108562</v>
      </c>
      <c r="G2277" t="s">
        <v>120</v>
      </c>
      <c r="H2277">
        <v>81</v>
      </c>
      <c r="I2277">
        <v>71104010</v>
      </c>
      <c r="J2277">
        <v>21021040</v>
      </c>
      <c r="K2277" t="s">
        <v>121</v>
      </c>
      <c r="L2277" s="4">
        <v>304</v>
      </c>
      <c r="M2277" t="s">
        <v>31</v>
      </c>
      <c r="N2277" s="4">
        <v>304</v>
      </c>
      <c r="O2277" t="s">
        <v>31</v>
      </c>
      <c r="R2277" t="s">
        <v>133</v>
      </c>
      <c r="S2277" t="s">
        <v>1131</v>
      </c>
      <c r="T2277">
        <v>107211</v>
      </c>
      <c r="U2277" t="s">
        <v>123</v>
      </c>
      <c r="X2277" t="s">
        <v>28</v>
      </c>
      <c r="Y2277" s="8">
        <v>4501226797</v>
      </c>
      <c r="Z2277">
        <v>20200131</v>
      </c>
      <c r="AA2277">
        <f t="shared" si="85"/>
        <v>304</v>
      </c>
      <c r="AB2277">
        <f t="shared" si="86"/>
        <v>48.64</v>
      </c>
      <c r="AC2277">
        <f t="shared" si="87"/>
        <v>352.64</v>
      </c>
      <c r="AD2277">
        <v>200127172</v>
      </c>
      <c r="AE2277" t="s">
        <v>953</v>
      </c>
      <c r="AF2277" s="4">
        <f t="shared" si="88"/>
        <v>352.64</v>
      </c>
      <c r="AG2277" t="s">
        <v>1146</v>
      </c>
      <c r="AH2277" t="s">
        <v>1123</v>
      </c>
      <c r="AI2277">
        <v>200130320</v>
      </c>
      <c r="AJ2277" t="s">
        <v>1148</v>
      </c>
      <c r="AK2277" t="s">
        <v>1129</v>
      </c>
      <c r="AL2277">
        <v>340255290</v>
      </c>
      <c r="AM2277" t="s">
        <v>135</v>
      </c>
    </row>
    <row r="2278" spans="1:39" x14ac:dyDescent="0.35">
      <c r="A2278">
        <v>3402</v>
      </c>
      <c r="B2278" t="s">
        <v>28</v>
      </c>
      <c r="C2278">
        <v>2020</v>
      </c>
      <c r="D2278" s="1">
        <v>43831</v>
      </c>
      <c r="E2278">
        <v>7</v>
      </c>
      <c r="F2278">
        <v>200108562</v>
      </c>
      <c r="G2278" t="s">
        <v>120</v>
      </c>
      <c r="H2278">
        <v>81</v>
      </c>
      <c r="I2278">
        <v>71104010</v>
      </c>
      <c r="J2278">
        <v>21021040</v>
      </c>
      <c r="K2278" t="s">
        <v>121</v>
      </c>
      <c r="L2278" s="4">
        <v>0.04</v>
      </c>
      <c r="M2278" t="s">
        <v>31</v>
      </c>
      <c r="N2278" s="4">
        <v>0.04</v>
      </c>
      <c r="O2278" t="s">
        <v>31</v>
      </c>
      <c r="R2278" t="s">
        <v>133</v>
      </c>
      <c r="S2278" t="s">
        <v>1131</v>
      </c>
      <c r="T2278">
        <v>107211</v>
      </c>
      <c r="U2278" t="s">
        <v>123</v>
      </c>
      <c r="X2278" t="s">
        <v>28</v>
      </c>
      <c r="Y2278" s="8">
        <v>4501226797</v>
      </c>
      <c r="Z2278">
        <v>20200131</v>
      </c>
      <c r="AA2278">
        <f t="shared" si="85"/>
        <v>0.04</v>
      </c>
      <c r="AB2278">
        <f t="shared" si="86"/>
        <v>6.4000000000000003E-3</v>
      </c>
      <c r="AC2278">
        <f t="shared" si="87"/>
        <v>4.6400000000000004E-2</v>
      </c>
      <c r="AD2278">
        <v>200127172</v>
      </c>
      <c r="AE2278" t="s">
        <v>954</v>
      </c>
      <c r="AF2278" s="4">
        <f t="shared" si="88"/>
        <v>4.6400000000000004E-2</v>
      </c>
      <c r="AG2278" t="s">
        <v>1146</v>
      </c>
      <c r="AH2278" t="s">
        <v>1123</v>
      </c>
      <c r="AI2278">
        <v>200130320</v>
      </c>
      <c r="AJ2278" t="s">
        <v>1148</v>
      </c>
      <c r="AK2278" t="s">
        <v>1129</v>
      </c>
      <c r="AL2278">
        <v>340255290</v>
      </c>
      <c r="AM2278" t="s">
        <v>135</v>
      </c>
    </row>
    <row r="2279" spans="1:39" x14ac:dyDescent="0.35">
      <c r="A2279">
        <v>3402</v>
      </c>
      <c r="B2279" t="s">
        <v>28</v>
      </c>
      <c r="C2279">
        <v>2020</v>
      </c>
      <c r="D2279" s="1">
        <v>43831</v>
      </c>
      <c r="E2279">
        <v>1</v>
      </c>
      <c r="F2279">
        <v>200108566</v>
      </c>
      <c r="G2279" t="s">
        <v>120</v>
      </c>
      <c r="H2279">
        <v>81</v>
      </c>
      <c r="I2279">
        <v>71104010</v>
      </c>
      <c r="J2279">
        <v>21021040</v>
      </c>
      <c r="K2279" t="s">
        <v>121</v>
      </c>
      <c r="L2279" s="4">
        <v>117.8</v>
      </c>
      <c r="M2279" t="s">
        <v>31</v>
      </c>
      <c r="N2279" s="4">
        <v>117.8</v>
      </c>
      <c r="O2279" t="s">
        <v>31</v>
      </c>
      <c r="R2279" t="s">
        <v>137</v>
      </c>
      <c r="S2279" t="s">
        <v>1131</v>
      </c>
      <c r="T2279">
        <v>107211</v>
      </c>
      <c r="U2279" t="s">
        <v>123</v>
      </c>
      <c r="X2279" t="s">
        <v>28</v>
      </c>
      <c r="Y2279" s="8">
        <v>4501226813</v>
      </c>
      <c r="Z2279">
        <v>20200131</v>
      </c>
      <c r="AA2279">
        <f t="shared" si="85"/>
        <v>117.8</v>
      </c>
      <c r="AB2279">
        <f t="shared" ref="AB2279:AB2286" si="89">AA2279*0.16</f>
        <v>18.847999999999999</v>
      </c>
      <c r="AC2279">
        <f t="shared" ref="AC2279:AC2286" si="90">AA2279+AB2279</f>
        <v>136.648</v>
      </c>
      <c r="AD2279">
        <v>200211626</v>
      </c>
      <c r="AE2279" t="s">
        <v>955</v>
      </c>
      <c r="AF2279" s="4">
        <f t="shared" ref="AF2279:AF2286" si="91">AC2279</f>
        <v>136.648</v>
      </c>
      <c r="AG2279" t="s">
        <v>1150</v>
      </c>
      <c r="AH2279" t="s">
        <v>1123</v>
      </c>
      <c r="AI2279">
        <v>200225788</v>
      </c>
      <c r="AJ2279" t="s">
        <v>1148</v>
      </c>
      <c r="AK2279" t="s">
        <v>1129</v>
      </c>
      <c r="AL2279">
        <v>340255290</v>
      </c>
      <c r="AM2279" t="s">
        <v>135</v>
      </c>
    </row>
    <row r="2280" spans="1:39" x14ac:dyDescent="0.35">
      <c r="A2280">
        <v>3402</v>
      </c>
      <c r="B2280" t="s">
        <v>28</v>
      </c>
      <c r="C2280">
        <v>2020</v>
      </c>
      <c r="D2280" s="1">
        <v>43831</v>
      </c>
      <c r="E2280">
        <v>3</v>
      </c>
      <c r="F2280">
        <v>200108566</v>
      </c>
      <c r="G2280" t="s">
        <v>120</v>
      </c>
      <c r="H2280">
        <v>81</v>
      </c>
      <c r="I2280">
        <v>71104010</v>
      </c>
      <c r="J2280">
        <v>21021040</v>
      </c>
      <c r="K2280" t="s">
        <v>121</v>
      </c>
      <c r="L2280" s="4">
        <v>114</v>
      </c>
      <c r="M2280" t="s">
        <v>31</v>
      </c>
      <c r="N2280" s="4">
        <v>114</v>
      </c>
      <c r="O2280" t="s">
        <v>31</v>
      </c>
      <c r="R2280" t="s">
        <v>137</v>
      </c>
      <c r="S2280" t="s">
        <v>1131</v>
      </c>
      <c r="T2280">
        <v>107211</v>
      </c>
      <c r="U2280" t="s">
        <v>123</v>
      </c>
      <c r="X2280" t="s">
        <v>28</v>
      </c>
      <c r="Y2280" s="8">
        <v>4501226813</v>
      </c>
      <c r="Z2280">
        <v>20200131</v>
      </c>
      <c r="AA2280">
        <f t="shared" si="85"/>
        <v>114</v>
      </c>
      <c r="AB2280">
        <f t="shared" si="89"/>
        <v>18.240000000000002</v>
      </c>
      <c r="AC2280">
        <f t="shared" si="90"/>
        <v>132.24</v>
      </c>
      <c r="AD2280">
        <v>200211626</v>
      </c>
      <c r="AE2280" t="s">
        <v>956</v>
      </c>
      <c r="AF2280" s="4">
        <f t="shared" si="91"/>
        <v>132.24</v>
      </c>
      <c r="AG2280" t="s">
        <v>1150</v>
      </c>
      <c r="AH2280" t="s">
        <v>1123</v>
      </c>
      <c r="AI2280">
        <v>200225788</v>
      </c>
      <c r="AJ2280" t="s">
        <v>1148</v>
      </c>
      <c r="AK2280" t="s">
        <v>1129</v>
      </c>
      <c r="AL2280">
        <v>340255290</v>
      </c>
      <c r="AM2280" t="s">
        <v>135</v>
      </c>
    </row>
    <row r="2281" spans="1:39" x14ac:dyDescent="0.35">
      <c r="A2281">
        <v>3402</v>
      </c>
      <c r="B2281" t="s">
        <v>28</v>
      </c>
      <c r="C2281">
        <v>2020</v>
      </c>
      <c r="D2281" s="1">
        <v>43831</v>
      </c>
      <c r="E2281">
        <v>5</v>
      </c>
      <c r="F2281">
        <v>200108566</v>
      </c>
      <c r="G2281" t="s">
        <v>120</v>
      </c>
      <c r="H2281">
        <v>81</v>
      </c>
      <c r="I2281">
        <v>71104010</v>
      </c>
      <c r="J2281">
        <v>21021040</v>
      </c>
      <c r="K2281" t="s">
        <v>121</v>
      </c>
      <c r="L2281" s="4">
        <v>117.8</v>
      </c>
      <c r="M2281" t="s">
        <v>31</v>
      </c>
      <c r="N2281" s="4">
        <v>117.8</v>
      </c>
      <c r="O2281" t="s">
        <v>31</v>
      </c>
      <c r="R2281" t="s">
        <v>137</v>
      </c>
      <c r="S2281" t="s">
        <v>1131</v>
      </c>
      <c r="T2281">
        <v>107211</v>
      </c>
      <c r="U2281" t="s">
        <v>123</v>
      </c>
      <c r="X2281" t="s">
        <v>28</v>
      </c>
      <c r="Y2281" s="8">
        <v>4501226813</v>
      </c>
      <c r="Z2281">
        <v>20200131</v>
      </c>
      <c r="AA2281">
        <f t="shared" si="85"/>
        <v>117.8</v>
      </c>
      <c r="AB2281">
        <f t="shared" si="89"/>
        <v>18.847999999999999</v>
      </c>
      <c r="AC2281">
        <f t="shared" si="90"/>
        <v>136.648</v>
      </c>
      <c r="AD2281">
        <v>200211626</v>
      </c>
      <c r="AE2281" t="s">
        <v>957</v>
      </c>
      <c r="AF2281" s="4">
        <f t="shared" si="91"/>
        <v>136.648</v>
      </c>
      <c r="AG2281" t="s">
        <v>1150</v>
      </c>
      <c r="AH2281" t="s">
        <v>1123</v>
      </c>
      <c r="AI2281">
        <v>200225788</v>
      </c>
      <c r="AJ2281" t="s">
        <v>1148</v>
      </c>
      <c r="AK2281" t="s">
        <v>1129</v>
      </c>
      <c r="AL2281">
        <v>340255290</v>
      </c>
      <c r="AM2281" t="s">
        <v>135</v>
      </c>
    </row>
    <row r="2282" spans="1:39" x14ac:dyDescent="0.35">
      <c r="A2282">
        <v>3402</v>
      </c>
      <c r="B2282" t="s">
        <v>28</v>
      </c>
      <c r="C2282">
        <v>2020</v>
      </c>
      <c r="D2282" s="1">
        <v>43831</v>
      </c>
      <c r="E2282">
        <v>7</v>
      </c>
      <c r="F2282">
        <v>200108566</v>
      </c>
      <c r="G2282" t="s">
        <v>120</v>
      </c>
      <c r="H2282">
        <v>81</v>
      </c>
      <c r="I2282">
        <v>71104010</v>
      </c>
      <c r="J2282">
        <v>21021040</v>
      </c>
      <c r="K2282" t="s">
        <v>121</v>
      </c>
      <c r="L2282" s="4">
        <v>117.8</v>
      </c>
      <c r="M2282" t="s">
        <v>31</v>
      </c>
      <c r="N2282" s="4">
        <v>117.8</v>
      </c>
      <c r="O2282" t="s">
        <v>31</v>
      </c>
      <c r="R2282" t="s">
        <v>137</v>
      </c>
      <c r="S2282" t="s">
        <v>1131</v>
      </c>
      <c r="T2282">
        <v>107211</v>
      </c>
      <c r="U2282" t="s">
        <v>123</v>
      </c>
      <c r="X2282" t="s">
        <v>28</v>
      </c>
      <c r="Y2282" s="8">
        <v>4501226813</v>
      </c>
      <c r="Z2282">
        <v>20200131</v>
      </c>
      <c r="AA2282">
        <f t="shared" si="85"/>
        <v>117.8</v>
      </c>
      <c r="AB2282">
        <f t="shared" si="89"/>
        <v>18.847999999999999</v>
      </c>
      <c r="AC2282">
        <f t="shared" si="90"/>
        <v>136.648</v>
      </c>
      <c r="AD2282">
        <v>200211626</v>
      </c>
      <c r="AE2282" t="s">
        <v>958</v>
      </c>
      <c r="AF2282" s="4">
        <f t="shared" si="91"/>
        <v>136.648</v>
      </c>
      <c r="AG2282" t="s">
        <v>1150</v>
      </c>
      <c r="AH2282" t="s">
        <v>1123</v>
      </c>
      <c r="AI2282">
        <v>200225788</v>
      </c>
      <c r="AJ2282" t="s">
        <v>1148</v>
      </c>
      <c r="AK2282" t="s">
        <v>1129</v>
      </c>
      <c r="AL2282">
        <v>340255290</v>
      </c>
      <c r="AM2282" t="s">
        <v>135</v>
      </c>
    </row>
    <row r="2283" spans="1:39" x14ac:dyDescent="0.35">
      <c r="A2283">
        <v>3402</v>
      </c>
      <c r="B2283" t="s">
        <v>28</v>
      </c>
      <c r="C2283">
        <v>2020</v>
      </c>
      <c r="D2283" s="1">
        <v>43831</v>
      </c>
      <c r="E2283">
        <v>1</v>
      </c>
      <c r="F2283">
        <v>200108570</v>
      </c>
      <c r="G2283" t="s">
        <v>120</v>
      </c>
      <c r="H2283">
        <v>81</v>
      </c>
      <c r="I2283">
        <v>71104010</v>
      </c>
      <c r="J2283">
        <v>21021040</v>
      </c>
      <c r="K2283" t="s">
        <v>121</v>
      </c>
      <c r="L2283" s="4">
        <v>4.5</v>
      </c>
      <c r="M2283" t="s">
        <v>31</v>
      </c>
      <c r="N2283" s="4">
        <v>4.5</v>
      </c>
      <c r="O2283" t="s">
        <v>31</v>
      </c>
      <c r="R2283" t="s">
        <v>137</v>
      </c>
      <c r="S2283" t="s">
        <v>1131</v>
      </c>
      <c r="T2283">
        <v>107211</v>
      </c>
      <c r="U2283" t="s">
        <v>123</v>
      </c>
      <c r="X2283" t="s">
        <v>28</v>
      </c>
      <c r="Y2283" s="8">
        <v>4501226813</v>
      </c>
      <c r="Z2283">
        <v>20200131</v>
      </c>
      <c r="AA2283">
        <f t="shared" si="85"/>
        <v>4.5</v>
      </c>
      <c r="AB2283">
        <f t="shared" si="89"/>
        <v>0.72</v>
      </c>
      <c r="AC2283">
        <f t="shared" si="90"/>
        <v>5.22</v>
      </c>
      <c r="AD2283">
        <v>200211626</v>
      </c>
      <c r="AE2283" t="s">
        <v>959</v>
      </c>
      <c r="AF2283" s="4">
        <f t="shared" si="91"/>
        <v>5.22</v>
      </c>
      <c r="AG2283" t="s">
        <v>1150</v>
      </c>
      <c r="AH2283" t="s">
        <v>1123</v>
      </c>
      <c r="AI2283">
        <v>200225788</v>
      </c>
      <c r="AJ2283" t="s">
        <v>1148</v>
      </c>
      <c r="AK2283" t="s">
        <v>1129</v>
      </c>
      <c r="AL2283">
        <v>340255290</v>
      </c>
      <c r="AM2283" t="s">
        <v>135</v>
      </c>
    </row>
    <row r="2284" spans="1:39" x14ac:dyDescent="0.35">
      <c r="A2284">
        <v>3402</v>
      </c>
      <c r="B2284" t="s">
        <v>28</v>
      </c>
      <c r="C2284">
        <v>2020</v>
      </c>
      <c r="D2284" s="1">
        <v>43831</v>
      </c>
      <c r="E2284">
        <v>3</v>
      </c>
      <c r="F2284">
        <v>200108570</v>
      </c>
      <c r="G2284" t="s">
        <v>120</v>
      </c>
      <c r="H2284">
        <v>81</v>
      </c>
      <c r="I2284">
        <v>71104010</v>
      </c>
      <c r="J2284">
        <v>21021040</v>
      </c>
      <c r="K2284" t="s">
        <v>121</v>
      </c>
      <c r="L2284" s="4">
        <v>0.05</v>
      </c>
      <c r="M2284" t="s">
        <v>31</v>
      </c>
      <c r="N2284" s="4">
        <v>0.05</v>
      </c>
      <c r="O2284" t="s">
        <v>31</v>
      </c>
      <c r="R2284" t="s">
        <v>137</v>
      </c>
      <c r="S2284" t="s">
        <v>1131</v>
      </c>
      <c r="T2284">
        <v>107211</v>
      </c>
      <c r="U2284" t="s">
        <v>123</v>
      </c>
      <c r="X2284" t="s">
        <v>28</v>
      </c>
      <c r="Y2284" s="8">
        <v>4501226813</v>
      </c>
      <c r="Z2284">
        <v>20200131</v>
      </c>
      <c r="AA2284">
        <f t="shared" si="85"/>
        <v>0.05</v>
      </c>
      <c r="AB2284">
        <f t="shared" si="89"/>
        <v>8.0000000000000002E-3</v>
      </c>
      <c r="AC2284">
        <f t="shared" si="90"/>
        <v>5.8000000000000003E-2</v>
      </c>
      <c r="AD2284">
        <v>200211626</v>
      </c>
      <c r="AE2284" t="s">
        <v>960</v>
      </c>
      <c r="AF2284" s="4">
        <f t="shared" si="91"/>
        <v>5.8000000000000003E-2</v>
      </c>
      <c r="AG2284" t="s">
        <v>1150</v>
      </c>
      <c r="AH2284" t="s">
        <v>1123</v>
      </c>
      <c r="AI2284">
        <v>200225788</v>
      </c>
      <c r="AJ2284" t="s">
        <v>1148</v>
      </c>
      <c r="AK2284" t="s">
        <v>1129</v>
      </c>
      <c r="AL2284">
        <v>340255290</v>
      </c>
      <c r="AM2284" t="s">
        <v>135</v>
      </c>
    </row>
    <row r="2285" spans="1:39" x14ac:dyDescent="0.35">
      <c r="A2285">
        <v>3402</v>
      </c>
      <c r="B2285" t="s">
        <v>28</v>
      </c>
      <c r="C2285">
        <v>2020</v>
      </c>
      <c r="D2285" s="1">
        <v>43831</v>
      </c>
      <c r="E2285">
        <v>5</v>
      </c>
      <c r="F2285">
        <v>200108570</v>
      </c>
      <c r="G2285" t="s">
        <v>120</v>
      </c>
      <c r="H2285">
        <v>81</v>
      </c>
      <c r="I2285">
        <v>71104010</v>
      </c>
      <c r="J2285">
        <v>21021040</v>
      </c>
      <c r="K2285" t="s">
        <v>121</v>
      </c>
      <c r="L2285" s="4">
        <v>0.05</v>
      </c>
      <c r="M2285" t="s">
        <v>31</v>
      </c>
      <c r="N2285" s="4">
        <v>0.05</v>
      </c>
      <c r="O2285" t="s">
        <v>31</v>
      </c>
      <c r="R2285" t="s">
        <v>137</v>
      </c>
      <c r="S2285" t="s">
        <v>1131</v>
      </c>
      <c r="T2285">
        <v>107211</v>
      </c>
      <c r="U2285" t="s">
        <v>123</v>
      </c>
      <c r="X2285" t="s">
        <v>28</v>
      </c>
      <c r="Y2285" s="8">
        <v>4501226813</v>
      </c>
      <c r="Z2285">
        <v>20200131</v>
      </c>
      <c r="AA2285">
        <f t="shared" si="85"/>
        <v>0.05</v>
      </c>
      <c r="AB2285">
        <f t="shared" si="89"/>
        <v>8.0000000000000002E-3</v>
      </c>
      <c r="AC2285">
        <f t="shared" si="90"/>
        <v>5.8000000000000003E-2</v>
      </c>
      <c r="AD2285">
        <v>200211626</v>
      </c>
      <c r="AE2285" t="s">
        <v>961</v>
      </c>
      <c r="AF2285" s="4">
        <f t="shared" si="91"/>
        <v>5.8000000000000003E-2</v>
      </c>
      <c r="AG2285" t="s">
        <v>1150</v>
      </c>
      <c r="AH2285" t="s">
        <v>1123</v>
      </c>
      <c r="AI2285">
        <v>200225788</v>
      </c>
      <c r="AJ2285" t="s">
        <v>1148</v>
      </c>
      <c r="AK2285" t="s">
        <v>1129</v>
      </c>
      <c r="AL2285">
        <v>340255290</v>
      </c>
      <c r="AM2285" t="s">
        <v>135</v>
      </c>
    </row>
    <row r="2286" spans="1:39" x14ac:dyDescent="0.35">
      <c r="A2286">
        <v>3402</v>
      </c>
      <c r="B2286" t="s">
        <v>28</v>
      </c>
      <c r="C2286">
        <v>2020</v>
      </c>
      <c r="D2286" s="1">
        <v>43831</v>
      </c>
      <c r="E2286">
        <v>7</v>
      </c>
      <c r="F2286">
        <v>200108570</v>
      </c>
      <c r="G2286" t="s">
        <v>120</v>
      </c>
      <c r="H2286">
        <v>81</v>
      </c>
      <c r="I2286">
        <v>71104010</v>
      </c>
      <c r="J2286">
        <v>21021040</v>
      </c>
      <c r="K2286" t="s">
        <v>121</v>
      </c>
      <c r="L2286" s="4">
        <v>0.05</v>
      </c>
      <c r="M2286" t="s">
        <v>31</v>
      </c>
      <c r="N2286" s="4">
        <v>0.05</v>
      </c>
      <c r="O2286" t="s">
        <v>31</v>
      </c>
      <c r="R2286" t="s">
        <v>137</v>
      </c>
      <c r="S2286" t="s">
        <v>1131</v>
      </c>
      <c r="T2286">
        <v>107211</v>
      </c>
      <c r="U2286" t="s">
        <v>123</v>
      </c>
      <c r="X2286" t="s">
        <v>28</v>
      </c>
      <c r="Y2286" s="8">
        <v>4501226813</v>
      </c>
      <c r="Z2286">
        <v>20200131</v>
      </c>
      <c r="AA2286">
        <f t="shared" si="85"/>
        <v>0.05</v>
      </c>
      <c r="AB2286">
        <f t="shared" si="89"/>
        <v>8.0000000000000002E-3</v>
      </c>
      <c r="AC2286">
        <f t="shared" si="90"/>
        <v>5.8000000000000003E-2</v>
      </c>
      <c r="AD2286">
        <v>200211626</v>
      </c>
      <c r="AE2286" t="s">
        <v>962</v>
      </c>
      <c r="AF2286" s="4">
        <f t="shared" si="91"/>
        <v>5.8000000000000003E-2</v>
      </c>
      <c r="AG2286" t="s">
        <v>1150</v>
      </c>
      <c r="AH2286" t="s">
        <v>1123</v>
      </c>
      <c r="AI2286">
        <v>200225788</v>
      </c>
      <c r="AJ2286" t="s">
        <v>1148</v>
      </c>
      <c r="AK2286" t="s">
        <v>1129</v>
      </c>
      <c r="AL2286">
        <v>340255290</v>
      </c>
      <c r="AM2286" t="s">
        <v>135</v>
      </c>
    </row>
    <row r="2287" spans="1:39" x14ac:dyDescent="0.35">
      <c r="A2287">
        <v>3407</v>
      </c>
      <c r="B2287" t="s">
        <v>28</v>
      </c>
      <c r="C2287">
        <v>2020</v>
      </c>
      <c r="D2287" s="1">
        <v>43831</v>
      </c>
      <c r="E2287">
        <v>1</v>
      </c>
      <c r="F2287">
        <v>700039122</v>
      </c>
      <c r="G2287" t="s">
        <v>120</v>
      </c>
      <c r="H2287">
        <v>81</v>
      </c>
      <c r="I2287">
        <v>71106150</v>
      </c>
      <c r="J2287">
        <v>21021040</v>
      </c>
      <c r="K2287" t="s">
        <v>102</v>
      </c>
      <c r="L2287" s="4">
        <v>4392.03</v>
      </c>
      <c r="M2287" t="s">
        <v>54</v>
      </c>
      <c r="N2287" s="4">
        <v>82160.39</v>
      </c>
      <c r="O2287" t="s">
        <v>31</v>
      </c>
      <c r="R2287" t="s">
        <v>1121</v>
      </c>
      <c r="S2287">
        <v>593383972</v>
      </c>
      <c r="T2287">
        <v>600226</v>
      </c>
      <c r="U2287" t="s">
        <v>126</v>
      </c>
      <c r="X2287" t="s">
        <v>28</v>
      </c>
      <c r="Y2287" s="8" t="s">
        <v>215</v>
      </c>
      <c r="Z2287">
        <v>20200131</v>
      </c>
      <c r="AA2287">
        <f t="shared" si="85"/>
        <v>4392.03</v>
      </c>
      <c r="AB2287">
        <v>0</v>
      </c>
      <c r="AC2287">
        <f>AA2287</f>
        <v>4392.03</v>
      </c>
      <c r="AD2287">
        <v>700039314</v>
      </c>
      <c r="AE2287" t="s">
        <v>963</v>
      </c>
      <c r="AF2287" s="4">
        <f>AC2287/1.25</f>
        <v>3513.6239999999998</v>
      </c>
      <c r="AG2287" t="s">
        <v>1152</v>
      </c>
      <c r="AH2287" t="s">
        <v>1123</v>
      </c>
      <c r="AI2287">
        <v>700367854</v>
      </c>
      <c r="AJ2287" t="s">
        <v>1125</v>
      </c>
      <c r="AK2287" t="s">
        <v>1124</v>
      </c>
      <c r="AL2287">
        <v>340721790</v>
      </c>
      <c r="AM2287" t="s">
        <v>217</v>
      </c>
    </row>
    <row r="2288" spans="1:39" x14ac:dyDescent="0.35">
      <c r="A2288">
        <v>3403</v>
      </c>
      <c r="B2288" t="s">
        <v>28</v>
      </c>
      <c r="C2288">
        <v>2020</v>
      </c>
      <c r="D2288" s="1">
        <v>43831</v>
      </c>
      <c r="E2288">
        <v>1</v>
      </c>
      <c r="F2288">
        <v>300018471</v>
      </c>
      <c r="G2288" t="s">
        <v>120</v>
      </c>
      <c r="H2288">
        <v>81</v>
      </c>
      <c r="I2288">
        <v>71104010</v>
      </c>
      <c r="J2288">
        <v>21021040</v>
      </c>
      <c r="K2288" t="s">
        <v>121</v>
      </c>
      <c r="L2288" s="4">
        <v>44864</v>
      </c>
      <c r="M2288" t="s">
        <v>31</v>
      </c>
      <c r="N2288" s="4">
        <v>44864</v>
      </c>
      <c r="O2288" t="s">
        <v>31</v>
      </c>
      <c r="R2288" t="s">
        <v>542</v>
      </c>
      <c r="S2288" t="s">
        <v>1131</v>
      </c>
      <c r="T2288">
        <v>107211</v>
      </c>
      <c r="U2288" t="s">
        <v>123</v>
      </c>
      <c r="X2288" t="s">
        <v>35</v>
      </c>
      <c r="Y2288" s="8">
        <v>450122871</v>
      </c>
      <c r="Z2288">
        <v>20200131</v>
      </c>
      <c r="AA2288">
        <f t="shared" si="85"/>
        <v>44864</v>
      </c>
      <c r="AB2288">
        <f>AA2288*0.16</f>
        <v>7178.24</v>
      </c>
      <c r="AC2288">
        <f>AB2288+AA2288</f>
        <v>52042.239999999998</v>
      </c>
      <c r="AD2288">
        <v>300021003</v>
      </c>
      <c r="AE2288" t="s">
        <v>964</v>
      </c>
      <c r="AF2288" s="4">
        <f>AC2288</f>
        <v>52042.239999999998</v>
      </c>
      <c r="AG2288" t="s">
        <v>51</v>
      </c>
      <c r="AH2288" t="s">
        <v>1123</v>
      </c>
      <c r="AI2288">
        <v>300021371</v>
      </c>
      <c r="AJ2288" t="s">
        <v>1148</v>
      </c>
      <c r="AK2288" t="s">
        <v>1129</v>
      </c>
      <c r="AL2288">
        <v>340318590</v>
      </c>
      <c r="AM2288" t="s">
        <v>222</v>
      </c>
    </row>
    <row r="2289" spans="1:39" x14ac:dyDescent="0.35">
      <c r="A2289">
        <v>3401</v>
      </c>
      <c r="B2289" t="s">
        <v>28</v>
      </c>
      <c r="C2289">
        <v>2020</v>
      </c>
      <c r="D2289" s="1">
        <v>43831</v>
      </c>
      <c r="E2289">
        <v>1</v>
      </c>
      <c r="F2289">
        <v>100033012</v>
      </c>
      <c r="G2289" t="s">
        <v>120</v>
      </c>
      <c r="H2289">
        <v>81</v>
      </c>
      <c r="I2289">
        <v>71106040</v>
      </c>
      <c r="J2289">
        <v>21021040</v>
      </c>
      <c r="K2289" t="s">
        <v>125</v>
      </c>
      <c r="L2289" s="4">
        <v>60964.53</v>
      </c>
      <c r="M2289" t="s">
        <v>31</v>
      </c>
      <c r="N2289" s="4">
        <v>60964.53</v>
      </c>
      <c r="O2289" t="s">
        <v>31</v>
      </c>
      <c r="R2289" t="s">
        <v>965</v>
      </c>
      <c r="S2289" t="s">
        <v>1141</v>
      </c>
      <c r="T2289">
        <v>600623</v>
      </c>
      <c r="U2289" t="s">
        <v>219</v>
      </c>
      <c r="X2289" t="s">
        <v>35</v>
      </c>
      <c r="Y2289" s="8" t="s">
        <v>966</v>
      </c>
      <c r="Z2289">
        <v>20200131</v>
      </c>
      <c r="AA2289">
        <f t="shared" si="85"/>
        <v>60964.53</v>
      </c>
      <c r="AB2289">
        <f>AA2289*0.16</f>
        <v>9754.3248000000003</v>
      </c>
      <c r="AC2289">
        <f>AA2289+AB2289</f>
        <v>70718.854800000001</v>
      </c>
      <c r="AD2289">
        <v>100033764</v>
      </c>
      <c r="AE2289" t="s">
        <v>967</v>
      </c>
      <c r="AF2289" s="4">
        <f>AC2289</f>
        <v>70718.854800000001</v>
      </c>
      <c r="AG2289" t="s">
        <v>1143</v>
      </c>
      <c r="AH2289" t="s">
        <v>1123</v>
      </c>
      <c r="AI2289">
        <v>100078328</v>
      </c>
      <c r="AJ2289" t="s">
        <v>1136</v>
      </c>
      <c r="AK2289" t="s">
        <v>1135</v>
      </c>
    </row>
    <row r="2290" spans="1:39" x14ac:dyDescent="0.35">
      <c r="A2290">
        <v>3402</v>
      </c>
      <c r="B2290" t="s">
        <v>28</v>
      </c>
      <c r="C2290">
        <v>2020</v>
      </c>
      <c r="D2290" s="1">
        <v>43831</v>
      </c>
      <c r="E2290">
        <v>1</v>
      </c>
      <c r="F2290">
        <v>200120037</v>
      </c>
      <c r="G2290" t="s">
        <v>101</v>
      </c>
      <c r="H2290">
        <v>40</v>
      </c>
      <c r="I2290">
        <v>71104010</v>
      </c>
      <c r="J2290">
        <v>71104010</v>
      </c>
      <c r="K2290" t="s">
        <v>121</v>
      </c>
      <c r="L2290" s="4">
        <v>187070</v>
      </c>
      <c r="M2290" t="s">
        <v>31</v>
      </c>
      <c r="N2290" s="4">
        <v>187070</v>
      </c>
      <c r="O2290" t="s">
        <v>31</v>
      </c>
      <c r="X2290" t="s">
        <v>32</v>
      </c>
      <c r="Y2290"/>
      <c r="Z2290">
        <v>20200131</v>
      </c>
      <c r="AA2290">
        <f t="shared" si="85"/>
        <v>187070</v>
      </c>
      <c r="AC2290"/>
      <c r="AE2290" t="s">
        <v>968</v>
      </c>
      <c r="AF2290"/>
      <c r="AL2290">
        <v>340275190</v>
      </c>
      <c r="AM2290" t="s">
        <v>105</v>
      </c>
    </row>
    <row r="2291" spans="1:39" x14ac:dyDescent="0.35">
      <c r="A2291">
        <v>3402</v>
      </c>
      <c r="B2291" t="s">
        <v>28</v>
      </c>
      <c r="C2291">
        <v>2020</v>
      </c>
      <c r="D2291" s="1">
        <v>43831</v>
      </c>
      <c r="E2291">
        <v>2</v>
      </c>
      <c r="F2291">
        <v>200120037</v>
      </c>
      <c r="G2291" t="s">
        <v>101</v>
      </c>
      <c r="H2291">
        <v>50</v>
      </c>
      <c r="I2291">
        <v>71104010</v>
      </c>
      <c r="J2291">
        <v>71104010</v>
      </c>
      <c r="K2291" t="s">
        <v>121</v>
      </c>
      <c r="L2291" s="4">
        <v>187070</v>
      </c>
      <c r="M2291" t="s">
        <v>31</v>
      </c>
      <c r="N2291" s="4">
        <v>187070</v>
      </c>
      <c r="O2291" t="s">
        <v>31</v>
      </c>
      <c r="X2291" t="s">
        <v>32</v>
      </c>
      <c r="Y2291"/>
      <c r="Z2291">
        <v>20200131</v>
      </c>
      <c r="AA2291">
        <f t="shared" si="85"/>
        <v>187070</v>
      </c>
      <c r="AC2291"/>
      <c r="AE2291" t="s">
        <v>969</v>
      </c>
      <c r="AF2291"/>
      <c r="AL2291">
        <v>340218590</v>
      </c>
      <c r="AM2291" t="s">
        <v>105</v>
      </c>
    </row>
    <row r="2292" spans="1:39" x14ac:dyDescent="0.35">
      <c r="A2292">
        <v>3402</v>
      </c>
      <c r="B2292" t="s">
        <v>28</v>
      </c>
      <c r="C2292">
        <v>2020</v>
      </c>
      <c r="D2292" s="1">
        <v>43831</v>
      </c>
      <c r="E2292">
        <v>1</v>
      </c>
      <c r="F2292">
        <v>200120051</v>
      </c>
      <c r="G2292" t="s">
        <v>101</v>
      </c>
      <c r="H2292">
        <v>40</v>
      </c>
      <c r="I2292">
        <v>71106150</v>
      </c>
      <c r="J2292">
        <v>21230140</v>
      </c>
      <c r="K2292" t="s">
        <v>102</v>
      </c>
      <c r="L2292" s="4">
        <v>250</v>
      </c>
      <c r="M2292" t="s">
        <v>54</v>
      </c>
      <c r="N2292" s="4">
        <v>4676.68</v>
      </c>
      <c r="O2292" t="s">
        <v>31</v>
      </c>
      <c r="X2292" t="s">
        <v>32</v>
      </c>
      <c r="Y2292"/>
      <c r="Z2292">
        <v>20200131</v>
      </c>
      <c r="AA2292">
        <f t="shared" si="85"/>
        <v>250</v>
      </c>
      <c r="AC2292"/>
      <c r="AE2292" t="s">
        <v>970</v>
      </c>
      <c r="AF2292"/>
      <c r="AL2292">
        <v>340210190</v>
      </c>
      <c r="AM2292" t="s">
        <v>105</v>
      </c>
    </row>
    <row r="2293" spans="1:39" x14ac:dyDescent="0.35">
      <c r="A2293">
        <v>3402</v>
      </c>
      <c r="B2293" t="s">
        <v>28</v>
      </c>
      <c r="C2293">
        <v>2020</v>
      </c>
      <c r="D2293" s="1">
        <v>43831</v>
      </c>
      <c r="E2293">
        <v>1</v>
      </c>
      <c r="F2293">
        <v>200120053</v>
      </c>
      <c r="G2293" t="s">
        <v>101</v>
      </c>
      <c r="H2293">
        <v>40</v>
      </c>
      <c r="I2293">
        <v>71106150</v>
      </c>
      <c r="J2293">
        <v>21230140</v>
      </c>
      <c r="K2293" t="s">
        <v>102</v>
      </c>
      <c r="L2293">
        <v>9084</v>
      </c>
      <c r="M2293" t="s">
        <v>54</v>
      </c>
      <c r="N2293">
        <v>169931.66</v>
      </c>
      <c r="O2293" t="s">
        <v>31</v>
      </c>
      <c r="W2293">
        <v>200889814</v>
      </c>
      <c r="X2293" t="s">
        <v>32</v>
      </c>
      <c r="Y2293" t="s">
        <v>971</v>
      </c>
      <c r="Z2293">
        <v>20200131</v>
      </c>
      <c r="AA2293">
        <f t="shared" si="85"/>
        <v>9084</v>
      </c>
      <c r="AC2293"/>
      <c r="AE2293" t="s">
        <v>972</v>
      </c>
      <c r="AF2293"/>
      <c r="AL2293">
        <v>340275190</v>
      </c>
      <c r="AM2293" t="s">
        <v>105</v>
      </c>
    </row>
    <row r="2294" spans="1:39" x14ac:dyDescent="0.35">
      <c r="A2294">
        <v>3401</v>
      </c>
      <c r="B2294" t="s">
        <v>28</v>
      </c>
      <c r="C2294">
        <v>2020</v>
      </c>
      <c r="D2294" s="1">
        <v>43831</v>
      </c>
      <c r="E2294">
        <v>1</v>
      </c>
      <c r="F2294">
        <v>100033699</v>
      </c>
      <c r="G2294" t="s">
        <v>101</v>
      </c>
      <c r="H2294">
        <v>40</v>
      </c>
      <c r="I2294">
        <v>71104010</v>
      </c>
      <c r="J2294">
        <v>21220170</v>
      </c>
      <c r="K2294" t="s">
        <v>121</v>
      </c>
      <c r="L2294">
        <v>1006425</v>
      </c>
      <c r="M2294" t="s">
        <v>31</v>
      </c>
      <c r="N2294" s="4">
        <v>1006425</v>
      </c>
      <c r="O2294" t="s">
        <v>31</v>
      </c>
      <c r="W2294">
        <v>100037121</v>
      </c>
      <c r="X2294" t="s">
        <v>32</v>
      </c>
      <c r="Y2294" t="s">
        <v>973</v>
      </c>
      <c r="Z2294">
        <v>20200131</v>
      </c>
      <c r="AA2294">
        <f t="shared" si="85"/>
        <v>1006425</v>
      </c>
      <c r="AC2294"/>
      <c r="AE2294" t="s">
        <v>974</v>
      </c>
      <c r="AF2294"/>
      <c r="AL2294">
        <v>340118590</v>
      </c>
      <c r="AM2294" t="s">
        <v>503</v>
      </c>
    </row>
    <row r="2295" spans="1:39" x14ac:dyDescent="0.35">
      <c r="A2295">
        <v>3402</v>
      </c>
      <c r="B2295" t="s">
        <v>28</v>
      </c>
      <c r="C2295">
        <v>2020</v>
      </c>
      <c r="D2295" s="1">
        <v>43831</v>
      </c>
      <c r="E2295">
        <v>1</v>
      </c>
      <c r="F2295">
        <v>200120084</v>
      </c>
      <c r="G2295" t="s">
        <v>101</v>
      </c>
      <c r="H2295">
        <v>40</v>
      </c>
      <c r="I2295">
        <v>71106150</v>
      </c>
      <c r="J2295">
        <v>21230140</v>
      </c>
      <c r="K2295" t="s">
        <v>102</v>
      </c>
      <c r="L2295">
        <v>62716</v>
      </c>
      <c r="M2295" t="s">
        <v>54</v>
      </c>
      <c r="N2295">
        <v>1173209.3999999999</v>
      </c>
      <c r="O2295" t="s">
        <v>31</v>
      </c>
      <c r="W2295">
        <v>200203602</v>
      </c>
      <c r="X2295" t="s">
        <v>32</v>
      </c>
      <c r="Y2295"/>
      <c r="Z2295">
        <v>20200131</v>
      </c>
      <c r="AA2295">
        <f t="shared" si="85"/>
        <v>62716</v>
      </c>
      <c r="AC2295"/>
      <c r="AE2295" t="s">
        <v>975</v>
      </c>
      <c r="AF2295"/>
      <c r="AL2295">
        <v>340221790</v>
      </c>
      <c r="AM2295" t="s">
        <v>105</v>
      </c>
    </row>
    <row r="2296" spans="1:39" x14ac:dyDescent="0.35">
      <c r="A2296">
        <v>3402</v>
      </c>
      <c r="B2296" t="s">
        <v>28</v>
      </c>
      <c r="C2296">
        <v>2020</v>
      </c>
      <c r="D2296" s="1">
        <v>43831</v>
      </c>
      <c r="E2296">
        <v>3</v>
      </c>
      <c r="F2296">
        <v>200120084</v>
      </c>
      <c r="G2296" t="s">
        <v>101</v>
      </c>
      <c r="H2296">
        <v>40</v>
      </c>
      <c r="I2296">
        <v>71106150</v>
      </c>
      <c r="J2296">
        <v>21230140</v>
      </c>
      <c r="K2296" t="s">
        <v>102</v>
      </c>
      <c r="L2296">
        <v>206420</v>
      </c>
      <c r="M2296" t="s">
        <v>54</v>
      </c>
      <c r="N2296">
        <v>3861437.01</v>
      </c>
      <c r="O2296" t="s">
        <v>31</v>
      </c>
      <c r="W2296">
        <v>200203602</v>
      </c>
      <c r="X2296" t="s">
        <v>32</v>
      </c>
      <c r="Y2296"/>
      <c r="Z2296">
        <v>20200131</v>
      </c>
      <c r="AA2296">
        <f t="shared" si="85"/>
        <v>206420</v>
      </c>
      <c r="AC2296"/>
      <c r="AE2296" t="s">
        <v>976</v>
      </c>
      <c r="AF2296"/>
      <c r="AL2296">
        <v>340221790</v>
      </c>
      <c r="AM2296" t="s">
        <v>105</v>
      </c>
    </row>
    <row r="2297" spans="1:39" x14ac:dyDescent="0.35">
      <c r="A2297">
        <v>3402</v>
      </c>
      <c r="B2297" t="s">
        <v>28</v>
      </c>
      <c r="C2297">
        <v>2020</v>
      </c>
      <c r="D2297" s="1">
        <v>43831</v>
      </c>
      <c r="E2297">
        <v>5</v>
      </c>
      <c r="F2297">
        <v>200120084</v>
      </c>
      <c r="G2297" t="s">
        <v>101</v>
      </c>
      <c r="H2297">
        <v>40</v>
      </c>
      <c r="I2297">
        <v>71106150</v>
      </c>
      <c r="J2297">
        <v>21230140</v>
      </c>
      <c r="K2297" t="s">
        <v>102</v>
      </c>
      <c r="L2297">
        <v>9907</v>
      </c>
      <c r="M2297" t="s">
        <v>54</v>
      </c>
      <c r="N2297">
        <v>185327.28</v>
      </c>
      <c r="O2297" t="s">
        <v>31</v>
      </c>
      <c r="W2297">
        <v>200203602</v>
      </c>
      <c r="X2297" t="s">
        <v>32</v>
      </c>
      <c r="Y2297"/>
      <c r="Z2297">
        <v>20200131</v>
      </c>
      <c r="AA2297">
        <f t="shared" si="85"/>
        <v>9907</v>
      </c>
      <c r="AC2297"/>
      <c r="AE2297" t="s">
        <v>977</v>
      </c>
      <c r="AF2297"/>
      <c r="AL2297">
        <v>340268190</v>
      </c>
      <c r="AM2297" t="s">
        <v>105</v>
      </c>
    </row>
    <row r="2298" spans="1:39" x14ac:dyDescent="0.35">
      <c r="A2298">
        <v>3401</v>
      </c>
      <c r="B2298" t="s">
        <v>28</v>
      </c>
      <c r="C2298">
        <v>2020</v>
      </c>
      <c r="D2298" s="1">
        <v>43831</v>
      </c>
      <c r="E2298">
        <v>2</v>
      </c>
      <c r="F2298">
        <v>100033748</v>
      </c>
      <c r="G2298" t="s">
        <v>101</v>
      </c>
      <c r="H2298">
        <v>50</v>
      </c>
      <c r="I2298">
        <v>71101060</v>
      </c>
      <c r="J2298">
        <v>71102190</v>
      </c>
      <c r="K2298" t="s">
        <v>30</v>
      </c>
      <c r="L2298" s="4">
        <v>712.5</v>
      </c>
      <c r="M2298" t="s">
        <v>31</v>
      </c>
      <c r="N2298" s="4">
        <v>712.5</v>
      </c>
      <c r="O2298" t="s">
        <v>31</v>
      </c>
      <c r="X2298" t="s">
        <v>32</v>
      </c>
      <c r="Y2298" t="s">
        <v>978</v>
      </c>
      <c r="Z2298">
        <v>20200131</v>
      </c>
      <c r="AA2298">
        <f t="shared" si="85"/>
        <v>712.5</v>
      </c>
      <c r="AC2298"/>
      <c r="AE2298" t="s">
        <v>979</v>
      </c>
      <c r="AF2298"/>
      <c r="AL2298">
        <v>340127190</v>
      </c>
      <c r="AM2298" t="s">
        <v>503</v>
      </c>
    </row>
    <row r="2299" spans="1:39" x14ac:dyDescent="0.35">
      <c r="A2299">
        <v>3403</v>
      </c>
      <c r="B2299" t="s">
        <v>28</v>
      </c>
      <c r="C2299">
        <v>2020</v>
      </c>
      <c r="D2299" s="1">
        <v>43831</v>
      </c>
      <c r="E2299">
        <v>1</v>
      </c>
      <c r="F2299">
        <v>300019295</v>
      </c>
      <c r="G2299" t="s">
        <v>101</v>
      </c>
      <c r="H2299">
        <v>40</v>
      </c>
      <c r="I2299">
        <v>71104010</v>
      </c>
      <c r="J2299">
        <v>71104030</v>
      </c>
      <c r="K2299" t="s">
        <v>121</v>
      </c>
      <c r="L2299" s="4">
        <v>48879.33</v>
      </c>
      <c r="M2299" t="s">
        <v>31</v>
      </c>
      <c r="N2299" s="4">
        <v>48879.33</v>
      </c>
      <c r="O2299" t="s">
        <v>31</v>
      </c>
      <c r="X2299" t="s">
        <v>32</v>
      </c>
      <c r="Y2299" t="s">
        <v>980</v>
      </c>
      <c r="Z2299">
        <v>20200131</v>
      </c>
      <c r="AA2299">
        <f t="shared" si="85"/>
        <v>48879.33</v>
      </c>
      <c r="AC2299"/>
      <c r="AE2299" t="s">
        <v>981</v>
      </c>
      <c r="AF2299"/>
      <c r="AL2299">
        <v>340332290</v>
      </c>
      <c r="AM2299" t="s">
        <v>982</v>
      </c>
    </row>
    <row r="2300" spans="1:39" x14ac:dyDescent="0.35">
      <c r="A2300">
        <v>3403</v>
      </c>
      <c r="B2300" t="s">
        <v>28</v>
      </c>
      <c r="C2300">
        <v>2020</v>
      </c>
      <c r="D2300" s="1">
        <v>43831</v>
      </c>
      <c r="E2300">
        <v>2</v>
      </c>
      <c r="F2300">
        <v>300019295</v>
      </c>
      <c r="G2300" t="s">
        <v>101</v>
      </c>
      <c r="H2300">
        <v>50</v>
      </c>
      <c r="I2300">
        <v>71104010</v>
      </c>
      <c r="J2300">
        <v>71104030</v>
      </c>
      <c r="K2300" t="s">
        <v>121</v>
      </c>
      <c r="L2300" s="4">
        <v>48879.33</v>
      </c>
      <c r="M2300" t="s">
        <v>31</v>
      </c>
      <c r="N2300" s="4">
        <v>48879.33</v>
      </c>
      <c r="O2300" t="s">
        <v>31</v>
      </c>
      <c r="X2300" t="s">
        <v>32</v>
      </c>
      <c r="Y2300" t="s">
        <v>980</v>
      </c>
      <c r="Z2300">
        <v>20200131</v>
      </c>
      <c r="AA2300">
        <f t="shared" si="85"/>
        <v>48879.33</v>
      </c>
      <c r="AC2300"/>
      <c r="AE2300" t="s">
        <v>981</v>
      </c>
      <c r="AF2300"/>
      <c r="AL2300">
        <v>340318590</v>
      </c>
      <c r="AM2300" t="s">
        <v>982</v>
      </c>
    </row>
    <row r="2301" spans="1:39" x14ac:dyDescent="0.35">
      <c r="A2301">
        <v>3402</v>
      </c>
      <c r="B2301" t="s">
        <v>28</v>
      </c>
      <c r="C2301">
        <v>2020</v>
      </c>
      <c r="D2301" s="1">
        <v>43831</v>
      </c>
      <c r="E2301">
        <v>1</v>
      </c>
      <c r="F2301">
        <v>200122809</v>
      </c>
      <c r="G2301" t="s">
        <v>120</v>
      </c>
      <c r="H2301">
        <v>81</v>
      </c>
      <c r="I2301">
        <v>71104010</v>
      </c>
      <c r="J2301">
        <v>21021040</v>
      </c>
      <c r="K2301" t="s">
        <v>121</v>
      </c>
      <c r="L2301" s="4">
        <v>1863389.4</v>
      </c>
      <c r="M2301" t="s">
        <v>31</v>
      </c>
      <c r="N2301" s="4">
        <v>1863389.4</v>
      </c>
      <c r="O2301" t="s">
        <v>31</v>
      </c>
      <c r="R2301" t="s">
        <v>272</v>
      </c>
      <c r="S2301" t="s">
        <v>1131</v>
      </c>
      <c r="T2301">
        <v>107211</v>
      </c>
      <c r="U2301" t="s">
        <v>123</v>
      </c>
      <c r="X2301" t="s">
        <v>65</v>
      </c>
      <c r="Y2301" s="8">
        <v>4501229349</v>
      </c>
      <c r="Z2301">
        <v>20200131</v>
      </c>
      <c r="AA2301">
        <f t="shared" si="85"/>
        <v>1863389.4</v>
      </c>
      <c r="AB2301">
        <f>AA2301*0.16</f>
        <v>298142.304</v>
      </c>
      <c r="AC2301">
        <f>AA2301+AB2301</f>
        <v>2161531.7039999999</v>
      </c>
      <c r="AD2301">
        <v>200124384</v>
      </c>
      <c r="AE2301" t="s">
        <v>983</v>
      </c>
      <c r="AF2301" s="4">
        <f>AC2301</f>
        <v>2161531.7039999999</v>
      </c>
      <c r="AG2301" t="s">
        <v>51</v>
      </c>
      <c r="AH2301" t="s">
        <v>1123</v>
      </c>
      <c r="AI2301">
        <v>200127161</v>
      </c>
      <c r="AJ2301" t="s">
        <v>1148</v>
      </c>
      <c r="AK2301" t="s">
        <v>1129</v>
      </c>
      <c r="AL2301">
        <v>340218590</v>
      </c>
      <c r="AM2301" t="s">
        <v>984</v>
      </c>
    </row>
    <row r="2302" spans="1:39" x14ac:dyDescent="0.35">
      <c r="A2302">
        <v>3402</v>
      </c>
      <c r="B2302" t="s">
        <v>28</v>
      </c>
      <c r="C2302">
        <v>2020</v>
      </c>
      <c r="D2302" s="1">
        <v>43831</v>
      </c>
      <c r="E2302">
        <v>1</v>
      </c>
      <c r="F2302">
        <v>200122819</v>
      </c>
      <c r="G2302" t="s">
        <v>101</v>
      </c>
      <c r="H2302">
        <v>40</v>
      </c>
      <c r="I2302">
        <v>71104010</v>
      </c>
      <c r="J2302">
        <v>71104010</v>
      </c>
      <c r="K2302" t="s">
        <v>121</v>
      </c>
      <c r="L2302" s="4">
        <v>290750.48</v>
      </c>
      <c r="M2302" t="s">
        <v>31</v>
      </c>
      <c r="N2302" s="4">
        <v>290750.48</v>
      </c>
      <c r="O2302" t="s">
        <v>31</v>
      </c>
      <c r="X2302" t="s">
        <v>65</v>
      </c>
      <c r="Y2302"/>
      <c r="Z2302">
        <v>20200131</v>
      </c>
      <c r="AA2302">
        <f t="shared" si="85"/>
        <v>290750.48</v>
      </c>
      <c r="AC2302"/>
      <c r="AE2302" t="s">
        <v>985</v>
      </c>
      <c r="AF2302"/>
      <c r="AL2302">
        <v>340232290</v>
      </c>
      <c r="AM2302" t="s">
        <v>105</v>
      </c>
    </row>
    <row r="2303" spans="1:39" x14ac:dyDescent="0.35">
      <c r="A2303">
        <v>3402</v>
      </c>
      <c r="B2303" t="s">
        <v>28</v>
      </c>
      <c r="C2303">
        <v>2020</v>
      </c>
      <c r="D2303" s="1">
        <v>43831</v>
      </c>
      <c r="E2303">
        <v>2</v>
      </c>
      <c r="F2303">
        <v>200122819</v>
      </c>
      <c r="G2303" t="s">
        <v>101</v>
      </c>
      <c r="H2303">
        <v>50</v>
      </c>
      <c r="I2303">
        <v>71104010</v>
      </c>
      <c r="J2303">
        <v>71104010</v>
      </c>
      <c r="K2303" t="s">
        <v>121</v>
      </c>
      <c r="L2303" s="4">
        <v>290750.48</v>
      </c>
      <c r="M2303" t="s">
        <v>31</v>
      </c>
      <c r="N2303" s="4">
        <v>290750.48</v>
      </c>
      <c r="O2303" t="s">
        <v>31</v>
      </c>
      <c r="X2303" t="s">
        <v>65</v>
      </c>
      <c r="Y2303"/>
      <c r="Z2303">
        <v>20200131</v>
      </c>
      <c r="AA2303">
        <f t="shared" si="85"/>
        <v>290750.48</v>
      </c>
      <c r="AC2303"/>
      <c r="AE2303" t="s">
        <v>986</v>
      </c>
      <c r="AF2303"/>
      <c r="AL2303">
        <v>340218590</v>
      </c>
      <c r="AM2303" t="s">
        <v>105</v>
      </c>
    </row>
    <row r="2304" spans="1:39" x14ac:dyDescent="0.35">
      <c r="A2304">
        <v>3409</v>
      </c>
      <c r="B2304" t="s">
        <v>28</v>
      </c>
      <c r="C2304">
        <v>2020</v>
      </c>
      <c r="D2304" s="1">
        <v>43831</v>
      </c>
      <c r="E2304">
        <v>1</v>
      </c>
      <c r="F2304">
        <v>900012106</v>
      </c>
      <c r="G2304" t="s">
        <v>101</v>
      </c>
      <c r="H2304">
        <v>40</v>
      </c>
      <c r="I2304">
        <v>71106150</v>
      </c>
      <c r="J2304">
        <v>21220060</v>
      </c>
      <c r="K2304" t="s">
        <v>102</v>
      </c>
      <c r="L2304">
        <v>12500</v>
      </c>
      <c r="M2304" t="s">
        <v>54</v>
      </c>
      <c r="N2304">
        <v>233833.75</v>
      </c>
      <c r="O2304" t="s">
        <v>31</v>
      </c>
      <c r="W2304">
        <v>900038817</v>
      </c>
      <c r="X2304" t="s">
        <v>65</v>
      </c>
      <c r="Y2304" t="s">
        <v>987</v>
      </c>
      <c r="Z2304">
        <v>20200131</v>
      </c>
      <c r="AA2304">
        <f t="shared" si="85"/>
        <v>12500</v>
      </c>
      <c r="AC2304"/>
      <c r="AE2304" t="s">
        <v>988</v>
      </c>
      <c r="AF2304"/>
      <c r="AL2304">
        <v>340981990</v>
      </c>
      <c r="AM2304" t="s">
        <v>208</v>
      </c>
    </row>
    <row r="2305" spans="1:39" x14ac:dyDescent="0.35">
      <c r="A2305">
        <v>3409</v>
      </c>
      <c r="B2305" t="s">
        <v>28</v>
      </c>
      <c r="C2305">
        <v>2020</v>
      </c>
      <c r="D2305" s="1">
        <v>43831</v>
      </c>
      <c r="E2305">
        <v>1</v>
      </c>
      <c r="F2305">
        <v>900012107</v>
      </c>
      <c r="G2305" t="s">
        <v>101</v>
      </c>
      <c r="H2305">
        <v>40</v>
      </c>
      <c r="I2305">
        <v>71106150</v>
      </c>
      <c r="J2305">
        <v>21220060</v>
      </c>
      <c r="K2305" t="s">
        <v>102</v>
      </c>
      <c r="L2305">
        <v>8333</v>
      </c>
      <c r="M2305" t="s">
        <v>54</v>
      </c>
      <c r="N2305">
        <v>155882.93</v>
      </c>
      <c r="O2305" t="s">
        <v>31</v>
      </c>
      <c r="W2305">
        <v>900038818</v>
      </c>
      <c r="X2305" t="s">
        <v>65</v>
      </c>
      <c r="Y2305" t="s">
        <v>987</v>
      </c>
      <c r="Z2305">
        <v>20200131</v>
      </c>
      <c r="AA2305">
        <f t="shared" si="85"/>
        <v>8333</v>
      </c>
      <c r="AC2305"/>
      <c r="AE2305" t="s">
        <v>989</v>
      </c>
      <c r="AF2305"/>
      <c r="AL2305">
        <v>340980690</v>
      </c>
      <c r="AM2305" t="s">
        <v>208</v>
      </c>
    </row>
    <row r="2306" spans="1:39" x14ac:dyDescent="0.35">
      <c r="A2306">
        <v>3407</v>
      </c>
      <c r="B2306" t="s">
        <v>28</v>
      </c>
      <c r="C2306">
        <v>2020</v>
      </c>
      <c r="D2306" s="1">
        <v>43831</v>
      </c>
      <c r="E2306">
        <v>1</v>
      </c>
      <c r="F2306">
        <v>700042327</v>
      </c>
      <c r="G2306" t="s">
        <v>120</v>
      </c>
      <c r="H2306">
        <v>81</v>
      </c>
      <c r="I2306">
        <v>71104010</v>
      </c>
      <c r="J2306">
        <v>21021040</v>
      </c>
      <c r="K2306" t="s">
        <v>121</v>
      </c>
      <c r="L2306" s="4">
        <v>3519294.86</v>
      </c>
      <c r="M2306" t="s">
        <v>31</v>
      </c>
      <c r="N2306" s="4">
        <v>3519294.86</v>
      </c>
      <c r="O2306" t="s">
        <v>31</v>
      </c>
      <c r="R2306" t="s">
        <v>537</v>
      </c>
      <c r="S2306" t="s">
        <v>1131</v>
      </c>
      <c r="T2306">
        <v>107211</v>
      </c>
      <c r="U2306" t="s">
        <v>123</v>
      </c>
      <c r="X2306" t="s">
        <v>65</v>
      </c>
      <c r="Y2306" t="s">
        <v>990</v>
      </c>
      <c r="Z2306" t="s">
        <v>1163</v>
      </c>
      <c r="AA2306">
        <f t="shared" si="85"/>
        <v>3519294.86</v>
      </c>
      <c r="AC2306"/>
      <c r="AE2306" t="s">
        <v>991</v>
      </c>
      <c r="AF2306"/>
      <c r="AH2306" t="s">
        <v>1123</v>
      </c>
      <c r="AJ2306" t="s">
        <v>1148</v>
      </c>
      <c r="AK2306" t="s">
        <v>1129</v>
      </c>
      <c r="AL2306">
        <v>340718590</v>
      </c>
      <c r="AM2306" t="s">
        <v>541</v>
      </c>
    </row>
    <row r="2307" spans="1:39" x14ac:dyDescent="0.35">
      <c r="A2307">
        <v>3407</v>
      </c>
      <c r="B2307" t="s">
        <v>28</v>
      </c>
      <c r="C2307">
        <v>2020</v>
      </c>
      <c r="D2307" s="1">
        <v>43831</v>
      </c>
      <c r="E2307">
        <v>1</v>
      </c>
      <c r="F2307">
        <v>700042354</v>
      </c>
      <c r="G2307" t="s">
        <v>120</v>
      </c>
      <c r="H2307">
        <v>81</v>
      </c>
      <c r="I2307">
        <v>71106150</v>
      </c>
      <c r="J2307">
        <v>21021040</v>
      </c>
      <c r="K2307" t="s">
        <v>102</v>
      </c>
      <c r="L2307" s="4">
        <v>204127</v>
      </c>
      <c r="M2307" t="s">
        <v>54</v>
      </c>
      <c r="N2307" s="4">
        <v>3818542.55</v>
      </c>
      <c r="O2307" t="s">
        <v>31</v>
      </c>
      <c r="R2307" t="s">
        <v>1121</v>
      </c>
      <c r="S2307">
        <v>593383972</v>
      </c>
      <c r="T2307">
        <v>600226</v>
      </c>
      <c r="U2307" t="s">
        <v>126</v>
      </c>
      <c r="X2307" t="s">
        <v>65</v>
      </c>
      <c r="Y2307">
        <v>31012020</v>
      </c>
      <c r="Z2307">
        <v>20200131</v>
      </c>
      <c r="AB2307">
        <v>0</v>
      </c>
      <c r="AC2307"/>
      <c r="AE2307" t="s">
        <v>992</v>
      </c>
      <c r="AF2307"/>
      <c r="AJ2307" t="s">
        <v>1125</v>
      </c>
      <c r="AK2307" t="s">
        <v>1124</v>
      </c>
      <c r="AL2307">
        <v>340721790</v>
      </c>
      <c r="AM2307" t="s">
        <v>217</v>
      </c>
    </row>
    <row r="2308" spans="1:39" x14ac:dyDescent="0.35">
      <c r="A2308">
        <v>3400</v>
      </c>
      <c r="B2308" t="s">
        <v>28</v>
      </c>
      <c r="C2308">
        <v>2020</v>
      </c>
      <c r="D2308" s="1">
        <v>43831</v>
      </c>
      <c r="E2308">
        <v>5</v>
      </c>
      <c r="F2308">
        <v>100011167</v>
      </c>
      <c r="G2308" t="s">
        <v>101</v>
      </c>
      <c r="H2308">
        <v>40</v>
      </c>
      <c r="I2308">
        <v>74010070</v>
      </c>
      <c r="J2308">
        <v>11610110</v>
      </c>
      <c r="K2308" t="s">
        <v>49</v>
      </c>
      <c r="L2308" s="4">
        <v>7.76</v>
      </c>
      <c r="M2308" t="s">
        <v>31</v>
      </c>
      <c r="N2308" s="4">
        <v>7.76</v>
      </c>
      <c r="O2308" t="s">
        <v>31</v>
      </c>
      <c r="P2308" t="s">
        <v>50</v>
      </c>
      <c r="X2308" t="s">
        <v>65</v>
      </c>
      <c r="Y2308" t="s">
        <v>993</v>
      </c>
      <c r="Z2308">
        <v>20200131</v>
      </c>
      <c r="AA2308">
        <f t="shared" si="85"/>
        <v>7.76</v>
      </c>
      <c r="AC2308"/>
      <c r="AE2308" t="s">
        <v>830</v>
      </c>
      <c r="AF2308"/>
      <c r="AL2308">
        <v>340040450</v>
      </c>
      <c r="AM2308" t="s">
        <v>391</v>
      </c>
    </row>
    <row r="2309" spans="1:39" x14ac:dyDescent="0.35">
      <c r="A2309">
        <v>3401</v>
      </c>
      <c r="B2309" t="s">
        <v>28</v>
      </c>
      <c r="C2309">
        <v>2020</v>
      </c>
      <c r="D2309" s="1">
        <v>43831</v>
      </c>
      <c r="E2309">
        <v>1</v>
      </c>
      <c r="F2309">
        <v>100035056</v>
      </c>
      <c r="G2309" t="s">
        <v>120</v>
      </c>
      <c r="H2309">
        <v>81</v>
      </c>
      <c r="I2309">
        <v>71104010</v>
      </c>
      <c r="J2309">
        <v>21021040</v>
      </c>
      <c r="K2309" t="s">
        <v>121</v>
      </c>
      <c r="L2309" s="4">
        <v>891114</v>
      </c>
      <c r="M2309" t="s">
        <v>31</v>
      </c>
      <c r="N2309" s="4">
        <v>891114</v>
      </c>
      <c r="O2309" t="s">
        <v>31</v>
      </c>
      <c r="R2309" t="s">
        <v>122</v>
      </c>
      <c r="S2309" t="s">
        <v>1131</v>
      </c>
      <c r="T2309">
        <v>107211</v>
      </c>
      <c r="U2309" t="s">
        <v>123</v>
      </c>
      <c r="X2309" t="s">
        <v>72</v>
      </c>
      <c r="Y2309" s="8">
        <v>4501216248</v>
      </c>
      <c r="Z2309" t="s">
        <v>1127</v>
      </c>
      <c r="AA2309">
        <f t="shared" si="85"/>
        <v>891114</v>
      </c>
      <c r="AC2309"/>
      <c r="AD2309">
        <v>100036889</v>
      </c>
      <c r="AE2309" t="s">
        <v>1128</v>
      </c>
      <c r="AG2309" t="s">
        <v>51</v>
      </c>
      <c r="AH2309" t="s">
        <v>1123</v>
      </c>
      <c r="AI2309">
        <v>100036917</v>
      </c>
      <c r="AJ2309" t="s">
        <v>1148</v>
      </c>
      <c r="AK2309" t="s">
        <v>1129</v>
      </c>
      <c r="AL2309">
        <v>340118590</v>
      </c>
      <c r="AM2309" t="s">
        <v>124</v>
      </c>
    </row>
    <row r="2310" spans="1:39" x14ac:dyDescent="0.35">
      <c r="A2310">
        <v>3401</v>
      </c>
      <c r="B2310" t="s">
        <v>28</v>
      </c>
      <c r="C2310">
        <v>2020</v>
      </c>
      <c r="D2310" s="1">
        <v>43831</v>
      </c>
      <c r="E2310">
        <v>1</v>
      </c>
      <c r="F2310">
        <v>100035057</v>
      </c>
      <c r="G2310" t="s">
        <v>120</v>
      </c>
      <c r="H2310">
        <v>81</v>
      </c>
      <c r="I2310">
        <v>71104010</v>
      </c>
      <c r="J2310">
        <v>21021040</v>
      </c>
      <c r="K2310" t="s">
        <v>121</v>
      </c>
      <c r="L2310" s="4">
        <v>115331</v>
      </c>
      <c r="M2310" t="s">
        <v>31</v>
      </c>
      <c r="N2310" s="4">
        <v>115331</v>
      </c>
      <c r="O2310" t="s">
        <v>31</v>
      </c>
      <c r="R2310" t="s">
        <v>122</v>
      </c>
      <c r="S2310" t="s">
        <v>1131</v>
      </c>
      <c r="T2310">
        <v>107211</v>
      </c>
      <c r="U2310" t="s">
        <v>123</v>
      </c>
      <c r="X2310" t="s">
        <v>72</v>
      </c>
      <c r="Y2310" s="8">
        <v>4501216248</v>
      </c>
      <c r="Z2310" t="s">
        <v>1127</v>
      </c>
      <c r="AA2310">
        <f t="shared" si="85"/>
        <v>115331</v>
      </c>
      <c r="AC2310"/>
      <c r="AD2310">
        <v>100036889</v>
      </c>
      <c r="AE2310" t="s">
        <v>1128</v>
      </c>
      <c r="AG2310" t="s">
        <v>51</v>
      </c>
      <c r="AH2310" t="s">
        <v>1123</v>
      </c>
      <c r="AI2310">
        <v>100036917</v>
      </c>
      <c r="AJ2310" t="s">
        <v>1148</v>
      </c>
      <c r="AK2310" t="s">
        <v>1129</v>
      </c>
      <c r="AL2310">
        <v>340118590</v>
      </c>
      <c r="AM2310" t="s">
        <v>124</v>
      </c>
    </row>
    <row r="2311" spans="1:39" x14ac:dyDescent="0.35">
      <c r="A2311">
        <v>3401</v>
      </c>
      <c r="B2311" t="s">
        <v>28</v>
      </c>
      <c r="C2311">
        <v>2020</v>
      </c>
      <c r="D2311" s="1">
        <v>43831</v>
      </c>
      <c r="E2311">
        <v>1</v>
      </c>
      <c r="F2311">
        <v>100035058</v>
      </c>
      <c r="G2311" t="s">
        <v>120</v>
      </c>
      <c r="H2311">
        <v>91</v>
      </c>
      <c r="I2311">
        <v>71104010</v>
      </c>
      <c r="J2311">
        <v>21021040</v>
      </c>
      <c r="K2311" t="s">
        <v>121</v>
      </c>
      <c r="L2311" s="4">
        <v>891114</v>
      </c>
      <c r="M2311" t="s">
        <v>31</v>
      </c>
      <c r="N2311" s="4">
        <v>891114</v>
      </c>
      <c r="O2311" t="s">
        <v>31</v>
      </c>
      <c r="R2311" t="s">
        <v>122</v>
      </c>
      <c r="S2311" t="s">
        <v>1131</v>
      </c>
      <c r="T2311">
        <v>107211</v>
      </c>
      <c r="U2311" t="s">
        <v>123</v>
      </c>
      <c r="X2311" t="s">
        <v>72</v>
      </c>
      <c r="Y2311" s="8">
        <v>4501216248</v>
      </c>
      <c r="Z2311" t="s">
        <v>1127</v>
      </c>
      <c r="AA2311">
        <f t="shared" si="85"/>
        <v>891114</v>
      </c>
      <c r="AC2311"/>
      <c r="AD2311">
        <v>100036889</v>
      </c>
      <c r="AE2311" t="s">
        <v>1128</v>
      </c>
      <c r="AG2311" t="s">
        <v>51</v>
      </c>
      <c r="AH2311" t="s">
        <v>1123</v>
      </c>
      <c r="AI2311">
        <v>100036917</v>
      </c>
      <c r="AJ2311" t="s">
        <v>1148</v>
      </c>
      <c r="AK2311" t="s">
        <v>1129</v>
      </c>
      <c r="AL2311">
        <v>340118590</v>
      </c>
      <c r="AM2311" t="s">
        <v>124</v>
      </c>
    </row>
    <row r="2312" spans="1:39" x14ac:dyDescent="0.35">
      <c r="A2312">
        <v>3401</v>
      </c>
      <c r="B2312" t="s">
        <v>28</v>
      </c>
      <c r="C2312">
        <v>2020</v>
      </c>
      <c r="D2312" s="1">
        <v>43831</v>
      </c>
      <c r="E2312">
        <v>1</v>
      </c>
      <c r="F2312">
        <v>100035059</v>
      </c>
      <c r="G2312" t="s">
        <v>120</v>
      </c>
      <c r="H2312">
        <v>91</v>
      </c>
      <c r="I2312">
        <v>71104010</v>
      </c>
      <c r="J2312">
        <v>21021040</v>
      </c>
      <c r="K2312" t="s">
        <v>121</v>
      </c>
      <c r="L2312" s="4">
        <v>115331</v>
      </c>
      <c r="M2312" t="s">
        <v>31</v>
      </c>
      <c r="N2312" s="4">
        <v>115331</v>
      </c>
      <c r="O2312" t="s">
        <v>31</v>
      </c>
      <c r="R2312" t="s">
        <v>122</v>
      </c>
      <c r="S2312" t="s">
        <v>1131</v>
      </c>
      <c r="T2312">
        <v>107211</v>
      </c>
      <c r="U2312" t="s">
        <v>123</v>
      </c>
      <c r="X2312" t="s">
        <v>72</v>
      </c>
      <c r="Y2312" s="8">
        <v>4501216248</v>
      </c>
      <c r="Z2312" t="s">
        <v>1127</v>
      </c>
      <c r="AA2312">
        <f t="shared" si="85"/>
        <v>115331</v>
      </c>
      <c r="AC2312"/>
      <c r="AD2312">
        <v>100036889</v>
      </c>
      <c r="AE2312" t="s">
        <v>1128</v>
      </c>
      <c r="AG2312" t="s">
        <v>51</v>
      </c>
      <c r="AH2312" t="s">
        <v>1123</v>
      </c>
      <c r="AI2312">
        <v>100036917</v>
      </c>
      <c r="AJ2312" t="s">
        <v>1148</v>
      </c>
      <c r="AK2312" t="s">
        <v>1129</v>
      </c>
      <c r="AL2312">
        <v>340118590</v>
      </c>
      <c r="AM2312" t="s">
        <v>124</v>
      </c>
    </row>
    <row r="2313" spans="1:39" x14ac:dyDescent="0.35">
      <c r="A2313">
        <v>3406</v>
      </c>
      <c r="B2313" t="s">
        <v>28</v>
      </c>
      <c r="C2313">
        <v>2020</v>
      </c>
      <c r="D2313" s="1">
        <v>43831</v>
      </c>
      <c r="E2313">
        <v>1</v>
      </c>
      <c r="F2313">
        <v>600033366</v>
      </c>
      <c r="G2313" t="s">
        <v>101</v>
      </c>
      <c r="H2313">
        <v>40</v>
      </c>
      <c r="I2313">
        <v>71102010</v>
      </c>
      <c r="J2313">
        <v>71111040</v>
      </c>
      <c r="K2313" t="s">
        <v>187</v>
      </c>
      <c r="L2313">
        <v>193.9</v>
      </c>
      <c r="M2313" t="s">
        <v>31</v>
      </c>
      <c r="N2313">
        <v>193.9</v>
      </c>
      <c r="O2313" t="s">
        <v>31</v>
      </c>
      <c r="W2313">
        <v>600036774</v>
      </c>
      <c r="X2313" t="s">
        <v>72</v>
      </c>
      <c r="Y2313" t="s">
        <v>228</v>
      </c>
      <c r="Z2313">
        <v>20200131</v>
      </c>
      <c r="AA2313">
        <f t="shared" si="85"/>
        <v>193.9</v>
      </c>
      <c r="AC2313"/>
      <c r="AE2313" t="s">
        <v>229</v>
      </c>
      <c r="AF2313"/>
      <c r="AL2313">
        <v>340619290</v>
      </c>
      <c r="AM2313" t="s">
        <v>922</v>
      </c>
    </row>
    <row r="2314" spans="1:39" x14ac:dyDescent="0.35">
      <c r="A2314">
        <v>3406</v>
      </c>
      <c r="B2314" t="s">
        <v>28</v>
      </c>
      <c r="C2314">
        <v>2020</v>
      </c>
      <c r="D2314" s="1">
        <v>43831</v>
      </c>
      <c r="E2314">
        <v>2</v>
      </c>
      <c r="F2314">
        <v>600033366</v>
      </c>
      <c r="G2314" t="s">
        <v>101</v>
      </c>
      <c r="H2314">
        <v>40</v>
      </c>
      <c r="I2314">
        <v>71102010</v>
      </c>
      <c r="J2314">
        <v>71111040</v>
      </c>
      <c r="K2314" t="s">
        <v>187</v>
      </c>
      <c r="L2314">
        <v>113.76</v>
      </c>
      <c r="M2314" t="s">
        <v>31</v>
      </c>
      <c r="N2314">
        <v>113.76</v>
      </c>
      <c r="O2314" t="s">
        <v>31</v>
      </c>
      <c r="W2314">
        <v>600036774</v>
      </c>
      <c r="X2314" t="s">
        <v>72</v>
      </c>
      <c r="Y2314" t="s">
        <v>228</v>
      </c>
      <c r="Z2314">
        <v>20200131</v>
      </c>
      <c r="AA2314">
        <f t="shared" si="85"/>
        <v>113.76</v>
      </c>
      <c r="AC2314"/>
      <c r="AE2314" t="s">
        <v>230</v>
      </c>
      <c r="AF2314"/>
      <c r="AL2314">
        <v>340633190</v>
      </c>
      <c r="AM2314" t="s">
        <v>922</v>
      </c>
    </row>
    <row r="2315" spans="1:39" x14ac:dyDescent="0.35">
      <c r="A2315">
        <v>3406</v>
      </c>
      <c r="B2315" t="s">
        <v>28</v>
      </c>
      <c r="C2315">
        <v>2020</v>
      </c>
      <c r="D2315" s="1">
        <v>43831</v>
      </c>
      <c r="E2315">
        <v>3</v>
      </c>
      <c r="F2315">
        <v>600033366</v>
      </c>
      <c r="G2315" t="s">
        <v>101</v>
      </c>
      <c r="H2315">
        <v>40</v>
      </c>
      <c r="I2315">
        <v>71102010</v>
      </c>
      <c r="J2315">
        <v>71111040</v>
      </c>
      <c r="K2315" t="s">
        <v>187</v>
      </c>
      <c r="L2315">
        <v>16642.62</v>
      </c>
      <c r="M2315" t="s">
        <v>31</v>
      </c>
      <c r="N2315">
        <v>16642.62</v>
      </c>
      <c r="O2315" t="s">
        <v>31</v>
      </c>
      <c r="W2315">
        <v>600036774</v>
      </c>
      <c r="X2315" t="s">
        <v>72</v>
      </c>
      <c r="Y2315" t="s">
        <v>228</v>
      </c>
      <c r="Z2315">
        <v>20200131</v>
      </c>
      <c r="AA2315">
        <f t="shared" si="85"/>
        <v>16642.62</v>
      </c>
      <c r="AC2315"/>
      <c r="AE2315" t="s">
        <v>231</v>
      </c>
      <c r="AF2315"/>
      <c r="AL2315">
        <v>340610490</v>
      </c>
      <c r="AM2315" t="s">
        <v>922</v>
      </c>
    </row>
    <row r="2316" spans="1:39" x14ac:dyDescent="0.35">
      <c r="A2316">
        <v>3406</v>
      </c>
      <c r="B2316" t="s">
        <v>28</v>
      </c>
      <c r="C2316">
        <v>2020</v>
      </c>
      <c r="D2316" s="1">
        <v>43831</v>
      </c>
      <c r="E2316">
        <v>6</v>
      </c>
      <c r="F2316">
        <v>600033366</v>
      </c>
      <c r="G2316" t="s">
        <v>101</v>
      </c>
      <c r="H2316">
        <v>40</v>
      </c>
      <c r="I2316">
        <v>71102010</v>
      </c>
      <c r="J2316">
        <v>71111040</v>
      </c>
      <c r="K2316" t="s">
        <v>187</v>
      </c>
      <c r="L2316">
        <v>105.92</v>
      </c>
      <c r="M2316" t="s">
        <v>31</v>
      </c>
      <c r="N2316">
        <v>105.92</v>
      </c>
      <c r="O2316" t="s">
        <v>31</v>
      </c>
      <c r="W2316">
        <v>600036774</v>
      </c>
      <c r="X2316" t="s">
        <v>72</v>
      </c>
      <c r="Y2316" t="s">
        <v>228</v>
      </c>
      <c r="Z2316">
        <v>20200131</v>
      </c>
      <c r="AA2316">
        <f t="shared" si="85"/>
        <v>105.92</v>
      </c>
      <c r="AC2316"/>
      <c r="AE2316" t="s">
        <v>234</v>
      </c>
      <c r="AF2316"/>
      <c r="AL2316">
        <v>340619190</v>
      </c>
      <c r="AM2316" t="s">
        <v>922</v>
      </c>
    </row>
    <row r="2317" spans="1:39" x14ac:dyDescent="0.35">
      <c r="A2317">
        <v>3406</v>
      </c>
      <c r="B2317" t="s">
        <v>28</v>
      </c>
      <c r="C2317">
        <v>2020</v>
      </c>
      <c r="D2317" s="1">
        <v>43831</v>
      </c>
      <c r="E2317">
        <v>8</v>
      </c>
      <c r="F2317">
        <v>600033366</v>
      </c>
      <c r="G2317" t="s">
        <v>101</v>
      </c>
      <c r="H2317">
        <v>40</v>
      </c>
      <c r="I2317">
        <v>71102010</v>
      </c>
      <c r="J2317">
        <v>71111040</v>
      </c>
      <c r="K2317" t="s">
        <v>187</v>
      </c>
      <c r="L2317">
        <v>2119.67</v>
      </c>
      <c r="M2317" t="s">
        <v>31</v>
      </c>
      <c r="N2317">
        <v>2119.67</v>
      </c>
      <c r="O2317" t="s">
        <v>31</v>
      </c>
      <c r="W2317">
        <v>600036774</v>
      </c>
      <c r="X2317" t="s">
        <v>72</v>
      </c>
      <c r="Y2317" t="s">
        <v>228</v>
      </c>
      <c r="Z2317">
        <v>20200131</v>
      </c>
      <c r="AA2317">
        <f t="shared" si="85"/>
        <v>2119.67</v>
      </c>
      <c r="AC2317"/>
      <c r="AE2317" t="s">
        <v>235</v>
      </c>
      <c r="AF2317"/>
      <c r="AL2317">
        <v>340615190</v>
      </c>
      <c r="AM2317" t="s">
        <v>922</v>
      </c>
    </row>
    <row r="2318" spans="1:39" x14ac:dyDescent="0.35">
      <c r="A2318">
        <v>3406</v>
      </c>
      <c r="B2318" t="s">
        <v>28</v>
      </c>
      <c r="C2318">
        <v>2020</v>
      </c>
      <c r="D2318" s="1">
        <v>43831</v>
      </c>
      <c r="E2318">
        <v>4</v>
      </c>
      <c r="F2318">
        <v>600033366</v>
      </c>
      <c r="G2318" t="s">
        <v>101</v>
      </c>
      <c r="H2318">
        <v>40</v>
      </c>
      <c r="I2318">
        <v>71102010</v>
      </c>
      <c r="J2318">
        <v>71111040</v>
      </c>
      <c r="K2318" t="s">
        <v>187</v>
      </c>
      <c r="L2318">
        <v>1371.87</v>
      </c>
      <c r="M2318" t="s">
        <v>31</v>
      </c>
      <c r="N2318">
        <v>1371.87</v>
      </c>
      <c r="O2318" t="s">
        <v>31</v>
      </c>
      <c r="W2318">
        <v>600036774</v>
      </c>
      <c r="X2318" t="s">
        <v>72</v>
      </c>
      <c r="Y2318" t="s">
        <v>228</v>
      </c>
      <c r="Z2318">
        <v>20200131</v>
      </c>
      <c r="AA2318">
        <f t="shared" si="85"/>
        <v>1371.87</v>
      </c>
      <c r="AC2318"/>
      <c r="AE2318" t="s">
        <v>232</v>
      </c>
      <c r="AF2318"/>
      <c r="AL2318">
        <v>340612890</v>
      </c>
      <c r="AM2318" t="s">
        <v>922</v>
      </c>
    </row>
    <row r="2319" spans="1:39" x14ac:dyDescent="0.35">
      <c r="A2319">
        <v>3406</v>
      </c>
      <c r="B2319" t="s">
        <v>28</v>
      </c>
      <c r="C2319">
        <v>2020</v>
      </c>
      <c r="D2319" s="1">
        <v>43831</v>
      </c>
      <c r="E2319">
        <v>5</v>
      </c>
      <c r="F2319">
        <v>600033366</v>
      </c>
      <c r="G2319" t="s">
        <v>101</v>
      </c>
      <c r="H2319">
        <v>40</v>
      </c>
      <c r="I2319">
        <v>71102010</v>
      </c>
      <c r="J2319">
        <v>71111040</v>
      </c>
      <c r="K2319" t="s">
        <v>187</v>
      </c>
      <c r="L2319">
        <v>970.9</v>
      </c>
      <c r="M2319" t="s">
        <v>31</v>
      </c>
      <c r="N2319">
        <v>970.9</v>
      </c>
      <c r="O2319" t="s">
        <v>31</v>
      </c>
      <c r="W2319">
        <v>600036774</v>
      </c>
      <c r="X2319" t="s">
        <v>72</v>
      </c>
      <c r="Y2319" t="s">
        <v>228</v>
      </c>
      <c r="Z2319">
        <v>20200131</v>
      </c>
      <c r="AA2319">
        <f t="shared" si="85"/>
        <v>970.9</v>
      </c>
      <c r="AC2319"/>
      <c r="AE2319" t="s">
        <v>233</v>
      </c>
      <c r="AF2319"/>
      <c r="AL2319">
        <v>340632290</v>
      </c>
      <c r="AM2319" t="s">
        <v>922</v>
      </c>
    </row>
    <row r="2320" spans="1:39" x14ac:dyDescent="0.35">
      <c r="A2320">
        <v>3406</v>
      </c>
      <c r="B2320" t="s">
        <v>28</v>
      </c>
      <c r="C2320">
        <v>2020</v>
      </c>
      <c r="D2320" s="1">
        <v>43831</v>
      </c>
      <c r="E2320">
        <v>1</v>
      </c>
      <c r="F2320">
        <v>600033388</v>
      </c>
      <c r="G2320" t="s">
        <v>101</v>
      </c>
      <c r="H2320">
        <v>50</v>
      </c>
      <c r="I2320">
        <v>71104010</v>
      </c>
      <c r="J2320">
        <v>11610030</v>
      </c>
      <c r="K2320" t="s">
        <v>121</v>
      </c>
      <c r="L2320" s="4">
        <v>50188.66</v>
      </c>
      <c r="M2320" t="s">
        <v>31</v>
      </c>
      <c r="N2320" s="4">
        <v>50188.66</v>
      </c>
      <c r="O2320" t="s">
        <v>31</v>
      </c>
      <c r="X2320" t="s">
        <v>72</v>
      </c>
      <c r="Y2320" t="s">
        <v>994</v>
      </c>
      <c r="Z2320">
        <v>20200131</v>
      </c>
      <c r="AA2320">
        <f t="shared" si="85"/>
        <v>50188.66</v>
      </c>
      <c r="AC2320"/>
      <c r="AE2320" t="s">
        <v>995</v>
      </c>
      <c r="AF2320"/>
      <c r="AL2320">
        <v>340618590</v>
      </c>
      <c r="AM2320" t="s">
        <v>922</v>
      </c>
    </row>
    <row r="2321" spans="1:39" x14ac:dyDescent="0.35">
      <c r="A2321">
        <v>3406</v>
      </c>
      <c r="B2321" t="s">
        <v>28</v>
      </c>
      <c r="C2321">
        <v>2020</v>
      </c>
      <c r="D2321" s="1">
        <v>43831</v>
      </c>
      <c r="E2321">
        <v>1</v>
      </c>
      <c r="F2321">
        <v>600033422</v>
      </c>
      <c r="G2321" t="s">
        <v>101</v>
      </c>
      <c r="H2321">
        <v>40</v>
      </c>
      <c r="I2321">
        <v>71102010</v>
      </c>
      <c r="J2321">
        <v>71111040</v>
      </c>
      <c r="K2321" t="s">
        <v>187</v>
      </c>
      <c r="L2321" s="4">
        <v>204.6</v>
      </c>
      <c r="M2321" t="s">
        <v>31</v>
      </c>
      <c r="N2321" s="4">
        <v>204.6</v>
      </c>
      <c r="O2321" t="s">
        <v>31</v>
      </c>
      <c r="X2321" t="s">
        <v>72</v>
      </c>
      <c r="Y2321" t="s">
        <v>228</v>
      </c>
      <c r="Z2321">
        <v>20200131</v>
      </c>
      <c r="AA2321">
        <f t="shared" si="85"/>
        <v>204.6</v>
      </c>
      <c r="AC2321"/>
      <c r="AE2321" t="s">
        <v>229</v>
      </c>
      <c r="AF2321"/>
      <c r="AL2321">
        <v>340619290</v>
      </c>
      <c r="AM2321" t="s">
        <v>922</v>
      </c>
    </row>
    <row r="2322" spans="1:39" x14ac:dyDescent="0.35">
      <c r="A2322">
        <v>3406</v>
      </c>
      <c r="B2322" t="s">
        <v>28</v>
      </c>
      <c r="C2322">
        <v>2020</v>
      </c>
      <c r="D2322" s="1">
        <v>43831</v>
      </c>
      <c r="E2322">
        <v>2</v>
      </c>
      <c r="F2322">
        <v>600033422</v>
      </c>
      <c r="G2322" t="s">
        <v>101</v>
      </c>
      <c r="H2322">
        <v>40</v>
      </c>
      <c r="I2322">
        <v>71102010</v>
      </c>
      <c r="J2322">
        <v>71111040</v>
      </c>
      <c r="K2322" t="s">
        <v>187</v>
      </c>
      <c r="L2322" s="4">
        <v>120.04</v>
      </c>
      <c r="M2322" t="s">
        <v>31</v>
      </c>
      <c r="N2322" s="4">
        <v>120.04</v>
      </c>
      <c r="O2322" t="s">
        <v>31</v>
      </c>
      <c r="X2322" t="s">
        <v>72</v>
      </c>
      <c r="Y2322" t="s">
        <v>228</v>
      </c>
      <c r="Z2322">
        <v>20200131</v>
      </c>
      <c r="AA2322">
        <f t="shared" ref="AA2322:AA2385" si="92">L2322</f>
        <v>120.04</v>
      </c>
      <c r="AC2322"/>
      <c r="AE2322" t="s">
        <v>230</v>
      </c>
      <c r="AF2322"/>
      <c r="AL2322">
        <v>340633190</v>
      </c>
      <c r="AM2322" t="s">
        <v>922</v>
      </c>
    </row>
    <row r="2323" spans="1:39" x14ac:dyDescent="0.35">
      <c r="A2323">
        <v>3406</v>
      </c>
      <c r="B2323" t="s">
        <v>28</v>
      </c>
      <c r="C2323">
        <v>2020</v>
      </c>
      <c r="D2323" s="1">
        <v>43831</v>
      </c>
      <c r="E2323">
        <v>3</v>
      </c>
      <c r="F2323">
        <v>600033422</v>
      </c>
      <c r="G2323" t="s">
        <v>101</v>
      </c>
      <c r="H2323">
        <v>40</v>
      </c>
      <c r="I2323">
        <v>71102010</v>
      </c>
      <c r="J2323">
        <v>71111040</v>
      </c>
      <c r="K2323" t="s">
        <v>187</v>
      </c>
      <c r="L2323" s="4">
        <v>17560.86</v>
      </c>
      <c r="M2323" t="s">
        <v>31</v>
      </c>
      <c r="N2323" s="4">
        <v>17560.86</v>
      </c>
      <c r="O2323" t="s">
        <v>31</v>
      </c>
      <c r="X2323" t="s">
        <v>72</v>
      </c>
      <c r="Y2323" t="s">
        <v>228</v>
      </c>
      <c r="Z2323">
        <v>20200131</v>
      </c>
      <c r="AA2323">
        <f t="shared" si="92"/>
        <v>17560.86</v>
      </c>
      <c r="AC2323"/>
      <c r="AE2323" t="s">
        <v>231</v>
      </c>
      <c r="AF2323"/>
      <c r="AL2323">
        <v>340610490</v>
      </c>
      <c r="AM2323" t="s">
        <v>922</v>
      </c>
    </row>
    <row r="2324" spans="1:39" x14ac:dyDescent="0.35">
      <c r="A2324">
        <v>3406</v>
      </c>
      <c r="B2324" t="s">
        <v>28</v>
      </c>
      <c r="C2324">
        <v>2020</v>
      </c>
      <c r="D2324" s="1">
        <v>43831</v>
      </c>
      <c r="E2324">
        <v>4</v>
      </c>
      <c r="F2324">
        <v>600033422</v>
      </c>
      <c r="G2324" t="s">
        <v>101</v>
      </c>
      <c r="H2324">
        <v>40</v>
      </c>
      <c r="I2324">
        <v>71102010</v>
      </c>
      <c r="J2324">
        <v>71111040</v>
      </c>
      <c r="K2324" t="s">
        <v>187</v>
      </c>
      <c r="L2324" s="4">
        <v>1447.56</v>
      </c>
      <c r="M2324" t="s">
        <v>31</v>
      </c>
      <c r="N2324" s="4">
        <v>1447.56</v>
      </c>
      <c r="O2324" t="s">
        <v>31</v>
      </c>
      <c r="X2324" t="s">
        <v>72</v>
      </c>
      <c r="Y2324" t="s">
        <v>228</v>
      </c>
      <c r="Z2324">
        <v>20200131</v>
      </c>
      <c r="AA2324">
        <f t="shared" si="92"/>
        <v>1447.56</v>
      </c>
      <c r="AC2324"/>
      <c r="AE2324" t="s">
        <v>232</v>
      </c>
      <c r="AF2324"/>
      <c r="AL2324">
        <v>340612890</v>
      </c>
      <c r="AM2324" t="s">
        <v>922</v>
      </c>
    </row>
    <row r="2325" spans="1:39" x14ac:dyDescent="0.35">
      <c r="A2325">
        <v>3406</v>
      </c>
      <c r="B2325" t="s">
        <v>28</v>
      </c>
      <c r="C2325">
        <v>2020</v>
      </c>
      <c r="D2325" s="1">
        <v>43831</v>
      </c>
      <c r="E2325">
        <v>5</v>
      </c>
      <c r="F2325">
        <v>600033422</v>
      </c>
      <c r="G2325" t="s">
        <v>101</v>
      </c>
      <c r="H2325">
        <v>40</v>
      </c>
      <c r="I2325">
        <v>71102010</v>
      </c>
      <c r="J2325">
        <v>71111040</v>
      </c>
      <c r="K2325" t="s">
        <v>187</v>
      </c>
      <c r="L2325" s="4">
        <v>1024.47</v>
      </c>
      <c r="M2325" t="s">
        <v>31</v>
      </c>
      <c r="N2325" s="4">
        <v>1024.47</v>
      </c>
      <c r="O2325" t="s">
        <v>31</v>
      </c>
      <c r="X2325" t="s">
        <v>72</v>
      </c>
      <c r="Y2325" t="s">
        <v>228</v>
      </c>
      <c r="Z2325">
        <v>20200131</v>
      </c>
      <c r="AA2325">
        <f t="shared" si="92"/>
        <v>1024.47</v>
      </c>
      <c r="AC2325"/>
      <c r="AE2325" t="s">
        <v>233</v>
      </c>
      <c r="AF2325"/>
      <c r="AL2325">
        <v>340632290</v>
      </c>
      <c r="AM2325" t="s">
        <v>922</v>
      </c>
    </row>
    <row r="2326" spans="1:39" x14ac:dyDescent="0.35">
      <c r="A2326">
        <v>3406</v>
      </c>
      <c r="B2326" t="s">
        <v>28</v>
      </c>
      <c r="C2326">
        <v>2020</v>
      </c>
      <c r="D2326" s="1">
        <v>43831</v>
      </c>
      <c r="E2326">
        <v>6</v>
      </c>
      <c r="F2326">
        <v>600033422</v>
      </c>
      <c r="G2326" t="s">
        <v>101</v>
      </c>
      <c r="H2326">
        <v>40</v>
      </c>
      <c r="I2326">
        <v>71102010</v>
      </c>
      <c r="J2326">
        <v>71111040</v>
      </c>
      <c r="K2326" t="s">
        <v>187</v>
      </c>
      <c r="L2326" s="4">
        <v>111.76</v>
      </c>
      <c r="M2326" t="s">
        <v>31</v>
      </c>
      <c r="N2326" s="4">
        <v>111.76</v>
      </c>
      <c r="O2326" t="s">
        <v>31</v>
      </c>
      <c r="X2326" t="s">
        <v>72</v>
      </c>
      <c r="Y2326" t="s">
        <v>228</v>
      </c>
      <c r="Z2326">
        <v>20200131</v>
      </c>
      <c r="AA2326">
        <f t="shared" si="92"/>
        <v>111.76</v>
      </c>
      <c r="AC2326"/>
      <c r="AE2326" t="s">
        <v>234</v>
      </c>
      <c r="AF2326"/>
      <c r="AL2326">
        <v>340619190</v>
      </c>
      <c r="AM2326" t="s">
        <v>922</v>
      </c>
    </row>
    <row r="2327" spans="1:39" x14ac:dyDescent="0.35">
      <c r="A2327">
        <v>3406</v>
      </c>
      <c r="B2327" t="s">
        <v>28</v>
      </c>
      <c r="C2327">
        <v>2020</v>
      </c>
      <c r="D2327" s="1">
        <v>43831</v>
      </c>
      <c r="E2327">
        <v>8</v>
      </c>
      <c r="F2327">
        <v>600033422</v>
      </c>
      <c r="G2327" t="s">
        <v>101</v>
      </c>
      <c r="H2327">
        <v>40</v>
      </c>
      <c r="I2327">
        <v>71102010</v>
      </c>
      <c r="J2327">
        <v>71111040</v>
      </c>
      <c r="K2327" t="s">
        <v>187</v>
      </c>
      <c r="L2327" s="4">
        <v>2236.62</v>
      </c>
      <c r="M2327" t="s">
        <v>31</v>
      </c>
      <c r="N2327" s="4">
        <v>2236.62</v>
      </c>
      <c r="O2327" t="s">
        <v>31</v>
      </c>
      <c r="X2327" t="s">
        <v>72</v>
      </c>
      <c r="Y2327" t="s">
        <v>228</v>
      </c>
      <c r="Z2327">
        <v>20200131</v>
      </c>
      <c r="AA2327">
        <f t="shared" si="92"/>
        <v>2236.62</v>
      </c>
      <c r="AC2327"/>
      <c r="AE2327" t="s">
        <v>235</v>
      </c>
      <c r="AF2327"/>
      <c r="AL2327">
        <v>340615190</v>
      </c>
      <c r="AM2327" t="s">
        <v>922</v>
      </c>
    </row>
    <row r="2328" spans="1:39" x14ac:dyDescent="0.35">
      <c r="A2328">
        <v>3403</v>
      </c>
      <c r="B2328" t="s">
        <v>28</v>
      </c>
      <c r="C2328">
        <v>2020</v>
      </c>
      <c r="D2328" s="1">
        <v>43831</v>
      </c>
      <c r="E2328">
        <v>1</v>
      </c>
      <c r="F2328">
        <v>300020325</v>
      </c>
      <c r="G2328" t="s">
        <v>120</v>
      </c>
      <c r="H2328">
        <v>81</v>
      </c>
      <c r="I2328">
        <v>71106150</v>
      </c>
      <c r="J2328">
        <v>21021040</v>
      </c>
      <c r="K2328" t="s">
        <v>102</v>
      </c>
      <c r="L2328" s="4">
        <v>7570</v>
      </c>
      <c r="M2328" t="s">
        <v>54</v>
      </c>
      <c r="N2328" s="4">
        <v>141609.72</v>
      </c>
      <c r="O2328" t="s">
        <v>31</v>
      </c>
      <c r="R2328" t="s">
        <v>1121</v>
      </c>
      <c r="S2328" t="s">
        <v>1122</v>
      </c>
      <c r="T2328">
        <v>101128</v>
      </c>
      <c r="U2328" t="s">
        <v>410</v>
      </c>
      <c r="X2328" t="s">
        <v>72</v>
      </c>
      <c r="Y2328" s="8" t="s">
        <v>996</v>
      </c>
      <c r="Z2328">
        <v>20200131</v>
      </c>
      <c r="AA2328">
        <f t="shared" si="92"/>
        <v>7570</v>
      </c>
      <c r="AB2328">
        <v>0</v>
      </c>
      <c r="AC2328">
        <f t="shared" ref="AC2328:AC2330" si="93">AA2328</f>
        <v>7570</v>
      </c>
      <c r="AD2328">
        <v>300034130</v>
      </c>
      <c r="AE2328" t="s">
        <v>997</v>
      </c>
      <c r="AF2328" s="4">
        <f>AC2328/1.1</f>
        <v>6881.8181818181811</v>
      </c>
      <c r="AG2328" t="s">
        <v>1152</v>
      </c>
      <c r="AH2328" t="s">
        <v>1123</v>
      </c>
      <c r="AI2328">
        <v>300238840</v>
      </c>
      <c r="AJ2328" t="s">
        <v>1125</v>
      </c>
      <c r="AK2328" t="s">
        <v>1124</v>
      </c>
      <c r="AL2328">
        <v>340368190</v>
      </c>
      <c r="AM2328" t="s">
        <v>534</v>
      </c>
    </row>
    <row r="2329" spans="1:39" x14ac:dyDescent="0.35">
      <c r="A2329">
        <v>3403</v>
      </c>
      <c r="B2329" t="s">
        <v>28</v>
      </c>
      <c r="C2329">
        <v>2020</v>
      </c>
      <c r="D2329" s="1">
        <v>43831</v>
      </c>
      <c r="E2329">
        <v>1</v>
      </c>
      <c r="F2329">
        <v>300020326</v>
      </c>
      <c r="G2329" t="s">
        <v>120</v>
      </c>
      <c r="H2329">
        <v>81</v>
      </c>
      <c r="I2329">
        <v>71106150</v>
      </c>
      <c r="J2329">
        <v>21021040</v>
      </c>
      <c r="K2329" t="s">
        <v>102</v>
      </c>
      <c r="L2329" s="4">
        <v>34433</v>
      </c>
      <c r="M2329" t="s">
        <v>54</v>
      </c>
      <c r="N2329" s="4">
        <v>644127.80000000005</v>
      </c>
      <c r="O2329" t="s">
        <v>31</v>
      </c>
      <c r="R2329" t="s">
        <v>1121</v>
      </c>
      <c r="S2329" t="s">
        <v>1122</v>
      </c>
      <c r="T2329">
        <v>101128</v>
      </c>
      <c r="U2329" t="s">
        <v>410</v>
      </c>
      <c r="X2329" t="s">
        <v>72</v>
      </c>
      <c r="Y2329" s="8" t="s">
        <v>998</v>
      </c>
      <c r="Z2329">
        <v>20200131</v>
      </c>
      <c r="AA2329">
        <f t="shared" si="92"/>
        <v>34433</v>
      </c>
      <c r="AB2329">
        <v>0</v>
      </c>
      <c r="AC2329">
        <f t="shared" si="93"/>
        <v>34433</v>
      </c>
      <c r="AD2329">
        <v>300034130</v>
      </c>
      <c r="AE2329" t="s">
        <v>999</v>
      </c>
      <c r="AF2329" s="4">
        <f t="shared" ref="AF2329:AF2330" si="94">AC2329/1.1</f>
        <v>31302.727272727268</v>
      </c>
      <c r="AG2329" t="s">
        <v>1152</v>
      </c>
      <c r="AH2329" t="s">
        <v>1123</v>
      </c>
      <c r="AI2329">
        <v>300238840</v>
      </c>
      <c r="AJ2329" t="s">
        <v>1125</v>
      </c>
      <c r="AK2329" t="s">
        <v>1124</v>
      </c>
      <c r="AL2329">
        <v>340321790</v>
      </c>
      <c r="AM2329" t="s">
        <v>534</v>
      </c>
    </row>
    <row r="2330" spans="1:39" x14ac:dyDescent="0.35">
      <c r="A2330">
        <v>3403</v>
      </c>
      <c r="B2330" t="s">
        <v>28</v>
      </c>
      <c r="C2330">
        <v>2020</v>
      </c>
      <c r="D2330" s="1">
        <v>43831</v>
      </c>
      <c r="E2330">
        <v>1</v>
      </c>
      <c r="F2330">
        <v>300020327</v>
      </c>
      <c r="G2330" t="s">
        <v>120</v>
      </c>
      <c r="H2330">
        <v>81</v>
      </c>
      <c r="I2330">
        <v>71106150</v>
      </c>
      <c r="J2330">
        <v>21021040</v>
      </c>
      <c r="K2330" t="s">
        <v>102</v>
      </c>
      <c r="L2330" s="4">
        <v>103298</v>
      </c>
      <c r="M2330" t="s">
        <v>54</v>
      </c>
      <c r="N2330" s="4">
        <v>1932364.7</v>
      </c>
      <c r="O2330" t="s">
        <v>31</v>
      </c>
      <c r="R2330" t="s">
        <v>1121</v>
      </c>
      <c r="S2330" t="s">
        <v>1122</v>
      </c>
      <c r="T2330">
        <v>101128</v>
      </c>
      <c r="U2330" t="s">
        <v>410</v>
      </c>
      <c r="X2330" t="s">
        <v>72</v>
      </c>
      <c r="Y2330" s="8">
        <v>4501232157</v>
      </c>
      <c r="Z2330">
        <v>20200131</v>
      </c>
      <c r="AA2330">
        <f t="shared" si="92"/>
        <v>103298</v>
      </c>
      <c r="AB2330">
        <v>0</v>
      </c>
      <c r="AC2330">
        <f t="shared" si="93"/>
        <v>103298</v>
      </c>
      <c r="AD2330">
        <v>300034130</v>
      </c>
      <c r="AE2330" t="s">
        <v>1000</v>
      </c>
      <c r="AF2330" s="4">
        <f t="shared" si="94"/>
        <v>93907.272727272721</v>
      </c>
      <c r="AG2330" t="s">
        <v>1152</v>
      </c>
      <c r="AH2330" t="s">
        <v>1123</v>
      </c>
      <c r="AI2330">
        <v>300238840</v>
      </c>
      <c r="AJ2330" t="s">
        <v>1125</v>
      </c>
      <c r="AK2330" t="s">
        <v>1124</v>
      </c>
      <c r="AL2330">
        <v>340321790</v>
      </c>
      <c r="AM2330" t="s">
        <v>534</v>
      </c>
    </row>
    <row r="2331" spans="1:39" x14ac:dyDescent="0.35">
      <c r="A2331">
        <v>3403</v>
      </c>
      <c r="B2331" t="s">
        <v>28</v>
      </c>
      <c r="C2331">
        <v>2020</v>
      </c>
      <c r="D2331" s="1">
        <v>43831</v>
      </c>
      <c r="E2331">
        <v>1</v>
      </c>
      <c r="F2331">
        <v>300020328</v>
      </c>
      <c r="G2331" t="s">
        <v>101</v>
      </c>
      <c r="H2331">
        <v>40</v>
      </c>
      <c r="I2331">
        <v>71102010</v>
      </c>
      <c r="J2331">
        <v>71111040</v>
      </c>
      <c r="K2331" t="s">
        <v>187</v>
      </c>
      <c r="L2331" s="4">
        <v>29.74</v>
      </c>
      <c r="M2331" t="s">
        <v>31</v>
      </c>
      <c r="N2331" s="4">
        <v>29.74</v>
      </c>
      <c r="O2331" t="s">
        <v>31</v>
      </c>
      <c r="X2331" t="s">
        <v>72</v>
      </c>
      <c r="Y2331" t="s">
        <v>1001</v>
      </c>
      <c r="Z2331">
        <v>20200131</v>
      </c>
      <c r="AA2331">
        <f t="shared" si="92"/>
        <v>29.74</v>
      </c>
      <c r="AC2331"/>
      <c r="AE2331" t="s">
        <v>1002</v>
      </c>
      <c r="AF2331"/>
      <c r="AL2331">
        <v>340319290</v>
      </c>
      <c r="AM2331" t="s">
        <v>40</v>
      </c>
    </row>
    <row r="2332" spans="1:39" x14ac:dyDescent="0.35">
      <c r="A2332">
        <v>3403</v>
      </c>
      <c r="B2332" t="s">
        <v>28</v>
      </c>
      <c r="C2332">
        <v>2020</v>
      </c>
      <c r="D2332" s="1">
        <v>43831</v>
      </c>
      <c r="E2332">
        <v>2</v>
      </c>
      <c r="F2332">
        <v>300020328</v>
      </c>
      <c r="G2332" t="s">
        <v>101</v>
      </c>
      <c r="H2332">
        <v>40</v>
      </c>
      <c r="I2332">
        <v>71102010</v>
      </c>
      <c r="J2332">
        <v>71111040</v>
      </c>
      <c r="K2332" t="s">
        <v>187</v>
      </c>
      <c r="L2332" s="4">
        <v>661845.63</v>
      </c>
      <c r="M2332" t="s">
        <v>31</v>
      </c>
      <c r="N2332" s="4">
        <v>661845.63</v>
      </c>
      <c r="O2332" t="s">
        <v>31</v>
      </c>
      <c r="X2332" t="s">
        <v>72</v>
      </c>
      <c r="Y2332" t="s">
        <v>1001</v>
      </c>
      <c r="Z2332">
        <v>20200131</v>
      </c>
      <c r="AA2332">
        <f t="shared" si="92"/>
        <v>661845.63</v>
      </c>
      <c r="AC2332"/>
      <c r="AE2332" t="s">
        <v>1003</v>
      </c>
      <c r="AF2332"/>
      <c r="AL2332">
        <v>340310490</v>
      </c>
      <c r="AM2332" t="s">
        <v>40</v>
      </c>
    </row>
    <row r="2333" spans="1:39" x14ac:dyDescent="0.35">
      <c r="A2333">
        <v>3403</v>
      </c>
      <c r="B2333" t="s">
        <v>28</v>
      </c>
      <c r="C2333">
        <v>2020</v>
      </c>
      <c r="D2333" s="1">
        <v>43831</v>
      </c>
      <c r="E2333">
        <v>3</v>
      </c>
      <c r="F2333">
        <v>300020328</v>
      </c>
      <c r="G2333" t="s">
        <v>101</v>
      </c>
      <c r="H2333">
        <v>40</v>
      </c>
      <c r="I2333">
        <v>71102010</v>
      </c>
      <c r="J2333">
        <v>71111040</v>
      </c>
      <c r="K2333" t="s">
        <v>187</v>
      </c>
      <c r="L2333" s="4">
        <v>3783.58</v>
      </c>
      <c r="M2333" t="s">
        <v>31</v>
      </c>
      <c r="N2333" s="4">
        <v>3783.58</v>
      </c>
      <c r="O2333" t="s">
        <v>31</v>
      </c>
      <c r="X2333" t="s">
        <v>72</v>
      </c>
      <c r="Y2333" t="s">
        <v>1001</v>
      </c>
      <c r="Z2333">
        <v>20200131</v>
      </c>
      <c r="AA2333">
        <f t="shared" si="92"/>
        <v>3783.58</v>
      </c>
      <c r="AC2333"/>
      <c r="AE2333" t="s">
        <v>1004</v>
      </c>
      <c r="AF2333"/>
      <c r="AL2333">
        <v>340310590</v>
      </c>
      <c r="AM2333" t="s">
        <v>40</v>
      </c>
    </row>
    <row r="2334" spans="1:39" x14ac:dyDescent="0.35">
      <c r="A2334">
        <v>3403</v>
      </c>
      <c r="B2334" t="s">
        <v>28</v>
      </c>
      <c r="C2334">
        <v>2020</v>
      </c>
      <c r="D2334" s="1">
        <v>43831</v>
      </c>
      <c r="E2334">
        <v>4</v>
      </c>
      <c r="F2334">
        <v>300020328</v>
      </c>
      <c r="G2334" t="s">
        <v>101</v>
      </c>
      <c r="H2334">
        <v>40</v>
      </c>
      <c r="I2334">
        <v>71102010</v>
      </c>
      <c r="J2334">
        <v>71111040</v>
      </c>
      <c r="K2334" t="s">
        <v>187</v>
      </c>
      <c r="L2334" s="4">
        <v>862.04</v>
      </c>
      <c r="M2334" t="s">
        <v>31</v>
      </c>
      <c r="N2334" s="4">
        <v>862.04</v>
      </c>
      <c r="O2334" t="s">
        <v>31</v>
      </c>
      <c r="X2334" t="s">
        <v>72</v>
      </c>
      <c r="Y2334" t="s">
        <v>1001</v>
      </c>
      <c r="Z2334">
        <v>20200131</v>
      </c>
      <c r="AA2334">
        <f t="shared" si="92"/>
        <v>862.04</v>
      </c>
      <c r="AC2334"/>
      <c r="AE2334" t="s">
        <v>1005</v>
      </c>
      <c r="AF2334"/>
      <c r="AL2334">
        <v>340332290</v>
      </c>
      <c r="AM2334" t="s">
        <v>40</v>
      </c>
    </row>
    <row r="2335" spans="1:39" x14ac:dyDescent="0.35">
      <c r="A2335">
        <v>3403</v>
      </c>
      <c r="B2335" t="s">
        <v>28</v>
      </c>
      <c r="C2335">
        <v>2020</v>
      </c>
      <c r="D2335" s="1">
        <v>43831</v>
      </c>
      <c r="E2335">
        <v>6</v>
      </c>
      <c r="F2335">
        <v>300020328</v>
      </c>
      <c r="G2335" t="s">
        <v>101</v>
      </c>
      <c r="H2335">
        <v>40</v>
      </c>
      <c r="I2335">
        <v>71102010</v>
      </c>
      <c r="J2335">
        <v>71111040</v>
      </c>
      <c r="K2335" t="s">
        <v>187</v>
      </c>
      <c r="L2335" s="4">
        <v>64497.94</v>
      </c>
      <c r="M2335" t="s">
        <v>31</v>
      </c>
      <c r="N2335" s="4">
        <v>64497.94</v>
      </c>
      <c r="O2335" t="s">
        <v>31</v>
      </c>
      <c r="X2335" t="s">
        <v>72</v>
      </c>
      <c r="Y2335" t="s">
        <v>1001</v>
      </c>
      <c r="Z2335">
        <v>20200131</v>
      </c>
      <c r="AA2335">
        <f t="shared" si="92"/>
        <v>64497.94</v>
      </c>
      <c r="AC2335"/>
      <c r="AE2335" t="s">
        <v>1006</v>
      </c>
      <c r="AF2335"/>
      <c r="AL2335">
        <v>340312290</v>
      </c>
      <c r="AM2335" t="s">
        <v>40</v>
      </c>
    </row>
    <row r="2336" spans="1:39" x14ac:dyDescent="0.35">
      <c r="A2336">
        <v>3403</v>
      </c>
      <c r="B2336" t="s">
        <v>28</v>
      </c>
      <c r="C2336">
        <v>2020</v>
      </c>
      <c r="D2336" s="1">
        <v>43831</v>
      </c>
      <c r="E2336">
        <v>7</v>
      </c>
      <c r="F2336">
        <v>300020328</v>
      </c>
      <c r="G2336" t="s">
        <v>101</v>
      </c>
      <c r="H2336">
        <v>40</v>
      </c>
      <c r="I2336">
        <v>71102010</v>
      </c>
      <c r="J2336">
        <v>71111040</v>
      </c>
      <c r="K2336" t="s">
        <v>187</v>
      </c>
      <c r="L2336" s="4">
        <v>4773.78</v>
      </c>
      <c r="M2336" t="s">
        <v>31</v>
      </c>
      <c r="N2336" s="4">
        <v>4773.78</v>
      </c>
      <c r="O2336" t="s">
        <v>31</v>
      </c>
      <c r="X2336" t="s">
        <v>72</v>
      </c>
      <c r="Y2336" t="s">
        <v>1001</v>
      </c>
      <c r="Z2336">
        <v>20200131</v>
      </c>
      <c r="AA2336">
        <f t="shared" si="92"/>
        <v>4773.78</v>
      </c>
      <c r="AC2336"/>
      <c r="AE2336" t="s">
        <v>1007</v>
      </c>
      <c r="AF2336"/>
      <c r="AL2336">
        <v>340315190</v>
      </c>
      <c r="AM2336" t="s">
        <v>40</v>
      </c>
    </row>
    <row r="2337" spans="1:39" x14ac:dyDescent="0.35">
      <c r="A2337">
        <v>3403</v>
      </c>
      <c r="B2337" t="s">
        <v>28</v>
      </c>
      <c r="C2337">
        <v>2020</v>
      </c>
      <c r="D2337" s="1">
        <v>43831</v>
      </c>
      <c r="E2337">
        <v>8</v>
      </c>
      <c r="F2337">
        <v>300020328</v>
      </c>
      <c r="G2337" t="s">
        <v>101</v>
      </c>
      <c r="H2337">
        <v>40</v>
      </c>
      <c r="I2337">
        <v>71102010</v>
      </c>
      <c r="J2337">
        <v>71111040</v>
      </c>
      <c r="K2337" t="s">
        <v>187</v>
      </c>
      <c r="L2337" s="4">
        <v>39585.71</v>
      </c>
      <c r="M2337" t="s">
        <v>31</v>
      </c>
      <c r="N2337" s="4">
        <v>39585.71</v>
      </c>
      <c r="O2337" t="s">
        <v>31</v>
      </c>
      <c r="X2337" t="s">
        <v>72</v>
      </c>
      <c r="Y2337" t="s">
        <v>1001</v>
      </c>
      <c r="Z2337">
        <v>20200131</v>
      </c>
      <c r="AA2337">
        <f t="shared" si="92"/>
        <v>39585.71</v>
      </c>
      <c r="AC2337"/>
      <c r="AE2337" t="s">
        <v>1008</v>
      </c>
      <c r="AF2337"/>
      <c r="AL2337">
        <v>340353290</v>
      </c>
      <c r="AM2337" t="s">
        <v>40</v>
      </c>
    </row>
    <row r="2338" spans="1:39" x14ac:dyDescent="0.35">
      <c r="A2338">
        <v>3403</v>
      </c>
      <c r="B2338" t="s">
        <v>28</v>
      </c>
      <c r="C2338">
        <v>2020</v>
      </c>
      <c r="D2338" s="1">
        <v>43831</v>
      </c>
      <c r="E2338">
        <v>9</v>
      </c>
      <c r="F2338">
        <v>300020328</v>
      </c>
      <c r="G2338" t="s">
        <v>101</v>
      </c>
      <c r="H2338">
        <v>40</v>
      </c>
      <c r="I2338">
        <v>71102010</v>
      </c>
      <c r="J2338">
        <v>71111040</v>
      </c>
      <c r="K2338" t="s">
        <v>187</v>
      </c>
      <c r="L2338" s="4">
        <v>49.57</v>
      </c>
      <c r="M2338" t="s">
        <v>31</v>
      </c>
      <c r="N2338" s="4">
        <v>49.57</v>
      </c>
      <c r="O2338" t="s">
        <v>31</v>
      </c>
      <c r="X2338" t="s">
        <v>72</v>
      </c>
      <c r="Y2338" t="s">
        <v>1001</v>
      </c>
      <c r="Z2338">
        <v>20200131</v>
      </c>
      <c r="AA2338">
        <f t="shared" si="92"/>
        <v>49.57</v>
      </c>
      <c r="AC2338"/>
      <c r="AE2338" t="s">
        <v>1009</v>
      </c>
      <c r="AF2338"/>
      <c r="AL2338">
        <v>340312290</v>
      </c>
      <c r="AM2338" t="s">
        <v>40</v>
      </c>
    </row>
    <row r="2339" spans="1:39" x14ac:dyDescent="0.35">
      <c r="A2339">
        <v>3403</v>
      </c>
      <c r="B2339" t="s">
        <v>28</v>
      </c>
      <c r="C2339">
        <v>2020</v>
      </c>
      <c r="D2339" s="1">
        <v>43831</v>
      </c>
      <c r="E2339">
        <v>10</v>
      </c>
      <c r="F2339">
        <v>300020328</v>
      </c>
      <c r="G2339" t="s">
        <v>101</v>
      </c>
      <c r="H2339">
        <v>40</v>
      </c>
      <c r="I2339">
        <v>71102010</v>
      </c>
      <c r="J2339">
        <v>71111040</v>
      </c>
      <c r="K2339" t="s">
        <v>187</v>
      </c>
      <c r="L2339" s="4">
        <v>21.48</v>
      </c>
      <c r="M2339" t="s">
        <v>31</v>
      </c>
      <c r="N2339" s="4">
        <v>21.48</v>
      </c>
      <c r="O2339" t="s">
        <v>31</v>
      </c>
      <c r="X2339" t="s">
        <v>72</v>
      </c>
      <c r="Y2339" t="s">
        <v>1001</v>
      </c>
      <c r="Z2339">
        <v>20200131</v>
      </c>
      <c r="AA2339">
        <f t="shared" si="92"/>
        <v>21.48</v>
      </c>
      <c r="AC2339"/>
      <c r="AE2339" t="s">
        <v>1010</v>
      </c>
      <c r="AF2339"/>
      <c r="AL2339">
        <v>340321790</v>
      </c>
      <c r="AM2339" t="s">
        <v>40</v>
      </c>
    </row>
    <row r="2340" spans="1:39" x14ac:dyDescent="0.35">
      <c r="A2340">
        <v>3403</v>
      </c>
      <c r="B2340" t="s">
        <v>28</v>
      </c>
      <c r="C2340">
        <v>2020</v>
      </c>
      <c r="D2340" s="1">
        <v>43831</v>
      </c>
      <c r="E2340">
        <v>11</v>
      </c>
      <c r="F2340">
        <v>300020328</v>
      </c>
      <c r="G2340" t="s">
        <v>101</v>
      </c>
      <c r="H2340">
        <v>40</v>
      </c>
      <c r="I2340">
        <v>71102010</v>
      </c>
      <c r="J2340">
        <v>71111040</v>
      </c>
      <c r="K2340" t="s">
        <v>187</v>
      </c>
      <c r="L2340" s="4">
        <v>25.61</v>
      </c>
      <c r="M2340" t="s">
        <v>31</v>
      </c>
      <c r="N2340" s="4">
        <v>25.61</v>
      </c>
      <c r="O2340" t="s">
        <v>31</v>
      </c>
      <c r="X2340" t="s">
        <v>72</v>
      </c>
      <c r="Y2340" t="s">
        <v>1001</v>
      </c>
      <c r="Z2340">
        <v>20200131</v>
      </c>
      <c r="AA2340">
        <f t="shared" si="92"/>
        <v>25.61</v>
      </c>
      <c r="AC2340"/>
      <c r="AE2340" t="s">
        <v>1011</v>
      </c>
      <c r="AF2340"/>
      <c r="AL2340">
        <v>340340390</v>
      </c>
      <c r="AM2340" t="s">
        <v>40</v>
      </c>
    </row>
    <row r="2341" spans="1:39" x14ac:dyDescent="0.35">
      <c r="A2341">
        <v>3403</v>
      </c>
      <c r="B2341" t="s">
        <v>28</v>
      </c>
      <c r="C2341">
        <v>2020</v>
      </c>
      <c r="D2341" s="1">
        <v>43831</v>
      </c>
      <c r="E2341">
        <v>12</v>
      </c>
      <c r="F2341">
        <v>300020328</v>
      </c>
      <c r="G2341" t="s">
        <v>101</v>
      </c>
      <c r="H2341">
        <v>40</v>
      </c>
      <c r="I2341">
        <v>71102010</v>
      </c>
      <c r="J2341">
        <v>71111040</v>
      </c>
      <c r="K2341" t="s">
        <v>187</v>
      </c>
      <c r="L2341" s="4">
        <v>19</v>
      </c>
      <c r="M2341" t="s">
        <v>31</v>
      </c>
      <c r="N2341" s="4">
        <v>19</v>
      </c>
      <c r="O2341" t="s">
        <v>31</v>
      </c>
      <c r="X2341" t="s">
        <v>72</v>
      </c>
      <c r="Y2341" t="s">
        <v>1001</v>
      </c>
      <c r="Z2341">
        <v>20200131</v>
      </c>
      <c r="AA2341">
        <f t="shared" si="92"/>
        <v>19</v>
      </c>
      <c r="AC2341"/>
      <c r="AE2341" t="s">
        <v>1012</v>
      </c>
      <c r="AF2341"/>
      <c r="AL2341">
        <v>340325190</v>
      </c>
      <c r="AM2341" t="s">
        <v>40</v>
      </c>
    </row>
    <row r="2342" spans="1:39" x14ac:dyDescent="0.35">
      <c r="A2342">
        <v>3403</v>
      </c>
      <c r="B2342" t="s">
        <v>28</v>
      </c>
      <c r="C2342">
        <v>2020</v>
      </c>
      <c r="D2342" s="1">
        <v>43831</v>
      </c>
      <c r="E2342">
        <v>13</v>
      </c>
      <c r="F2342">
        <v>300020328</v>
      </c>
      <c r="G2342" t="s">
        <v>101</v>
      </c>
      <c r="H2342">
        <v>40</v>
      </c>
      <c r="I2342">
        <v>71102010</v>
      </c>
      <c r="J2342">
        <v>71111040</v>
      </c>
      <c r="K2342" t="s">
        <v>187</v>
      </c>
      <c r="L2342" s="4">
        <v>53.69</v>
      </c>
      <c r="M2342" t="s">
        <v>31</v>
      </c>
      <c r="N2342" s="4">
        <v>53.69</v>
      </c>
      <c r="O2342" t="s">
        <v>31</v>
      </c>
      <c r="X2342" t="s">
        <v>72</v>
      </c>
      <c r="Y2342" t="s">
        <v>1001</v>
      </c>
      <c r="Z2342">
        <v>20200131</v>
      </c>
      <c r="AA2342">
        <f t="shared" si="92"/>
        <v>53.69</v>
      </c>
      <c r="AC2342"/>
      <c r="AE2342" t="s">
        <v>1013</v>
      </c>
      <c r="AF2342"/>
      <c r="AL2342">
        <v>340321690</v>
      </c>
      <c r="AM2342" t="s">
        <v>40</v>
      </c>
    </row>
    <row r="2343" spans="1:39" x14ac:dyDescent="0.35">
      <c r="A2343">
        <v>3409</v>
      </c>
      <c r="B2343" t="s">
        <v>28</v>
      </c>
      <c r="C2343">
        <v>2020</v>
      </c>
      <c r="D2343" s="1">
        <v>43831</v>
      </c>
      <c r="E2343">
        <v>1</v>
      </c>
      <c r="F2343">
        <v>900012437</v>
      </c>
      <c r="G2343" t="s">
        <v>120</v>
      </c>
      <c r="H2343">
        <v>81</v>
      </c>
      <c r="I2343">
        <v>71106040</v>
      </c>
      <c r="J2343">
        <v>21021040</v>
      </c>
      <c r="K2343" t="s">
        <v>125</v>
      </c>
      <c r="L2343" s="4">
        <v>7396.76</v>
      </c>
      <c r="M2343" t="s">
        <v>54</v>
      </c>
      <c r="N2343" s="4">
        <v>138368.97</v>
      </c>
      <c r="O2343" t="s">
        <v>31</v>
      </c>
      <c r="R2343" t="s">
        <v>1121</v>
      </c>
      <c r="S2343">
        <v>752738581</v>
      </c>
      <c r="T2343">
        <v>602358</v>
      </c>
      <c r="U2343" t="s">
        <v>130</v>
      </c>
      <c r="X2343" t="s">
        <v>72</v>
      </c>
      <c r="Y2343" s="8">
        <v>2292346</v>
      </c>
      <c r="Z2343">
        <v>20200131</v>
      </c>
      <c r="AA2343">
        <f t="shared" si="92"/>
        <v>7396.76</v>
      </c>
      <c r="AB2343">
        <v>0</v>
      </c>
      <c r="AC2343">
        <f>AA2343</f>
        <v>7396.76</v>
      </c>
      <c r="AD2343">
        <v>900012515</v>
      </c>
      <c r="AE2343" t="s">
        <v>1014</v>
      </c>
      <c r="AF2343" s="4">
        <f>AC2343</f>
        <v>7396.76</v>
      </c>
      <c r="AG2343" t="s">
        <v>1146</v>
      </c>
      <c r="AH2343" t="s">
        <v>1123</v>
      </c>
      <c r="AI2343">
        <v>900014325</v>
      </c>
      <c r="AJ2343" t="s">
        <v>1125</v>
      </c>
      <c r="AK2343" t="s">
        <v>1124</v>
      </c>
      <c r="AL2343">
        <v>340921790</v>
      </c>
      <c r="AM2343" t="s">
        <v>208</v>
      </c>
    </row>
    <row r="2344" spans="1:39" x14ac:dyDescent="0.35">
      <c r="A2344">
        <v>3409</v>
      </c>
      <c r="B2344" t="s">
        <v>28</v>
      </c>
      <c r="C2344">
        <v>2020</v>
      </c>
      <c r="D2344" s="1">
        <v>43831</v>
      </c>
      <c r="E2344">
        <v>1</v>
      </c>
      <c r="F2344">
        <v>900012438</v>
      </c>
      <c r="G2344" t="s">
        <v>120</v>
      </c>
      <c r="H2344">
        <v>81</v>
      </c>
      <c r="I2344">
        <v>71106040</v>
      </c>
      <c r="J2344">
        <v>21021040</v>
      </c>
      <c r="K2344" t="s">
        <v>125</v>
      </c>
      <c r="L2344" s="4">
        <v>662.59</v>
      </c>
      <c r="M2344" t="s">
        <v>54</v>
      </c>
      <c r="N2344" s="4">
        <v>12394.87</v>
      </c>
      <c r="O2344" t="s">
        <v>31</v>
      </c>
      <c r="R2344" t="s">
        <v>1121</v>
      </c>
      <c r="S2344">
        <v>270671211</v>
      </c>
      <c r="T2344">
        <v>801030</v>
      </c>
      <c r="U2344" t="s">
        <v>1015</v>
      </c>
      <c r="X2344" t="s">
        <v>72</v>
      </c>
      <c r="Y2344" s="8">
        <v>360</v>
      </c>
      <c r="Z2344">
        <v>20200131</v>
      </c>
      <c r="AA2344">
        <f t="shared" si="92"/>
        <v>662.59</v>
      </c>
      <c r="AB2344">
        <v>0</v>
      </c>
      <c r="AC2344">
        <f>AA2344</f>
        <v>662.59</v>
      </c>
      <c r="AD2344">
        <v>900012521</v>
      </c>
      <c r="AE2344" t="s">
        <v>1016</v>
      </c>
      <c r="AF2344" s="4">
        <f>AC2344</f>
        <v>662.59</v>
      </c>
      <c r="AG2344" t="s">
        <v>1144</v>
      </c>
      <c r="AH2344" t="s">
        <v>1123</v>
      </c>
      <c r="AI2344">
        <v>900022505</v>
      </c>
      <c r="AJ2344" t="s">
        <v>1125</v>
      </c>
      <c r="AK2344" t="s">
        <v>1124</v>
      </c>
      <c r="AL2344">
        <v>340921790</v>
      </c>
      <c r="AM2344" t="s">
        <v>208</v>
      </c>
    </row>
    <row r="2345" spans="1:39" x14ac:dyDescent="0.35">
      <c r="A2345">
        <v>3409</v>
      </c>
      <c r="B2345" t="s">
        <v>28</v>
      </c>
      <c r="C2345">
        <v>2020</v>
      </c>
      <c r="D2345" s="1">
        <v>43831</v>
      </c>
      <c r="E2345">
        <v>1</v>
      </c>
      <c r="F2345">
        <v>900012439</v>
      </c>
      <c r="G2345" t="s">
        <v>101</v>
      </c>
      <c r="H2345">
        <v>40</v>
      </c>
      <c r="I2345">
        <v>71106150</v>
      </c>
      <c r="J2345">
        <v>21230140</v>
      </c>
      <c r="K2345" t="s">
        <v>102</v>
      </c>
      <c r="L2345">
        <v>41153.25</v>
      </c>
      <c r="M2345" t="s">
        <v>54</v>
      </c>
      <c r="N2345">
        <v>769841.5</v>
      </c>
      <c r="O2345" t="s">
        <v>31</v>
      </c>
      <c r="W2345">
        <v>900012530</v>
      </c>
      <c r="X2345" t="s">
        <v>72</v>
      </c>
      <c r="Y2345" t="s">
        <v>206</v>
      </c>
      <c r="Z2345">
        <v>20200131</v>
      </c>
      <c r="AA2345">
        <f t="shared" si="92"/>
        <v>41153.25</v>
      </c>
      <c r="AC2345"/>
      <c r="AE2345" t="s">
        <v>207</v>
      </c>
      <c r="AF2345"/>
      <c r="AL2345">
        <v>340921790</v>
      </c>
      <c r="AM2345" t="s">
        <v>208</v>
      </c>
    </row>
    <row r="2346" spans="1:39" x14ac:dyDescent="0.35">
      <c r="A2346">
        <v>3409</v>
      </c>
      <c r="B2346" t="s">
        <v>28</v>
      </c>
      <c r="C2346">
        <v>2020</v>
      </c>
      <c r="D2346" s="1">
        <v>43831</v>
      </c>
      <c r="E2346">
        <v>2</v>
      </c>
      <c r="F2346">
        <v>900012439</v>
      </c>
      <c r="G2346" t="s">
        <v>101</v>
      </c>
      <c r="H2346">
        <v>40</v>
      </c>
      <c r="I2346">
        <v>71106150</v>
      </c>
      <c r="J2346">
        <v>21230140</v>
      </c>
      <c r="K2346" t="s">
        <v>102</v>
      </c>
      <c r="L2346">
        <v>13717.75</v>
      </c>
      <c r="M2346" t="s">
        <v>54</v>
      </c>
      <c r="N2346">
        <v>256613.83</v>
      </c>
      <c r="O2346" t="s">
        <v>31</v>
      </c>
      <c r="W2346">
        <v>900012530</v>
      </c>
      <c r="X2346" t="s">
        <v>72</v>
      </c>
      <c r="Y2346" t="s">
        <v>206</v>
      </c>
      <c r="Z2346">
        <v>20200131</v>
      </c>
      <c r="AA2346">
        <f t="shared" si="92"/>
        <v>13717.75</v>
      </c>
      <c r="AC2346"/>
      <c r="AE2346" t="s">
        <v>209</v>
      </c>
      <c r="AF2346"/>
      <c r="AL2346">
        <v>340921790</v>
      </c>
      <c r="AM2346" t="s">
        <v>208</v>
      </c>
    </row>
    <row r="2347" spans="1:39" x14ac:dyDescent="0.35">
      <c r="A2347">
        <v>3409</v>
      </c>
      <c r="B2347" t="s">
        <v>28</v>
      </c>
      <c r="C2347">
        <v>2020</v>
      </c>
      <c r="D2347" s="1">
        <v>43831</v>
      </c>
      <c r="E2347">
        <v>3</v>
      </c>
      <c r="F2347">
        <v>900012439</v>
      </c>
      <c r="G2347" t="s">
        <v>101</v>
      </c>
      <c r="H2347">
        <v>40</v>
      </c>
      <c r="I2347">
        <v>71106150</v>
      </c>
      <c r="J2347">
        <v>21230140</v>
      </c>
      <c r="K2347" t="s">
        <v>102</v>
      </c>
      <c r="L2347">
        <v>34118.660000000003</v>
      </c>
      <c r="M2347" t="s">
        <v>54</v>
      </c>
      <c r="N2347">
        <v>638247.54</v>
      </c>
      <c r="O2347" t="s">
        <v>31</v>
      </c>
      <c r="W2347">
        <v>900012530</v>
      </c>
      <c r="X2347" t="s">
        <v>72</v>
      </c>
      <c r="Y2347" t="s">
        <v>206</v>
      </c>
      <c r="Z2347">
        <v>20200131</v>
      </c>
      <c r="AA2347">
        <f t="shared" si="92"/>
        <v>34118.660000000003</v>
      </c>
      <c r="AC2347"/>
      <c r="AE2347" t="s">
        <v>210</v>
      </c>
      <c r="AF2347"/>
      <c r="AL2347">
        <v>340981990</v>
      </c>
      <c r="AM2347" t="s">
        <v>208</v>
      </c>
    </row>
    <row r="2348" spans="1:39" x14ac:dyDescent="0.35">
      <c r="A2348">
        <v>3409</v>
      </c>
      <c r="B2348" t="s">
        <v>28</v>
      </c>
      <c r="C2348">
        <v>2020</v>
      </c>
      <c r="D2348" s="1">
        <v>43831</v>
      </c>
      <c r="E2348">
        <v>1</v>
      </c>
      <c r="F2348">
        <v>900012451</v>
      </c>
      <c r="G2348" t="s">
        <v>101</v>
      </c>
      <c r="H2348">
        <v>40</v>
      </c>
      <c r="I2348">
        <v>71102010</v>
      </c>
      <c r="J2348">
        <v>11210050</v>
      </c>
      <c r="K2348" t="s">
        <v>187</v>
      </c>
      <c r="L2348" s="4">
        <v>11089.23</v>
      </c>
      <c r="M2348" t="s">
        <v>54</v>
      </c>
      <c r="N2348" s="4">
        <v>222097.43</v>
      </c>
      <c r="O2348" t="s">
        <v>31</v>
      </c>
      <c r="X2348" t="s">
        <v>72</v>
      </c>
      <c r="Y2348" t="s">
        <v>1017</v>
      </c>
      <c r="Z2348">
        <v>20200131</v>
      </c>
      <c r="AA2348">
        <f t="shared" si="92"/>
        <v>11089.23</v>
      </c>
      <c r="AC2348"/>
      <c r="AE2348" t="s">
        <v>1018</v>
      </c>
      <c r="AF2348"/>
      <c r="AL2348">
        <v>340910490</v>
      </c>
      <c r="AM2348" t="s">
        <v>208</v>
      </c>
    </row>
    <row r="2349" spans="1:39" x14ac:dyDescent="0.35">
      <c r="A2349">
        <v>3409</v>
      </c>
      <c r="B2349" t="s">
        <v>28</v>
      </c>
      <c r="C2349">
        <v>2020</v>
      </c>
      <c r="D2349" s="1">
        <v>43831</v>
      </c>
      <c r="E2349">
        <v>2</v>
      </c>
      <c r="F2349">
        <v>900012451</v>
      </c>
      <c r="G2349" t="s">
        <v>101</v>
      </c>
      <c r="H2349">
        <v>40</v>
      </c>
      <c r="I2349">
        <v>71102010</v>
      </c>
      <c r="J2349">
        <v>11210050</v>
      </c>
      <c r="K2349" t="s">
        <v>187</v>
      </c>
      <c r="L2349" s="4">
        <v>32.03</v>
      </c>
      <c r="M2349" t="s">
        <v>54</v>
      </c>
      <c r="N2349" s="4">
        <v>641.53</v>
      </c>
      <c r="O2349" t="s">
        <v>31</v>
      </c>
      <c r="X2349" t="s">
        <v>72</v>
      </c>
      <c r="Y2349" t="s">
        <v>1017</v>
      </c>
      <c r="Z2349">
        <v>20200131</v>
      </c>
      <c r="AA2349">
        <f t="shared" si="92"/>
        <v>32.03</v>
      </c>
      <c r="AC2349"/>
      <c r="AE2349" t="s">
        <v>1019</v>
      </c>
      <c r="AF2349"/>
      <c r="AL2349">
        <v>340981090</v>
      </c>
      <c r="AM2349" t="s">
        <v>208</v>
      </c>
    </row>
    <row r="2350" spans="1:39" x14ac:dyDescent="0.35">
      <c r="A2350">
        <v>3409</v>
      </c>
      <c r="B2350" t="s">
        <v>28</v>
      </c>
      <c r="C2350">
        <v>2020</v>
      </c>
      <c r="D2350" s="1">
        <v>43831</v>
      </c>
      <c r="E2350">
        <v>3</v>
      </c>
      <c r="F2350">
        <v>900012451</v>
      </c>
      <c r="G2350" t="s">
        <v>101</v>
      </c>
      <c r="H2350">
        <v>40</v>
      </c>
      <c r="I2350">
        <v>71102010</v>
      </c>
      <c r="J2350">
        <v>11210050</v>
      </c>
      <c r="K2350" t="s">
        <v>187</v>
      </c>
      <c r="L2350" s="4">
        <v>45.01</v>
      </c>
      <c r="M2350" t="s">
        <v>54</v>
      </c>
      <c r="N2350" s="4">
        <v>901.5</v>
      </c>
      <c r="O2350" t="s">
        <v>31</v>
      </c>
      <c r="X2350" t="s">
        <v>72</v>
      </c>
      <c r="Y2350" t="s">
        <v>1017</v>
      </c>
      <c r="Z2350">
        <v>20200131</v>
      </c>
      <c r="AA2350">
        <f t="shared" si="92"/>
        <v>45.01</v>
      </c>
      <c r="AC2350"/>
      <c r="AE2350" t="s">
        <v>1020</v>
      </c>
      <c r="AF2350"/>
      <c r="AL2350">
        <v>340980690</v>
      </c>
      <c r="AM2350" t="s">
        <v>208</v>
      </c>
    </row>
    <row r="2351" spans="1:39" x14ac:dyDescent="0.35">
      <c r="A2351">
        <v>3409</v>
      </c>
      <c r="B2351" t="s">
        <v>28</v>
      </c>
      <c r="C2351">
        <v>2020</v>
      </c>
      <c r="D2351" s="1">
        <v>43831</v>
      </c>
      <c r="E2351">
        <v>4</v>
      </c>
      <c r="F2351">
        <v>900012451</v>
      </c>
      <c r="G2351" t="s">
        <v>101</v>
      </c>
      <c r="H2351">
        <v>40</v>
      </c>
      <c r="I2351">
        <v>71102010</v>
      </c>
      <c r="J2351">
        <v>11210050</v>
      </c>
      <c r="K2351" t="s">
        <v>187</v>
      </c>
      <c r="L2351" s="4">
        <v>30.32</v>
      </c>
      <c r="M2351" t="s">
        <v>54</v>
      </c>
      <c r="N2351" s="4">
        <v>607.26</v>
      </c>
      <c r="O2351" t="s">
        <v>31</v>
      </c>
      <c r="X2351" t="s">
        <v>72</v>
      </c>
      <c r="Y2351" t="s">
        <v>1017</v>
      </c>
      <c r="Z2351">
        <v>20200131</v>
      </c>
      <c r="AA2351">
        <f t="shared" si="92"/>
        <v>30.32</v>
      </c>
      <c r="AC2351"/>
      <c r="AE2351" t="s">
        <v>1021</v>
      </c>
      <c r="AF2351"/>
      <c r="AL2351">
        <v>340981790</v>
      </c>
      <c r="AM2351" t="s">
        <v>208</v>
      </c>
    </row>
    <row r="2352" spans="1:39" x14ac:dyDescent="0.35">
      <c r="A2352">
        <v>3409</v>
      </c>
      <c r="B2352" t="s">
        <v>28</v>
      </c>
      <c r="C2352">
        <v>2020</v>
      </c>
      <c r="D2352" s="1">
        <v>43831</v>
      </c>
      <c r="E2352">
        <v>5</v>
      </c>
      <c r="F2352">
        <v>900012451</v>
      </c>
      <c r="G2352" t="s">
        <v>101</v>
      </c>
      <c r="H2352">
        <v>40</v>
      </c>
      <c r="I2352">
        <v>71102010</v>
      </c>
      <c r="J2352">
        <v>11210050</v>
      </c>
      <c r="K2352" t="s">
        <v>187</v>
      </c>
      <c r="L2352" s="4">
        <v>155.04</v>
      </c>
      <c r="M2352" t="s">
        <v>54</v>
      </c>
      <c r="N2352" s="4">
        <v>3105.09</v>
      </c>
      <c r="O2352" t="s">
        <v>31</v>
      </c>
      <c r="X2352" t="s">
        <v>72</v>
      </c>
      <c r="Y2352" t="s">
        <v>1017</v>
      </c>
      <c r="Z2352">
        <v>20200131</v>
      </c>
      <c r="AA2352">
        <f t="shared" si="92"/>
        <v>155.04</v>
      </c>
      <c r="AC2352"/>
      <c r="AE2352" t="s">
        <v>1022</v>
      </c>
      <c r="AF2352"/>
      <c r="AL2352">
        <v>340981990</v>
      </c>
      <c r="AM2352" t="s">
        <v>208</v>
      </c>
    </row>
    <row r="2353" spans="1:39" x14ac:dyDescent="0.35">
      <c r="A2353">
        <v>3409</v>
      </c>
      <c r="B2353" t="s">
        <v>28</v>
      </c>
      <c r="C2353">
        <v>2020</v>
      </c>
      <c r="D2353" s="1">
        <v>43831</v>
      </c>
      <c r="E2353">
        <v>6</v>
      </c>
      <c r="F2353">
        <v>900012451</v>
      </c>
      <c r="G2353" t="s">
        <v>101</v>
      </c>
      <c r="H2353">
        <v>40</v>
      </c>
      <c r="I2353">
        <v>71102010</v>
      </c>
      <c r="J2353">
        <v>11210050</v>
      </c>
      <c r="K2353" t="s">
        <v>187</v>
      </c>
      <c r="L2353" s="4">
        <v>10.31</v>
      </c>
      <c r="M2353" t="s">
        <v>54</v>
      </c>
      <c r="N2353" s="4">
        <v>206.52</v>
      </c>
      <c r="O2353" t="s">
        <v>31</v>
      </c>
      <c r="X2353" t="s">
        <v>72</v>
      </c>
      <c r="Y2353" t="s">
        <v>1017</v>
      </c>
      <c r="Z2353">
        <v>20200131</v>
      </c>
      <c r="AA2353">
        <f t="shared" si="92"/>
        <v>10.31</v>
      </c>
      <c r="AC2353"/>
      <c r="AE2353" t="s">
        <v>1023</v>
      </c>
      <c r="AF2353"/>
      <c r="AL2353">
        <v>340913190</v>
      </c>
      <c r="AM2353" t="s">
        <v>208</v>
      </c>
    </row>
    <row r="2354" spans="1:39" x14ac:dyDescent="0.35">
      <c r="A2354">
        <v>3409</v>
      </c>
      <c r="B2354" t="s">
        <v>28</v>
      </c>
      <c r="C2354">
        <v>2020</v>
      </c>
      <c r="D2354" s="1">
        <v>43831</v>
      </c>
      <c r="E2354">
        <v>7</v>
      </c>
      <c r="F2354">
        <v>900012451</v>
      </c>
      <c r="G2354" t="s">
        <v>101</v>
      </c>
      <c r="H2354">
        <v>40</v>
      </c>
      <c r="I2354">
        <v>71102010</v>
      </c>
      <c r="J2354">
        <v>11210050</v>
      </c>
      <c r="K2354" t="s">
        <v>187</v>
      </c>
      <c r="L2354" s="4">
        <v>1199.81</v>
      </c>
      <c r="M2354" t="s">
        <v>54</v>
      </c>
      <c r="N2354" s="4">
        <v>24029.98</v>
      </c>
      <c r="O2354" t="s">
        <v>31</v>
      </c>
      <c r="X2354" t="s">
        <v>72</v>
      </c>
      <c r="Y2354" t="s">
        <v>1017</v>
      </c>
      <c r="Z2354">
        <v>20200131</v>
      </c>
      <c r="AA2354">
        <f t="shared" si="92"/>
        <v>1199.81</v>
      </c>
      <c r="AC2354"/>
      <c r="AE2354" t="s">
        <v>1024</v>
      </c>
      <c r="AF2354"/>
      <c r="AL2354">
        <v>340927190</v>
      </c>
      <c r="AM2354" t="s">
        <v>208</v>
      </c>
    </row>
    <row r="2355" spans="1:39" x14ac:dyDescent="0.35">
      <c r="A2355">
        <v>3409</v>
      </c>
      <c r="B2355" t="s">
        <v>28</v>
      </c>
      <c r="C2355">
        <v>2020</v>
      </c>
      <c r="D2355" s="1">
        <v>43831</v>
      </c>
      <c r="E2355">
        <v>8</v>
      </c>
      <c r="F2355">
        <v>900012451</v>
      </c>
      <c r="G2355" t="s">
        <v>101</v>
      </c>
      <c r="H2355">
        <v>40</v>
      </c>
      <c r="I2355">
        <v>71102010</v>
      </c>
      <c r="J2355">
        <v>11210050</v>
      </c>
      <c r="K2355" t="s">
        <v>187</v>
      </c>
      <c r="L2355" s="4">
        <v>1284.23</v>
      </c>
      <c r="M2355" t="s">
        <v>54</v>
      </c>
      <c r="N2355" s="4">
        <v>25720.92</v>
      </c>
      <c r="O2355" t="s">
        <v>31</v>
      </c>
      <c r="X2355" t="s">
        <v>72</v>
      </c>
      <c r="Y2355" t="s">
        <v>1017</v>
      </c>
      <c r="Z2355">
        <v>20200131</v>
      </c>
      <c r="AA2355">
        <f t="shared" si="92"/>
        <v>1284.23</v>
      </c>
      <c r="AC2355"/>
      <c r="AE2355" t="s">
        <v>1025</v>
      </c>
      <c r="AF2355"/>
      <c r="AL2355">
        <v>340953290</v>
      </c>
      <c r="AM2355" t="s">
        <v>208</v>
      </c>
    </row>
    <row r="2356" spans="1:39" x14ac:dyDescent="0.35">
      <c r="A2356">
        <v>3409</v>
      </c>
      <c r="B2356" t="s">
        <v>28</v>
      </c>
      <c r="C2356">
        <v>2020</v>
      </c>
      <c r="D2356" s="1">
        <v>43831</v>
      </c>
      <c r="E2356">
        <v>9</v>
      </c>
      <c r="F2356">
        <v>900012451</v>
      </c>
      <c r="G2356" t="s">
        <v>101</v>
      </c>
      <c r="H2356">
        <v>40</v>
      </c>
      <c r="I2356">
        <v>71102010</v>
      </c>
      <c r="J2356">
        <v>11210050</v>
      </c>
      <c r="K2356" t="s">
        <v>187</v>
      </c>
      <c r="L2356" s="4">
        <v>160.53</v>
      </c>
      <c r="M2356" t="s">
        <v>54</v>
      </c>
      <c r="N2356" s="4">
        <v>3215.11</v>
      </c>
      <c r="O2356" t="s">
        <v>31</v>
      </c>
      <c r="X2356" t="s">
        <v>72</v>
      </c>
      <c r="Y2356" t="s">
        <v>1017</v>
      </c>
      <c r="Z2356">
        <v>20200131</v>
      </c>
      <c r="AA2356">
        <f t="shared" si="92"/>
        <v>160.53</v>
      </c>
      <c r="AC2356"/>
      <c r="AE2356" t="s">
        <v>1026</v>
      </c>
      <c r="AF2356"/>
      <c r="AL2356">
        <v>340915190</v>
      </c>
      <c r="AM2356" t="s">
        <v>208</v>
      </c>
    </row>
    <row r="2357" spans="1:39" x14ac:dyDescent="0.35">
      <c r="A2357">
        <v>3409</v>
      </c>
      <c r="B2357" t="s">
        <v>28</v>
      </c>
      <c r="C2357">
        <v>2020</v>
      </c>
      <c r="D2357" s="1">
        <v>43831</v>
      </c>
      <c r="E2357">
        <v>10</v>
      </c>
      <c r="F2357">
        <v>900012451</v>
      </c>
      <c r="G2357" t="s">
        <v>101</v>
      </c>
      <c r="H2357">
        <v>40</v>
      </c>
      <c r="I2357">
        <v>71102010</v>
      </c>
      <c r="J2357">
        <v>11210050</v>
      </c>
      <c r="K2357" t="s">
        <v>187</v>
      </c>
      <c r="L2357" s="4">
        <v>160.53</v>
      </c>
      <c r="M2357" t="s">
        <v>54</v>
      </c>
      <c r="N2357" s="4">
        <v>3215.11</v>
      </c>
      <c r="O2357" t="s">
        <v>31</v>
      </c>
      <c r="X2357" t="s">
        <v>72</v>
      </c>
      <c r="Y2357" t="s">
        <v>1017</v>
      </c>
      <c r="Z2357">
        <v>20200131</v>
      </c>
      <c r="AA2357">
        <f t="shared" si="92"/>
        <v>160.53</v>
      </c>
      <c r="AC2357"/>
      <c r="AE2357" t="s">
        <v>1026</v>
      </c>
      <c r="AF2357"/>
      <c r="AL2357">
        <v>340953890</v>
      </c>
      <c r="AM2357" t="s">
        <v>208</v>
      </c>
    </row>
    <row r="2358" spans="1:39" x14ac:dyDescent="0.35">
      <c r="A2358">
        <v>3400</v>
      </c>
      <c r="B2358" t="s">
        <v>28</v>
      </c>
      <c r="C2358">
        <v>2020</v>
      </c>
      <c r="D2358" s="1">
        <v>43831</v>
      </c>
      <c r="E2358">
        <v>13</v>
      </c>
      <c r="F2358">
        <v>100011795</v>
      </c>
      <c r="G2358" t="s">
        <v>101</v>
      </c>
      <c r="H2358">
        <v>40</v>
      </c>
      <c r="I2358">
        <v>74010070</v>
      </c>
      <c r="J2358">
        <v>11610110</v>
      </c>
      <c r="K2358" t="s">
        <v>49</v>
      </c>
      <c r="L2358" s="4">
        <v>27.16</v>
      </c>
      <c r="M2358" t="s">
        <v>31</v>
      </c>
      <c r="N2358" s="4">
        <v>27.16</v>
      </c>
      <c r="O2358" t="s">
        <v>31</v>
      </c>
      <c r="P2358" t="s">
        <v>50</v>
      </c>
      <c r="X2358" t="s">
        <v>72</v>
      </c>
      <c r="Y2358" t="s">
        <v>1027</v>
      </c>
      <c r="Z2358">
        <v>20200131</v>
      </c>
      <c r="AA2358">
        <f t="shared" si="92"/>
        <v>27.16</v>
      </c>
      <c r="AC2358"/>
      <c r="AE2358" t="s">
        <v>1028</v>
      </c>
      <c r="AF2358"/>
      <c r="AL2358">
        <v>340040450</v>
      </c>
      <c r="AM2358" t="s">
        <v>214</v>
      </c>
    </row>
    <row r="2359" spans="1:39" x14ac:dyDescent="0.35">
      <c r="A2359">
        <v>3401</v>
      </c>
      <c r="B2359" t="s">
        <v>28</v>
      </c>
      <c r="C2359">
        <v>2020</v>
      </c>
      <c r="D2359" s="1">
        <v>43831</v>
      </c>
      <c r="E2359">
        <v>1</v>
      </c>
      <c r="F2359">
        <v>100035189</v>
      </c>
      <c r="G2359" t="s">
        <v>101</v>
      </c>
      <c r="H2359">
        <v>40</v>
      </c>
      <c r="I2359">
        <v>71106150</v>
      </c>
      <c r="J2359">
        <v>21230140</v>
      </c>
      <c r="K2359" t="s">
        <v>102</v>
      </c>
      <c r="L2359">
        <v>174823</v>
      </c>
      <c r="M2359" t="s">
        <v>54</v>
      </c>
      <c r="N2359">
        <v>3270361.41</v>
      </c>
      <c r="O2359" t="s">
        <v>31</v>
      </c>
      <c r="W2359">
        <v>100072597</v>
      </c>
      <c r="X2359" t="s">
        <v>72</v>
      </c>
      <c r="Y2359" t="s">
        <v>1029</v>
      </c>
      <c r="Z2359">
        <v>20200131</v>
      </c>
      <c r="AA2359">
        <f t="shared" si="92"/>
        <v>174823</v>
      </c>
      <c r="AC2359"/>
      <c r="AE2359" t="s">
        <v>1030</v>
      </c>
      <c r="AF2359"/>
      <c r="AL2359">
        <v>340121790</v>
      </c>
      <c r="AM2359" t="s">
        <v>1031</v>
      </c>
    </row>
    <row r="2360" spans="1:39" x14ac:dyDescent="0.35">
      <c r="A2360">
        <v>3401</v>
      </c>
      <c r="B2360" t="s">
        <v>28</v>
      </c>
      <c r="C2360">
        <v>2020</v>
      </c>
      <c r="D2360" s="1">
        <v>43831</v>
      </c>
      <c r="E2360">
        <v>3</v>
      </c>
      <c r="F2360">
        <v>100035189</v>
      </c>
      <c r="G2360" t="s">
        <v>101</v>
      </c>
      <c r="H2360">
        <v>40</v>
      </c>
      <c r="I2360">
        <v>71106150</v>
      </c>
      <c r="J2360">
        <v>21230140</v>
      </c>
      <c r="K2360" t="s">
        <v>102</v>
      </c>
      <c r="L2360">
        <v>58274</v>
      </c>
      <c r="M2360" t="s">
        <v>54</v>
      </c>
      <c r="N2360">
        <v>1090114.24</v>
      </c>
      <c r="O2360" t="s">
        <v>31</v>
      </c>
      <c r="W2360">
        <v>100072597</v>
      </c>
      <c r="X2360" t="s">
        <v>72</v>
      </c>
      <c r="Y2360" t="s">
        <v>1029</v>
      </c>
      <c r="Z2360">
        <v>20200131</v>
      </c>
      <c r="AA2360">
        <f t="shared" si="92"/>
        <v>58274</v>
      </c>
      <c r="AC2360"/>
      <c r="AE2360" t="s">
        <v>1032</v>
      </c>
      <c r="AF2360"/>
      <c r="AL2360">
        <v>340121790</v>
      </c>
      <c r="AM2360" t="s">
        <v>1031</v>
      </c>
    </row>
    <row r="2361" spans="1:39" x14ac:dyDescent="0.35">
      <c r="A2361">
        <v>3401</v>
      </c>
      <c r="B2361" t="s">
        <v>28</v>
      </c>
      <c r="C2361">
        <v>2020</v>
      </c>
      <c r="D2361" s="1">
        <v>43831</v>
      </c>
      <c r="E2361">
        <v>5</v>
      </c>
      <c r="F2361">
        <v>100035189</v>
      </c>
      <c r="G2361" t="s">
        <v>101</v>
      </c>
      <c r="H2361">
        <v>40</v>
      </c>
      <c r="I2361">
        <v>71106150</v>
      </c>
      <c r="J2361">
        <v>21230140</v>
      </c>
      <c r="K2361" t="s">
        <v>102</v>
      </c>
      <c r="L2361">
        <v>4249</v>
      </c>
      <c r="M2361" t="s">
        <v>54</v>
      </c>
      <c r="N2361">
        <v>79484.77</v>
      </c>
      <c r="O2361" t="s">
        <v>31</v>
      </c>
      <c r="W2361">
        <v>100072597</v>
      </c>
      <c r="X2361" t="s">
        <v>72</v>
      </c>
      <c r="Y2361" t="s">
        <v>1029</v>
      </c>
      <c r="Z2361">
        <v>20200131</v>
      </c>
      <c r="AA2361">
        <f t="shared" si="92"/>
        <v>4249</v>
      </c>
      <c r="AC2361"/>
      <c r="AE2361" t="s">
        <v>1033</v>
      </c>
      <c r="AF2361"/>
      <c r="AL2361">
        <v>340170123</v>
      </c>
      <c r="AM2361" t="s">
        <v>1031</v>
      </c>
    </row>
    <row r="2362" spans="1:39" x14ac:dyDescent="0.35">
      <c r="A2362">
        <v>3403</v>
      </c>
      <c r="B2362" t="s">
        <v>28</v>
      </c>
      <c r="C2362">
        <v>2020</v>
      </c>
      <c r="D2362" s="1">
        <v>43831</v>
      </c>
      <c r="E2362">
        <v>1</v>
      </c>
      <c r="F2362">
        <v>300020411</v>
      </c>
      <c r="G2362" t="s">
        <v>120</v>
      </c>
      <c r="H2362">
        <v>91</v>
      </c>
      <c r="I2362">
        <v>71104010</v>
      </c>
      <c r="J2362">
        <v>21021040</v>
      </c>
      <c r="K2362" t="s">
        <v>121</v>
      </c>
      <c r="L2362" s="4">
        <v>44864</v>
      </c>
      <c r="M2362" t="s">
        <v>31</v>
      </c>
      <c r="N2362" s="4">
        <v>44864</v>
      </c>
      <c r="O2362" t="s">
        <v>31</v>
      </c>
      <c r="R2362" t="s">
        <v>542</v>
      </c>
      <c r="S2362" t="s">
        <v>1131</v>
      </c>
      <c r="T2362">
        <v>107211</v>
      </c>
      <c r="U2362" t="s">
        <v>123</v>
      </c>
      <c r="X2362" t="s">
        <v>72</v>
      </c>
      <c r="Y2362" s="8">
        <v>450122871</v>
      </c>
      <c r="Z2362">
        <v>20200131</v>
      </c>
      <c r="AA2362">
        <f t="shared" si="92"/>
        <v>44864</v>
      </c>
      <c r="AB2362">
        <f t="shared" ref="AB2362:AB2363" si="95">AA2362*0.16</f>
        <v>7178.24</v>
      </c>
      <c r="AC2362">
        <f t="shared" ref="AC2362:AC2363" si="96">AB2362+AA2362</f>
        <v>52042.239999999998</v>
      </c>
      <c r="AD2362">
        <v>300021003</v>
      </c>
      <c r="AE2362" t="s">
        <v>964</v>
      </c>
      <c r="AF2362" s="4">
        <f t="shared" ref="AF2362:AF2363" si="97">AC2362</f>
        <v>52042.239999999998</v>
      </c>
      <c r="AG2362" t="s">
        <v>51</v>
      </c>
      <c r="AH2362" t="s">
        <v>1123</v>
      </c>
      <c r="AI2362">
        <v>300021371</v>
      </c>
      <c r="AJ2362" t="s">
        <v>1148</v>
      </c>
      <c r="AK2362" t="s">
        <v>1129</v>
      </c>
      <c r="AL2362">
        <v>340318590</v>
      </c>
      <c r="AM2362" t="s">
        <v>222</v>
      </c>
    </row>
    <row r="2363" spans="1:39" x14ac:dyDescent="0.35">
      <c r="A2363">
        <v>3403</v>
      </c>
      <c r="B2363" t="s">
        <v>28</v>
      </c>
      <c r="C2363">
        <v>2020</v>
      </c>
      <c r="D2363" s="1">
        <v>43831</v>
      </c>
      <c r="E2363">
        <v>1</v>
      </c>
      <c r="F2363">
        <v>300020412</v>
      </c>
      <c r="G2363" t="s">
        <v>120</v>
      </c>
      <c r="H2363">
        <v>81</v>
      </c>
      <c r="I2363">
        <v>71104010</v>
      </c>
      <c r="J2363">
        <v>21021040</v>
      </c>
      <c r="K2363" t="s">
        <v>121</v>
      </c>
      <c r="L2363" s="4">
        <v>10382.41</v>
      </c>
      <c r="M2363" t="s">
        <v>31</v>
      </c>
      <c r="N2363" s="4">
        <v>10382.41</v>
      </c>
      <c r="O2363" t="s">
        <v>31</v>
      </c>
      <c r="R2363" t="s">
        <v>542</v>
      </c>
      <c r="S2363" t="s">
        <v>1131</v>
      </c>
      <c r="T2363">
        <v>107211</v>
      </c>
      <c r="U2363" t="s">
        <v>123</v>
      </c>
      <c r="X2363" t="s">
        <v>72</v>
      </c>
      <c r="Y2363" s="8">
        <v>4501228713</v>
      </c>
      <c r="Z2363">
        <v>20200131</v>
      </c>
      <c r="AA2363">
        <f t="shared" si="92"/>
        <v>10382.41</v>
      </c>
      <c r="AB2363">
        <f t="shared" si="95"/>
        <v>1661.1856</v>
      </c>
      <c r="AC2363">
        <f t="shared" si="96"/>
        <v>12043.595600000001</v>
      </c>
      <c r="AD2363">
        <v>300021003</v>
      </c>
      <c r="AE2363" t="s">
        <v>964</v>
      </c>
      <c r="AF2363" s="4">
        <f t="shared" si="97"/>
        <v>12043.595600000001</v>
      </c>
      <c r="AG2363" t="s">
        <v>51</v>
      </c>
      <c r="AH2363" t="s">
        <v>1123</v>
      </c>
      <c r="AI2363">
        <v>300021371</v>
      </c>
      <c r="AJ2363" t="s">
        <v>1148</v>
      </c>
      <c r="AK2363" t="s">
        <v>1129</v>
      </c>
      <c r="AL2363">
        <v>340318590</v>
      </c>
      <c r="AM2363" t="s">
        <v>222</v>
      </c>
    </row>
    <row r="2364" spans="1:39" x14ac:dyDescent="0.35">
      <c r="A2364">
        <v>3401</v>
      </c>
      <c r="B2364" t="s">
        <v>28</v>
      </c>
      <c r="C2364">
        <v>2020</v>
      </c>
      <c r="D2364" s="1">
        <v>43831</v>
      </c>
      <c r="E2364">
        <v>1</v>
      </c>
      <c r="F2364">
        <v>100035321</v>
      </c>
      <c r="G2364" t="s">
        <v>101</v>
      </c>
      <c r="H2364">
        <v>40</v>
      </c>
      <c r="I2364">
        <v>71102010</v>
      </c>
      <c r="J2364">
        <v>11210050</v>
      </c>
      <c r="K2364" t="s">
        <v>187</v>
      </c>
      <c r="L2364" s="4">
        <v>40201.230000000003</v>
      </c>
      <c r="M2364" t="s">
        <v>54</v>
      </c>
      <c r="N2364" s="4">
        <v>753855.57</v>
      </c>
      <c r="O2364" t="s">
        <v>31</v>
      </c>
      <c r="X2364" t="s">
        <v>72</v>
      </c>
      <c r="Y2364"/>
      <c r="Z2364">
        <v>20200131</v>
      </c>
      <c r="AA2364">
        <f t="shared" si="92"/>
        <v>40201.230000000003</v>
      </c>
      <c r="AC2364"/>
      <c r="AE2364" t="s">
        <v>1034</v>
      </c>
      <c r="AF2364"/>
      <c r="AL2364">
        <v>340110490</v>
      </c>
      <c r="AM2364" t="s">
        <v>105</v>
      </c>
    </row>
    <row r="2365" spans="1:39" x14ac:dyDescent="0.35">
      <c r="A2365">
        <v>3401</v>
      </c>
      <c r="B2365" t="s">
        <v>28</v>
      </c>
      <c r="C2365">
        <v>2020</v>
      </c>
      <c r="D2365" s="1">
        <v>43831</v>
      </c>
      <c r="E2365">
        <v>2</v>
      </c>
      <c r="F2365">
        <v>100035321</v>
      </c>
      <c r="G2365" t="s">
        <v>101</v>
      </c>
      <c r="H2365">
        <v>40</v>
      </c>
      <c r="I2365">
        <v>71102010</v>
      </c>
      <c r="J2365">
        <v>11210050</v>
      </c>
      <c r="K2365" t="s">
        <v>187</v>
      </c>
      <c r="L2365" s="4">
        <v>4407.82</v>
      </c>
      <c r="M2365" t="s">
        <v>54</v>
      </c>
      <c r="N2365" s="4">
        <v>82655.69</v>
      </c>
      <c r="O2365" t="s">
        <v>31</v>
      </c>
      <c r="X2365" t="s">
        <v>72</v>
      </c>
      <c r="Y2365"/>
      <c r="Z2365">
        <v>20200131</v>
      </c>
      <c r="AA2365">
        <f t="shared" si="92"/>
        <v>4407.82</v>
      </c>
      <c r="AC2365"/>
      <c r="AE2365" t="s">
        <v>1035</v>
      </c>
      <c r="AF2365"/>
      <c r="AL2365">
        <v>340112590</v>
      </c>
      <c r="AM2365" t="s">
        <v>105</v>
      </c>
    </row>
    <row r="2366" spans="1:39" x14ac:dyDescent="0.35">
      <c r="A2366">
        <v>3401</v>
      </c>
      <c r="B2366" t="s">
        <v>28</v>
      </c>
      <c r="C2366">
        <v>2020</v>
      </c>
      <c r="D2366" s="1">
        <v>43831</v>
      </c>
      <c r="E2366">
        <v>3</v>
      </c>
      <c r="F2366">
        <v>100035321</v>
      </c>
      <c r="G2366" t="s">
        <v>101</v>
      </c>
      <c r="H2366">
        <v>40</v>
      </c>
      <c r="I2366">
        <v>71102010</v>
      </c>
      <c r="J2366">
        <v>11210050</v>
      </c>
      <c r="K2366" t="s">
        <v>187</v>
      </c>
      <c r="L2366" s="4">
        <v>77.92</v>
      </c>
      <c r="M2366" t="s">
        <v>54</v>
      </c>
      <c r="N2366" s="4">
        <v>1461.22</v>
      </c>
      <c r="O2366" t="s">
        <v>31</v>
      </c>
      <c r="X2366" t="s">
        <v>72</v>
      </c>
      <c r="Y2366"/>
      <c r="Z2366">
        <v>20200131</v>
      </c>
      <c r="AA2366">
        <f t="shared" si="92"/>
        <v>77.92</v>
      </c>
      <c r="AC2366"/>
      <c r="AE2366" t="s">
        <v>1036</v>
      </c>
      <c r="AF2366"/>
      <c r="AL2366">
        <v>340115190</v>
      </c>
      <c r="AM2366" t="s">
        <v>105</v>
      </c>
    </row>
    <row r="2367" spans="1:39" x14ac:dyDescent="0.35">
      <c r="A2367">
        <v>3401</v>
      </c>
      <c r="B2367" t="s">
        <v>28</v>
      </c>
      <c r="C2367">
        <v>2020</v>
      </c>
      <c r="D2367" s="1">
        <v>43831</v>
      </c>
      <c r="E2367">
        <v>4</v>
      </c>
      <c r="F2367">
        <v>100035321</v>
      </c>
      <c r="G2367" t="s">
        <v>101</v>
      </c>
      <c r="H2367">
        <v>40</v>
      </c>
      <c r="I2367">
        <v>71102010</v>
      </c>
      <c r="J2367">
        <v>11210050</v>
      </c>
      <c r="K2367" t="s">
        <v>187</v>
      </c>
      <c r="L2367" s="4">
        <v>1866.79</v>
      </c>
      <c r="M2367" t="s">
        <v>54</v>
      </c>
      <c r="N2367" s="4">
        <v>35006.089999999997</v>
      </c>
      <c r="O2367" t="s">
        <v>31</v>
      </c>
      <c r="X2367" t="s">
        <v>72</v>
      </c>
      <c r="Y2367"/>
      <c r="Z2367">
        <v>20200131</v>
      </c>
      <c r="AA2367">
        <f t="shared" si="92"/>
        <v>1866.79</v>
      </c>
      <c r="AC2367"/>
      <c r="AE2367" t="s">
        <v>1037</v>
      </c>
      <c r="AF2367"/>
      <c r="AL2367">
        <v>340153290</v>
      </c>
      <c r="AM2367" t="s">
        <v>105</v>
      </c>
    </row>
    <row r="2368" spans="1:39" x14ac:dyDescent="0.35">
      <c r="A2368">
        <v>3407</v>
      </c>
      <c r="B2368" t="s">
        <v>28</v>
      </c>
      <c r="C2368">
        <v>2020</v>
      </c>
      <c r="D2368" s="1">
        <v>43831</v>
      </c>
      <c r="E2368">
        <v>6</v>
      </c>
      <c r="F2368">
        <v>700041054</v>
      </c>
      <c r="G2368" t="s">
        <v>101</v>
      </c>
      <c r="H2368">
        <v>40</v>
      </c>
      <c r="I2368">
        <v>71102010</v>
      </c>
      <c r="J2368">
        <v>71111040</v>
      </c>
      <c r="K2368" t="s">
        <v>187</v>
      </c>
      <c r="L2368" s="4">
        <v>2773.55</v>
      </c>
      <c r="M2368" t="s">
        <v>54</v>
      </c>
      <c r="N2368" s="4">
        <v>55549.22</v>
      </c>
      <c r="O2368" t="s">
        <v>31</v>
      </c>
      <c r="X2368" t="s">
        <v>35</v>
      </c>
      <c r="Y2368" t="s">
        <v>375</v>
      </c>
      <c r="Z2368" t="s">
        <v>376</v>
      </c>
      <c r="AA2368">
        <f t="shared" si="92"/>
        <v>2773.55</v>
      </c>
      <c r="AC2368"/>
      <c r="AE2368" t="s">
        <v>377</v>
      </c>
      <c r="AF2368"/>
      <c r="AL2368">
        <v>340753290</v>
      </c>
      <c r="AM2368" t="s">
        <v>217</v>
      </c>
    </row>
    <row r="2369" spans="1:39" x14ac:dyDescent="0.35">
      <c r="A2369">
        <v>3400</v>
      </c>
      <c r="B2369" t="s">
        <v>309</v>
      </c>
      <c r="C2369">
        <v>2020</v>
      </c>
      <c r="D2369" s="1">
        <v>43831</v>
      </c>
      <c r="E2369">
        <v>1</v>
      </c>
      <c r="F2369">
        <v>100003174</v>
      </c>
      <c r="G2369" t="s">
        <v>96</v>
      </c>
      <c r="H2369">
        <v>40</v>
      </c>
      <c r="I2369">
        <v>71105060</v>
      </c>
      <c r="J2369">
        <v>21021040</v>
      </c>
      <c r="K2369" t="s">
        <v>238</v>
      </c>
      <c r="L2369" s="4">
        <v>6605</v>
      </c>
      <c r="M2369" t="s">
        <v>31</v>
      </c>
      <c r="N2369" s="4">
        <v>6605</v>
      </c>
      <c r="O2369" t="s">
        <v>31</v>
      </c>
      <c r="P2369" t="s">
        <v>211</v>
      </c>
      <c r="X2369" t="s">
        <v>309</v>
      </c>
      <c r="Y2369"/>
      <c r="Z2369" t="s">
        <v>1038</v>
      </c>
      <c r="AA2369">
        <f t="shared" si="92"/>
        <v>6605</v>
      </c>
      <c r="AC2369"/>
      <c r="AE2369" t="s">
        <v>1039</v>
      </c>
      <c r="AF2369"/>
      <c r="AL2369">
        <v>340019550</v>
      </c>
      <c r="AM2369" t="s">
        <v>78</v>
      </c>
    </row>
    <row r="2370" spans="1:39" x14ac:dyDescent="0.35">
      <c r="A2370">
        <v>3407</v>
      </c>
      <c r="B2370" t="s">
        <v>28</v>
      </c>
      <c r="C2370">
        <v>2020</v>
      </c>
      <c r="D2370" s="1">
        <v>43831</v>
      </c>
      <c r="E2370">
        <v>2</v>
      </c>
      <c r="F2370">
        <v>700041037</v>
      </c>
      <c r="G2370" t="s">
        <v>101</v>
      </c>
      <c r="H2370">
        <v>50</v>
      </c>
      <c r="I2370">
        <v>71104010</v>
      </c>
      <c r="J2370">
        <v>71104030</v>
      </c>
      <c r="K2370" t="s">
        <v>121</v>
      </c>
      <c r="L2370" s="4">
        <v>117908.32</v>
      </c>
      <c r="M2370" t="s">
        <v>31</v>
      </c>
      <c r="N2370" s="4">
        <v>117908.32</v>
      </c>
      <c r="O2370" t="s">
        <v>31</v>
      </c>
      <c r="X2370" t="s">
        <v>35</v>
      </c>
      <c r="Y2370" t="s">
        <v>375</v>
      </c>
      <c r="Z2370" t="s">
        <v>376</v>
      </c>
      <c r="AA2370">
        <f t="shared" si="92"/>
        <v>117908.32</v>
      </c>
      <c r="AC2370"/>
      <c r="AE2370" t="s">
        <v>1040</v>
      </c>
      <c r="AF2370"/>
      <c r="AL2370">
        <v>340718590</v>
      </c>
      <c r="AM2370" t="s">
        <v>217</v>
      </c>
    </row>
    <row r="2371" spans="1:39" x14ac:dyDescent="0.35">
      <c r="A2371">
        <v>3403</v>
      </c>
      <c r="B2371" t="s">
        <v>318</v>
      </c>
      <c r="C2371">
        <v>2020</v>
      </c>
      <c r="D2371" s="1">
        <v>43831</v>
      </c>
      <c r="E2371">
        <v>3</v>
      </c>
      <c r="F2371">
        <v>300012072</v>
      </c>
      <c r="G2371" t="s">
        <v>764</v>
      </c>
      <c r="H2371">
        <v>91</v>
      </c>
      <c r="I2371">
        <v>71106150</v>
      </c>
      <c r="J2371">
        <v>21021040</v>
      </c>
      <c r="K2371" t="s">
        <v>102</v>
      </c>
      <c r="L2371" s="4">
        <v>0</v>
      </c>
      <c r="M2371" t="s">
        <v>54</v>
      </c>
      <c r="N2371" s="4">
        <v>545.85</v>
      </c>
      <c r="O2371" t="s">
        <v>31</v>
      </c>
      <c r="P2371" t="s">
        <v>98</v>
      </c>
      <c r="X2371" t="s">
        <v>318</v>
      </c>
      <c r="Y2371" t="s">
        <v>1041</v>
      </c>
      <c r="Z2371">
        <v>20200122</v>
      </c>
      <c r="AA2371">
        <f t="shared" si="92"/>
        <v>0</v>
      </c>
      <c r="AC2371"/>
      <c r="AF2371"/>
      <c r="AL2371">
        <v>340321790</v>
      </c>
      <c r="AM2371" t="s">
        <v>765</v>
      </c>
    </row>
    <row r="2372" spans="1:39" x14ac:dyDescent="0.35">
      <c r="A2372">
        <v>3403</v>
      </c>
      <c r="B2372" t="s">
        <v>318</v>
      </c>
      <c r="C2372">
        <v>2020</v>
      </c>
      <c r="D2372" s="1">
        <v>43831</v>
      </c>
      <c r="E2372">
        <v>3</v>
      </c>
      <c r="F2372">
        <v>300012076</v>
      </c>
      <c r="G2372" t="s">
        <v>764</v>
      </c>
      <c r="H2372">
        <v>91</v>
      </c>
      <c r="I2372">
        <v>71106150</v>
      </c>
      <c r="J2372">
        <v>21021040</v>
      </c>
      <c r="K2372" t="s">
        <v>102</v>
      </c>
      <c r="L2372" s="4">
        <v>0</v>
      </c>
      <c r="M2372" t="s">
        <v>54</v>
      </c>
      <c r="N2372" s="4">
        <v>18231.240000000002</v>
      </c>
      <c r="O2372" t="s">
        <v>31</v>
      </c>
      <c r="P2372" t="s">
        <v>98</v>
      </c>
      <c r="X2372" t="s">
        <v>318</v>
      </c>
      <c r="Y2372" t="s">
        <v>1042</v>
      </c>
      <c r="Z2372">
        <v>20200122</v>
      </c>
      <c r="AA2372">
        <f t="shared" si="92"/>
        <v>0</v>
      </c>
      <c r="AC2372"/>
      <c r="AF2372"/>
      <c r="AL2372">
        <v>340321790</v>
      </c>
      <c r="AM2372" t="s">
        <v>765</v>
      </c>
    </row>
    <row r="2373" spans="1:39" x14ac:dyDescent="0.35">
      <c r="A2373">
        <v>3403</v>
      </c>
      <c r="B2373" t="s">
        <v>318</v>
      </c>
      <c r="C2373">
        <v>2020</v>
      </c>
      <c r="D2373" s="1">
        <v>43831</v>
      </c>
      <c r="E2373">
        <v>5</v>
      </c>
      <c r="F2373">
        <v>300012076</v>
      </c>
      <c r="G2373" t="s">
        <v>764</v>
      </c>
      <c r="H2373">
        <v>91</v>
      </c>
      <c r="I2373">
        <v>71106150</v>
      </c>
      <c r="J2373">
        <v>21021040</v>
      </c>
      <c r="K2373" t="s">
        <v>102</v>
      </c>
      <c r="L2373" s="4">
        <v>0</v>
      </c>
      <c r="M2373" t="s">
        <v>54</v>
      </c>
      <c r="N2373" s="4">
        <v>6077.14</v>
      </c>
      <c r="O2373" t="s">
        <v>31</v>
      </c>
      <c r="P2373" t="s">
        <v>98</v>
      </c>
      <c r="X2373" t="s">
        <v>318</v>
      </c>
      <c r="Y2373" t="s">
        <v>1042</v>
      </c>
      <c r="Z2373">
        <v>20200122</v>
      </c>
      <c r="AA2373">
        <f t="shared" si="92"/>
        <v>0</v>
      </c>
      <c r="AC2373"/>
      <c r="AF2373"/>
      <c r="AL2373">
        <v>340321790</v>
      </c>
      <c r="AM2373" t="s">
        <v>765</v>
      </c>
    </row>
    <row r="2374" spans="1:39" x14ac:dyDescent="0.35">
      <c r="A2374">
        <v>3403</v>
      </c>
      <c r="B2374" t="s">
        <v>318</v>
      </c>
      <c r="C2374">
        <v>2020</v>
      </c>
      <c r="D2374" s="1">
        <v>43831</v>
      </c>
      <c r="E2374">
        <v>7</v>
      </c>
      <c r="F2374">
        <v>300012076</v>
      </c>
      <c r="G2374" t="s">
        <v>764</v>
      </c>
      <c r="H2374">
        <v>91</v>
      </c>
      <c r="I2374">
        <v>71106150</v>
      </c>
      <c r="J2374">
        <v>21021040</v>
      </c>
      <c r="K2374" t="s">
        <v>102</v>
      </c>
      <c r="L2374" s="4">
        <v>0</v>
      </c>
      <c r="M2374" t="s">
        <v>54</v>
      </c>
      <c r="N2374" s="4">
        <v>1078.51</v>
      </c>
      <c r="O2374" t="s">
        <v>31</v>
      </c>
      <c r="P2374" t="s">
        <v>98</v>
      </c>
      <c r="X2374" t="s">
        <v>318</v>
      </c>
      <c r="Y2374" t="s">
        <v>1042</v>
      </c>
      <c r="Z2374">
        <v>20200122</v>
      </c>
      <c r="AA2374">
        <f t="shared" si="92"/>
        <v>0</v>
      </c>
      <c r="AC2374"/>
      <c r="AF2374"/>
      <c r="AL2374">
        <v>340368190</v>
      </c>
      <c r="AM2374" t="s">
        <v>765</v>
      </c>
    </row>
    <row r="2375" spans="1:39" x14ac:dyDescent="0.35">
      <c r="A2375">
        <v>3402</v>
      </c>
      <c r="B2375" t="s">
        <v>47</v>
      </c>
      <c r="C2375">
        <v>2020</v>
      </c>
      <c r="D2375" s="1">
        <v>43831</v>
      </c>
      <c r="E2375">
        <v>3</v>
      </c>
      <c r="F2375">
        <v>200102131</v>
      </c>
      <c r="G2375" t="s">
        <v>764</v>
      </c>
      <c r="H2375">
        <v>91</v>
      </c>
      <c r="I2375">
        <v>71106150</v>
      </c>
      <c r="J2375">
        <v>21021040</v>
      </c>
      <c r="K2375" t="s">
        <v>102</v>
      </c>
      <c r="L2375" s="4">
        <v>0</v>
      </c>
      <c r="M2375" t="s">
        <v>54</v>
      </c>
      <c r="N2375" s="4">
        <v>3324.36</v>
      </c>
      <c r="O2375" t="s">
        <v>31</v>
      </c>
      <c r="P2375" t="s">
        <v>98</v>
      </c>
      <c r="X2375" t="s">
        <v>47</v>
      </c>
      <c r="Y2375" t="s">
        <v>246</v>
      </c>
      <c r="Z2375">
        <v>20200130</v>
      </c>
      <c r="AA2375">
        <f t="shared" si="92"/>
        <v>0</v>
      </c>
      <c r="AC2375"/>
      <c r="AF2375"/>
      <c r="AL2375">
        <v>340275190</v>
      </c>
      <c r="AM2375" t="s">
        <v>622</v>
      </c>
    </row>
    <row r="2376" spans="1:39" x14ac:dyDescent="0.35">
      <c r="A2376">
        <v>3401</v>
      </c>
      <c r="B2376" t="s">
        <v>47</v>
      </c>
      <c r="C2376">
        <v>2020</v>
      </c>
      <c r="D2376" s="1">
        <v>43831</v>
      </c>
      <c r="E2376">
        <v>3</v>
      </c>
      <c r="F2376">
        <v>100030322</v>
      </c>
      <c r="G2376" t="s">
        <v>764</v>
      </c>
      <c r="H2376">
        <v>81</v>
      </c>
      <c r="I2376">
        <v>71106040</v>
      </c>
      <c r="J2376">
        <v>600226</v>
      </c>
      <c r="K2376" t="s">
        <v>125</v>
      </c>
      <c r="L2376" s="4">
        <v>0</v>
      </c>
      <c r="M2376" t="s">
        <v>54</v>
      </c>
      <c r="N2376" s="4">
        <v>4.1500000000000004</v>
      </c>
      <c r="O2376" t="s">
        <v>31</v>
      </c>
      <c r="P2376" t="s">
        <v>98</v>
      </c>
      <c r="X2376" t="s">
        <v>47</v>
      </c>
      <c r="Y2376" t="s">
        <v>127</v>
      </c>
      <c r="Z2376">
        <v>20200130</v>
      </c>
      <c r="AA2376">
        <f t="shared" si="92"/>
        <v>0</v>
      </c>
      <c r="AC2376"/>
      <c r="AF2376"/>
      <c r="AL2376">
        <v>340121790</v>
      </c>
      <c r="AM2376" t="s">
        <v>414</v>
      </c>
    </row>
    <row r="2377" spans="1:39" x14ac:dyDescent="0.35">
      <c r="A2377">
        <v>3406</v>
      </c>
      <c r="B2377" t="s">
        <v>93</v>
      </c>
      <c r="C2377">
        <v>2020</v>
      </c>
      <c r="D2377" s="1">
        <v>43831</v>
      </c>
      <c r="E2377">
        <v>3</v>
      </c>
      <c r="F2377">
        <v>600025891</v>
      </c>
      <c r="G2377" t="s">
        <v>764</v>
      </c>
      <c r="H2377">
        <v>91</v>
      </c>
      <c r="I2377">
        <v>71106040</v>
      </c>
      <c r="J2377">
        <v>21021040</v>
      </c>
      <c r="K2377" t="s">
        <v>125</v>
      </c>
      <c r="L2377" s="4">
        <v>0</v>
      </c>
      <c r="M2377" t="s">
        <v>54</v>
      </c>
      <c r="N2377" s="4">
        <v>1904.08</v>
      </c>
      <c r="O2377" t="s">
        <v>31</v>
      </c>
      <c r="P2377" t="s">
        <v>98</v>
      </c>
      <c r="R2377" t="s">
        <v>779</v>
      </c>
      <c r="X2377" t="s">
        <v>61</v>
      </c>
      <c r="Y2377" t="s">
        <v>781</v>
      </c>
      <c r="Z2377">
        <v>20200124</v>
      </c>
      <c r="AA2377">
        <f t="shared" si="92"/>
        <v>0</v>
      </c>
      <c r="AC2377"/>
      <c r="AE2377" t="s">
        <v>782</v>
      </c>
      <c r="AF2377"/>
      <c r="AL2377">
        <v>340621790</v>
      </c>
      <c r="AM2377" t="s">
        <v>1043</v>
      </c>
    </row>
    <row r="2378" spans="1:39" x14ac:dyDescent="0.35">
      <c r="A2378">
        <v>3402</v>
      </c>
      <c r="B2378" t="s">
        <v>309</v>
      </c>
      <c r="C2378">
        <v>2020</v>
      </c>
      <c r="D2378" s="1">
        <v>43831</v>
      </c>
      <c r="E2378">
        <v>3</v>
      </c>
      <c r="F2378">
        <v>200027802</v>
      </c>
      <c r="G2378" t="s">
        <v>764</v>
      </c>
      <c r="H2378">
        <v>91</v>
      </c>
      <c r="I2378">
        <v>71105120</v>
      </c>
      <c r="J2378">
        <v>21021040</v>
      </c>
      <c r="K2378" t="s">
        <v>268</v>
      </c>
      <c r="L2378" s="4">
        <v>0</v>
      </c>
      <c r="M2378" t="s">
        <v>54</v>
      </c>
      <c r="N2378" s="4">
        <v>19.29</v>
      </c>
      <c r="O2378" t="s">
        <v>31</v>
      </c>
      <c r="P2378" t="s">
        <v>98</v>
      </c>
      <c r="R2378" t="s">
        <v>1044</v>
      </c>
      <c r="X2378" t="s">
        <v>309</v>
      </c>
      <c r="Y2378" t="s">
        <v>1045</v>
      </c>
      <c r="Z2378">
        <v>20200110</v>
      </c>
      <c r="AA2378">
        <f t="shared" si="92"/>
        <v>0</v>
      </c>
      <c r="AC2378"/>
      <c r="AF2378"/>
      <c r="AL2378">
        <v>340215190</v>
      </c>
      <c r="AM2378" t="s">
        <v>622</v>
      </c>
    </row>
    <row r="2379" spans="1:39" x14ac:dyDescent="0.35">
      <c r="A2379">
        <v>3402</v>
      </c>
      <c r="B2379" t="s">
        <v>309</v>
      </c>
      <c r="C2379">
        <v>2020</v>
      </c>
      <c r="D2379" s="1">
        <v>43831</v>
      </c>
      <c r="E2379">
        <v>3</v>
      </c>
      <c r="F2379">
        <v>200027809</v>
      </c>
      <c r="G2379" t="s">
        <v>764</v>
      </c>
      <c r="H2379">
        <v>91</v>
      </c>
      <c r="I2379">
        <v>71105120</v>
      </c>
      <c r="J2379">
        <v>21021040</v>
      </c>
      <c r="K2379" t="s">
        <v>268</v>
      </c>
      <c r="L2379" s="4">
        <v>0</v>
      </c>
      <c r="M2379" t="s">
        <v>54</v>
      </c>
      <c r="N2379" s="4">
        <v>22.04</v>
      </c>
      <c r="O2379" t="s">
        <v>31</v>
      </c>
      <c r="P2379" t="s">
        <v>98</v>
      </c>
      <c r="X2379" t="s">
        <v>309</v>
      </c>
      <c r="Y2379" t="s">
        <v>1046</v>
      </c>
      <c r="Z2379">
        <v>20200110</v>
      </c>
      <c r="AA2379">
        <f t="shared" si="92"/>
        <v>0</v>
      </c>
      <c r="AC2379"/>
      <c r="AF2379"/>
      <c r="AL2379">
        <v>340253290</v>
      </c>
      <c r="AM2379" t="s">
        <v>622</v>
      </c>
    </row>
    <row r="2380" spans="1:39" x14ac:dyDescent="0.35">
      <c r="A2380">
        <v>3403</v>
      </c>
      <c r="B2380" t="s">
        <v>43</v>
      </c>
      <c r="C2380">
        <v>2020</v>
      </c>
      <c r="D2380" s="1">
        <v>43831</v>
      </c>
      <c r="E2380">
        <v>3</v>
      </c>
      <c r="F2380">
        <v>300008820</v>
      </c>
      <c r="G2380" t="s">
        <v>764</v>
      </c>
      <c r="H2380">
        <v>91</v>
      </c>
      <c r="I2380">
        <v>71105120</v>
      </c>
      <c r="J2380">
        <v>21021040</v>
      </c>
      <c r="K2380" t="s">
        <v>268</v>
      </c>
      <c r="L2380" s="4">
        <v>0</v>
      </c>
      <c r="M2380" t="s">
        <v>54</v>
      </c>
      <c r="N2380" s="4">
        <v>17.39</v>
      </c>
      <c r="O2380" t="s">
        <v>31</v>
      </c>
      <c r="P2380" t="s">
        <v>98</v>
      </c>
      <c r="X2380" t="s">
        <v>43</v>
      </c>
      <c r="Y2380" t="s">
        <v>802</v>
      </c>
      <c r="Z2380">
        <v>20200116</v>
      </c>
      <c r="AA2380">
        <f t="shared" si="92"/>
        <v>0</v>
      </c>
      <c r="AC2380"/>
      <c r="AF2380"/>
      <c r="AL2380">
        <v>340353290</v>
      </c>
      <c r="AM2380" t="s">
        <v>765</v>
      </c>
    </row>
    <row r="2381" spans="1:39" x14ac:dyDescent="0.35">
      <c r="A2381">
        <v>3407</v>
      </c>
      <c r="B2381" t="s">
        <v>43</v>
      </c>
      <c r="C2381">
        <v>2020</v>
      </c>
      <c r="D2381" s="1">
        <v>43831</v>
      </c>
      <c r="E2381">
        <v>3</v>
      </c>
      <c r="F2381">
        <v>700021125</v>
      </c>
      <c r="G2381" t="s">
        <v>764</v>
      </c>
      <c r="H2381">
        <v>91</v>
      </c>
      <c r="I2381">
        <v>71106150</v>
      </c>
      <c r="J2381">
        <v>21021040</v>
      </c>
      <c r="K2381" t="s">
        <v>102</v>
      </c>
      <c r="L2381" s="4">
        <v>0</v>
      </c>
      <c r="M2381" t="s">
        <v>54</v>
      </c>
      <c r="N2381" s="4">
        <v>3962.22</v>
      </c>
      <c r="O2381" t="s">
        <v>31</v>
      </c>
      <c r="P2381" t="s">
        <v>98</v>
      </c>
      <c r="X2381" t="s">
        <v>55</v>
      </c>
      <c r="Y2381" t="s">
        <v>1047</v>
      </c>
      <c r="Z2381">
        <v>20200116</v>
      </c>
      <c r="AA2381">
        <f t="shared" si="92"/>
        <v>0</v>
      </c>
      <c r="AC2381"/>
      <c r="AE2381" t="s">
        <v>1048</v>
      </c>
      <c r="AF2381"/>
      <c r="AL2381">
        <v>340721790</v>
      </c>
      <c r="AM2381" t="s">
        <v>1049</v>
      </c>
    </row>
    <row r="2382" spans="1:39" x14ac:dyDescent="0.35">
      <c r="A2382">
        <v>3401</v>
      </c>
      <c r="B2382" t="s">
        <v>43</v>
      </c>
      <c r="C2382">
        <v>2020</v>
      </c>
      <c r="D2382" s="1">
        <v>43831</v>
      </c>
      <c r="E2382">
        <v>3</v>
      </c>
      <c r="F2382">
        <v>100020671</v>
      </c>
      <c r="G2382" t="s">
        <v>764</v>
      </c>
      <c r="H2382">
        <v>81</v>
      </c>
      <c r="I2382">
        <v>71106150</v>
      </c>
      <c r="J2382">
        <v>101128</v>
      </c>
      <c r="K2382" t="s">
        <v>102</v>
      </c>
      <c r="L2382" s="4">
        <v>0</v>
      </c>
      <c r="M2382" t="s">
        <v>54</v>
      </c>
      <c r="N2382" s="4">
        <v>12340.79</v>
      </c>
      <c r="O2382" t="s">
        <v>31</v>
      </c>
      <c r="P2382" t="s">
        <v>98</v>
      </c>
      <c r="X2382" t="s">
        <v>81</v>
      </c>
      <c r="Y2382" t="s">
        <v>1050</v>
      </c>
      <c r="Z2382">
        <v>20200116</v>
      </c>
      <c r="AA2382">
        <f t="shared" si="92"/>
        <v>0</v>
      </c>
      <c r="AC2382"/>
      <c r="AF2382"/>
      <c r="AL2382">
        <v>340121790</v>
      </c>
      <c r="AM2382" t="s">
        <v>414</v>
      </c>
    </row>
    <row r="2383" spans="1:39" x14ac:dyDescent="0.35">
      <c r="A2383">
        <v>3401</v>
      </c>
      <c r="B2383" t="s">
        <v>43</v>
      </c>
      <c r="C2383">
        <v>2020</v>
      </c>
      <c r="D2383" s="1">
        <v>43831</v>
      </c>
      <c r="E2383">
        <v>5</v>
      </c>
      <c r="F2383">
        <v>100020671</v>
      </c>
      <c r="G2383" t="s">
        <v>764</v>
      </c>
      <c r="H2383">
        <v>81</v>
      </c>
      <c r="I2383">
        <v>71106150</v>
      </c>
      <c r="J2383">
        <v>101128</v>
      </c>
      <c r="K2383" t="s">
        <v>102</v>
      </c>
      <c r="L2383" s="4">
        <v>0</v>
      </c>
      <c r="M2383" t="s">
        <v>54</v>
      </c>
      <c r="N2383" s="4">
        <v>607.20000000000005</v>
      </c>
      <c r="O2383" t="s">
        <v>31</v>
      </c>
      <c r="P2383" t="s">
        <v>98</v>
      </c>
      <c r="X2383" t="s">
        <v>81</v>
      </c>
      <c r="Y2383" t="s">
        <v>1050</v>
      </c>
      <c r="Z2383">
        <v>20200116</v>
      </c>
      <c r="AA2383">
        <f t="shared" si="92"/>
        <v>0</v>
      </c>
      <c r="AC2383"/>
      <c r="AF2383"/>
      <c r="AL2383">
        <v>340170123</v>
      </c>
      <c r="AM2383" t="s">
        <v>414</v>
      </c>
    </row>
    <row r="2384" spans="1:39" x14ac:dyDescent="0.35">
      <c r="A2384">
        <v>3401</v>
      </c>
      <c r="B2384" t="s">
        <v>43</v>
      </c>
      <c r="C2384">
        <v>2020</v>
      </c>
      <c r="D2384" s="1">
        <v>43831</v>
      </c>
      <c r="E2384">
        <v>7</v>
      </c>
      <c r="F2384">
        <v>100020671</v>
      </c>
      <c r="G2384" t="s">
        <v>764</v>
      </c>
      <c r="H2384">
        <v>81</v>
      </c>
      <c r="I2384">
        <v>71106150</v>
      </c>
      <c r="J2384">
        <v>101128</v>
      </c>
      <c r="K2384" t="s">
        <v>102</v>
      </c>
      <c r="L2384" s="4">
        <v>0</v>
      </c>
      <c r="M2384" t="s">
        <v>54</v>
      </c>
      <c r="N2384" s="4">
        <v>4113.59</v>
      </c>
      <c r="O2384" t="s">
        <v>31</v>
      </c>
      <c r="P2384" t="s">
        <v>98</v>
      </c>
      <c r="X2384" t="s">
        <v>81</v>
      </c>
      <c r="Y2384" t="s">
        <v>1050</v>
      </c>
      <c r="Z2384">
        <v>20200116</v>
      </c>
      <c r="AA2384">
        <f t="shared" si="92"/>
        <v>0</v>
      </c>
      <c r="AC2384"/>
      <c r="AF2384"/>
      <c r="AL2384">
        <v>340121790</v>
      </c>
      <c r="AM2384" t="s">
        <v>414</v>
      </c>
    </row>
    <row r="2385" spans="1:39" x14ac:dyDescent="0.35">
      <c r="A2385">
        <v>3401</v>
      </c>
      <c r="B2385" t="s">
        <v>253</v>
      </c>
      <c r="C2385">
        <v>2020</v>
      </c>
      <c r="D2385" s="1">
        <v>43831</v>
      </c>
      <c r="E2385">
        <v>3</v>
      </c>
      <c r="F2385">
        <v>100006710</v>
      </c>
      <c r="G2385" t="s">
        <v>764</v>
      </c>
      <c r="H2385">
        <v>81</v>
      </c>
      <c r="I2385">
        <v>71105120</v>
      </c>
      <c r="J2385">
        <v>101653</v>
      </c>
      <c r="K2385" t="s">
        <v>268</v>
      </c>
      <c r="L2385" s="4">
        <v>0</v>
      </c>
      <c r="M2385" t="s">
        <v>54</v>
      </c>
      <c r="N2385" s="4">
        <v>5.48</v>
      </c>
      <c r="O2385" t="s">
        <v>31</v>
      </c>
      <c r="P2385" t="s">
        <v>98</v>
      </c>
      <c r="X2385" t="s">
        <v>88</v>
      </c>
      <c r="Y2385" t="s">
        <v>807</v>
      </c>
      <c r="Z2385">
        <v>20200106</v>
      </c>
      <c r="AA2385">
        <f t="shared" si="92"/>
        <v>0</v>
      </c>
      <c r="AC2385"/>
      <c r="AF2385"/>
      <c r="AL2385">
        <v>340153290</v>
      </c>
      <c r="AM2385" t="s">
        <v>414</v>
      </c>
    </row>
    <row r="2386" spans="1:39" x14ac:dyDescent="0.35">
      <c r="A2386">
        <v>3401</v>
      </c>
      <c r="B2386" t="s">
        <v>253</v>
      </c>
      <c r="C2386">
        <v>2020</v>
      </c>
      <c r="D2386" s="1">
        <v>43831</v>
      </c>
      <c r="E2386">
        <v>5</v>
      </c>
      <c r="F2386">
        <v>100006710</v>
      </c>
      <c r="G2386" t="s">
        <v>764</v>
      </c>
      <c r="H2386">
        <v>81</v>
      </c>
      <c r="I2386">
        <v>71105120</v>
      </c>
      <c r="J2386">
        <v>101653</v>
      </c>
      <c r="K2386" t="s">
        <v>268</v>
      </c>
      <c r="L2386" s="4">
        <v>0</v>
      </c>
      <c r="M2386" t="s">
        <v>54</v>
      </c>
      <c r="N2386" s="4">
        <v>5.48</v>
      </c>
      <c r="O2386" t="s">
        <v>31</v>
      </c>
      <c r="P2386" t="s">
        <v>98</v>
      </c>
      <c r="X2386" t="s">
        <v>88</v>
      </c>
      <c r="Y2386" t="s">
        <v>807</v>
      </c>
      <c r="Z2386">
        <v>20200106</v>
      </c>
      <c r="AA2386">
        <f t="shared" ref="AA2386:AA2446" si="98">L2386</f>
        <v>0</v>
      </c>
      <c r="AC2386"/>
      <c r="AF2386"/>
      <c r="AL2386">
        <v>340115190</v>
      </c>
      <c r="AM2386" t="s">
        <v>414</v>
      </c>
    </row>
    <row r="2387" spans="1:39" x14ac:dyDescent="0.35">
      <c r="A2387">
        <v>3409</v>
      </c>
      <c r="B2387" t="s">
        <v>253</v>
      </c>
      <c r="C2387">
        <v>2020</v>
      </c>
      <c r="D2387" s="1">
        <v>43831</v>
      </c>
      <c r="E2387">
        <v>3</v>
      </c>
      <c r="F2387">
        <v>900004280</v>
      </c>
      <c r="G2387" t="s">
        <v>764</v>
      </c>
      <c r="H2387">
        <v>91</v>
      </c>
      <c r="I2387">
        <v>71105120</v>
      </c>
      <c r="J2387">
        <v>21021040</v>
      </c>
      <c r="K2387" t="s">
        <v>268</v>
      </c>
      <c r="L2387" s="4">
        <v>0</v>
      </c>
      <c r="M2387" t="s">
        <v>54</v>
      </c>
      <c r="N2387" s="4">
        <v>1.33</v>
      </c>
      <c r="O2387" t="s">
        <v>31</v>
      </c>
      <c r="P2387" t="s">
        <v>98</v>
      </c>
      <c r="X2387" t="s">
        <v>370</v>
      </c>
      <c r="Y2387" t="s">
        <v>873</v>
      </c>
      <c r="Z2387">
        <v>20200106</v>
      </c>
      <c r="AA2387">
        <f t="shared" si="98"/>
        <v>0</v>
      </c>
      <c r="AC2387"/>
      <c r="AE2387" t="s">
        <v>874</v>
      </c>
      <c r="AF2387"/>
      <c r="AL2387">
        <v>340915190</v>
      </c>
      <c r="AM2387" t="s">
        <v>1051</v>
      </c>
    </row>
    <row r="2388" spans="1:39" x14ac:dyDescent="0.35">
      <c r="A2388">
        <v>3409</v>
      </c>
      <c r="B2388" t="s">
        <v>253</v>
      </c>
      <c r="C2388">
        <v>2020</v>
      </c>
      <c r="D2388" s="1">
        <v>43831</v>
      </c>
      <c r="E2388">
        <v>5</v>
      </c>
      <c r="F2388">
        <v>900004280</v>
      </c>
      <c r="G2388" t="s">
        <v>764</v>
      </c>
      <c r="H2388">
        <v>91</v>
      </c>
      <c r="I2388">
        <v>71105120</v>
      </c>
      <c r="J2388">
        <v>21021040</v>
      </c>
      <c r="K2388" t="s">
        <v>268</v>
      </c>
      <c r="L2388" s="4">
        <v>0</v>
      </c>
      <c r="M2388" t="s">
        <v>54</v>
      </c>
      <c r="N2388" s="4">
        <v>1.33</v>
      </c>
      <c r="O2388" t="s">
        <v>31</v>
      </c>
      <c r="P2388" t="s">
        <v>98</v>
      </c>
      <c r="X2388" t="s">
        <v>370</v>
      </c>
      <c r="Y2388" t="s">
        <v>873</v>
      </c>
      <c r="Z2388">
        <v>20200106</v>
      </c>
      <c r="AA2388">
        <f t="shared" si="98"/>
        <v>0</v>
      </c>
      <c r="AC2388"/>
      <c r="AE2388" t="s">
        <v>875</v>
      </c>
      <c r="AF2388"/>
      <c r="AL2388">
        <v>340953290</v>
      </c>
      <c r="AM2388" t="s">
        <v>1051</v>
      </c>
    </row>
    <row r="2389" spans="1:39" x14ac:dyDescent="0.35">
      <c r="A2389">
        <v>3409</v>
      </c>
      <c r="B2389" t="s">
        <v>427</v>
      </c>
      <c r="C2389">
        <v>2020</v>
      </c>
      <c r="D2389" s="1">
        <v>43831</v>
      </c>
      <c r="E2389">
        <v>3</v>
      </c>
      <c r="F2389">
        <v>900003250</v>
      </c>
      <c r="G2389" t="s">
        <v>764</v>
      </c>
      <c r="H2389">
        <v>81</v>
      </c>
      <c r="I2389">
        <v>71106040</v>
      </c>
      <c r="J2389">
        <v>800423</v>
      </c>
      <c r="K2389" t="s">
        <v>125</v>
      </c>
      <c r="L2389" s="4">
        <v>0</v>
      </c>
      <c r="M2389" t="s">
        <v>54</v>
      </c>
      <c r="N2389" s="4">
        <v>1876.05</v>
      </c>
      <c r="O2389" t="s">
        <v>31</v>
      </c>
      <c r="P2389" t="s">
        <v>98</v>
      </c>
      <c r="R2389" t="s">
        <v>1052</v>
      </c>
      <c r="X2389" t="s">
        <v>870</v>
      </c>
      <c r="Y2389" t="s">
        <v>1053</v>
      </c>
      <c r="Z2389">
        <v>20200101</v>
      </c>
      <c r="AA2389">
        <f t="shared" si="98"/>
        <v>0</v>
      </c>
      <c r="AC2389"/>
      <c r="AE2389" t="s">
        <v>1054</v>
      </c>
      <c r="AF2389"/>
      <c r="AL2389">
        <v>340921790</v>
      </c>
      <c r="AM2389" t="s">
        <v>1049</v>
      </c>
    </row>
    <row r="2390" spans="1:39" x14ac:dyDescent="0.35">
      <c r="A2390">
        <v>3407</v>
      </c>
      <c r="B2390" t="s">
        <v>1055</v>
      </c>
      <c r="C2390">
        <v>2020</v>
      </c>
      <c r="D2390" s="1">
        <v>43831</v>
      </c>
      <c r="E2390">
        <v>3</v>
      </c>
      <c r="F2390">
        <v>700012257</v>
      </c>
      <c r="G2390" t="s">
        <v>764</v>
      </c>
      <c r="H2390">
        <v>91</v>
      </c>
      <c r="I2390">
        <v>71106040</v>
      </c>
      <c r="J2390">
        <v>21021040</v>
      </c>
      <c r="K2390" t="s">
        <v>125</v>
      </c>
      <c r="L2390" s="4">
        <v>0</v>
      </c>
      <c r="M2390" t="s">
        <v>54</v>
      </c>
      <c r="N2390" s="4">
        <v>131.72999999999999</v>
      </c>
      <c r="O2390" t="s">
        <v>31</v>
      </c>
      <c r="P2390" t="s">
        <v>98</v>
      </c>
      <c r="X2390" t="s">
        <v>1055</v>
      </c>
      <c r="Y2390">
        <v>2263212</v>
      </c>
      <c r="Z2390">
        <v>20200111</v>
      </c>
      <c r="AA2390">
        <f t="shared" si="98"/>
        <v>0</v>
      </c>
      <c r="AC2390"/>
      <c r="AE2390" t="s">
        <v>879</v>
      </c>
      <c r="AF2390"/>
      <c r="AL2390">
        <v>340721790</v>
      </c>
      <c r="AM2390" t="s">
        <v>1049</v>
      </c>
    </row>
    <row r="2391" spans="1:39" x14ac:dyDescent="0.35">
      <c r="A2391">
        <v>3409</v>
      </c>
      <c r="B2391" t="s">
        <v>427</v>
      </c>
      <c r="C2391">
        <v>2020</v>
      </c>
      <c r="D2391" s="1">
        <v>43831</v>
      </c>
      <c r="E2391">
        <v>3</v>
      </c>
      <c r="F2391">
        <v>900006194</v>
      </c>
      <c r="G2391" t="s">
        <v>764</v>
      </c>
      <c r="H2391">
        <v>91</v>
      </c>
      <c r="I2391">
        <v>71106040</v>
      </c>
      <c r="J2391">
        <v>21021040</v>
      </c>
      <c r="K2391" t="s">
        <v>125</v>
      </c>
      <c r="L2391" s="4">
        <v>0</v>
      </c>
      <c r="M2391" t="s">
        <v>54</v>
      </c>
      <c r="N2391" s="4">
        <v>4.0599999999999996</v>
      </c>
      <c r="O2391" t="s">
        <v>31</v>
      </c>
      <c r="P2391" t="s">
        <v>98</v>
      </c>
      <c r="X2391" t="s">
        <v>181</v>
      </c>
      <c r="Y2391" t="s">
        <v>1056</v>
      </c>
      <c r="Z2391">
        <v>20200101</v>
      </c>
      <c r="AA2391">
        <f t="shared" si="98"/>
        <v>0</v>
      </c>
      <c r="AC2391"/>
      <c r="AE2391" t="s">
        <v>184</v>
      </c>
      <c r="AF2391"/>
      <c r="AL2391">
        <v>340921790</v>
      </c>
      <c r="AM2391" t="s">
        <v>1049</v>
      </c>
    </row>
    <row r="2392" spans="1:39" x14ac:dyDescent="0.35">
      <c r="A2392">
        <v>3409</v>
      </c>
      <c r="B2392" t="s">
        <v>427</v>
      </c>
      <c r="C2392">
        <v>2020</v>
      </c>
      <c r="D2392" s="1">
        <v>43831</v>
      </c>
      <c r="E2392">
        <v>3</v>
      </c>
      <c r="F2392">
        <v>900006195</v>
      </c>
      <c r="G2392" t="s">
        <v>764</v>
      </c>
      <c r="H2392">
        <v>91</v>
      </c>
      <c r="I2392">
        <v>71106040</v>
      </c>
      <c r="J2392">
        <v>21021040</v>
      </c>
      <c r="K2392" t="s">
        <v>125</v>
      </c>
      <c r="L2392" s="4">
        <v>0</v>
      </c>
      <c r="M2392" t="s">
        <v>54</v>
      </c>
      <c r="N2392" s="4">
        <v>20.149999999999999</v>
      </c>
      <c r="O2392" t="s">
        <v>31</v>
      </c>
      <c r="P2392" t="s">
        <v>98</v>
      </c>
      <c r="X2392" t="s">
        <v>181</v>
      </c>
      <c r="Y2392" t="s">
        <v>1057</v>
      </c>
      <c r="Z2392">
        <v>20200101</v>
      </c>
      <c r="AA2392">
        <f t="shared" si="98"/>
        <v>0</v>
      </c>
      <c r="AC2392"/>
      <c r="AE2392" t="s">
        <v>1058</v>
      </c>
      <c r="AF2392"/>
      <c r="AL2392">
        <v>340921790</v>
      </c>
      <c r="AM2392" t="s">
        <v>1049</v>
      </c>
    </row>
    <row r="2393" spans="1:39" x14ac:dyDescent="0.35">
      <c r="A2393">
        <v>3407</v>
      </c>
      <c r="B2393" t="s">
        <v>427</v>
      </c>
      <c r="C2393">
        <v>2020</v>
      </c>
      <c r="D2393" s="1">
        <v>43831</v>
      </c>
      <c r="E2393">
        <v>3</v>
      </c>
      <c r="F2393">
        <v>700011249</v>
      </c>
      <c r="G2393" t="s">
        <v>764</v>
      </c>
      <c r="H2393">
        <v>91</v>
      </c>
      <c r="I2393">
        <v>71106150</v>
      </c>
      <c r="J2393">
        <v>21021040</v>
      </c>
      <c r="K2393" t="s">
        <v>102</v>
      </c>
      <c r="L2393" s="4">
        <v>0</v>
      </c>
      <c r="M2393" t="s">
        <v>54</v>
      </c>
      <c r="N2393" s="4">
        <v>94208.43</v>
      </c>
      <c r="O2393" t="s">
        <v>31</v>
      </c>
      <c r="P2393" t="s">
        <v>98</v>
      </c>
      <c r="X2393" t="s">
        <v>309</v>
      </c>
      <c r="Y2393" t="s">
        <v>1059</v>
      </c>
      <c r="Z2393">
        <v>20200101</v>
      </c>
      <c r="AA2393">
        <f t="shared" si="98"/>
        <v>0</v>
      </c>
      <c r="AC2393"/>
      <c r="AE2393" t="s">
        <v>1060</v>
      </c>
      <c r="AF2393"/>
      <c r="AL2393">
        <v>340721790</v>
      </c>
      <c r="AM2393" t="s">
        <v>1049</v>
      </c>
    </row>
    <row r="2394" spans="1:39" x14ac:dyDescent="0.35">
      <c r="A2394">
        <v>3406</v>
      </c>
      <c r="B2394" t="s">
        <v>88</v>
      </c>
      <c r="C2394">
        <v>2020</v>
      </c>
      <c r="D2394" s="1">
        <v>43831</v>
      </c>
      <c r="E2394">
        <v>1</v>
      </c>
      <c r="F2394">
        <v>600005645</v>
      </c>
      <c r="G2394" t="s">
        <v>120</v>
      </c>
      <c r="H2394">
        <v>81</v>
      </c>
      <c r="I2394">
        <v>71106040</v>
      </c>
      <c r="J2394">
        <v>21021040</v>
      </c>
      <c r="K2394" t="s">
        <v>125</v>
      </c>
      <c r="L2394" s="4">
        <v>163846.28</v>
      </c>
      <c r="M2394" t="s">
        <v>31</v>
      </c>
      <c r="N2394" s="4">
        <v>163846.28</v>
      </c>
      <c r="O2394" t="s">
        <v>31</v>
      </c>
      <c r="R2394" t="s">
        <v>1121</v>
      </c>
      <c r="S2394" t="s">
        <v>1140</v>
      </c>
      <c r="T2394">
        <v>600271</v>
      </c>
      <c r="U2394" t="s">
        <v>772</v>
      </c>
      <c r="X2394" t="s">
        <v>88</v>
      </c>
      <c r="Y2394" s="8">
        <v>1548756279</v>
      </c>
      <c r="Z2394">
        <v>20200108</v>
      </c>
      <c r="AA2394">
        <f t="shared" si="98"/>
        <v>163846.28</v>
      </c>
      <c r="AB2394">
        <v>0</v>
      </c>
      <c r="AC2394">
        <f>AA2394</f>
        <v>163846.28</v>
      </c>
      <c r="AD2394">
        <v>600006359</v>
      </c>
      <c r="AE2394" t="s">
        <v>1061</v>
      </c>
      <c r="AF2394" s="4">
        <f>AC2394</f>
        <v>163846.28</v>
      </c>
      <c r="AG2394" t="s">
        <v>81</v>
      </c>
      <c r="AH2394" t="s">
        <v>1123</v>
      </c>
      <c r="AI2394">
        <v>600019044</v>
      </c>
      <c r="AJ2394" t="s">
        <v>1136</v>
      </c>
      <c r="AK2394" t="s">
        <v>1135</v>
      </c>
      <c r="AL2394">
        <v>340621790</v>
      </c>
      <c r="AM2394" t="s">
        <v>132</v>
      </c>
    </row>
    <row r="2395" spans="1:39" x14ac:dyDescent="0.35">
      <c r="A2395">
        <v>3402</v>
      </c>
      <c r="B2395" t="s">
        <v>88</v>
      </c>
      <c r="C2395">
        <v>2020</v>
      </c>
      <c r="D2395" s="1">
        <v>43831</v>
      </c>
      <c r="E2395">
        <v>1</v>
      </c>
      <c r="F2395">
        <v>200021514</v>
      </c>
      <c r="G2395" t="s">
        <v>120</v>
      </c>
      <c r="H2395">
        <v>81</v>
      </c>
      <c r="I2395">
        <v>71105120</v>
      </c>
      <c r="J2395">
        <v>21021040</v>
      </c>
      <c r="K2395" t="s">
        <v>268</v>
      </c>
      <c r="L2395" s="4">
        <v>760</v>
      </c>
      <c r="M2395" t="s">
        <v>54</v>
      </c>
      <c r="N2395" s="4">
        <v>14308.52</v>
      </c>
      <c r="O2395" t="s">
        <v>31</v>
      </c>
      <c r="R2395" t="s">
        <v>1121</v>
      </c>
      <c r="S2395">
        <v>453325398</v>
      </c>
      <c r="T2395">
        <v>101653</v>
      </c>
      <c r="U2395" t="s">
        <v>784</v>
      </c>
      <c r="X2395" t="s">
        <v>88</v>
      </c>
      <c r="Y2395" s="8" t="s">
        <v>1062</v>
      </c>
      <c r="Z2395">
        <v>20200108</v>
      </c>
      <c r="AA2395">
        <f t="shared" si="98"/>
        <v>760</v>
      </c>
      <c r="AB2395">
        <v>0</v>
      </c>
      <c r="AC2395">
        <f>AA2395</f>
        <v>760</v>
      </c>
      <c r="AD2395">
        <v>200027809</v>
      </c>
      <c r="AE2395" t="s">
        <v>1063</v>
      </c>
      <c r="AF2395" s="4">
        <f>AC2395</f>
        <v>760</v>
      </c>
      <c r="AG2395" t="s">
        <v>1126</v>
      </c>
      <c r="AH2395" t="s">
        <v>1123</v>
      </c>
      <c r="AI2395">
        <v>200150427</v>
      </c>
      <c r="AJ2395" t="s">
        <v>1125</v>
      </c>
      <c r="AK2395" t="s">
        <v>1124</v>
      </c>
      <c r="AL2395">
        <v>340253290</v>
      </c>
      <c r="AM2395" t="s">
        <v>135</v>
      </c>
    </row>
    <row r="2396" spans="1:39" x14ac:dyDescent="0.35">
      <c r="A2396">
        <v>3409</v>
      </c>
      <c r="B2396" t="s">
        <v>88</v>
      </c>
      <c r="C2396">
        <v>2020</v>
      </c>
      <c r="D2396" s="1">
        <v>43831</v>
      </c>
      <c r="E2396">
        <v>1</v>
      </c>
      <c r="F2396">
        <v>900002503</v>
      </c>
      <c r="G2396" t="s">
        <v>120</v>
      </c>
      <c r="H2396">
        <v>81</v>
      </c>
      <c r="I2396">
        <v>71106040</v>
      </c>
      <c r="J2396">
        <v>21021040</v>
      </c>
      <c r="K2396" t="s">
        <v>125</v>
      </c>
      <c r="L2396" s="4">
        <v>2392</v>
      </c>
      <c r="M2396" t="s">
        <v>54</v>
      </c>
      <c r="N2396" s="4">
        <v>45034.18</v>
      </c>
      <c r="O2396" t="s">
        <v>31</v>
      </c>
      <c r="R2396" t="s">
        <v>1121</v>
      </c>
      <c r="S2396">
        <v>364415727</v>
      </c>
      <c r="T2396">
        <v>800423</v>
      </c>
      <c r="U2396" t="s">
        <v>880</v>
      </c>
      <c r="X2396" t="s">
        <v>88</v>
      </c>
      <c r="Y2396" s="8" t="s">
        <v>1053</v>
      </c>
      <c r="Z2396">
        <v>20200108</v>
      </c>
      <c r="AA2396">
        <f t="shared" si="98"/>
        <v>2392</v>
      </c>
      <c r="AB2396">
        <v>0</v>
      </c>
      <c r="AC2396">
        <f t="shared" ref="AC2396" si="99">N2396</f>
        <v>45034.18</v>
      </c>
      <c r="AD2396">
        <v>200027802</v>
      </c>
      <c r="AE2396" t="s">
        <v>1054</v>
      </c>
      <c r="AF2396" s="4">
        <f>AC2396</f>
        <v>45034.18</v>
      </c>
      <c r="AG2396" t="s">
        <v>93</v>
      </c>
      <c r="AH2396" t="s">
        <v>1123</v>
      </c>
      <c r="AI2396">
        <v>900008380</v>
      </c>
      <c r="AJ2396" t="s">
        <v>1125</v>
      </c>
      <c r="AK2396" t="s">
        <v>1124</v>
      </c>
      <c r="AL2396">
        <v>340921790</v>
      </c>
      <c r="AM2396" t="s">
        <v>185</v>
      </c>
    </row>
    <row r="2397" spans="1:39" x14ac:dyDescent="0.35">
      <c r="A2397">
        <v>3406</v>
      </c>
      <c r="B2397" t="s">
        <v>88</v>
      </c>
      <c r="C2397">
        <v>2020</v>
      </c>
      <c r="D2397" s="1">
        <v>43831</v>
      </c>
      <c r="E2397">
        <v>1</v>
      </c>
      <c r="F2397">
        <v>600005812</v>
      </c>
      <c r="G2397" t="s">
        <v>120</v>
      </c>
      <c r="H2397">
        <v>81</v>
      </c>
      <c r="I2397">
        <v>71105120</v>
      </c>
      <c r="J2397">
        <v>21021040</v>
      </c>
      <c r="K2397" t="s">
        <v>268</v>
      </c>
      <c r="L2397" s="4">
        <v>380</v>
      </c>
      <c r="M2397" t="s">
        <v>54</v>
      </c>
      <c r="N2397" s="4">
        <v>7154.26</v>
      </c>
      <c r="O2397" t="s">
        <v>31</v>
      </c>
      <c r="R2397" t="s">
        <v>1121</v>
      </c>
      <c r="S2397">
        <v>453325398</v>
      </c>
      <c r="T2397">
        <v>101653</v>
      </c>
      <c r="U2397" t="s">
        <v>784</v>
      </c>
      <c r="X2397" t="s">
        <v>88</v>
      </c>
      <c r="Y2397" s="8" t="s">
        <v>785</v>
      </c>
      <c r="Z2397">
        <v>20200108</v>
      </c>
      <c r="AA2397">
        <f t="shared" si="98"/>
        <v>380</v>
      </c>
      <c r="AB2397">
        <v>0</v>
      </c>
      <c r="AC2397">
        <f t="shared" ref="AC2397:AC2398" si="100">AA2397</f>
        <v>380</v>
      </c>
      <c r="AD2397">
        <v>600025900</v>
      </c>
      <c r="AE2397" t="s">
        <v>1064</v>
      </c>
      <c r="AF2397" s="4">
        <f t="shared" ref="AF2397:AF2398" si="101">AC2397</f>
        <v>380</v>
      </c>
      <c r="AG2397" t="s">
        <v>1126</v>
      </c>
      <c r="AH2397" t="s">
        <v>1123</v>
      </c>
      <c r="AI2397">
        <v>600040066</v>
      </c>
      <c r="AJ2397" t="s">
        <v>1125</v>
      </c>
      <c r="AK2397" t="s">
        <v>1124</v>
      </c>
      <c r="AL2397">
        <v>340653290</v>
      </c>
      <c r="AM2397" t="s">
        <v>149</v>
      </c>
    </row>
    <row r="2398" spans="1:39" x14ac:dyDescent="0.35">
      <c r="A2398">
        <v>3406</v>
      </c>
      <c r="B2398" t="s">
        <v>88</v>
      </c>
      <c r="C2398">
        <v>2020</v>
      </c>
      <c r="D2398" s="1">
        <v>43831</v>
      </c>
      <c r="E2398">
        <v>1</v>
      </c>
      <c r="F2398">
        <v>600005815</v>
      </c>
      <c r="G2398" t="s">
        <v>120</v>
      </c>
      <c r="H2398">
        <v>81</v>
      </c>
      <c r="I2398">
        <v>71105120</v>
      </c>
      <c r="J2398">
        <v>21021040</v>
      </c>
      <c r="K2398" t="s">
        <v>268</v>
      </c>
      <c r="L2398" s="4">
        <v>20.14</v>
      </c>
      <c r="M2398" t="s">
        <v>54</v>
      </c>
      <c r="N2398" s="4">
        <v>379.18</v>
      </c>
      <c r="O2398" t="s">
        <v>31</v>
      </c>
      <c r="R2398" t="s">
        <v>1121</v>
      </c>
      <c r="S2398">
        <v>453325398</v>
      </c>
      <c r="T2398">
        <v>101653</v>
      </c>
      <c r="U2398" t="s">
        <v>784</v>
      </c>
      <c r="X2398" t="s">
        <v>88</v>
      </c>
      <c r="Y2398" s="8" t="s">
        <v>785</v>
      </c>
      <c r="Z2398">
        <v>20200108</v>
      </c>
      <c r="AA2398">
        <f t="shared" si="98"/>
        <v>20.14</v>
      </c>
      <c r="AB2398">
        <v>0</v>
      </c>
      <c r="AC2398">
        <f t="shared" si="100"/>
        <v>20.14</v>
      </c>
      <c r="AD2398">
        <v>600025900</v>
      </c>
      <c r="AE2398" t="s">
        <v>1065</v>
      </c>
      <c r="AF2398" s="4">
        <f t="shared" si="101"/>
        <v>20.14</v>
      </c>
      <c r="AG2398" t="s">
        <v>1126</v>
      </c>
      <c r="AH2398" t="s">
        <v>1123</v>
      </c>
      <c r="AI2398">
        <v>600040066</v>
      </c>
      <c r="AJ2398" t="s">
        <v>1125</v>
      </c>
      <c r="AK2398" t="s">
        <v>1124</v>
      </c>
      <c r="AL2398">
        <v>340615190</v>
      </c>
      <c r="AM2398" t="s">
        <v>149</v>
      </c>
    </row>
    <row r="2399" spans="1:39" x14ac:dyDescent="0.35">
      <c r="A2399">
        <v>3403</v>
      </c>
      <c r="B2399" t="s">
        <v>88</v>
      </c>
      <c r="C2399">
        <v>2020</v>
      </c>
      <c r="D2399" s="1">
        <v>43831</v>
      </c>
      <c r="E2399">
        <v>4</v>
      </c>
      <c r="F2399">
        <v>300004406</v>
      </c>
      <c r="G2399" t="s">
        <v>804</v>
      </c>
      <c r="H2399">
        <v>40</v>
      </c>
      <c r="I2399">
        <v>74010070</v>
      </c>
      <c r="J2399">
        <v>604244</v>
      </c>
      <c r="K2399" t="s">
        <v>49</v>
      </c>
      <c r="L2399" s="4">
        <v>3</v>
      </c>
      <c r="M2399" t="s">
        <v>31</v>
      </c>
      <c r="N2399" s="4">
        <v>3</v>
      </c>
      <c r="O2399" t="s">
        <v>31</v>
      </c>
      <c r="P2399" t="s">
        <v>98</v>
      </c>
      <c r="X2399" t="s">
        <v>88</v>
      </c>
      <c r="Y2399" t="s">
        <v>1066</v>
      </c>
      <c r="Z2399">
        <v>20200108</v>
      </c>
      <c r="AA2399">
        <f t="shared" si="98"/>
        <v>3</v>
      </c>
      <c r="AC2399"/>
      <c r="AE2399" t="s">
        <v>1067</v>
      </c>
      <c r="AF2399"/>
      <c r="AL2399">
        <v>340340390</v>
      </c>
      <c r="AM2399" t="s">
        <v>1068</v>
      </c>
    </row>
    <row r="2400" spans="1:39" x14ac:dyDescent="0.35">
      <c r="A2400">
        <v>3402</v>
      </c>
      <c r="B2400" t="s">
        <v>88</v>
      </c>
      <c r="C2400">
        <v>2020</v>
      </c>
      <c r="D2400" s="1">
        <v>43831</v>
      </c>
      <c r="E2400">
        <v>1</v>
      </c>
      <c r="F2400">
        <v>200021798</v>
      </c>
      <c r="G2400" t="s">
        <v>120</v>
      </c>
      <c r="H2400">
        <v>81</v>
      </c>
      <c r="I2400">
        <v>71105120</v>
      </c>
      <c r="J2400">
        <v>21021040</v>
      </c>
      <c r="K2400" t="s">
        <v>268</v>
      </c>
      <c r="L2400" s="4">
        <v>665</v>
      </c>
      <c r="M2400" t="s">
        <v>54</v>
      </c>
      <c r="N2400" s="4">
        <v>12519.96</v>
      </c>
      <c r="O2400" t="s">
        <v>31</v>
      </c>
      <c r="R2400" t="s">
        <v>1121</v>
      </c>
      <c r="S2400">
        <v>453325398</v>
      </c>
      <c r="T2400">
        <v>101653</v>
      </c>
      <c r="U2400" t="s">
        <v>784</v>
      </c>
      <c r="X2400" t="s">
        <v>88</v>
      </c>
      <c r="Y2400" s="8" t="s">
        <v>1069</v>
      </c>
      <c r="Z2400">
        <v>20200108</v>
      </c>
      <c r="AA2400">
        <f t="shared" si="98"/>
        <v>665</v>
      </c>
      <c r="AB2400">
        <v>0</v>
      </c>
      <c r="AC2400">
        <f>AA2400</f>
        <v>665</v>
      </c>
      <c r="AD2400">
        <v>200027802</v>
      </c>
      <c r="AE2400" t="s">
        <v>1070</v>
      </c>
      <c r="AF2400" s="4">
        <f>AC2400</f>
        <v>665</v>
      </c>
      <c r="AG2400" t="s">
        <v>1126</v>
      </c>
      <c r="AH2400" t="s">
        <v>1123</v>
      </c>
      <c r="AI2400">
        <v>200150427</v>
      </c>
      <c r="AJ2400" t="s">
        <v>1125</v>
      </c>
      <c r="AK2400" t="s">
        <v>1124</v>
      </c>
      <c r="AL2400">
        <v>340215190</v>
      </c>
      <c r="AM2400" t="s">
        <v>135</v>
      </c>
    </row>
    <row r="2401" spans="1:39" x14ac:dyDescent="0.35">
      <c r="A2401">
        <v>3402</v>
      </c>
      <c r="B2401" t="s">
        <v>309</v>
      </c>
      <c r="C2401">
        <v>2020</v>
      </c>
      <c r="D2401" s="1">
        <v>43831</v>
      </c>
      <c r="E2401">
        <v>1</v>
      </c>
      <c r="F2401">
        <v>200027806</v>
      </c>
      <c r="G2401" t="s">
        <v>120</v>
      </c>
      <c r="H2401">
        <v>81</v>
      </c>
      <c r="I2401">
        <v>71106040</v>
      </c>
      <c r="J2401">
        <v>21021040</v>
      </c>
      <c r="K2401" t="s">
        <v>125</v>
      </c>
      <c r="L2401" s="4">
        <v>210431.03</v>
      </c>
      <c r="M2401" t="s">
        <v>31</v>
      </c>
      <c r="N2401" s="4">
        <v>210431.03</v>
      </c>
      <c r="O2401" t="s">
        <v>31</v>
      </c>
      <c r="R2401" t="s">
        <v>1121</v>
      </c>
      <c r="S2401" t="s">
        <v>1140</v>
      </c>
      <c r="T2401">
        <v>600271</v>
      </c>
      <c r="U2401" t="s">
        <v>772</v>
      </c>
      <c r="X2401" t="s">
        <v>309</v>
      </c>
      <c r="Y2401" s="8">
        <v>1548705238</v>
      </c>
      <c r="Z2401">
        <v>20200110</v>
      </c>
      <c r="AA2401">
        <f t="shared" si="98"/>
        <v>210431.03</v>
      </c>
      <c r="AB2401">
        <v>0</v>
      </c>
      <c r="AC2401">
        <f t="shared" ref="AC2401:AC2402" si="102">AA2401</f>
        <v>210431.03</v>
      </c>
      <c r="AD2401">
        <v>200035338</v>
      </c>
      <c r="AE2401" t="s">
        <v>1071</v>
      </c>
      <c r="AF2401" s="4">
        <f>AC2401</f>
        <v>210431.03</v>
      </c>
      <c r="AG2401" t="s">
        <v>81</v>
      </c>
      <c r="AH2401" t="s">
        <v>1123</v>
      </c>
      <c r="AI2401">
        <v>200057427</v>
      </c>
      <c r="AJ2401" t="s">
        <v>1136</v>
      </c>
      <c r="AK2401" t="s">
        <v>1135</v>
      </c>
      <c r="AL2401">
        <v>340221990</v>
      </c>
      <c r="AM2401" t="s">
        <v>626</v>
      </c>
    </row>
    <row r="2402" spans="1:39" x14ac:dyDescent="0.35">
      <c r="A2402">
        <v>3402</v>
      </c>
      <c r="B2402" t="s">
        <v>309</v>
      </c>
      <c r="C2402">
        <v>2020</v>
      </c>
      <c r="D2402" s="1">
        <v>43831</v>
      </c>
      <c r="E2402">
        <v>1</v>
      </c>
      <c r="F2402">
        <v>200027812</v>
      </c>
      <c r="G2402" t="s">
        <v>120</v>
      </c>
      <c r="H2402">
        <v>81</v>
      </c>
      <c r="I2402">
        <v>71106040</v>
      </c>
      <c r="J2402">
        <v>21021040</v>
      </c>
      <c r="K2402" t="s">
        <v>125</v>
      </c>
      <c r="L2402" s="4">
        <v>27954.36</v>
      </c>
      <c r="M2402" t="s">
        <v>31</v>
      </c>
      <c r="N2402" s="4">
        <v>27954.36</v>
      </c>
      <c r="O2402" t="s">
        <v>31</v>
      </c>
      <c r="R2402" t="s">
        <v>1121</v>
      </c>
      <c r="S2402" t="s">
        <v>1140</v>
      </c>
      <c r="T2402">
        <v>600271</v>
      </c>
      <c r="U2402" t="s">
        <v>772</v>
      </c>
      <c r="X2402" t="s">
        <v>309</v>
      </c>
      <c r="Y2402" s="8">
        <v>1548693032</v>
      </c>
      <c r="Z2402">
        <v>20200110</v>
      </c>
      <c r="AA2402">
        <f t="shared" si="98"/>
        <v>27954.36</v>
      </c>
      <c r="AB2402">
        <v>0</v>
      </c>
      <c r="AC2402">
        <f t="shared" si="102"/>
        <v>27954.36</v>
      </c>
      <c r="AD2402">
        <v>200035334</v>
      </c>
      <c r="AE2402" t="s">
        <v>1072</v>
      </c>
      <c r="AF2402" s="4">
        <f>AC2402</f>
        <v>27954.36</v>
      </c>
      <c r="AG2402" t="s">
        <v>81</v>
      </c>
      <c r="AH2402" t="s">
        <v>1123</v>
      </c>
      <c r="AI2402">
        <v>200057427</v>
      </c>
      <c r="AJ2402" t="s">
        <v>1136</v>
      </c>
      <c r="AK2402" t="s">
        <v>1135</v>
      </c>
      <c r="AL2402">
        <v>340221990</v>
      </c>
      <c r="AM2402" t="s">
        <v>626</v>
      </c>
    </row>
    <row r="2403" spans="1:39" x14ac:dyDescent="0.35">
      <c r="A2403">
        <v>3401</v>
      </c>
      <c r="B2403" t="s">
        <v>309</v>
      </c>
      <c r="C2403">
        <v>2020</v>
      </c>
      <c r="D2403" s="1">
        <v>43831</v>
      </c>
      <c r="E2403">
        <v>1</v>
      </c>
      <c r="F2403">
        <v>100009515</v>
      </c>
      <c r="G2403" t="s">
        <v>120</v>
      </c>
      <c r="H2403">
        <v>81</v>
      </c>
      <c r="I2403">
        <v>71104010</v>
      </c>
      <c r="J2403">
        <v>21021040</v>
      </c>
      <c r="K2403" t="s">
        <v>121</v>
      </c>
      <c r="L2403" s="4">
        <v>53480</v>
      </c>
      <c r="M2403" t="s">
        <v>31</v>
      </c>
      <c r="N2403" s="4">
        <v>53480</v>
      </c>
      <c r="O2403" t="s">
        <v>31</v>
      </c>
      <c r="R2403" t="s">
        <v>122</v>
      </c>
      <c r="S2403" t="s">
        <v>1131</v>
      </c>
      <c r="T2403">
        <v>107211</v>
      </c>
      <c r="U2403" t="s">
        <v>123</v>
      </c>
      <c r="X2403" t="s">
        <v>309</v>
      </c>
      <c r="Y2403" s="8">
        <v>4501216248</v>
      </c>
      <c r="Z2403" t="s">
        <v>1127</v>
      </c>
      <c r="AA2403">
        <f t="shared" si="98"/>
        <v>53480</v>
      </c>
      <c r="AC2403"/>
      <c r="AD2403">
        <v>100036889</v>
      </c>
      <c r="AE2403" t="s">
        <v>1128</v>
      </c>
      <c r="AG2403" t="s">
        <v>51</v>
      </c>
      <c r="AH2403" t="s">
        <v>1123</v>
      </c>
      <c r="AI2403">
        <v>100036917</v>
      </c>
      <c r="AJ2403" t="s">
        <v>1148</v>
      </c>
      <c r="AK2403" t="s">
        <v>1129</v>
      </c>
      <c r="AL2403">
        <v>340118590</v>
      </c>
      <c r="AM2403" t="s">
        <v>124</v>
      </c>
    </row>
    <row r="2404" spans="1:39" x14ac:dyDescent="0.35">
      <c r="A2404">
        <v>3407</v>
      </c>
      <c r="B2404" t="s">
        <v>309</v>
      </c>
      <c r="C2404">
        <v>2020</v>
      </c>
      <c r="D2404" s="1">
        <v>43831</v>
      </c>
      <c r="E2404">
        <v>1</v>
      </c>
      <c r="F2404">
        <v>700010842</v>
      </c>
      <c r="G2404" t="s">
        <v>120</v>
      </c>
      <c r="H2404">
        <v>81</v>
      </c>
      <c r="I2404">
        <v>71106040</v>
      </c>
      <c r="J2404">
        <v>21021040</v>
      </c>
      <c r="K2404" t="s">
        <v>125</v>
      </c>
      <c r="L2404" s="4">
        <v>201928.89</v>
      </c>
      <c r="M2404" t="s">
        <v>31</v>
      </c>
      <c r="N2404" s="4">
        <v>201928.89</v>
      </c>
      <c r="O2404" t="s">
        <v>31</v>
      </c>
      <c r="R2404" t="s">
        <v>1121</v>
      </c>
      <c r="S2404" t="s">
        <v>1140</v>
      </c>
      <c r="T2404">
        <v>600271</v>
      </c>
      <c r="U2404" t="s">
        <v>772</v>
      </c>
      <c r="X2404" t="s">
        <v>309</v>
      </c>
      <c r="Y2404" s="8">
        <v>1548789341</v>
      </c>
      <c r="Z2404">
        <v>20200110</v>
      </c>
      <c r="AA2404">
        <f t="shared" si="98"/>
        <v>201928.89</v>
      </c>
      <c r="AB2404">
        <v>0</v>
      </c>
      <c r="AC2404">
        <f>AA2404</f>
        <v>201928.89</v>
      </c>
      <c r="AD2404">
        <v>700011485</v>
      </c>
      <c r="AE2404" t="s">
        <v>1073</v>
      </c>
      <c r="AF2404" s="4">
        <f>AC2404</f>
        <v>201928.89</v>
      </c>
      <c r="AG2404" t="s">
        <v>81</v>
      </c>
      <c r="AH2404" t="s">
        <v>1123</v>
      </c>
      <c r="AI2404">
        <v>700020940</v>
      </c>
      <c r="AJ2404" t="s">
        <v>1136</v>
      </c>
      <c r="AK2404" t="s">
        <v>1135</v>
      </c>
      <c r="AL2404">
        <v>340721790</v>
      </c>
      <c r="AM2404" t="s">
        <v>244</v>
      </c>
    </row>
    <row r="2405" spans="1:39" x14ac:dyDescent="0.35">
      <c r="A2405">
        <v>3406</v>
      </c>
      <c r="B2405" t="s">
        <v>309</v>
      </c>
      <c r="C2405">
        <v>2020</v>
      </c>
      <c r="D2405" s="1">
        <v>43831</v>
      </c>
      <c r="E2405">
        <v>1</v>
      </c>
      <c r="F2405">
        <v>600007236</v>
      </c>
      <c r="G2405" t="s">
        <v>120</v>
      </c>
      <c r="H2405">
        <v>81</v>
      </c>
      <c r="I2405">
        <v>71105120</v>
      </c>
      <c r="J2405">
        <v>21021040</v>
      </c>
      <c r="K2405" t="s">
        <v>268</v>
      </c>
      <c r="L2405" s="4">
        <v>157482.49</v>
      </c>
      <c r="M2405" t="s">
        <v>31</v>
      </c>
      <c r="N2405" s="4">
        <v>157482.49</v>
      </c>
      <c r="O2405" t="s">
        <v>31</v>
      </c>
      <c r="R2405" t="s">
        <v>1074</v>
      </c>
      <c r="T2405">
        <v>105456</v>
      </c>
      <c r="U2405" t="s">
        <v>1075</v>
      </c>
      <c r="X2405" t="s">
        <v>309</v>
      </c>
      <c r="Y2405" s="8" t="s">
        <v>1076</v>
      </c>
      <c r="Z2405">
        <v>20200110</v>
      </c>
      <c r="AA2405">
        <f t="shared" si="98"/>
        <v>157482.49</v>
      </c>
      <c r="AB2405">
        <f>AA2405*0.16</f>
        <v>25197.198399999997</v>
      </c>
      <c r="AC2405">
        <f>AA2405+AB2405</f>
        <v>182679.68839999998</v>
      </c>
      <c r="AD2405">
        <v>600007266</v>
      </c>
      <c r="AE2405" t="s">
        <v>1077</v>
      </c>
      <c r="AF2405" s="4">
        <f>AC2405</f>
        <v>182679.68839999998</v>
      </c>
      <c r="AG2405" t="s">
        <v>1144</v>
      </c>
      <c r="AH2405" t="s">
        <v>1123</v>
      </c>
      <c r="AI2405">
        <v>600055348</v>
      </c>
      <c r="AJ2405" t="s">
        <v>1136</v>
      </c>
      <c r="AK2405" t="s">
        <v>1135</v>
      </c>
      <c r="AL2405">
        <v>340646390</v>
      </c>
      <c r="AM2405" t="s">
        <v>149</v>
      </c>
    </row>
    <row r="2406" spans="1:39" x14ac:dyDescent="0.35">
      <c r="A2406">
        <v>3402</v>
      </c>
      <c r="B2406" t="s">
        <v>88</v>
      </c>
      <c r="C2406">
        <v>2020</v>
      </c>
      <c r="D2406" s="1">
        <v>43831</v>
      </c>
      <c r="E2406">
        <v>1</v>
      </c>
      <c r="F2406">
        <v>200038791</v>
      </c>
      <c r="G2406" t="s">
        <v>101</v>
      </c>
      <c r="H2406">
        <v>40</v>
      </c>
      <c r="I2406">
        <v>71104010</v>
      </c>
      <c r="J2406">
        <v>21021040</v>
      </c>
      <c r="K2406" t="s">
        <v>121</v>
      </c>
      <c r="L2406" s="4">
        <v>80425.69</v>
      </c>
      <c r="M2406" t="s">
        <v>31</v>
      </c>
      <c r="N2406" s="4">
        <v>80425.69</v>
      </c>
      <c r="O2406" t="s">
        <v>31</v>
      </c>
      <c r="X2406" t="s">
        <v>57</v>
      </c>
      <c r="Y2406"/>
      <c r="Z2406">
        <v>20200108</v>
      </c>
      <c r="AA2406">
        <f t="shared" si="98"/>
        <v>80425.69</v>
      </c>
      <c r="AC2406"/>
      <c r="AE2406" t="s">
        <v>1078</v>
      </c>
      <c r="AF2406"/>
      <c r="AL2406">
        <v>340255290</v>
      </c>
      <c r="AM2406" t="s">
        <v>825</v>
      </c>
    </row>
    <row r="2407" spans="1:39" x14ac:dyDescent="0.35">
      <c r="A2407">
        <v>3402</v>
      </c>
      <c r="B2407" t="s">
        <v>309</v>
      </c>
      <c r="C2407">
        <v>2020</v>
      </c>
      <c r="D2407" s="1">
        <v>43831</v>
      </c>
      <c r="E2407">
        <v>1</v>
      </c>
      <c r="F2407">
        <v>200038798</v>
      </c>
      <c r="G2407" t="s">
        <v>101</v>
      </c>
      <c r="H2407">
        <v>40</v>
      </c>
      <c r="I2407">
        <v>71104010</v>
      </c>
      <c r="J2407">
        <v>21021040</v>
      </c>
      <c r="K2407" t="s">
        <v>121</v>
      </c>
      <c r="L2407" s="4">
        <v>269.48</v>
      </c>
      <c r="M2407" t="s">
        <v>31</v>
      </c>
      <c r="N2407" s="4">
        <v>269.48</v>
      </c>
      <c r="O2407" t="s">
        <v>31</v>
      </c>
      <c r="X2407" t="s">
        <v>57</v>
      </c>
      <c r="Y2407"/>
      <c r="Z2407">
        <v>20200110</v>
      </c>
      <c r="AA2407">
        <f t="shared" si="98"/>
        <v>269.48</v>
      </c>
      <c r="AC2407"/>
      <c r="AE2407" t="s">
        <v>1079</v>
      </c>
      <c r="AF2407"/>
      <c r="AL2407">
        <v>340255290</v>
      </c>
      <c r="AM2407" t="s">
        <v>825</v>
      </c>
    </row>
    <row r="2408" spans="1:39" x14ac:dyDescent="0.35">
      <c r="A2408">
        <v>3402</v>
      </c>
      <c r="B2408" t="s">
        <v>309</v>
      </c>
      <c r="C2408">
        <v>2020</v>
      </c>
      <c r="D2408" s="1">
        <v>43831</v>
      </c>
      <c r="E2408">
        <v>7</v>
      </c>
      <c r="F2408">
        <v>200041197</v>
      </c>
      <c r="G2408" t="s">
        <v>101</v>
      </c>
      <c r="H2408">
        <v>40</v>
      </c>
      <c r="I2408">
        <v>71105130</v>
      </c>
      <c r="J2408">
        <v>11610030</v>
      </c>
      <c r="K2408" t="s">
        <v>305</v>
      </c>
      <c r="L2408" s="4">
        <v>47.08</v>
      </c>
      <c r="M2408" t="s">
        <v>54</v>
      </c>
      <c r="N2408" s="4">
        <v>901.14</v>
      </c>
      <c r="O2408" t="s">
        <v>31</v>
      </c>
      <c r="X2408" t="s">
        <v>39</v>
      </c>
      <c r="Y2408" t="s">
        <v>1080</v>
      </c>
      <c r="Z2408">
        <v>20200110</v>
      </c>
      <c r="AA2408">
        <f t="shared" si="98"/>
        <v>47.08</v>
      </c>
      <c r="AC2408"/>
      <c r="AE2408" t="s">
        <v>1081</v>
      </c>
      <c r="AF2408"/>
      <c r="AL2408">
        <v>340221790</v>
      </c>
      <c r="AM2408" t="s">
        <v>825</v>
      </c>
    </row>
    <row r="2409" spans="1:39" x14ac:dyDescent="0.35">
      <c r="A2409">
        <v>3402</v>
      </c>
      <c r="B2409" t="s">
        <v>309</v>
      </c>
      <c r="C2409">
        <v>2020</v>
      </c>
      <c r="D2409" s="1">
        <v>43831</v>
      </c>
      <c r="E2409">
        <v>9</v>
      </c>
      <c r="F2409">
        <v>200041197</v>
      </c>
      <c r="G2409" t="s">
        <v>101</v>
      </c>
      <c r="H2409">
        <v>40</v>
      </c>
      <c r="I2409">
        <v>71105130</v>
      </c>
      <c r="J2409">
        <v>11610030</v>
      </c>
      <c r="K2409" t="s">
        <v>305</v>
      </c>
      <c r="L2409" s="4">
        <v>5.75</v>
      </c>
      <c r="M2409" t="s">
        <v>54</v>
      </c>
      <c r="N2409" s="4">
        <v>110.05</v>
      </c>
      <c r="O2409" t="s">
        <v>31</v>
      </c>
      <c r="X2409" t="s">
        <v>39</v>
      </c>
      <c r="Y2409" t="s">
        <v>1080</v>
      </c>
      <c r="Z2409">
        <v>20200110</v>
      </c>
      <c r="AA2409">
        <f t="shared" si="98"/>
        <v>5.75</v>
      </c>
      <c r="AC2409"/>
      <c r="AE2409" t="s">
        <v>1081</v>
      </c>
      <c r="AF2409"/>
      <c r="AL2409">
        <v>340221790</v>
      </c>
      <c r="AM2409" t="s">
        <v>825</v>
      </c>
    </row>
    <row r="2410" spans="1:39" x14ac:dyDescent="0.35">
      <c r="A2410">
        <v>3402</v>
      </c>
      <c r="B2410" t="s">
        <v>309</v>
      </c>
      <c r="C2410">
        <v>2020</v>
      </c>
      <c r="D2410" s="1">
        <v>43831</v>
      </c>
      <c r="E2410">
        <v>11</v>
      </c>
      <c r="F2410">
        <v>200041197</v>
      </c>
      <c r="G2410" t="s">
        <v>101</v>
      </c>
      <c r="H2410">
        <v>40</v>
      </c>
      <c r="I2410">
        <v>71105120</v>
      </c>
      <c r="J2410">
        <v>11610030</v>
      </c>
      <c r="K2410" t="s">
        <v>268</v>
      </c>
      <c r="L2410" s="4">
        <v>45.96</v>
      </c>
      <c r="M2410" t="s">
        <v>54</v>
      </c>
      <c r="N2410" s="4">
        <v>902.49</v>
      </c>
      <c r="O2410" t="s">
        <v>31</v>
      </c>
      <c r="X2410" t="s">
        <v>39</v>
      </c>
      <c r="Y2410" t="s">
        <v>1080</v>
      </c>
      <c r="Z2410">
        <v>20200110</v>
      </c>
      <c r="AA2410">
        <f t="shared" si="98"/>
        <v>45.96</v>
      </c>
      <c r="AC2410"/>
      <c r="AE2410" t="s">
        <v>1082</v>
      </c>
      <c r="AF2410"/>
      <c r="AL2410">
        <v>340225190</v>
      </c>
      <c r="AM2410" t="s">
        <v>825</v>
      </c>
    </row>
    <row r="2411" spans="1:39" x14ac:dyDescent="0.35">
      <c r="A2411">
        <v>3402</v>
      </c>
      <c r="B2411" t="s">
        <v>309</v>
      </c>
      <c r="C2411">
        <v>2020</v>
      </c>
      <c r="D2411" s="1">
        <v>43831</v>
      </c>
      <c r="E2411">
        <v>13</v>
      </c>
      <c r="F2411">
        <v>200041197</v>
      </c>
      <c r="G2411" t="s">
        <v>101</v>
      </c>
      <c r="H2411">
        <v>40</v>
      </c>
      <c r="I2411">
        <v>71106150</v>
      </c>
      <c r="J2411">
        <v>11610030</v>
      </c>
      <c r="K2411" t="s">
        <v>102</v>
      </c>
      <c r="L2411" s="4">
        <v>13255</v>
      </c>
      <c r="M2411" t="s">
        <v>54</v>
      </c>
      <c r="N2411" s="4">
        <v>265516.2</v>
      </c>
      <c r="O2411" t="s">
        <v>31</v>
      </c>
      <c r="X2411" t="s">
        <v>39</v>
      </c>
      <c r="Y2411" t="s">
        <v>1080</v>
      </c>
      <c r="Z2411">
        <v>20200110</v>
      </c>
      <c r="AA2411">
        <f t="shared" si="98"/>
        <v>13255</v>
      </c>
      <c r="AC2411"/>
      <c r="AE2411" t="s">
        <v>1083</v>
      </c>
      <c r="AF2411"/>
      <c r="AL2411">
        <v>340275190</v>
      </c>
      <c r="AM2411" t="s">
        <v>825</v>
      </c>
    </row>
    <row r="2412" spans="1:39" x14ac:dyDescent="0.35">
      <c r="A2412">
        <v>3406</v>
      </c>
      <c r="B2412" t="s">
        <v>88</v>
      </c>
      <c r="C2412">
        <v>2020</v>
      </c>
      <c r="D2412" s="1">
        <v>43831</v>
      </c>
      <c r="E2412">
        <v>1</v>
      </c>
      <c r="F2412">
        <v>600015295</v>
      </c>
      <c r="G2412" t="s">
        <v>120</v>
      </c>
      <c r="H2412">
        <v>91</v>
      </c>
      <c r="I2412">
        <v>71105120</v>
      </c>
      <c r="J2412">
        <v>21021040</v>
      </c>
      <c r="K2412" t="s">
        <v>268</v>
      </c>
      <c r="L2412" s="4">
        <v>20.14</v>
      </c>
      <c r="M2412" t="s">
        <v>54</v>
      </c>
      <c r="N2412" s="4">
        <v>379.18</v>
      </c>
      <c r="O2412" t="s">
        <v>31</v>
      </c>
      <c r="R2412" t="s">
        <v>1121</v>
      </c>
      <c r="S2412">
        <v>453325398</v>
      </c>
      <c r="T2412">
        <v>101653</v>
      </c>
      <c r="U2412" t="s">
        <v>784</v>
      </c>
      <c r="X2412" t="s">
        <v>53</v>
      </c>
      <c r="Y2412" s="8" t="s">
        <v>785</v>
      </c>
      <c r="Z2412">
        <v>20200108</v>
      </c>
      <c r="AA2412">
        <f t="shared" si="98"/>
        <v>20.14</v>
      </c>
      <c r="AB2412">
        <v>0</v>
      </c>
      <c r="AC2412">
        <f t="shared" ref="AC2412:AC2414" si="103">AA2412</f>
        <v>20.14</v>
      </c>
      <c r="AD2412">
        <v>600025900</v>
      </c>
      <c r="AE2412" t="s">
        <v>1065</v>
      </c>
      <c r="AF2412" s="4">
        <f t="shared" ref="AF2412:AF2414" si="104">AC2412</f>
        <v>20.14</v>
      </c>
      <c r="AG2412" t="s">
        <v>1126</v>
      </c>
      <c r="AH2412" t="s">
        <v>1123</v>
      </c>
      <c r="AI2412">
        <v>600040066</v>
      </c>
      <c r="AJ2412" t="s">
        <v>1125</v>
      </c>
      <c r="AK2412" t="s">
        <v>1124</v>
      </c>
      <c r="AL2412">
        <v>340615190</v>
      </c>
      <c r="AM2412" t="s">
        <v>149</v>
      </c>
    </row>
    <row r="2413" spans="1:39" x14ac:dyDescent="0.35">
      <c r="A2413">
        <v>3406</v>
      </c>
      <c r="B2413" t="s">
        <v>88</v>
      </c>
      <c r="C2413">
        <v>2020</v>
      </c>
      <c r="D2413" s="1">
        <v>43831</v>
      </c>
      <c r="E2413">
        <v>1</v>
      </c>
      <c r="F2413">
        <v>600015384</v>
      </c>
      <c r="G2413" t="s">
        <v>120</v>
      </c>
      <c r="H2413">
        <v>91</v>
      </c>
      <c r="I2413">
        <v>71105120</v>
      </c>
      <c r="J2413">
        <v>21021040</v>
      </c>
      <c r="K2413" t="s">
        <v>268</v>
      </c>
      <c r="L2413" s="4">
        <v>380</v>
      </c>
      <c r="M2413" t="s">
        <v>54</v>
      </c>
      <c r="N2413" s="4">
        <v>7154.26</v>
      </c>
      <c r="O2413" t="s">
        <v>31</v>
      </c>
      <c r="R2413" t="s">
        <v>1121</v>
      </c>
      <c r="S2413">
        <v>453325398</v>
      </c>
      <c r="T2413">
        <v>101653</v>
      </c>
      <c r="U2413" t="s">
        <v>784</v>
      </c>
      <c r="X2413" t="s">
        <v>53</v>
      </c>
      <c r="Y2413" s="8" t="s">
        <v>785</v>
      </c>
      <c r="Z2413">
        <v>20200108</v>
      </c>
      <c r="AA2413">
        <f t="shared" si="98"/>
        <v>380</v>
      </c>
      <c r="AB2413">
        <v>0</v>
      </c>
      <c r="AC2413">
        <f t="shared" si="103"/>
        <v>380</v>
      </c>
      <c r="AD2413">
        <v>600025900</v>
      </c>
      <c r="AE2413" t="s">
        <v>1064</v>
      </c>
      <c r="AF2413" s="4">
        <f t="shared" si="104"/>
        <v>380</v>
      </c>
      <c r="AG2413" t="s">
        <v>1126</v>
      </c>
      <c r="AH2413" t="s">
        <v>1123</v>
      </c>
      <c r="AI2413">
        <v>600040066</v>
      </c>
      <c r="AJ2413" t="s">
        <v>1125</v>
      </c>
      <c r="AK2413" t="s">
        <v>1124</v>
      </c>
      <c r="AL2413">
        <v>340653290</v>
      </c>
      <c r="AM2413" t="s">
        <v>149</v>
      </c>
    </row>
    <row r="2414" spans="1:39" x14ac:dyDescent="0.35">
      <c r="A2414">
        <v>3406</v>
      </c>
      <c r="B2414" t="s">
        <v>88</v>
      </c>
      <c r="C2414">
        <v>2020</v>
      </c>
      <c r="D2414" s="1">
        <v>43831</v>
      </c>
      <c r="E2414">
        <v>1</v>
      </c>
      <c r="F2414">
        <v>600015392</v>
      </c>
      <c r="G2414" t="s">
        <v>120</v>
      </c>
      <c r="H2414">
        <v>81</v>
      </c>
      <c r="I2414">
        <v>71105120</v>
      </c>
      <c r="J2414">
        <v>21021040</v>
      </c>
      <c r="K2414" t="s">
        <v>268</v>
      </c>
      <c r="L2414" s="4">
        <v>380</v>
      </c>
      <c r="M2414" t="s">
        <v>54</v>
      </c>
      <c r="N2414" s="4">
        <v>7154.26</v>
      </c>
      <c r="O2414" t="s">
        <v>31</v>
      </c>
      <c r="R2414" t="s">
        <v>1121</v>
      </c>
      <c r="S2414">
        <v>453325398</v>
      </c>
      <c r="T2414">
        <v>101653</v>
      </c>
      <c r="U2414" t="s">
        <v>784</v>
      </c>
      <c r="X2414" t="s">
        <v>53</v>
      </c>
      <c r="Y2414" s="8" t="s">
        <v>785</v>
      </c>
      <c r="Z2414">
        <v>20200108</v>
      </c>
      <c r="AA2414">
        <f t="shared" si="98"/>
        <v>380</v>
      </c>
      <c r="AB2414">
        <v>0</v>
      </c>
      <c r="AC2414">
        <f t="shared" si="103"/>
        <v>380</v>
      </c>
      <c r="AD2414">
        <v>600025900</v>
      </c>
      <c r="AE2414" t="s">
        <v>1064</v>
      </c>
      <c r="AF2414" s="4">
        <f t="shared" si="104"/>
        <v>380</v>
      </c>
      <c r="AG2414" t="s">
        <v>1126</v>
      </c>
      <c r="AH2414" t="s">
        <v>1123</v>
      </c>
      <c r="AI2414">
        <v>600040066</v>
      </c>
      <c r="AJ2414" t="s">
        <v>1125</v>
      </c>
      <c r="AK2414" t="s">
        <v>1124</v>
      </c>
      <c r="AL2414">
        <v>340653290</v>
      </c>
      <c r="AM2414" t="s">
        <v>149</v>
      </c>
    </row>
    <row r="2415" spans="1:39" x14ac:dyDescent="0.35">
      <c r="A2415">
        <v>3400</v>
      </c>
      <c r="B2415" t="s">
        <v>28</v>
      </c>
      <c r="C2415">
        <v>2020</v>
      </c>
      <c r="D2415" s="1">
        <v>43831</v>
      </c>
      <c r="E2415">
        <v>1</v>
      </c>
      <c r="F2415">
        <v>100011186</v>
      </c>
      <c r="G2415" t="s">
        <v>329</v>
      </c>
      <c r="H2415">
        <v>40</v>
      </c>
      <c r="I2415">
        <v>71101060</v>
      </c>
      <c r="J2415">
        <v>606338</v>
      </c>
      <c r="K2415" t="s">
        <v>30</v>
      </c>
      <c r="L2415" s="4">
        <v>86.77</v>
      </c>
      <c r="M2415" t="s">
        <v>31</v>
      </c>
      <c r="N2415" s="4">
        <v>86.77</v>
      </c>
      <c r="O2415" t="s">
        <v>31</v>
      </c>
      <c r="P2415" t="s">
        <v>50</v>
      </c>
      <c r="Q2415" t="s">
        <v>1084</v>
      </c>
      <c r="X2415" t="s">
        <v>65</v>
      </c>
      <c r="Y2415">
        <v>79220</v>
      </c>
      <c r="Z2415" t="s">
        <v>331</v>
      </c>
      <c r="AA2415">
        <f t="shared" si="98"/>
        <v>86.77</v>
      </c>
      <c r="AC2415"/>
      <c r="AE2415" t="s">
        <v>332</v>
      </c>
      <c r="AF2415"/>
      <c r="AL2415">
        <v>340023450</v>
      </c>
      <c r="AM2415" t="s">
        <v>333</v>
      </c>
    </row>
    <row r="2416" spans="1:39" x14ac:dyDescent="0.35">
      <c r="A2416">
        <v>3407</v>
      </c>
      <c r="B2416" t="s">
        <v>28</v>
      </c>
      <c r="C2416">
        <v>2020</v>
      </c>
      <c r="D2416" s="1">
        <v>43831</v>
      </c>
      <c r="E2416">
        <v>1</v>
      </c>
      <c r="F2416">
        <v>700041037</v>
      </c>
      <c r="G2416" t="s">
        <v>101</v>
      </c>
      <c r="H2416">
        <v>40</v>
      </c>
      <c r="I2416">
        <v>71104010</v>
      </c>
      <c r="J2416">
        <v>71104030</v>
      </c>
      <c r="K2416" t="s">
        <v>121</v>
      </c>
      <c r="L2416" s="4">
        <v>117908.32</v>
      </c>
      <c r="M2416" t="s">
        <v>31</v>
      </c>
      <c r="N2416" s="4">
        <v>117908.32</v>
      </c>
      <c r="O2416" t="s">
        <v>31</v>
      </c>
      <c r="X2416" t="s">
        <v>35</v>
      </c>
      <c r="Y2416" t="s">
        <v>375</v>
      </c>
      <c r="Z2416" t="s">
        <v>376</v>
      </c>
      <c r="AA2416">
        <f t="shared" si="98"/>
        <v>117908.32</v>
      </c>
      <c r="AC2416"/>
      <c r="AE2416" t="s">
        <v>1040</v>
      </c>
      <c r="AF2416"/>
      <c r="AL2416">
        <v>340732290</v>
      </c>
      <c r="AM2416" t="s">
        <v>217</v>
      </c>
    </row>
    <row r="2417" spans="1:39" x14ac:dyDescent="0.35">
      <c r="A2417">
        <v>3407</v>
      </c>
      <c r="B2417" t="s">
        <v>62</v>
      </c>
      <c r="C2417">
        <v>2020</v>
      </c>
      <c r="D2417" s="1">
        <v>43831</v>
      </c>
      <c r="E2417">
        <v>3</v>
      </c>
      <c r="F2417">
        <v>700037162</v>
      </c>
      <c r="G2417" t="s">
        <v>101</v>
      </c>
      <c r="H2417">
        <v>50</v>
      </c>
      <c r="I2417">
        <v>71105120</v>
      </c>
      <c r="J2417">
        <v>54020040</v>
      </c>
      <c r="K2417" t="s">
        <v>268</v>
      </c>
      <c r="L2417" s="4">
        <v>1614.45</v>
      </c>
      <c r="M2417" t="s">
        <v>31</v>
      </c>
      <c r="N2417" s="4">
        <v>1614.45</v>
      </c>
      <c r="O2417" t="s">
        <v>31</v>
      </c>
      <c r="X2417" t="s">
        <v>47</v>
      </c>
      <c r="Y2417" t="s">
        <v>1085</v>
      </c>
      <c r="Z2417" t="s">
        <v>1085</v>
      </c>
      <c r="AA2417">
        <f t="shared" si="98"/>
        <v>1614.45</v>
      </c>
      <c r="AC2417"/>
      <c r="AE2417" t="s">
        <v>1086</v>
      </c>
      <c r="AF2417"/>
      <c r="AL2417">
        <v>340748290</v>
      </c>
      <c r="AM2417" t="s">
        <v>217</v>
      </c>
    </row>
    <row r="2418" spans="1:39" x14ac:dyDescent="0.35">
      <c r="A2418">
        <v>3406</v>
      </c>
      <c r="B2418" t="s">
        <v>427</v>
      </c>
      <c r="C2418">
        <v>2020</v>
      </c>
      <c r="D2418" s="1">
        <v>43831</v>
      </c>
      <c r="E2418">
        <v>1</v>
      </c>
      <c r="F2418">
        <v>600010480</v>
      </c>
      <c r="G2418" t="s">
        <v>101</v>
      </c>
      <c r="H2418">
        <v>40</v>
      </c>
      <c r="I2418">
        <v>71105120</v>
      </c>
      <c r="J2418">
        <v>11610080</v>
      </c>
      <c r="K2418" t="s">
        <v>268</v>
      </c>
      <c r="L2418" s="4">
        <v>1646.25</v>
      </c>
      <c r="M2418" t="s">
        <v>31</v>
      </c>
      <c r="N2418" s="4">
        <v>1646.25</v>
      </c>
      <c r="O2418" t="s">
        <v>31</v>
      </c>
      <c r="X2418" t="s">
        <v>57</v>
      </c>
      <c r="Y2418">
        <v>20200101</v>
      </c>
      <c r="Z2418" t="s">
        <v>427</v>
      </c>
      <c r="AA2418">
        <f t="shared" si="98"/>
        <v>1646.25</v>
      </c>
      <c r="AC2418"/>
      <c r="AE2418" t="s">
        <v>1087</v>
      </c>
      <c r="AF2418"/>
      <c r="AL2418">
        <v>340612590</v>
      </c>
      <c r="AM2418" t="s">
        <v>112</v>
      </c>
    </row>
    <row r="2419" spans="1:39" x14ac:dyDescent="0.35">
      <c r="A2419">
        <v>3406</v>
      </c>
      <c r="B2419" t="s">
        <v>427</v>
      </c>
      <c r="C2419">
        <v>2020</v>
      </c>
      <c r="D2419" s="1">
        <v>43831</v>
      </c>
      <c r="E2419">
        <v>1</v>
      </c>
      <c r="F2419">
        <v>600010483</v>
      </c>
      <c r="G2419" t="s">
        <v>101</v>
      </c>
      <c r="H2419">
        <v>40</v>
      </c>
      <c r="I2419">
        <v>71105120</v>
      </c>
      <c r="J2419">
        <v>11610080</v>
      </c>
      <c r="K2419" t="s">
        <v>268</v>
      </c>
      <c r="L2419" s="4">
        <v>1646.25</v>
      </c>
      <c r="M2419" t="s">
        <v>31</v>
      </c>
      <c r="N2419" s="4">
        <v>1646.25</v>
      </c>
      <c r="O2419" t="s">
        <v>31</v>
      </c>
      <c r="X2419" t="s">
        <v>57</v>
      </c>
      <c r="Y2419">
        <v>20200101</v>
      </c>
      <c r="Z2419" t="s">
        <v>427</v>
      </c>
      <c r="AA2419">
        <f t="shared" si="98"/>
        <v>1646.25</v>
      </c>
      <c r="AC2419"/>
      <c r="AE2419" t="s">
        <v>1088</v>
      </c>
      <c r="AF2419"/>
      <c r="AL2419">
        <v>340612590</v>
      </c>
      <c r="AM2419" t="s">
        <v>112</v>
      </c>
    </row>
    <row r="2420" spans="1:39" x14ac:dyDescent="0.35">
      <c r="A2420">
        <v>3400</v>
      </c>
      <c r="B2420" t="s">
        <v>258</v>
      </c>
      <c r="C2420">
        <v>2020</v>
      </c>
      <c r="D2420" s="1">
        <v>43831</v>
      </c>
      <c r="E2420">
        <v>1</v>
      </c>
      <c r="F2420">
        <v>100008992</v>
      </c>
      <c r="G2420" t="s">
        <v>96</v>
      </c>
      <c r="H2420">
        <v>40</v>
      </c>
      <c r="I2420">
        <v>71105130</v>
      </c>
      <c r="J2420">
        <v>21021040</v>
      </c>
      <c r="K2420" t="s">
        <v>305</v>
      </c>
      <c r="L2420" s="4">
        <v>11261.2</v>
      </c>
      <c r="M2420" t="s">
        <v>54</v>
      </c>
      <c r="N2420" s="4">
        <v>210592.32</v>
      </c>
      <c r="O2420" t="s">
        <v>31</v>
      </c>
      <c r="P2420" t="s">
        <v>98</v>
      </c>
      <c r="X2420" t="s">
        <v>61</v>
      </c>
      <c r="Y2420"/>
      <c r="Z2420" t="s">
        <v>1089</v>
      </c>
      <c r="AA2420">
        <f t="shared" si="98"/>
        <v>11261.2</v>
      </c>
      <c r="AC2420"/>
      <c r="AE2420" t="s">
        <v>1090</v>
      </c>
      <c r="AF2420"/>
      <c r="AL2420">
        <v>340019450</v>
      </c>
      <c r="AM2420" t="s">
        <v>271</v>
      </c>
    </row>
    <row r="2421" spans="1:39" x14ac:dyDescent="0.35">
      <c r="A2421">
        <v>3407</v>
      </c>
      <c r="B2421" t="s">
        <v>427</v>
      </c>
      <c r="C2421">
        <v>2020</v>
      </c>
      <c r="D2421" s="1">
        <v>43831</v>
      </c>
      <c r="E2421">
        <v>1</v>
      </c>
      <c r="F2421">
        <v>700034798</v>
      </c>
      <c r="G2421" t="s">
        <v>101</v>
      </c>
      <c r="H2421">
        <v>40</v>
      </c>
      <c r="I2421">
        <v>71105120</v>
      </c>
      <c r="J2421">
        <v>11610080</v>
      </c>
      <c r="K2421" t="s">
        <v>268</v>
      </c>
      <c r="L2421" s="4">
        <v>4122</v>
      </c>
      <c r="M2421" t="s">
        <v>54</v>
      </c>
      <c r="N2421" s="4">
        <v>77793.27</v>
      </c>
      <c r="O2421" t="s">
        <v>31</v>
      </c>
      <c r="X2421" t="s">
        <v>62</v>
      </c>
      <c r="Y2421" t="s">
        <v>1091</v>
      </c>
      <c r="Z2421" t="s">
        <v>1092</v>
      </c>
      <c r="AA2421">
        <f t="shared" si="98"/>
        <v>4122</v>
      </c>
      <c r="AC2421"/>
      <c r="AE2421" t="s">
        <v>1093</v>
      </c>
      <c r="AF2421"/>
      <c r="AL2421">
        <v>340743690</v>
      </c>
      <c r="AM2421" t="s">
        <v>217</v>
      </c>
    </row>
    <row r="2422" spans="1:39" x14ac:dyDescent="0.35">
      <c r="A2422">
        <v>3407</v>
      </c>
      <c r="B2422" t="s">
        <v>62</v>
      </c>
      <c r="C2422">
        <v>2020</v>
      </c>
      <c r="D2422" s="1">
        <v>43831</v>
      </c>
      <c r="E2422">
        <v>3</v>
      </c>
      <c r="F2422">
        <v>700037019</v>
      </c>
      <c r="G2422" t="s">
        <v>101</v>
      </c>
      <c r="H2422">
        <v>50</v>
      </c>
      <c r="I2422">
        <v>71105120</v>
      </c>
      <c r="J2422">
        <v>54020040</v>
      </c>
      <c r="K2422" t="s">
        <v>268</v>
      </c>
      <c r="L2422">
        <v>80.7</v>
      </c>
      <c r="M2422" t="s">
        <v>31</v>
      </c>
      <c r="N2422">
        <v>80.7</v>
      </c>
      <c r="O2422" t="s">
        <v>31</v>
      </c>
      <c r="W2422">
        <v>700037084</v>
      </c>
      <c r="X2422" t="s">
        <v>47</v>
      </c>
      <c r="Y2422" t="s">
        <v>1094</v>
      </c>
      <c r="Z2422" t="s">
        <v>1094</v>
      </c>
      <c r="AA2422">
        <f t="shared" si="98"/>
        <v>80.7</v>
      </c>
      <c r="AC2422"/>
      <c r="AE2422" t="s">
        <v>1095</v>
      </c>
      <c r="AF2422"/>
      <c r="AL2422">
        <v>340768690</v>
      </c>
      <c r="AM2422" t="s">
        <v>217</v>
      </c>
    </row>
    <row r="2423" spans="1:39" x14ac:dyDescent="0.35">
      <c r="A2423">
        <v>3407</v>
      </c>
      <c r="B2423" t="s">
        <v>62</v>
      </c>
      <c r="C2423">
        <v>2020</v>
      </c>
      <c r="D2423" s="1">
        <v>43831</v>
      </c>
      <c r="E2423">
        <v>3</v>
      </c>
      <c r="F2423">
        <v>700037084</v>
      </c>
      <c r="G2423" t="s">
        <v>226</v>
      </c>
      <c r="H2423">
        <v>40</v>
      </c>
      <c r="I2423">
        <v>71105120</v>
      </c>
      <c r="J2423">
        <v>54020040</v>
      </c>
      <c r="K2423" t="s">
        <v>268</v>
      </c>
      <c r="L2423">
        <v>80.7</v>
      </c>
      <c r="M2423" t="s">
        <v>31</v>
      </c>
      <c r="N2423">
        <v>80.7</v>
      </c>
      <c r="O2423" t="s">
        <v>31</v>
      </c>
      <c r="W2423">
        <v>700037019</v>
      </c>
      <c r="X2423" t="s">
        <v>47</v>
      </c>
      <c r="Y2423" t="s">
        <v>1094</v>
      </c>
      <c r="Z2423" t="s">
        <v>1094</v>
      </c>
      <c r="AA2423">
        <f t="shared" si="98"/>
        <v>80.7</v>
      </c>
      <c r="AC2423"/>
      <c r="AE2423" t="s">
        <v>1095</v>
      </c>
      <c r="AF2423"/>
      <c r="AL2423">
        <v>340768690</v>
      </c>
      <c r="AM2423" t="s">
        <v>217</v>
      </c>
    </row>
    <row r="2424" spans="1:39" x14ac:dyDescent="0.35">
      <c r="A2424">
        <v>3407</v>
      </c>
      <c r="B2424" t="s">
        <v>62</v>
      </c>
      <c r="C2424">
        <v>2020</v>
      </c>
      <c r="D2424" s="1">
        <v>43831</v>
      </c>
      <c r="E2424">
        <v>3</v>
      </c>
      <c r="F2424">
        <v>700037086</v>
      </c>
      <c r="G2424" t="s">
        <v>101</v>
      </c>
      <c r="H2424">
        <v>50</v>
      </c>
      <c r="I2424">
        <v>71105120</v>
      </c>
      <c r="J2424">
        <v>54020040</v>
      </c>
      <c r="K2424" t="s">
        <v>268</v>
      </c>
      <c r="L2424" s="4">
        <v>80.7</v>
      </c>
      <c r="M2424" t="s">
        <v>31</v>
      </c>
      <c r="N2424" s="4">
        <v>80.7</v>
      </c>
      <c r="O2424" t="s">
        <v>31</v>
      </c>
      <c r="X2424" t="s">
        <v>47</v>
      </c>
      <c r="Y2424" t="s">
        <v>1094</v>
      </c>
      <c r="Z2424" t="s">
        <v>1094</v>
      </c>
      <c r="AA2424">
        <f t="shared" si="98"/>
        <v>80.7</v>
      </c>
      <c r="AC2424"/>
      <c r="AE2424" t="s">
        <v>1095</v>
      </c>
      <c r="AF2424"/>
      <c r="AL2424">
        <v>340768690</v>
      </c>
      <c r="AM2424" t="s">
        <v>217</v>
      </c>
    </row>
    <row r="2425" spans="1:39" x14ac:dyDescent="0.35">
      <c r="A2425">
        <v>3400</v>
      </c>
      <c r="B2425" t="s">
        <v>28</v>
      </c>
      <c r="C2425">
        <v>2020</v>
      </c>
      <c r="D2425" s="1">
        <v>43831</v>
      </c>
      <c r="E2425">
        <v>1</v>
      </c>
      <c r="F2425">
        <v>100011190</v>
      </c>
      <c r="G2425" t="s">
        <v>329</v>
      </c>
      <c r="H2425">
        <v>40</v>
      </c>
      <c r="I2425">
        <v>74010070</v>
      </c>
      <c r="J2425">
        <v>606338</v>
      </c>
      <c r="K2425" t="s">
        <v>49</v>
      </c>
      <c r="L2425" s="4">
        <v>30.16</v>
      </c>
      <c r="M2425" t="s">
        <v>31</v>
      </c>
      <c r="N2425" s="4">
        <v>30.16</v>
      </c>
      <c r="O2425" t="s">
        <v>31</v>
      </c>
      <c r="P2425" t="s">
        <v>98</v>
      </c>
      <c r="X2425" t="s">
        <v>65</v>
      </c>
      <c r="Y2425">
        <v>79220</v>
      </c>
      <c r="Z2425" t="s">
        <v>331</v>
      </c>
      <c r="AA2425">
        <f t="shared" si="98"/>
        <v>30.16</v>
      </c>
      <c r="AC2425"/>
      <c r="AE2425" t="s">
        <v>332</v>
      </c>
      <c r="AF2425"/>
      <c r="AL2425">
        <v>340023450</v>
      </c>
      <c r="AM2425" t="s">
        <v>333</v>
      </c>
    </row>
    <row r="2426" spans="1:39" x14ac:dyDescent="0.35">
      <c r="A2426">
        <v>3407</v>
      </c>
      <c r="B2426" t="s">
        <v>181</v>
      </c>
      <c r="C2426">
        <v>2020</v>
      </c>
      <c r="D2426" s="1">
        <v>43831</v>
      </c>
      <c r="E2426">
        <v>3</v>
      </c>
      <c r="F2426">
        <v>700021052</v>
      </c>
      <c r="G2426" t="s">
        <v>101</v>
      </c>
      <c r="H2426">
        <v>50</v>
      </c>
      <c r="I2426">
        <v>71105120</v>
      </c>
      <c r="J2426">
        <v>54020040</v>
      </c>
      <c r="K2426" t="s">
        <v>268</v>
      </c>
      <c r="L2426">
        <v>80.7</v>
      </c>
      <c r="M2426" t="s">
        <v>31</v>
      </c>
      <c r="N2426">
        <v>80.7</v>
      </c>
      <c r="O2426" t="s">
        <v>31</v>
      </c>
      <c r="W2426">
        <v>700037013</v>
      </c>
      <c r="X2426" t="s">
        <v>55</v>
      </c>
      <c r="Y2426" t="s">
        <v>1096</v>
      </c>
      <c r="Z2426" t="s">
        <v>1096</v>
      </c>
      <c r="AA2426">
        <f t="shared" si="98"/>
        <v>80.7</v>
      </c>
      <c r="AC2426"/>
      <c r="AE2426" t="s">
        <v>1097</v>
      </c>
      <c r="AF2426"/>
      <c r="AL2426">
        <v>340768690</v>
      </c>
      <c r="AM2426" t="s">
        <v>217</v>
      </c>
    </row>
    <row r="2427" spans="1:39" x14ac:dyDescent="0.35">
      <c r="A2427">
        <v>3407</v>
      </c>
      <c r="B2427" t="s">
        <v>62</v>
      </c>
      <c r="C2427">
        <v>2020</v>
      </c>
      <c r="D2427" s="1">
        <v>43831</v>
      </c>
      <c r="E2427">
        <v>3</v>
      </c>
      <c r="F2427">
        <v>700037010</v>
      </c>
      <c r="G2427" t="s">
        <v>101</v>
      </c>
      <c r="H2427">
        <v>50</v>
      </c>
      <c r="I2427">
        <v>71105120</v>
      </c>
      <c r="J2427">
        <v>54020040</v>
      </c>
      <c r="K2427" t="s">
        <v>268</v>
      </c>
      <c r="L2427">
        <v>80.7</v>
      </c>
      <c r="M2427" t="s">
        <v>31</v>
      </c>
      <c r="N2427">
        <v>80.7</v>
      </c>
      <c r="O2427" t="s">
        <v>31</v>
      </c>
      <c r="W2427">
        <v>700037014</v>
      </c>
      <c r="X2427" t="s">
        <v>47</v>
      </c>
      <c r="Y2427" t="s">
        <v>1094</v>
      </c>
      <c r="Z2427" t="s">
        <v>1094</v>
      </c>
      <c r="AA2427">
        <f t="shared" si="98"/>
        <v>80.7</v>
      </c>
      <c r="AC2427"/>
      <c r="AE2427" t="s">
        <v>1097</v>
      </c>
      <c r="AF2427"/>
      <c r="AL2427">
        <v>340768690</v>
      </c>
      <c r="AM2427" t="s">
        <v>217</v>
      </c>
    </row>
    <row r="2428" spans="1:39" x14ac:dyDescent="0.35">
      <c r="A2428">
        <v>3407</v>
      </c>
      <c r="B2428" t="s">
        <v>181</v>
      </c>
      <c r="C2428">
        <v>2020</v>
      </c>
      <c r="D2428" s="1">
        <v>43831</v>
      </c>
      <c r="E2428">
        <v>3</v>
      </c>
      <c r="F2428">
        <v>700037013</v>
      </c>
      <c r="G2428" t="s">
        <v>226</v>
      </c>
      <c r="H2428">
        <v>40</v>
      </c>
      <c r="I2428">
        <v>71105120</v>
      </c>
      <c r="J2428">
        <v>54020040</v>
      </c>
      <c r="K2428" t="s">
        <v>268</v>
      </c>
      <c r="L2428">
        <v>80.7</v>
      </c>
      <c r="M2428" t="s">
        <v>31</v>
      </c>
      <c r="N2428">
        <v>80.7</v>
      </c>
      <c r="O2428" t="s">
        <v>31</v>
      </c>
      <c r="W2428">
        <v>700021052</v>
      </c>
      <c r="X2428" t="s">
        <v>47</v>
      </c>
      <c r="Y2428" t="s">
        <v>1096</v>
      </c>
      <c r="Z2428" t="s">
        <v>1096</v>
      </c>
      <c r="AA2428">
        <f t="shared" si="98"/>
        <v>80.7</v>
      </c>
      <c r="AC2428"/>
      <c r="AE2428" t="s">
        <v>1097</v>
      </c>
      <c r="AF2428"/>
      <c r="AL2428">
        <v>340768690</v>
      </c>
      <c r="AM2428" t="s">
        <v>217</v>
      </c>
    </row>
    <row r="2429" spans="1:39" x14ac:dyDescent="0.35">
      <c r="A2429">
        <v>3407</v>
      </c>
      <c r="B2429" t="s">
        <v>62</v>
      </c>
      <c r="C2429">
        <v>2020</v>
      </c>
      <c r="D2429" s="1">
        <v>43831</v>
      </c>
      <c r="E2429">
        <v>3</v>
      </c>
      <c r="F2429">
        <v>700037014</v>
      </c>
      <c r="G2429" t="s">
        <v>226</v>
      </c>
      <c r="H2429">
        <v>40</v>
      </c>
      <c r="I2429">
        <v>71105120</v>
      </c>
      <c r="J2429">
        <v>54020040</v>
      </c>
      <c r="K2429" t="s">
        <v>268</v>
      </c>
      <c r="L2429">
        <v>80.7</v>
      </c>
      <c r="M2429" t="s">
        <v>31</v>
      </c>
      <c r="N2429">
        <v>80.7</v>
      </c>
      <c r="O2429" t="s">
        <v>31</v>
      </c>
      <c r="W2429">
        <v>700037010</v>
      </c>
      <c r="X2429" t="s">
        <v>47</v>
      </c>
      <c r="Y2429" t="s">
        <v>1094</v>
      </c>
      <c r="Z2429" t="s">
        <v>1094</v>
      </c>
      <c r="AA2429">
        <f t="shared" si="98"/>
        <v>80.7</v>
      </c>
      <c r="AC2429"/>
      <c r="AE2429" t="s">
        <v>1097</v>
      </c>
      <c r="AF2429"/>
      <c r="AL2429">
        <v>340768690</v>
      </c>
      <c r="AM2429" t="s">
        <v>217</v>
      </c>
    </row>
    <row r="2430" spans="1:39" x14ac:dyDescent="0.35">
      <c r="A2430">
        <v>3400</v>
      </c>
      <c r="B2430" t="s">
        <v>28</v>
      </c>
      <c r="C2430">
        <v>2020</v>
      </c>
      <c r="D2430" s="1">
        <v>43831</v>
      </c>
      <c r="E2430">
        <v>1</v>
      </c>
      <c r="F2430">
        <v>100011187</v>
      </c>
      <c r="G2430" t="s">
        <v>329</v>
      </c>
      <c r="H2430">
        <v>40</v>
      </c>
      <c r="I2430">
        <v>74010070</v>
      </c>
      <c r="J2430">
        <v>606338</v>
      </c>
      <c r="K2430" t="s">
        <v>49</v>
      </c>
      <c r="L2430" s="4">
        <v>34.68</v>
      </c>
      <c r="M2430" t="s">
        <v>31</v>
      </c>
      <c r="N2430" s="4">
        <v>34.68</v>
      </c>
      <c r="O2430" t="s">
        <v>31</v>
      </c>
      <c r="P2430" t="s">
        <v>98</v>
      </c>
      <c r="X2430" t="s">
        <v>65</v>
      </c>
      <c r="Y2430">
        <v>79220</v>
      </c>
      <c r="Z2430" t="s">
        <v>331</v>
      </c>
      <c r="AA2430">
        <f t="shared" si="98"/>
        <v>34.68</v>
      </c>
      <c r="AC2430"/>
      <c r="AE2430" t="s">
        <v>332</v>
      </c>
      <c r="AF2430"/>
      <c r="AL2430">
        <v>340023450</v>
      </c>
      <c r="AM2430" t="s">
        <v>333</v>
      </c>
    </row>
    <row r="2431" spans="1:39" x14ac:dyDescent="0.35">
      <c r="A2431">
        <v>3403</v>
      </c>
      <c r="B2431" t="s">
        <v>1055</v>
      </c>
      <c r="C2431">
        <v>2020</v>
      </c>
      <c r="D2431" s="1">
        <v>43831</v>
      </c>
      <c r="E2431">
        <v>3</v>
      </c>
      <c r="F2431">
        <v>300006080</v>
      </c>
      <c r="G2431" t="s">
        <v>804</v>
      </c>
      <c r="H2431">
        <v>40</v>
      </c>
      <c r="I2431">
        <v>74010070</v>
      </c>
      <c r="J2431">
        <v>603940</v>
      </c>
      <c r="K2431" t="s">
        <v>49</v>
      </c>
      <c r="L2431" s="4">
        <v>3</v>
      </c>
      <c r="M2431" t="s">
        <v>31</v>
      </c>
      <c r="N2431" s="4">
        <v>3</v>
      </c>
      <c r="O2431" t="s">
        <v>31</v>
      </c>
      <c r="P2431" t="s">
        <v>98</v>
      </c>
      <c r="X2431" t="s">
        <v>1055</v>
      </c>
      <c r="Y2431" t="s">
        <v>1098</v>
      </c>
      <c r="Z2431">
        <v>20200111</v>
      </c>
      <c r="AA2431">
        <f t="shared" si="98"/>
        <v>3</v>
      </c>
      <c r="AC2431"/>
      <c r="AE2431" t="s">
        <v>1099</v>
      </c>
      <c r="AF2431"/>
      <c r="AL2431">
        <v>340340390</v>
      </c>
      <c r="AM2431" t="s">
        <v>765</v>
      </c>
    </row>
    <row r="2432" spans="1:39" x14ac:dyDescent="0.35">
      <c r="A2432">
        <v>3407</v>
      </c>
      <c r="B2432" t="s">
        <v>93</v>
      </c>
      <c r="C2432">
        <v>2020</v>
      </c>
      <c r="D2432" s="1">
        <v>43831</v>
      </c>
      <c r="E2432">
        <v>2</v>
      </c>
      <c r="F2432">
        <v>700033103</v>
      </c>
      <c r="G2432" t="s">
        <v>101</v>
      </c>
      <c r="H2432">
        <v>50</v>
      </c>
      <c r="I2432">
        <v>71105060</v>
      </c>
      <c r="J2432">
        <v>71107040</v>
      </c>
      <c r="K2432" t="s">
        <v>238</v>
      </c>
      <c r="L2432" s="4">
        <v>2430</v>
      </c>
      <c r="M2432" t="s">
        <v>54</v>
      </c>
      <c r="N2432" s="4">
        <v>45412.57</v>
      </c>
      <c r="O2432" t="s">
        <v>31</v>
      </c>
      <c r="X2432" t="s">
        <v>83</v>
      </c>
      <c r="Y2432" t="s">
        <v>1100</v>
      </c>
      <c r="Z2432" t="s">
        <v>1101</v>
      </c>
      <c r="AA2432">
        <f t="shared" si="98"/>
        <v>2430</v>
      </c>
      <c r="AC2432"/>
      <c r="AE2432" t="s">
        <v>1102</v>
      </c>
      <c r="AF2432"/>
      <c r="AL2432">
        <v>340712290</v>
      </c>
      <c r="AM2432" t="s">
        <v>217</v>
      </c>
    </row>
    <row r="2433" spans="1:39" x14ac:dyDescent="0.35">
      <c r="A2433">
        <v>3407</v>
      </c>
      <c r="B2433" t="s">
        <v>28</v>
      </c>
      <c r="C2433">
        <v>2020</v>
      </c>
      <c r="D2433" s="1">
        <v>43831</v>
      </c>
      <c r="E2433">
        <v>2</v>
      </c>
      <c r="F2433">
        <v>700041054</v>
      </c>
      <c r="G2433" t="s">
        <v>101</v>
      </c>
      <c r="H2433">
        <v>40</v>
      </c>
      <c r="I2433">
        <v>71102010</v>
      </c>
      <c r="J2433">
        <v>71111040</v>
      </c>
      <c r="K2433" t="s">
        <v>187</v>
      </c>
      <c r="L2433" s="4">
        <v>24160.61</v>
      </c>
      <c r="M2433" t="s">
        <v>54</v>
      </c>
      <c r="N2433" s="4">
        <v>483893.77</v>
      </c>
      <c r="O2433" t="s">
        <v>31</v>
      </c>
      <c r="X2433" t="s">
        <v>35</v>
      </c>
      <c r="Y2433" t="s">
        <v>375</v>
      </c>
      <c r="Z2433" t="s">
        <v>376</v>
      </c>
      <c r="AA2433">
        <f t="shared" si="98"/>
        <v>24160.61</v>
      </c>
      <c r="AC2433"/>
      <c r="AE2433" t="s">
        <v>377</v>
      </c>
      <c r="AF2433"/>
      <c r="AL2433">
        <v>340710490</v>
      </c>
      <c r="AM2433" t="s">
        <v>217</v>
      </c>
    </row>
    <row r="2434" spans="1:39" x14ac:dyDescent="0.35">
      <c r="A2434">
        <v>3407</v>
      </c>
      <c r="B2434" t="s">
        <v>28</v>
      </c>
      <c r="C2434">
        <v>2020</v>
      </c>
      <c r="D2434" s="1">
        <v>43831</v>
      </c>
      <c r="E2434">
        <v>4</v>
      </c>
      <c r="F2434">
        <v>700041054</v>
      </c>
      <c r="G2434" t="s">
        <v>101</v>
      </c>
      <c r="H2434">
        <v>40</v>
      </c>
      <c r="I2434">
        <v>71102010</v>
      </c>
      <c r="J2434">
        <v>71111040</v>
      </c>
      <c r="K2434" t="s">
        <v>187</v>
      </c>
      <c r="L2434" s="4">
        <v>980.7</v>
      </c>
      <c r="M2434" t="s">
        <v>54</v>
      </c>
      <c r="N2434" s="4">
        <v>19641.75</v>
      </c>
      <c r="O2434" t="s">
        <v>31</v>
      </c>
      <c r="X2434" t="s">
        <v>35</v>
      </c>
      <c r="Y2434" t="s">
        <v>375</v>
      </c>
      <c r="Z2434" t="s">
        <v>376</v>
      </c>
      <c r="AA2434">
        <f t="shared" si="98"/>
        <v>980.7</v>
      </c>
      <c r="AC2434"/>
      <c r="AE2434" t="s">
        <v>377</v>
      </c>
      <c r="AF2434"/>
      <c r="AL2434">
        <v>340712590</v>
      </c>
      <c r="AM2434" t="s">
        <v>217</v>
      </c>
    </row>
    <row r="2435" spans="1:39" x14ac:dyDescent="0.35">
      <c r="A2435">
        <v>3407</v>
      </c>
      <c r="B2435" t="s">
        <v>28</v>
      </c>
      <c r="C2435">
        <v>2020</v>
      </c>
      <c r="D2435" s="1">
        <v>43831</v>
      </c>
      <c r="E2435">
        <v>5</v>
      </c>
      <c r="F2435">
        <v>700041054</v>
      </c>
      <c r="G2435" t="s">
        <v>101</v>
      </c>
      <c r="H2435">
        <v>40</v>
      </c>
      <c r="I2435">
        <v>71102010</v>
      </c>
      <c r="J2435">
        <v>71111040</v>
      </c>
      <c r="K2435" t="s">
        <v>187</v>
      </c>
      <c r="L2435" s="4">
        <v>1251.08</v>
      </c>
      <c r="M2435" t="s">
        <v>54</v>
      </c>
      <c r="N2435" s="4">
        <v>25056.83</v>
      </c>
      <c r="O2435" t="s">
        <v>31</v>
      </c>
      <c r="X2435" t="s">
        <v>35</v>
      </c>
      <c r="Y2435" t="s">
        <v>375</v>
      </c>
      <c r="Z2435" t="s">
        <v>376</v>
      </c>
      <c r="AA2435">
        <f t="shared" si="98"/>
        <v>1251.08</v>
      </c>
      <c r="AC2435"/>
      <c r="AE2435" t="s">
        <v>377</v>
      </c>
      <c r="AF2435"/>
      <c r="AL2435">
        <v>340712590</v>
      </c>
      <c r="AM2435" t="s">
        <v>217</v>
      </c>
    </row>
    <row r="2436" spans="1:39" x14ac:dyDescent="0.35">
      <c r="A2436">
        <v>3407</v>
      </c>
      <c r="B2436" t="s">
        <v>28</v>
      </c>
      <c r="C2436">
        <v>2020</v>
      </c>
      <c r="D2436" s="1">
        <v>43831</v>
      </c>
      <c r="E2436">
        <v>7</v>
      </c>
      <c r="F2436">
        <v>700041054</v>
      </c>
      <c r="G2436" t="s">
        <v>101</v>
      </c>
      <c r="H2436">
        <v>40</v>
      </c>
      <c r="I2436">
        <v>71102010</v>
      </c>
      <c r="J2436">
        <v>71111040</v>
      </c>
      <c r="K2436" t="s">
        <v>187</v>
      </c>
      <c r="L2436" s="4">
        <v>12371.42</v>
      </c>
      <c r="M2436" t="s">
        <v>54</v>
      </c>
      <c r="N2436" s="4">
        <v>247777.39</v>
      </c>
      <c r="O2436" t="s">
        <v>31</v>
      </c>
      <c r="X2436" t="s">
        <v>35</v>
      </c>
      <c r="Y2436" t="s">
        <v>375</v>
      </c>
      <c r="Z2436" t="s">
        <v>376</v>
      </c>
      <c r="AA2436">
        <f t="shared" si="98"/>
        <v>12371.42</v>
      </c>
      <c r="AC2436"/>
      <c r="AE2436" t="s">
        <v>377</v>
      </c>
      <c r="AF2436"/>
      <c r="AL2436">
        <v>340710590</v>
      </c>
      <c r="AM2436" t="s">
        <v>217</v>
      </c>
    </row>
    <row r="2437" spans="1:39" x14ac:dyDescent="0.35">
      <c r="A2437">
        <v>3400</v>
      </c>
      <c r="B2437" t="s">
        <v>47</v>
      </c>
      <c r="C2437">
        <v>2020</v>
      </c>
      <c r="D2437" s="1">
        <v>43831</v>
      </c>
      <c r="E2437">
        <v>1</v>
      </c>
      <c r="F2437">
        <v>100010322</v>
      </c>
      <c r="G2437" t="s">
        <v>96</v>
      </c>
      <c r="H2437">
        <v>40</v>
      </c>
      <c r="I2437">
        <v>71105130</v>
      </c>
      <c r="J2437">
        <v>21021040</v>
      </c>
      <c r="K2437" t="s">
        <v>305</v>
      </c>
      <c r="L2437" s="4">
        <v>3464</v>
      </c>
      <c r="M2437" t="s">
        <v>54</v>
      </c>
      <c r="N2437" s="4">
        <v>65130.82</v>
      </c>
      <c r="O2437" t="s">
        <v>31</v>
      </c>
      <c r="P2437" t="s">
        <v>211</v>
      </c>
      <c r="X2437" t="s">
        <v>47</v>
      </c>
      <c r="Y2437"/>
      <c r="Z2437" t="s">
        <v>1103</v>
      </c>
      <c r="AA2437">
        <f t="shared" si="98"/>
        <v>3464</v>
      </c>
      <c r="AC2437"/>
      <c r="AE2437" t="s">
        <v>1104</v>
      </c>
      <c r="AF2437"/>
      <c r="AL2437">
        <v>340041850</v>
      </c>
      <c r="AM2437" t="s">
        <v>271</v>
      </c>
    </row>
    <row r="2438" spans="1:39" x14ac:dyDescent="0.35">
      <c r="A2438">
        <v>3403</v>
      </c>
      <c r="B2438" t="s">
        <v>81</v>
      </c>
      <c r="C2438">
        <v>2020</v>
      </c>
      <c r="D2438" s="1">
        <v>43831</v>
      </c>
      <c r="E2438">
        <v>2</v>
      </c>
      <c r="F2438">
        <v>300012187</v>
      </c>
      <c r="G2438" t="s">
        <v>1105</v>
      </c>
      <c r="H2438">
        <v>40</v>
      </c>
      <c r="I2438">
        <v>74010070</v>
      </c>
      <c r="J2438">
        <v>11110100</v>
      </c>
      <c r="K2438" t="s">
        <v>49</v>
      </c>
      <c r="L2438" s="4">
        <v>11.6</v>
      </c>
      <c r="M2438" t="s">
        <v>31</v>
      </c>
      <c r="N2438" s="4">
        <v>11.6</v>
      </c>
      <c r="O2438" t="s">
        <v>31</v>
      </c>
      <c r="X2438" t="s">
        <v>318</v>
      </c>
      <c r="Y2438"/>
      <c r="Z2438">
        <v>20200121</v>
      </c>
      <c r="AA2438">
        <f t="shared" si="98"/>
        <v>11.6</v>
      </c>
      <c r="AC2438"/>
      <c r="AE2438" t="s">
        <v>1106</v>
      </c>
      <c r="AF2438"/>
      <c r="AL2438">
        <v>340340390</v>
      </c>
      <c r="AM2438" t="s">
        <v>534</v>
      </c>
    </row>
    <row r="2439" spans="1:39" x14ac:dyDescent="0.35">
      <c r="A2439">
        <v>3403</v>
      </c>
      <c r="B2439" t="s">
        <v>81</v>
      </c>
      <c r="C2439">
        <v>2020</v>
      </c>
      <c r="D2439" s="1">
        <v>43831</v>
      </c>
      <c r="E2439">
        <v>2</v>
      </c>
      <c r="F2439">
        <v>300012188</v>
      </c>
      <c r="G2439" t="s">
        <v>1105</v>
      </c>
      <c r="H2439">
        <v>40</v>
      </c>
      <c r="I2439">
        <v>74010070</v>
      </c>
      <c r="J2439">
        <v>11110100</v>
      </c>
      <c r="K2439" t="s">
        <v>49</v>
      </c>
      <c r="L2439" s="4">
        <v>29</v>
      </c>
      <c r="M2439" t="s">
        <v>31</v>
      </c>
      <c r="N2439" s="4">
        <v>29</v>
      </c>
      <c r="O2439" t="s">
        <v>31</v>
      </c>
      <c r="X2439" t="s">
        <v>318</v>
      </c>
      <c r="Y2439"/>
      <c r="Z2439">
        <v>20200121</v>
      </c>
      <c r="AA2439">
        <f t="shared" si="98"/>
        <v>29</v>
      </c>
      <c r="AC2439"/>
      <c r="AE2439" t="s">
        <v>1107</v>
      </c>
      <c r="AF2439"/>
      <c r="AL2439">
        <v>340340390</v>
      </c>
      <c r="AM2439" t="s">
        <v>534</v>
      </c>
    </row>
    <row r="2440" spans="1:39" x14ac:dyDescent="0.35">
      <c r="A2440">
        <v>3403</v>
      </c>
      <c r="B2440" t="s">
        <v>83</v>
      </c>
      <c r="C2440">
        <v>2020</v>
      </c>
      <c r="D2440" s="1">
        <v>43831</v>
      </c>
      <c r="E2440">
        <v>2</v>
      </c>
      <c r="F2440">
        <v>300015711</v>
      </c>
      <c r="G2440" t="s">
        <v>1105</v>
      </c>
      <c r="H2440">
        <v>40</v>
      </c>
      <c r="I2440">
        <v>74010070</v>
      </c>
      <c r="J2440">
        <v>11110100</v>
      </c>
      <c r="K2440" t="s">
        <v>49</v>
      </c>
      <c r="L2440" s="4">
        <v>11.6</v>
      </c>
      <c r="M2440" t="s">
        <v>31</v>
      </c>
      <c r="N2440" s="4">
        <v>11.6</v>
      </c>
      <c r="O2440" t="s">
        <v>31</v>
      </c>
      <c r="X2440" t="s">
        <v>83</v>
      </c>
      <c r="Y2440"/>
      <c r="Z2440">
        <v>20200128</v>
      </c>
      <c r="AA2440">
        <f t="shared" si="98"/>
        <v>11.6</v>
      </c>
      <c r="AC2440"/>
      <c r="AE2440" t="s">
        <v>1106</v>
      </c>
      <c r="AF2440"/>
      <c r="AL2440">
        <v>340340390</v>
      </c>
      <c r="AM2440" t="s">
        <v>534</v>
      </c>
    </row>
    <row r="2441" spans="1:39" x14ac:dyDescent="0.35">
      <c r="A2441">
        <v>3403</v>
      </c>
      <c r="B2441" t="s">
        <v>83</v>
      </c>
      <c r="C2441">
        <v>2020</v>
      </c>
      <c r="D2441" s="1">
        <v>43831</v>
      </c>
      <c r="E2441">
        <v>2</v>
      </c>
      <c r="F2441">
        <v>300015712</v>
      </c>
      <c r="G2441" t="s">
        <v>1105</v>
      </c>
      <c r="H2441">
        <v>40</v>
      </c>
      <c r="I2441">
        <v>74010070</v>
      </c>
      <c r="J2441">
        <v>11110100</v>
      </c>
      <c r="K2441" t="s">
        <v>49</v>
      </c>
      <c r="L2441" s="4">
        <v>11.6</v>
      </c>
      <c r="M2441" t="s">
        <v>31</v>
      </c>
      <c r="N2441" s="4">
        <v>11.6</v>
      </c>
      <c r="O2441" t="s">
        <v>31</v>
      </c>
      <c r="X2441" t="s">
        <v>83</v>
      </c>
      <c r="Y2441"/>
      <c r="Z2441">
        <v>20200128</v>
      </c>
      <c r="AA2441">
        <f t="shared" si="98"/>
        <v>11.6</v>
      </c>
      <c r="AC2441"/>
      <c r="AE2441" t="s">
        <v>1107</v>
      </c>
      <c r="AF2441"/>
      <c r="AL2441">
        <v>340340390</v>
      </c>
      <c r="AM2441" t="s">
        <v>534</v>
      </c>
    </row>
    <row r="2442" spans="1:39" x14ac:dyDescent="0.35">
      <c r="A2442">
        <v>3406</v>
      </c>
      <c r="B2442" t="s">
        <v>55</v>
      </c>
      <c r="C2442">
        <v>2020</v>
      </c>
      <c r="D2442" s="1">
        <v>43831</v>
      </c>
      <c r="E2442">
        <v>3</v>
      </c>
      <c r="F2442">
        <v>600025900</v>
      </c>
      <c r="G2442" t="s">
        <v>764</v>
      </c>
      <c r="H2442">
        <v>91</v>
      </c>
      <c r="I2442">
        <v>71105120</v>
      </c>
      <c r="J2442">
        <v>21021040</v>
      </c>
      <c r="K2442" t="s">
        <v>268</v>
      </c>
      <c r="L2442" s="4">
        <v>0</v>
      </c>
      <c r="M2442" t="s">
        <v>54</v>
      </c>
      <c r="N2442" s="4">
        <v>12.92</v>
      </c>
      <c r="O2442" t="s">
        <v>31</v>
      </c>
      <c r="P2442" t="s">
        <v>98</v>
      </c>
      <c r="X2442" t="s">
        <v>61</v>
      </c>
      <c r="Y2442" t="s">
        <v>785</v>
      </c>
      <c r="Z2442">
        <v>20200120</v>
      </c>
      <c r="AA2442">
        <f t="shared" si="98"/>
        <v>0</v>
      </c>
      <c r="AC2442"/>
      <c r="AF2442"/>
      <c r="AL2442">
        <v>340653290</v>
      </c>
      <c r="AM2442" t="s">
        <v>1043</v>
      </c>
    </row>
    <row r="2443" spans="1:39" x14ac:dyDescent="0.35">
      <c r="A2443">
        <v>3402</v>
      </c>
      <c r="B2443" t="s">
        <v>61</v>
      </c>
      <c r="C2443">
        <v>2020</v>
      </c>
      <c r="D2443" s="1">
        <v>43831</v>
      </c>
      <c r="E2443">
        <v>3</v>
      </c>
      <c r="F2443">
        <v>200086228</v>
      </c>
      <c r="G2443" t="s">
        <v>764</v>
      </c>
      <c r="H2443">
        <v>91</v>
      </c>
      <c r="I2443">
        <v>71106040</v>
      </c>
      <c r="J2443">
        <v>21021040</v>
      </c>
      <c r="K2443" t="s">
        <v>125</v>
      </c>
      <c r="L2443" s="4">
        <v>0</v>
      </c>
      <c r="M2443" t="s">
        <v>54</v>
      </c>
      <c r="N2443" s="4">
        <v>51.9</v>
      </c>
      <c r="O2443" t="s">
        <v>31</v>
      </c>
      <c r="P2443" t="s">
        <v>98</v>
      </c>
      <c r="X2443" t="s">
        <v>61</v>
      </c>
      <c r="Y2443">
        <v>2238852</v>
      </c>
      <c r="Z2443">
        <v>20200127</v>
      </c>
      <c r="AA2443">
        <f t="shared" si="98"/>
        <v>0</v>
      </c>
      <c r="AC2443"/>
      <c r="AF2443"/>
      <c r="AL2443">
        <v>340221990</v>
      </c>
      <c r="AM2443" t="s">
        <v>622</v>
      </c>
    </row>
    <row r="2444" spans="1:39" x14ac:dyDescent="0.35">
      <c r="A2444">
        <v>3402</v>
      </c>
      <c r="B2444" t="s">
        <v>83</v>
      </c>
      <c r="C2444">
        <v>2020</v>
      </c>
      <c r="D2444" s="1">
        <v>43831</v>
      </c>
      <c r="E2444">
        <v>3</v>
      </c>
      <c r="F2444">
        <v>200091600</v>
      </c>
      <c r="G2444" t="s">
        <v>764</v>
      </c>
      <c r="H2444">
        <v>81</v>
      </c>
      <c r="I2444">
        <v>71106150</v>
      </c>
      <c r="J2444">
        <v>600226</v>
      </c>
      <c r="K2444" t="s">
        <v>102</v>
      </c>
      <c r="L2444" s="4">
        <v>0</v>
      </c>
      <c r="M2444" t="s">
        <v>54</v>
      </c>
      <c r="N2444" s="4">
        <v>233.32</v>
      </c>
      <c r="O2444" t="s">
        <v>31</v>
      </c>
      <c r="P2444" t="s">
        <v>98</v>
      </c>
      <c r="R2444" t="s">
        <v>178</v>
      </c>
      <c r="X2444" t="s">
        <v>83</v>
      </c>
      <c r="Y2444" t="s">
        <v>1108</v>
      </c>
      <c r="Z2444">
        <v>20200128</v>
      </c>
      <c r="AA2444">
        <f t="shared" si="98"/>
        <v>0</v>
      </c>
      <c r="AC2444"/>
      <c r="AF2444"/>
      <c r="AL2444">
        <v>340221790</v>
      </c>
      <c r="AM2444" t="s">
        <v>622</v>
      </c>
    </row>
    <row r="2445" spans="1:39" x14ac:dyDescent="0.35">
      <c r="A2445">
        <v>3406</v>
      </c>
      <c r="B2445" t="s">
        <v>57</v>
      </c>
      <c r="C2445">
        <v>2020</v>
      </c>
      <c r="D2445" s="1">
        <v>43831</v>
      </c>
      <c r="E2445">
        <v>3</v>
      </c>
      <c r="F2445">
        <v>600012066</v>
      </c>
      <c r="G2445" t="s">
        <v>764</v>
      </c>
      <c r="H2445">
        <v>91</v>
      </c>
      <c r="I2445">
        <v>71106040</v>
      </c>
      <c r="J2445">
        <v>21021040</v>
      </c>
      <c r="K2445" t="s">
        <v>125</v>
      </c>
      <c r="L2445" s="4">
        <v>0</v>
      </c>
      <c r="M2445" t="s">
        <v>54</v>
      </c>
      <c r="N2445" s="4">
        <v>54.13</v>
      </c>
      <c r="O2445" t="s">
        <v>31</v>
      </c>
      <c r="P2445" t="s">
        <v>211</v>
      </c>
      <c r="R2445" t="s">
        <v>910</v>
      </c>
      <c r="X2445" t="s">
        <v>39</v>
      </c>
      <c r="Y2445" t="s">
        <v>1109</v>
      </c>
      <c r="Z2445">
        <v>20200114</v>
      </c>
      <c r="AA2445">
        <f t="shared" si="98"/>
        <v>0</v>
      </c>
      <c r="AC2445"/>
      <c r="AE2445" t="s">
        <v>912</v>
      </c>
      <c r="AF2445"/>
      <c r="AL2445">
        <v>340621790</v>
      </c>
      <c r="AM2445" t="s">
        <v>1043</v>
      </c>
    </row>
    <row r="2446" spans="1:39" x14ac:dyDescent="0.35">
      <c r="A2446">
        <v>3406</v>
      </c>
      <c r="B2446" t="s">
        <v>57</v>
      </c>
      <c r="C2446">
        <v>2020</v>
      </c>
      <c r="D2446" s="1">
        <v>43831</v>
      </c>
      <c r="E2446">
        <v>3</v>
      </c>
      <c r="F2446">
        <v>600012067</v>
      </c>
      <c r="G2446" t="s">
        <v>764</v>
      </c>
      <c r="H2446">
        <v>91</v>
      </c>
      <c r="I2446">
        <v>71106040</v>
      </c>
      <c r="J2446">
        <v>21021040</v>
      </c>
      <c r="K2446" t="s">
        <v>125</v>
      </c>
      <c r="L2446" s="4">
        <v>0</v>
      </c>
      <c r="M2446" t="s">
        <v>54</v>
      </c>
      <c r="N2446" s="4">
        <v>268.54000000000002</v>
      </c>
      <c r="O2446" t="s">
        <v>31</v>
      </c>
      <c r="P2446" t="s">
        <v>98</v>
      </c>
      <c r="X2446" t="s">
        <v>39</v>
      </c>
      <c r="Y2446">
        <v>2273650</v>
      </c>
      <c r="Z2446">
        <v>20200114</v>
      </c>
      <c r="AA2446">
        <f t="shared" si="98"/>
        <v>0</v>
      </c>
      <c r="AC2446"/>
      <c r="AF2446"/>
      <c r="AL2446">
        <v>340621790</v>
      </c>
      <c r="AM2446" t="s">
        <v>1043</v>
      </c>
    </row>
    <row r="2447" spans="1:39" x14ac:dyDescent="0.35">
      <c r="Y2447"/>
      <c r="AF2447"/>
      <c r="AG2447" t="s">
        <v>51</v>
      </c>
    </row>
  </sheetData>
  <autoFilter ref="A2:AM2447" xr:uid="{F479D3AC-2D36-4FA1-8B0D-8D326172387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3C7DF-47FF-41F7-851C-DC36D670C0BC}">
  <dimension ref="A1:AM106"/>
  <sheetViews>
    <sheetView topLeftCell="A86" workbookViewId="0">
      <selection activeCell="K115" sqref="K115"/>
    </sheetView>
  </sheetViews>
  <sheetFormatPr baseColWidth="10" defaultRowHeight="14.5" x14ac:dyDescent="0.35"/>
  <cols>
    <col min="12" max="13" width="12.7265625" bestFit="1" customWidth="1"/>
  </cols>
  <sheetData>
    <row r="1" spans="1:30" s="33" customFormat="1" x14ac:dyDescent="0.35">
      <c r="A1" s="33" t="s">
        <v>1232</v>
      </c>
    </row>
    <row r="2" spans="1:30" x14ac:dyDescent="0.35">
      <c r="A2" t="s">
        <v>1204</v>
      </c>
    </row>
    <row r="3" spans="1:30" s="26" customFormat="1" ht="42.65" customHeight="1" x14ac:dyDescent="0.35">
      <c r="A3" t="s">
        <v>1231</v>
      </c>
      <c r="B3" s="25" t="s">
        <v>1206</v>
      </c>
      <c r="C3" s="25" t="s">
        <v>2</v>
      </c>
      <c r="D3" s="25" t="s">
        <v>1207</v>
      </c>
      <c r="E3" s="25" t="s">
        <v>1208</v>
      </c>
      <c r="F3" s="25" t="s">
        <v>1209</v>
      </c>
      <c r="G3" s="25" t="s">
        <v>1210</v>
      </c>
      <c r="H3" s="25" t="s">
        <v>1211</v>
      </c>
      <c r="I3" s="26" t="s">
        <v>1212</v>
      </c>
      <c r="J3" s="25" t="s">
        <v>1213</v>
      </c>
      <c r="K3" s="25" t="s">
        <v>1214</v>
      </c>
      <c r="L3" s="25" t="s">
        <v>1215</v>
      </c>
      <c r="M3" s="27" t="s">
        <v>1216</v>
      </c>
      <c r="N3" s="25" t="s">
        <v>1217</v>
      </c>
      <c r="O3" s="25" t="s">
        <v>1218</v>
      </c>
      <c r="P3" s="25" t="s">
        <v>1219</v>
      </c>
      <c r="Q3" s="28" t="s">
        <v>1110</v>
      </c>
      <c r="R3" s="28" t="s">
        <v>1220</v>
      </c>
      <c r="S3" s="28" t="s">
        <v>1221</v>
      </c>
      <c r="T3" s="28" t="s">
        <v>1222</v>
      </c>
      <c r="U3" s="29" t="s">
        <v>1111</v>
      </c>
      <c r="V3" s="29" t="s">
        <v>1112</v>
      </c>
      <c r="W3" s="29" t="s">
        <v>1113</v>
      </c>
      <c r="X3" s="28" t="s">
        <v>1223</v>
      </c>
      <c r="Y3" s="28" t="s">
        <v>1118</v>
      </c>
      <c r="Z3" s="28" t="s">
        <v>1119</v>
      </c>
      <c r="AA3" s="28" t="s">
        <v>1114</v>
      </c>
      <c r="AB3" s="28" t="s">
        <v>1115</v>
      </c>
      <c r="AC3" s="29" t="s">
        <v>1116</v>
      </c>
      <c r="AD3" s="28" t="s">
        <v>1117</v>
      </c>
    </row>
    <row r="4" spans="1:30" ht="14.25" customHeight="1" x14ac:dyDescent="0.35">
      <c r="A4" s="25" t="s">
        <v>1205</v>
      </c>
      <c r="B4" s="30" t="s">
        <v>28</v>
      </c>
      <c r="C4" s="30">
        <v>2020</v>
      </c>
      <c r="D4" s="31">
        <v>43831</v>
      </c>
      <c r="E4" s="30">
        <v>1</v>
      </c>
      <c r="F4" s="30">
        <v>100035058</v>
      </c>
      <c r="G4" s="30" t="s">
        <v>120</v>
      </c>
      <c r="H4" s="30">
        <v>91</v>
      </c>
      <c r="I4" s="30">
        <v>71104010</v>
      </c>
      <c r="J4" s="30" t="s">
        <v>121</v>
      </c>
      <c r="K4" s="30">
        <v>-891114</v>
      </c>
      <c r="L4" s="30" t="s">
        <v>31</v>
      </c>
      <c r="M4" s="32">
        <v>-891114</v>
      </c>
      <c r="N4" s="30" t="s">
        <v>31</v>
      </c>
      <c r="Q4" t="s">
        <v>1131</v>
      </c>
      <c r="R4" t="s">
        <v>123</v>
      </c>
      <c r="S4" t="s">
        <v>122</v>
      </c>
      <c r="T4" t="s">
        <v>35</v>
      </c>
      <c r="X4" t="s">
        <v>1128</v>
      </c>
      <c r="Y4" t="s">
        <v>1130</v>
      </c>
      <c r="Z4" t="s">
        <v>1129</v>
      </c>
    </row>
    <row r="5" spans="1:30" ht="14.25" customHeight="1" x14ac:dyDescent="0.35">
      <c r="A5" s="30">
        <v>3401</v>
      </c>
      <c r="B5" s="30" t="s">
        <v>28</v>
      </c>
      <c r="C5" s="30">
        <v>2020</v>
      </c>
      <c r="D5" s="31">
        <v>43831</v>
      </c>
      <c r="E5" s="30">
        <v>1</v>
      </c>
      <c r="F5" s="30">
        <v>100035059</v>
      </c>
      <c r="G5" s="30" t="s">
        <v>120</v>
      </c>
      <c r="H5" s="30">
        <v>91</v>
      </c>
      <c r="I5" s="30">
        <v>71104010</v>
      </c>
      <c r="J5" s="30" t="s">
        <v>121</v>
      </c>
      <c r="K5" s="30">
        <v>-115331</v>
      </c>
      <c r="L5" s="30" t="s">
        <v>31</v>
      </c>
      <c r="M5" s="32">
        <v>-115331</v>
      </c>
      <c r="N5" s="30" t="s">
        <v>31</v>
      </c>
      <c r="Q5" t="s">
        <v>1131</v>
      </c>
      <c r="R5" t="s">
        <v>123</v>
      </c>
      <c r="S5" t="s">
        <v>122</v>
      </c>
      <c r="T5" t="s">
        <v>35</v>
      </c>
      <c r="X5" t="s">
        <v>1128</v>
      </c>
      <c r="Y5" t="s">
        <v>1130</v>
      </c>
      <c r="Z5" t="s">
        <v>1129</v>
      </c>
    </row>
    <row r="6" spans="1:30" ht="14.25" customHeight="1" x14ac:dyDescent="0.35">
      <c r="A6" s="30">
        <v>3401</v>
      </c>
      <c r="B6" s="30" t="s">
        <v>253</v>
      </c>
      <c r="C6" s="30">
        <v>2020</v>
      </c>
      <c r="D6" s="31">
        <v>43831</v>
      </c>
      <c r="E6" s="30">
        <v>1</v>
      </c>
      <c r="F6" s="30">
        <v>200038800</v>
      </c>
      <c r="G6" s="30" t="s">
        <v>101</v>
      </c>
      <c r="H6" s="30">
        <v>50</v>
      </c>
      <c r="I6" s="30">
        <v>71104010</v>
      </c>
      <c r="J6" s="30" t="s">
        <v>121</v>
      </c>
      <c r="K6" s="30">
        <v>-119.81</v>
      </c>
      <c r="L6" s="30" t="s">
        <v>31</v>
      </c>
      <c r="M6" s="32">
        <v>-119.81</v>
      </c>
      <c r="N6" s="30" t="s">
        <v>31</v>
      </c>
      <c r="Q6" t="s">
        <v>1131</v>
      </c>
      <c r="R6" t="s">
        <v>123</v>
      </c>
    </row>
    <row r="7" spans="1:30" ht="14.25" customHeight="1" x14ac:dyDescent="0.35">
      <c r="A7" s="30">
        <v>3402</v>
      </c>
      <c r="B7" s="30" t="s">
        <v>259</v>
      </c>
      <c r="C7" s="30">
        <v>2020</v>
      </c>
      <c r="D7" s="31">
        <v>43831</v>
      </c>
      <c r="E7" s="30">
        <v>1</v>
      </c>
      <c r="F7" s="30">
        <v>200076926</v>
      </c>
      <c r="G7" s="30" t="s">
        <v>120</v>
      </c>
      <c r="H7" s="30">
        <v>91</v>
      </c>
      <c r="I7" s="30">
        <v>71104010</v>
      </c>
      <c r="J7" s="30" t="s">
        <v>121</v>
      </c>
      <c r="K7" s="30">
        <v>-117.8</v>
      </c>
      <c r="L7" s="30" t="s">
        <v>31</v>
      </c>
      <c r="M7" s="32">
        <v>-117.8</v>
      </c>
      <c r="N7" s="30" t="s">
        <v>31</v>
      </c>
      <c r="Q7" t="s">
        <v>1131</v>
      </c>
      <c r="R7" t="s">
        <v>123</v>
      </c>
    </row>
    <row r="8" spans="1:30" ht="14.25" customHeight="1" x14ac:dyDescent="0.35">
      <c r="A8" s="30">
        <v>3402</v>
      </c>
      <c r="B8" s="30" t="s">
        <v>259</v>
      </c>
      <c r="C8" s="30">
        <v>2020</v>
      </c>
      <c r="D8" s="31">
        <v>43831</v>
      </c>
      <c r="E8" s="30">
        <v>1</v>
      </c>
      <c r="F8" s="30">
        <v>200076928</v>
      </c>
      <c r="G8" s="30" t="s">
        <v>120</v>
      </c>
      <c r="H8" s="30">
        <v>91</v>
      </c>
      <c r="I8" s="30">
        <v>71104010</v>
      </c>
      <c r="J8" s="30" t="s">
        <v>121</v>
      </c>
      <c r="K8" s="30">
        <v>-114</v>
      </c>
      <c r="L8" s="30" t="s">
        <v>31</v>
      </c>
      <c r="M8" s="32">
        <v>-114</v>
      </c>
      <c r="N8" s="30" t="s">
        <v>31</v>
      </c>
      <c r="Q8" t="s">
        <v>1131</v>
      </c>
      <c r="R8" t="s">
        <v>123</v>
      </c>
    </row>
    <row r="9" spans="1:30" ht="14.25" customHeight="1" x14ac:dyDescent="0.35">
      <c r="A9" s="30">
        <v>3402</v>
      </c>
      <c r="B9" s="30" t="s">
        <v>259</v>
      </c>
      <c r="C9" s="30">
        <v>2020</v>
      </c>
      <c r="D9" s="31">
        <v>43831</v>
      </c>
      <c r="E9" s="30">
        <v>1</v>
      </c>
      <c r="F9" s="30">
        <v>200076930</v>
      </c>
      <c r="G9" s="30" t="s">
        <v>120</v>
      </c>
      <c r="H9" s="30">
        <v>91</v>
      </c>
      <c r="I9" s="30">
        <v>71104010</v>
      </c>
      <c r="J9" s="30" t="s">
        <v>121</v>
      </c>
      <c r="K9" s="30">
        <v>-114</v>
      </c>
      <c r="L9" s="30" t="s">
        <v>31</v>
      </c>
      <c r="M9" s="32">
        <v>-114</v>
      </c>
      <c r="N9" s="30" t="s">
        <v>31</v>
      </c>
      <c r="Q9" t="s">
        <v>1131</v>
      </c>
      <c r="R9" t="s">
        <v>123</v>
      </c>
    </row>
    <row r="10" spans="1:30" ht="14.25" customHeight="1" x14ac:dyDescent="0.35">
      <c r="A10" s="30">
        <v>3402</v>
      </c>
      <c r="B10" s="30" t="s">
        <v>259</v>
      </c>
      <c r="C10" s="30">
        <v>2020</v>
      </c>
      <c r="D10" s="31">
        <v>43831</v>
      </c>
      <c r="E10" s="30">
        <v>1</v>
      </c>
      <c r="F10" s="30">
        <v>200076932</v>
      </c>
      <c r="G10" s="30" t="s">
        <v>120</v>
      </c>
      <c r="H10" s="30">
        <v>91</v>
      </c>
      <c r="I10" s="30">
        <v>71104010</v>
      </c>
      <c r="J10" s="30" t="s">
        <v>121</v>
      </c>
      <c r="K10" s="30">
        <v>-117.8</v>
      </c>
      <c r="L10" s="30" t="s">
        <v>31</v>
      </c>
      <c r="M10" s="32">
        <v>-117.8</v>
      </c>
      <c r="N10" s="30" t="s">
        <v>31</v>
      </c>
      <c r="Q10" t="s">
        <v>1131</v>
      </c>
      <c r="R10" t="s">
        <v>123</v>
      </c>
    </row>
    <row r="11" spans="1:30" ht="14.25" customHeight="1" x14ac:dyDescent="0.35">
      <c r="A11" s="30">
        <v>3402</v>
      </c>
      <c r="B11" s="30" t="s">
        <v>47</v>
      </c>
      <c r="C11" s="30">
        <v>2020</v>
      </c>
      <c r="D11" s="31">
        <v>43831</v>
      </c>
      <c r="E11" s="30">
        <v>1</v>
      </c>
      <c r="F11" s="30">
        <v>200114335</v>
      </c>
      <c r="G11" s="30" t="s">
        <v>120</v>
      </c>
      <c r="H11" s="30">
        <v>91</v>
      </c>
      <c r="I11" s="30">
        <v>71104010</v>
      </c>
      <c r="J11" s="30" t="s">
        <v>121</v>
      </c>
      <c r="K11" s="30">
        <v>-109.7</v>
      </c>
      <c r="L11" s="30" t="s">
        <v>31</v>
      </c>
      <c r="M11" s="32">
        <v>-109.7</v>
      </c>
      <c r="N11" s="30" t="s">
        <v>31</v>
      </c>
      <c r="Q11" t="s">
        <v>1131</v>
      </c>
      <c r="R11" t="s">
        <v>123</v>
      </c>
    </row>
    <row r="12" spans="1:30" ht="14.25" customHeight="1" x14ac:dyDescent="0.35">
      <c r="A12" s="30">
        <v>3402</v>
      </c>
      <c r="B12" s="30" t="s">
        <v>47</v>
      </c>
      <c r="C12" s="30">
        <v>2020</v>
      </c>
      <c r="D12" s="31">
        <v>43831</v>
      </c>
      <c r="E12" s="30">
        <v>1</v>
      </c>
      <c r="F12" s="30">
        <v>200114338</v>
      </c>
      <c r="G12" s="30" t="s">
        <v>120</v>
      </c>
      <c r="H12" s="30">
        <v>91</v>
      </c>
      <c r="I12" s="30">
        <v>71104010</v>
      </c>
      <c r="J12" s="30" t="s">
        <v>121</v>
      </c>
      <c r="K12" s="30">
        <v>-133.24</v>
      </c>
      <c r="L12" s="30" t="s">
        <v>31</v>
      </c>
      <c r="M12" s="32">
        <v>-133.24</v>
      </c>
      <c r="N12" s="30" t="s">
        <v>31</v>
      </c>
      <c r="Q12" t="s">
        <v>1131</v>
      </c>
      <c r="R12" t="s">
        <v>123</v>
      </c>
    </row>
    <row r="13" spans="1:30" ht="14.25" customHeight="1" x14ac:dyDescent="0.35">
      <c r="A13" s="30">
        <v>3402</v>
      </c>
      <c r="B13" s="30" t="s">
        <v>47</v>
      </c>
      <c r="C13" s="30">
        <v>2020</v>
      </c>
      <c r="D13" s="31">
        <v>43831</v>
      </c>
      <c r="E13" s="30">
        <v>1</v>
      </c>
      <c r="F13" s="30">
        <v>200114342</v>
      </c>
      <c r="G13" s="30" t="s">
        <v>120</v>
      </c>
      <c r="H13" s="30">
        <v>91</v>
      </c>
      <c r="I13" s="30">
        <v>71104010</v>
      </c>
      <c r="J13" s="30" t="s">
        <v>121</v>
      </c>
      <c r="K13" s="30">
        <v>-126.54</v>
      </c>
      <c r="L13" s="30" t="s">
        <v>31</v>
      </c>
      <c r="M13" s="32">
        <v>-126.54</v>
      </c>
      <c r="N13" s="30" t="s">
        <v>31</v>
      </c>
      <c r="Q13" t="s">
        <v>1131</v>
      </c>
      <c r="R13" t="s">
        <v>123</v>
      </c>
    </row>
    <row r="14" spans="1:30" ht="14.25" customHeight="1" x14ac:dyDescent="0.35">
      <c r="A14" s="30">
        <v>3402</v>
      </c>
      <c r="B14" s="30" t="s">
        <v>47</v>
      </c>
      <c r="C14" s="30">
        <v>2020</v>
      </c>
      <c r="D14" s="31">
        <v>43831</v>
      </c>
      <c r="E14" s="30">
        <v>1</v>
      </c>
      <c r="F14" s="30">
        <v>200114347</v>
      </c>
      <c r="G14" s="30" t="s">
        <v>120</v>
      </c>
      <c r="H14" s="30">
        <v>91</v>
      </c>
      <c r="I14" s="30">
        <v>71104010</v>
      </c>
      <c r="J14" s="30" t="s">
        <v>121</v>
      </c>
      <c r="K14" s="30">
        <v>-124.01</v>
      </c>
      <c r="L14" s="30" t="s">
        <v>31</v>
      </c>
      <c r="M14" s="32">
        <v>-124.01</v>
      </c>
      <c r="N14" s="30" t="s">
        <v>31</v>
      </c>
      <c r="Q14" t="s">
        <v>1131</v>
      </c>
      <c r="R14" t="s">
        <v>123</v>
      </c>
    </row>
    <row r="15" spans="1:30" ht="14.25" customHeight="1" x14ac:dyDescent="0.35">
      <c r="A15" s="30">
        <v>3402</v>
      </c>
      <c r="B15" s="30" t="s">
        <v>47</v>
      </c>
      <c r="C15" s="30">
        <v>2020</v>
      </c>
      <c r="D15" s="31">
        <v>43831</v>
      </c>
      <c r="E15" s="30">
        <v>1</v>
      </c>
      <c r="F15" s="30">
        <v>200114349</v>
      </c>
      <c r="G15" s="30" t="s">
        <v>120</v>
      </c>
      <c r="H15" s="30">
        <v>91</v>
      </c>
      <c r="I15" s="30">
        <v>71104010</v>
      </c>
      <c r="J15" s="30" t="s">
        <v>121</v>
      </c>
      <c r="K15" s="30">
        <v>-124005.88</v>
      </c>
      <c r="L15" s="30" t="s">
        <v>31</v>
      </c>
      <c r="M15" s="32">
        <v>-124005.88</v>
      </c>
      <c r="N15" s="30" t="s">
        <v>31</v>
      </c>
      <c r="Q15" t="s">
        <v>1131</v>
      </c>
      <c r="R15" t="s">
        <v>123</v>
      </c>
    </row>
    <row r="16" spans="1:30" ht="14.25" customHeight="1" x14ac:dyDescent="0.35">
      <c r="A16" s="30">
        <v>3402</v>
      </c>
      <c r="B16" s="30" t="s">
        <v>47</v>
      </c>
      <c r="C16" s="30">
        <v>2020</v>
      </c>
      <c r="D16" s="31">
        <v>43831</v>
      </c>
      <c r="E16" s="30">
        <v>1</v>
      </c>
      <c r="F16" s="30">
        <v>200114351</v>
      </c>
      <c r="G16" s="30" t="s">
        <v>120</v>
      </c>
      <c r="H16" s="30">
        <v>91</v>
      </c>
      <c r="I16" s="30">
        <v>71104010</v>
      </c>
      <c r="J16" s="30" t="s">
        <v>121</v>
      </c>
      <c r="K16" s="30">
        <v>-128.66</v>
      </c>
      <c r="L16" s="30" t="s">
        <v>31</v>
      </c>
      <c r="M16" s="32">
        <v>-128.66</v>
      </c>
      <c r="N16" s="30" t="s">
        <v>31</v>
      </c>
      <c r="Q16" t="s">
        <v>1131</v>
      </c>
      <c r="R16" t="s">
        <v>123</v>
      </c>
    </row>
    <row r="17" spans="1:18" ht="14.25" customHeight="1" x14ac:dyDescent="0.35">
      <c r="A17" s="30">
        <v>3402</v>
      </c>
      <c r="B17" s="30" t="s">
        <v>47</v>
      </c>
      <c r="C17" s="30">
        <v>2020</v>
      </c>
      <c r="D17" s="31">
        <v>43831</v>
      </c>
      <c r="E17" s="30">
        <v>1</v>
      </c>
      <c r="F17" s="30">
        <v>200114353</v>
      </c>
      <c r="G17" s="30" t="s">
        <v>120</v>
      </c>
      <c r="H17" s="30">
        <v>91</v>
      </c>
      <c r="I17" s="30">
        <v>71104010</v>
      </c>
      <c r="J17" s="30" t="s">
        <v>121</v>
      </c>
      <c r="K17" s="30">
        <v>-125.42</v>
      </c>
      <c r="L17" s="30" t="s">
        <v>31</v>
      </c>
      <c r="M17" s="32">
        <v>-125.42</v>
      </c>
      <c r="N17" s="30" t="s">
        <v>31</v>
      </c>
      <c r="Q17" t="s">
        <v>1131</v>
      </c>
      <c r="R17" t="s">
        <v>123</v>
      </c>
    </row>
    <row r="18" spans="1:18" ht="14.25" customHeight="1" x14ac:dyDescent="0.35">
      <c r="A18" s="30">
        <v>3402</v>
      </c>
      <c r="B18" s="30" t="s">
        <v>47</v>
      </c>
      <c r="C18" s="30">
        <v>2020</v>
      </c>
      <c r="D18" s="31">
        <v>43831</v>
      </c>
      <c r="E18" s="30">
        <v>1</v>
      </c>
      <c r="F18" s="30">
        <v>200114355</v>
      </c>
      <c r="G18" s="30" t="s">
        <v>120</v>
      </c>
      <c r="H18" s="30">
        <v>91</v>
      </c>
      <c r="I18" s="30">
        <v>71104010</v>
      </c>
      <c r="J18" s="30" t="s">
        <v>121</v>
      </c>
      <c r="K18" s="30">
        <v>-146.44999999999999</v>
      </c>
      <c r="L18" s="30" t="s">
        <v>31</v>
      </c>
      <c r="M18" s="32">
        <v>-146.44999999999999</v>
      </c>
      <c r="N18" s="30" t="s">
        <v>31</v>
      </c>
      <c r="Q18" t="s">
        <v>1131</v>
      </c>
      <c r="R18" t="s">
        <v>123</v>
      </c>
    </row>
    <row r="19" spans="1:18" ht="14.25" customHeight="1" x14ac:dyDescent="0.35">
      <c r="A19" s="30">
        <v>3402</v>
      </c>
      <c r="B19" s="30" t="s">
        <v>47</v>
      </c>
      <c r="C19" s="30">
        <v>2020</v>
      </c>
      <c r="D19" s="31">
        <v>43831</v>
      </c>
      <c r="E19" s="30">
        <v>1</v>
      </c>
      <c r="F19" s="30">
        <v>200114357</v>
      </c>
      <c r="G19" s="30" t="s">
        <v>120</v>
      </c>
      <c r="H19" s="30">
        <v>91</v>
      </c>
      <c r="I19" s="30">
        <v>71104010</v>
      </c>
      <c r="J19" s="30" t="s">
        <v>121</v>
      </c>
      <c r="K19" s="30">
        <v>-133.81</v>
      </c>
      <c r="L19" s="30" t="s">
        <v>31</v>
      </c>
      <c r="M19" s="32">
        <v>-133.81</v>
      </c>
      <c r="N19" s="30" t="s">
        <v>31</v>
      </c>
      <c r="Q19" t="s">
        <v>1131</v>
      </c>
      <c r="R19" t="s">
        <v>123</v>
      </c>
    </row>
    <row r="20" spans="1:18" ht="14.25" customHeight="1" x14ac:dyDescent="0.35">
      <c r="A20" s="30">
        <v>3402</v>
      </c>
      <c r="B20" s="30" t="s">
        <v>47</v>
      </c>
      <c r="C20" s="30">
        <v>2020</v>
      </c>
      <c r="D20" s="31">
        <v>43831</v>
      </c>
      <c r="E20" s="30">
        <v>1</v>
      </c>
      <c r="F20" s="30">
        <v>200114360</v>
      </c>
      <c r="G20" s="30" t="s">
        <v>120</v>
      </c>
      <c r="H20" s="30">
        <v>91</v>
      </c>
      <c r="I20" s="30">
        <v>71104010</v>
      </c>
      <c r="J20" s="30" t="s">
        <v>121</v>
      </c>
      <c r="K20" s="30">
        <v>-106.13</v>
      </c>
      <c r="L20" s="30" t="s">
        <v>31</v>
      </c>
      <c r="M20" s="32">
        <v>-106.13</v>
      </c>
      <c r="N20" s="30" t="s">
        <v>31</v>
      </c>
      <c r="Q20" t="s">
        <v>1131</v>
      </c>
      <c r="R20" t="s">
        <v>123</v>
      </c>
    </row>
    <row r="21" spans="1:18" ht="14.25" customHeight="1" x14ac:dyDescent="0.35">
      <c r="A21" s="30">
        <v>3402</v>
      </c>
      <c r="B21" s="30" t="s">
        <v>47</v>
      </c>
      <c r="C21" s="30">
        <v>2020</v>
      </c>
      <c r="D21" s="31">
        <v>43831</v>
      </c>
      <c r="E21" s="30">
        <v>1</v>
      </c>
      <c r="F21" s="30">
        <v>200114362</v>
      </c>
      <c r="G21" s="30" t="s">
        <v>120</v>
      </c>
      <c r="H21" s="30">
        <v>91</v>
      </c>
      <c r="I21" s="30">
        <v>71104010</v>
      </c>
      <c r="J21" s="30" t="s">
        <v>121</v>
      </c>
      <c r="K21" s="30">
        <v>-152.13</v>
      </c>
      <c r="L21" s="30" t="s">
        <v>31</v>
      </c>
      <c r="M21" s="32">
        <v>-152.13</v>
      </c>
      <c r="N21" s="30" t="s">
        <v>31</v>
      </c>
      <c r="Q21" t="s">
        <v>1131</v>
      </c>
      <c r="R21" t="s">
        <v>123</v>
      </c>
    </row>
    <row r="22" spans="1:18" ht="14.25" customHeight="1" x14ac:dyDescent="0.35">
      <c r="A22" s="30">
        <v>3402</v>
      </c>
      <c r="B22" s="30" t="s">
        <v>47</v>
      </c>
      <c r="C22" s="30">
        <v>2020</v>
      </c>
      <c r="D22" s="31">
        <v>43831</v>
      </c>
      <c r="E22" s="30">
        <v>1</v>
      </c>
      <c r="F22" s="30">
        <v>200114364</v>
      </c>
      <c r="G22" s="30" t="s">
        <v>120</v>
      </c>
      <c r="H22" s="30">
        <v>91</v>
      </c>
      <c r="I22" s="30">
        <v>71104010</v>
      </c>
      <c r="J22" s="30" t="s">
        <v>121</v>
      </c>
      <c r="K22" s="30">
        <v>-139.52000000000001</v>
      </c>
      <c r="L22" s="30" t="s">
        <v>31</v>
      </c>
      <c r="M22" s="32">
        <v>-139.52000000000001</v>
      </c>
      <c r="N22" s="30" t="s">
        <v>31</v>
      </c>
      <c r="Q22" t="s">
        <v>1131</v>
      </c>
      <c r="R22" t="s">
        <v>123</v>
      </c>
    </row>
    <row r="23" spans="1:18" ht="14.25" customHeight="1" x14ac:dyDescent="0.35">
      <c r="A23" s="30">
        <v>3402</v>
      </c>
      <c r="B23" s="30" t="s">
        <v>47</v>
      </c>
      <c r="C23" s="30">
        <v>2020</v>
      </c>
      <c r="D23" s="31">
        <v>43831</v>
      </c>
      <c r="E23" s="30">
        <v>1</v>
      </c>
      <c r="F23" s="30">
        <v>200114370</v>
      </c>
      <c r="G23" s="30" t="s">
        <v>120</v>
      </c>
      <c r="H23" s="30">
        <v>91</v>
      </c>
      <c r="I23" s="30">
        <v>71104010</v>
      </c>
      <c r="J23" s="30" t="s">
        <v>121</v>
      </c>
      <c r="K23" s="30">
        <v>-139.66</v>
      </c>
      <c r="L23" s="30" t="s">
        <v>31</v>
      </c>
      <c r="M23" s="32">
        <v>-139.66</v>
      </c>
      <c r="N23" s="30" t="s">
        <v>31</v>
      </c>
      <c r="Q23" t="s">
        <v>1131</v>
      </c>
      <c r="R23" t="s">
        <v>123</v>
      </c>
    </row>
    <row r="24" spans="1:18" ht="14.25" customHeight="1" x14ac:dyDescent="0.35">
      <c r="A24" s="30">
        <v>3402</v>
      </c>
      <c r="B24" s="30" t="s">
        <v>47</v>
      </c>
      <c r="C24" s="30">
        <v>2020</v>
      </c>
      <c r="D24" s="31">
        <v>43831</v>
      </c>
      <c r="E24" s="30">
        <v>1</v>
      </c>
      <c r="F24" s="30">
        <v>200114375</v>
      </c>
      <c r="G24" s="30" t="s">
        <v>120</v>
      </c>
      <c r="H24" s="30">
        <v>91</v>
      </c>
      <c r="I24" s="30">
        <v>71104010</v>
      </c>
      <c r="J24" s="30" t="s">
        <v>121</v>
      </c>
      <c r="K24" s="30">
        <v>-131.54</v>
      </c>
      <c r="L24" s="30" t="s">
        <v>31</v>
      </c>
      <c r="M24" s="32">
        <v>-131.54</v>
      </c>
      <c r="N24" s="30" t="s">
        <v>31</v>
      </c>
      <c r="Q24" t="s">
        <v>1131</v>
      </c>
      <c r="R24" t="s">
        <v>123</v>
      </c>
    </row>
    <row r="25" spans="1:18" ht="14.25" customHeight="1" x14ac:dyDescent="0.35">
      <c r="A25" s="30">
        <v>3402</v>
      </c>
      <c r="B25" s="30" t="s">
        <v>47</v>
      </c>
      <c r="C25" s="30">
        <v>2020</v>
      </c>
      <c r="D25" s="31">
        <v>43831</v>
      </c>
      <c r="E25" s="30">
        <v>1</v>
      </c>
      <c r="F25" s="30">
        <v>200114386</v>
      </c>
      <c r="G25" s="30" t="s">
        <v>120</v>
      </c>
      <c r="H25" s="30">
        <v>91</v>
      </c>
      <c r="I25" s="30">
        <v>71104010</v>
      </c>
      <c r="J25" s="30" t="s">
        <v>121</v>
      </c>
      <c r="K25" s="30">
        <v>-135.1</v>
      </c>
      <c r="L25" s="30" t="s">
        <v>31</v>
      </c>
      <c r="M25" s="32">
        <v>-135.1</v>
      </c>
      <c r="N25" s="30" t="s">
        <v>31</v>
      </c>
      <c r="Q25" t="s">
        <v>1131</v>
      </c>
      <c r="R25" t="s">
        <v>123</v>
      </c>
    </row>
    <row r="26" spans="1:18" ht="14.25" customHeight="1" x14ac:dyDescent="0.35">
      <c r="A26" s="30">
        <v>3402</v>
      </c>
      <c r="B26" s="30" t="s">
        <v>47</v>
      </c>
      <c r="C26" s="30">
        <v>2020</v>
      </c>
      <c r="D26" s="31">
        <v>43831</v>
      </c>
      <c r="E26" s="30">
        <v>1</v>
      </c>
      <c r="F26" s="30">
        <v>200114388</v>
      </c>
      <c r="G26" s="30" t="s">
        <v>120</v>
      </c>
      <c r="H26" s="30">
        <v>91</v>
      </c>
      <c r="I26" s="30">
        <v>71104010</v>
      </c>
      <c r="J26" s="30" t="s">
        <v>121</v>
      </c>
      <c r="K26" s="30">
        <v>-132.84</v>
      </c>
      <c r="L26" s="30" t="s">
        <v>31</v>
      </c>
      <c r="M26" s="32">
        <v>-132.84</v>
      </c>
      <c r="N26" s="30" t="s">
        <v>31</v>
      </c>
      <c r="Q26" t="s">
        <v>1131</v>
      </c>
      <c r="R26" t="s">
        <v>123</v>
      </c>
    </row>
    <row r="27" spans="1:18" ht="14.25" customHeight="1" x14ac:dyDescent="0.35">
      <c r="A27" s="30">
        <v>3402</v>
      </c>
      <c r="B27" s="30" t="s">
        <v>47</v>
      </c>
      <c r="C27" s="30">
        <v>2020</v>
      </c>
      <c r="D27" s="31">
        <v>43831</v>
      </c>
      <c r="E27" s="30">
        <v>1</v>
      </c>
      <c r="F27" s="30">
        <v>200114392</v>
      </c>
      <c r="G27" s="30" t="s">
        <v>120</v>
      </c>
      <c r="H27" s="30">
        <v>91</v>
      </c>
      <c r="I27" s="30">
        <v>71104010</v>
      </c>
      <c r="J27" s="30" t="s">
        <v>121</v>
      </c>
      <c r="K27" s="30">
        <v>-132.56</v>
      </c>
      <c r="L27" s="30" t="s">
        <v>31</v>
      </c>
      <c r="M27" s="32">
        <v>-132.56</v>
      </c>
      <c r="N27" s="30" t="s">
        <v>31</v>
      </c>
      <c r="Q27" t="s">
        <v>1131</v>
      </c>
      <c r="R27" t="s">
        <v>123</v>
      </c>
    </row>
    <row r="28" spans="1:18" ht="14.25" customHeight="1" x14ac:dyDescent="0.35">
      <c r="A28" s="30">
        <v>3402</v>
      </c>
      <c r="B28" s="30" t="s">
        <v>47</v>
      </c>
      <c r="C28" s="30">
        <v>2020</v>
      </c>
      <c r="D28" s="31">
        <v>43831</v>
      </c>
      <c r="E28" s="30">
        <v>1</v>
      </c>
      <c r="F28" s="30">
        <v>200114394</v>
      </c>
      <c r="G28" s="30" t="s">
        <v>120</v>
      </c>
      <c r="H28" s="30">
        <v>91</v>
      </c>
      <c r="I28" s="30">
        <v>71104010</v>
      </c>
      <c r="J28" s="30" t="s">
        <v>121</v>
      </c>
      <c r="K28" s="30">
        <v>-114.32</v>
      </c>
      <c r="L28" s="30" t="s">
        <v>31</v>
      </c>
      <c r="M28" s="32">
        <v>-114.32</v>
      </c>
      <c r="N28" s="30" t="s">
        <v>31</v>
      </c>
      <c r="Q28" t="s">
        <v>1131</v>
      </c>
      <c r="R28" t="s">
        <v>123</v>
      </c>
    </row>
    <row r="29" spans="1:18" ht="14.25" customHeight="1" x14ac:dyDescent="0.35">
      <c r="A29" s="30">
        <v>3402</v>
      </c>
      <c r="B29" s="30" t="s">
        <v>47</v>
      </c>
      <c r="C29" s="30">
        <v>2020</v>
      </c>
      <c r="D29" s="31">
        <v>43831</v>
      </c>
      <c r="E29" s="30">
        <v>1</v>
      </c>
      <c r="F29" s="30">
        <v>200114398</v>
      </c>
      <c r="G29" s="30" t="s">
        <v>120</v>
      </c>
      <c r="H29" s="30">
        <v>91</v>
      </c>
      <c r="I29" s="30">
        <v>71104010</v>
      </c>
      <c r="J29" s="30" t="s">
        <v>121</v>
      </c>
      <c r="K29" s="30">
        <v>-106.36</v>
      </c>
      <c r="L29" s="30" t="s">
        <v>31</v>
      </c>
      <c r="M29" s="32">
        <v>-106.36</v>
      </c>
      <c r="N29" s="30" t="s">
        <v>31</v>
      </c>
      <c r="Q29" t="s">
        <v>1131</v>
      </c>
      <c r="R29" t="s">
        <v>123</v>
      </c>
    </row>
    <row r="30" spans="1:18" ht="14.25" customHeight="1" x14ac:dyDescent="0.35">
      <c r="A30" s="30">
        <v>3402</v>
      </c>
      <c r="B30" s="30" t="s">
        <v>47</v>
      </c>
      <c r="C30" s="30">
        <v>2020</v>
      </c>
      <c r="D30" s="31">
        <v>43831</v>
      </c>
      <c r="E30" s="30">
        <v>1</v>
      </c>
      <c r="F30" s="30">
        <v>200114400</v>
      </c>
      <c r="G30" s="30" t="s">
        <v>120</v>
      </c>
      <c r="H30" s="30">
        <v>91</v>
      </c>
      <c r="I30" s="30">
        <v>71104010</v>
      </c>
      <c r="J30" s="30" t="s">
        <v>121</v>
      </c>
      <c r="K30" s="30">
        <v>-112.94</v>
      </c>
      <c r="L30" s="30" t="s">
        <v>31</v>
      </c>
      <c r="M30" s="32">
        <v>-112.94</v>
      </c>
      <c r="N30" s="30" t="s">
        <v>31</v>
      </c>
      <c r="Q30" t="s">
        <v>1131</v>
      </c>
      <c r="R30" t="s">
        <v>123</v>
      </c>
    </row>
    <row r="31" spans="1:18" ht="14.25" customHeight="1" x14ac:dyDescent="0.35">
      <c r="A31" s="30">
        <v>3402</v>
      </c>
      <c r="B31" s="30" t="s">
        <v>47</v>
      </c>
      <c r="C31" s="30">
        <v>2020</v>
      </c>
      <c r="D31" s="31">
        <v>43831</v>
      </c>
      <c r="E31" s="30">
        <v>1</v>
      </c>
      <c r="F31" s="30">
        <v>200114402</v>
      </c>
      <c r="G31" s="30" t="s">
        <v>120</v>
      </c>
      <c r="H31" s="30">
        <v>91</v>
      </c>
      <c r="I31" s="30">
        <v>71104010</v>
      </c>
      <c r="J31" s="30" t="s">
        <v>121</v>
      </c>
      <c r="K31" s="30">
        <v>-113.71</v>
      </c>
      <c r="L31" s="30" t="s">
        <v>31</v>
      </c>
      <c r="M31" s="32">
        <v>-113.71</v>
      </c>
      <c r="N31" s="30" t="s">
        <v>31</v>
      </c>
      <c r="Q31" t="s">
        <v>1131</v>
      </c>
      <c r="R31" t="s">
        <v>123</v>
      </c>
    </row>
    <row r="32" spans="1:18" ht="14.25" customHeight="1" x14ac:dyDescent="0.35">
      <c r="A32" s="30">
        <v>3402</v>
      </c>
      <c r="B32" s="30" t="s">
        <v>47</v>
      </c>
      <c r="C32" s="30">
        <v>2020</v>
      </c>
      <c r="D32" s="31">
        <v>43831</v>
      </c>
      <c r="E32" s="30">
        <v>1</v>
      </c>
      <c r="F32" s="30">
        <v>200114407</v>
      </c>
      <c r="G32" s="30" t="s">
        <v>120</v>
      </c>
      <c r="H32" s="30">
        <v>91</v>
      </c>
      <c r="I32" s="30">
        <v>71104010</v>
      </c>
      <c r="J32" s="30" t="s">
        <v>121</v>
      </c>
      <c r="K32" s="30">
        <v>-131.58000000000001</v>
      </c>
      <c r="L32" s="30" t="s">
        <v>31</v>
      </c>
      <c r="M32" s="32">
        <v>-131.58000000000001</v>
      </c>
      <c r="N32" s="30" t="s">
        <v>31</v>
      </c>
      <c r="Q32" t="s">
        <v>1131</v>
      </c>
      <c r="R32" t="s">
        <v>123</v>
      </c>
    </row>
    <row r="33" spans="1:39" ht="14.25" customHeight="1" x14ac:dyDescent="0.35">
      <c r="A33" s="30">
        <v>3402</v>
      </c>
      <c r="B33" s="30" t="s">
        <v>47</v>
      </c>
      <c r="C33" s="30">
        <v>2020</v>
      </c>
      <c r="D33" s="31">
        <v>43831</v>
      </c>
      <c r="E33" s="30">
        <v>1</v>
      </c>
      <c r="F33" s="30">
        <v>200114409</v>
      </c>
      <c r="G33" s="30" t="s">
        <v>120</v>
      </c>
      <c r="H33" s="30">
        <v>91</v>
      </c>
      <c r="I33" s="30">
        <v>71104010</v>
      </c>
      <c r="J33" s="30" t="s">
        <v>121</v>
      </c>
      <c r="K33" s="30">
        <v>-134.05000000000001</v>
      </c>
      <c r="L33" s="30" t="s">
        <v>31</v>
      </c>
      <c r="M33" s="32">
        <v>-134.05000000000001</v>
      </c>
      <c r="N33" s="30" t="s">
        <v>31</v>
      </c>
      <c r="Q33" t="s">
        <v>1131</v>
      </c>
      <c r="R33" t="s">
        <v>123</v>
      </c>
    </row>
    <row r="34" spans="1:39" ht="14.25" customHeight="1" x14ac:dyDescent="0.35">
      <c r="A34" s="30">
        <v>3402</v>
      </c>
      <c r="B34" s="30" t="s">
        <v>47</v>
      </c>
      <c r="C34" s="30">
        <v>2020</v>
      </c>
      <c r="D34" s="31">
        <v>43831</v>
      </c>
      <c r="E34" s="30">
        <v>1</v>
      </c>
      <c r="F34" s="30">
        <v>200114411</v>
      </c>
      <c r="G34" s="30" t="s">
        <v>120</v>
      </c>
      <c r="H34" s="30">
        <v>91</v>
      </c>
      <c r="I34" s="30">
        <v>71104010</v>
      </c>
      <c r="J34" s="30" t="s">
        <v>121</v>
      </c>
      <c r="K34" s="30">
        <v>-140.38999999999999</v>
      </c>
      <c r="L34" s="30" t="s">
        <v>31</v>
      </c>
      <c r="M34" s="32">
        <v>-140.38999999999999</v>
      </c>
      <c r="N34" s="30" t="s">
        <v>31</v>
      </c>
      <c r="Q34" t="s">
        <v>1131</v>
      </c>
      <c r="R34" t="s">
        <v>123</v>
      </c>
    </row>
    <row r="35" spans="1:39" ht="14.25" customHeight="1" x14ac:dyDescent="0.35">
      <c r="A35" s="30">
        <v>3402</v>
      </c>
      <c r="B35" s="30" t="s">
        <v>28</v>
      </c>
      <c r="C35" s="30">
        <v>2020</v>
      </c>
      <c r="D35" s="31">
        <v>43831</v>
      </c>
      <c r="E35" s="30">
        <v>2</v>
      </c>
      <c r="F35" s="30">
        <v>200120037</v>
      </c>
      <c r="G35" s="30" t="s">
        <v>101</v>
      </c>
      <c r="H35" s="30">
        <v>50</v>
      </c>
      <c r="I35" s="30">
        <v>71104010</v>
      </c>
      <c r="J35" s="30" t="s">
        <v>121</v>
      </c>
      <c r="K35" s="30">
        <v>-187070</v>
      </c>
      <c r="L35" s="30" t="s">
        <v>31</v>
      </c>
      <c r="M35" s="32">
        <v>-187070</v>
      </c>
      <c r="N35" s="30" t="s">
        <v>31</v>
      </c>
      <c r="Q35" t="s">
        <v>1131</v>
      </c>
      <c r="R35" t="s">
        <v>123</v>
      </c>
    </row>
    <row r="36" spans="1:39" ht="14.25" customHeight="1" x14ac:dyDescent="0.35">
      <c r="A36" s="30">
        <v>3402</v>
      </c>
      <c r="B36" s="30" t="s">
        <v>28</v>
      </c>
      <c r="C36" s="30">
        <v>2020</v>
      </c>
      <c r="D36" s="31">
        <v>43831</v>
      </c>
      <c r="E36" s="30">
        <v>2</v>
      </c>
      <c r="F36" s="30">
        <v>200122819</v>
      </c>
      <c r="G36" s="30" t="s">
        <v>101</v>
      </c>
      <c r="H36" s="30">
        <v>50</v>
      </c>
      <c r="I36" s="30">
        <v>71104010</v>
      </c>
      <c r="J36" s="30" t="s">
        <v>121</v>
      </c>
      <c r="K36" s="30">
        <v>-290750.48</v>
      </c>
      <c r="L36" s="30" t="s">
        <v>31</v>
      </c>
      <c r="M36" s="32">
        <v>-290750.48</v>
      </c>
      <c r="N36" s="30" t="s">
        <v>31</v>
      </c>
      <c r="Q36" t="s">
        <v>1131</v>
      </c>
      <c r="R36" t="s">
        <v>123</v>
      </c>
    </row>
    <row r="37" spans="1:39" ht="14.25" customHeight="1" x14ac:dyDescent="0.35">
      <c r="A37" s="30">
        <v>3402</v>
      </c>
      <c r="B37" s="30" t="s">
        <v>28</v>
      </c>
      <c r="C37" s="30">
        <v>2020</v>
      </c>
      <c r="D37" s="31">
        <v>43831</v>
      </c>
      <c r="E37" s="30">
        <v>2</v>
      </c>
      <c r="F37" s="30">
        <v>300019295</v>
      </c>
      <c r="G37" s="30" t="s">
        <v>101</v>
      </c>
      <c r="H37" s="30">
        <v>50</v>
      </c>
      <c r="I37" s="30">
        <v>71104010</v>
      </c>
      <c r="J37" s="30" t="s">
        <v>121</v>
      </c>
      <c r="K37" s="30">
        <v>-48879.33</v>
      </c>
      <c r="L37" s="30" t="s">
        <v>31</v>
      </c>
      <c r="M37" s="32">
        <v>-48879.33</v>
      </c>
      <c r="N37" s="30" t="s">
        <v>31</v>
      </c>
      <c r="Q37" t="s">
        <v>1131</v>
      </c>
      <c r="R37" t="s">
        <v>123</v>
      </c>
      <c r="S37" t="s">
        <v>542</v>
      </c>
      <c r="T37" t="s">
        <v>1224</v>
      </c>
      <c r="X37" t="s">
        <v>1225</v>
      </c>
      <c r="Y37" t="s">
        <v>1130</v>
      </c>
      <c r="Z37" t="s">
        <v>1129</v>
      </c>
    </row>
    <row r="38" spans="1:39" ht="14.25" customHeight="1" x14ac:dyDescent="0.35">
      <c r="A38" s="30">
        <v>3403</v>
      </c>
      <c r="B38" s="30" t="s">
        <v>28</v>
      </c>
      <c r="C38" s="30">
        <v>2020</v>
      </c>
      <c r="D38" s="31">
        <v>43831</v>
      </c>
      <c r="E38" s="30">
        <v>1</v>
      </c>
      <c r="F38" s="30">
        <v>300020411</v>
      </c>
      <c r="G38" s="30" t="s">
        <v>120</v>
      </c>
      <c r="H38" s="30">
        <v>91</v>
      </c>
      <c r="I38" s="30">
        <v>71104010</v>
      </c>
      <c r="J38" s="30" t="s">
        <v>121</v>
      </c>
      <c r="K38" s="30">
        <v>-44864</v>
      </c>
      <c r="L38" s="30" t="s">
        <v>31</v>
      </c>
      <c r="M38" s="32">
        <v>-44864</v>
      </c>
      <c r="N38" s="30" t="s">
        <v>31</v>
      </c>
      <c r="Q38" t="s">
        <v>1131</v>
      </c>
      <c r="R38" t="s">
        <v>123</v>
      </c>
      <c r="S38" t="s">
        <v>542</v>
      </c>
      <c r="T38" t="s">
        <v>1224</v>
      </c>
      <c r="X38" t="s">
        <v>1225</v>
      </c>
      <c r="Y38" t="s">
        <v>1130</v>
      </c>
      <c r="Z38" t="s">
        <v>1129</v>
      </c>
    </row>
    <row r="39" spans="1:39" ht="14.25" customHeight="1" x14ac:dyDescent="0.35">
      <c r="A39" s="30">
        <v>3403</v>
      </c>
      <c r="B39" s="30" t="s">
        <v>28</v>
      </c>
      <c r="C39" s="30">
        <v>2020</v>
      </c>
      <c r="D39" s="31">
        <v>43831</v>
      </c>
      <c r="E39" s="30">
        <v>1</v>
      </c>
      <c r="F39" s="30">
        <v>600033388</v>
      </c>
      <c r="G39" s="30" t="s">
        <v>101</v>
      </c>
      <c r="H39" s="30">
        <v>50</v>
      </c>
      <c r="I39" s="30">
        <v>71104010</v>
      </c>
      <c r="J39" s="30" t="s">
        <v>121</v>
      </c>
      <c r="K39" s="30">
        <v>-50188.66</v>
      </c>
      <c r="L39" s="30" t="s">
        <v>31</v>
      </c>
      <c r="M39" s="32">
        <v>-50188.66</v>
      </c>
      <c r="N39" s="30" t="s">
        <v>31</v>
      </c>
      <c r="Q39" t="s">
        <v>1131</v>
      </c>
      <c r="R39" t="s">
        <v>123</v>
      </c>
      <c r="S39" t="s">
        <v>147</v>
      </c>
      <c r="T39" t="s">
        <v>1226</v>
      </c>
      <c r="W39" t="s">
        <v>1227</v>
      </c>
      <c r="X39" t="s">
        <v>1228</v>
      </c>
      <c r="Y39" t="s">
        <v>1130</v>
      </c>
      <c r="Z39" t="s">
        <v>1129</v>
      </c>
    </row>
    <row r="40" spans="1:39" ht="14.25" customHeight="1" x14ac:dyDescent="0.35">
      <c r="A40" s="30">
        <v>3406</v>
      </c>
      <c r="B40" s="30" t="s">
        <v>28</v>
      </c>
      <c r="C40" s="30">
        <v>2020</v>
      </c>
      <c r="D40" s="31">
        <v>43831</v>
      </c>
      <c r="E40" s="30">
        <v>2</v>
      </c>
      <c r="F40" s="30">
        <v>700041037</v>
      </c>
      <c r="G40" s="30" t="s">
        <v>101</v>
      </c>
      <c r="H40" s="30">
        <v>50</v>
      </c>
      <c r="I40" s="30">
        <v>71104010</v>
      </c>
      <c r="J40" s="30" t="s">
        <v>121</v>
      </c>
      <c r="K40" s="30">
        <v>-117908.32</v>
      </c>
      <c r="L40" s="30" t="s">
        <v>31</v>
      </c>
      <c r="M40" s="32">
        <v>-117908.32</v>
      </c>
      <c r="N40" s="30" t="s">
        <v>31</v>
      </c>
      <c r="Q40" t="s">
        <v>1131</v>
      </c>
      <c r="R40" t="s">
        <v>123</v>
      </c>
      <c r="S40" t="s">
        <v>1229</v>
      </c>
      <c r="T40" t="s">
        <v>28</v>
      </c>
      <c r="X40" t="s">
        <v>1230</v>
      </c>
      <c r="Y40" t="s">
        <v>1130</v>
      </c>
      <c r="Z40" t="s">
        <v>1129</v>
      </c>
    </row>
    <row r="41" spans="1:39" ht="14.25" customHeight="1" x14ac:dyDescent="0.35">
      <c r="A41" s="30">
        <v>3407</v>
      </c>
      <c r="B41" s="30" t="s">
        <v>83</v>
      </c>
      <c r="C41" s="30">
        <v>2020</v>
      </c>
      <c r="D41" s="31">
        <v>43831</v>
      </c>
      <c r="E41" s="30">
        <v>1</v>
      </c>
      <c r="F41" s="30">
        <v>700042289</v>
      </c>
      <c r="G41" s="30" t="s">
        <v>120</v>
      </c>
      <c r="H41" s="30">
        <v>91</v>
      </c>
      <c r="I41" s="30">
        <v>71104010</v>
      </c>
      <c r="J41" s="30" t="s">
        <v>121</v>
      </c>
      <c r="K41" s="30">
        <v>-3557319.57</v>
      </c>
      <c r="L41" s="30" t="s">
        <v>31</v>
      </c>
      <c r="M41" s="32">
        <v>-3557319.57</v>
      </c>
      <c r="N41" s="30" t="s">
        <v>31</v>
      </c>
      <c r="Q41" t="s">
        <v>1131</v>
      </c>
      <c r="R41" t="s">
        <v>123</v>
      </c>
      <c r="S41" t="s">
        <v>1229</v>
      </c>
      <c r="T41" t="s">
        <v>28</v>
      </c>
      <c r="X41" t="s">
        <v>1230</v>
      </c>
      <c r="Y41" t="s">
        <v>1130</v>
      </c>
      <c r="Z41" t="s">
        <v>1129</v>
      </c>
    </row>
    <row r="42" spans="1:39" x14ac:dyDescent="0.35">
      <c r="A42" s="30">
        <v>3407</v>
      </c>
    </row>
    <row r="43" spans="1:39" ht="65" x14ac:dyDescent="0.3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17</v>
      </c>
      <c r="K43" t="s">
        <v>9</v>
      </c>
      <c r="L43" s="6" t="s">
        <v>10</v>
      </c>
      <c r="M43" t="s">
        <v>11</v>
      </c>
      <c r="N43" s="4" t="s">
        <v>12</v>
      </c>
      <c r="O43" t="s">
        <v>13</v>
      </c>
      <c r="P43" t="s">
        <v>14</v>
      </c>
      <c r="Q43" t="s">
        <v>15</v>
      </c>
      <c r="R43" s="2" t="s">
        <v>16</v>
      </c>
      <c r="S43" s="2" t="s">
        <v>1110</v>
      </c>
      <c r="T43" s="5" t="s">
        <v>18</v>
      </c>
      <c r="U43" t="s">
        <v>19</v>
      </c>
      <c r="V43" t="s">
        <v>20</v>
      </c>
      <c r="W43" t="s">
        <v>21</v>
      </c>
      <c r="X43" t="s">
        <v>22</v>
      </c>
      <c r="Y43" s="7" t="s">
        <v>23</v>
      </c>
      <c r="Z43" t="s">
        <v>24</v>
      </c>
      <c r="AA43" s="2" t="s">
        <v>1111</v>
      </c>
      <c r="AB43" s="2" t="s">
        <v>1112</v>
      </c>
      <c r="AC43" s="6" t="s">
        <v>1113</v>
      </c>
      <c r="AD43" s="2" t="s">
        <v>1120</v>
      </c>
      <c r="AE43" t="s">
        <v>25</v>
      </c>
      <c r="AF43" s="6" t="s">
        <v>1116</v>
      </c>
      <c r="AG43" s="2" t="s">
        <v>1114</v>
      </c>
      <c r="AH43" s="2" t="s">
        <v>1115</v>
      </c>
      <c r="AI43" s="2" t="s">
        <v>1117</v>
      </c>
      <c r="AJ43" s="2" t="s">
        <v>1118</v>
      </c>
      <c r="AK43" s="2" t="s">
        <v>1119</v>
      </c>
      <c r="AL43" t="s">
        <v>26</v>
      </c>
      <c r="AM43" t="s">
        <v>27</v>
      </c>
    </row>
    <row r="44" spans="1:39" x14ac:dyDescent="0.35">
      <c r="A44">
        <v>3402</v>
      </c>
      <c r="B44" t="s">
        <v>47</v>
      </c>
      <c r="C44">
        <v>2020</v>
      </c>
      <c r="D44" s="1">
        <v>43831</v>
      </c>
      <c r="E44">
        <v>1</v>
      </c>
      <c r="F44">
        <v>200114340</v>
      </c>
      <c r="G44" t="s">
        <v>120</v>
      </c>
      <c r="H44">
        <v>91</v>
      </c>
      <c r="I44">
        <v>71104010</v>
      </c>
      <c r="J44">
        <v>21021040</v>
      </c>
      <c r="K44" t="s">
        <v>121</v>
      </c>
      <c r="L44" s="4">
        <v>144.96</v>
      </c>
      <c r="M44" t="s">
        <v>31</v>
      </c>
      <c r="N44" s="4">
        <v>144.96</v>
      </c>
      <c r="O44" t="s">
        <v>31</v>
      </c>
      <c r="R44" t="s">
        <v>272</v>
      </c>
      <c r="S44" t="s">
        <v>1131</v>
      </c>
      <c r="T44">
        <v>107211</v>
      </c>
      <c r="U44" t="s">
        <v>123</v>
      </c>
      <c r="X44" t="s">
        <v>35</v>
      </c>
      <c r="Y44" s="8">
        <v>4501229349</v>
      </c>
      <c r="Z44">
        <v>20200130</v>
      </c>
      <c r="AA44">
        <v>144.96</v>
      </c>
      <c r="AB44">
        <v>23.1936</v>
      </c>
      <c r="AC44">
        <v>168.15360000000001</v>
      </c>
      <c r="AD44">
        <v>200124384</v>
      </c>
      <c r="AE44" t="s">
        <v>275</v>
      </c>
      <c r="AF44" s="4">
        <v>168.15360000000001</v>
      </c>
      <c r="AG44" t="s">
        <v>51</v>
      </c>
      <c r="AH44" t="s">
        <v>1123</v>
      </c>
      <c r="AI44">
        <v>200127161</v>
      </c>
      <c r="AJ44" t="s">
        <v>1148</v>
      </c>
      <c r="AK44" t="s">
        <v>1129</v>
      </c>
      <c r="AL44">
        <v>340218590</v>
      </c>
      <c r="AM44" t="s">
        <v>135</v>
      </c>
    </row>
    <row r="45" spans="1:39" x14ac:dyDescent="0.35">
      <c r="A45">
        <v>3402</v>
      </c>
      <c r="B45" t="s">
        <v>47</v>
      </c>
      <c r="C45">
        <v>2020</v>
      </c>
      <c r="D45" s="1">
        <v>43831</v>
      </c>
      <c r="E45">
        <v>1</v>
      </c>
      <c r="F45">
        <v>200114375</v>
      </c>
      <c r="G45" t="s">
        <v>120</v>
      </c>
      <c r="H45">
        <v>91</v>
      </c>
      <c r="I45">
        <v>71104010</v>
      </c>
      <c r="J45">
        <v>21021040</v>
      </c>
      <c r="K45" t="s">
        <v>121</v>
      </c>
      <c r="L45" s="4">
        <v>131.54</v>
      </c>
      <c r="M45" t="s">
        <v>31</v>
      </c>
      <c r="N45" s="4">
        <v>131.54</v>
      </c>
      <c r="O45" t="s">
        <v>31</v>
      </c>
      <c r="R45" t="s">
        <v>272</v>
      </c>
      <c r="S45" t="s">
        <v>1131</v>
      </c>
      <c r="T45">
        <v>107211</v>
      </c>
      <c r="U45" t="s">
        <v>123</v>
      </c>
      <c r="X45" t="s">
        <v>35</v>
      </c>
      <c r="Y45" s="8">
        <v>4501229349</v>
      </c>
      <c r="Z45">
        <v>20200130</v>
      </c>
      <c r="AA45">
        <v>131.54</v>
      </c>
      <c r="AB45">
        <v>21.046399999999998</v>
      </c>
      <c r="AC45">
        <v>152.5864</v>
      </c>
      <c r="AD45">
        <v>200124384</v>
      </c>
      <c r="AE45" t="s">
        <v>278</v>
      </c>
      <c r="AF45" s="4">
        <v>152.5864</v>
      </c>
      <c r="AG45" t="s">
        <v>51</v>
      </c>
      <c r="AH45" t="s">
        <v>1123</v>
      </c>
      <c r="AI45">
        <v>200127161</v>
      </c>
      <c r="AJ45" t="s">
        <v>1148</v>
      </c>
      <c r="AK45" t="s">
        <v>1129</v>
      </c>
      <c r="AL45">
        <v>340218590</v>
      </c>
      <c r="AM45" t="s">
        <v>135</v>
      </c>
    </row>
    <row r="46" spans="1:39" x14ac:dyDescent="0.35">
      <c r="A46">
        <v>3402</v>
      </c>
      <c r="B46" t="s">
        <v>47</v>
      </c>
      <c r="C46">
        <v>2020</v>
      </c>
      <c r="D46" s="1">
        <v>43831</v>
      </c>
      <c r="E46">
        <v>1</v>
      </c>
      <c r="F46">
        <v>200114388</v>
      </c>
      <c r="G46" t="s">
        <v>120</v>
      </c>
      <c r="H46">
        <v>91</v>
      </c>
      <c r="I46">
        <v>71104010</v>
      </c>
      <c r="J46">
        <v>21021040</v>
      </c>
      <c r="K46" t="s">
        <v>121</v>
      </c>
      <c r="L46" s="4">
        <v>132.84</v>
      </c>
      <c r="M46" t="s">
        <v>31</v>
      </c>
      <c r="N46" s="4">
        <v>132.84</v>
      </c>
      <c r="O46" t="s">
        <v>31</v>
      </c>
      <c r="R46" t="s">
        <v>272</v>
      </c>
      <c r="S46" t="s">
        <v>1131</v>
      </c>
      <c r="T46">
        <v>107211</v>
      </c>
      <c r="U46" t="s">
        <v>123</v>
      </c>
      <c r="X46" t="s">
        <v>35</v>
      </c>
      <c r="Y46" s="8">
        <v>4501229349</v>
      </c>
      <c r="Z46">
        <v>20200130</v>
      </c>
      <c r="AA46">
        <v>132.84</v>
      </c>
      <c r="AB46">
        <v>21.2544</v>
      </c>
      <c r="AC46">
        <v>154.09440000000001</v>
      </c>
      <c r="AD46">
        <v>200124384</v>
      </c>
      <c r="AE46" t="s">
        <v>280</v>
      </c>
      <c r="AF46" s="4">
        <v>154.09440000000001</v>
      </c>
      <c r="AG46" t="s">
        <v>51</v>
      </c>
      <c r="AH46" t="s">
        <v>1123</v>
      </c>
      <c r="AI46">
        <v>200127161</v>
      </c>
      <c r="AJ46" t="s">
        <v>1148</v>
      </c>
      <c r="AK46" t="s">
        <v>1129</v>
      </c>
      <c r="AL46">
        <v>340218590</v>
      </c>
      <c r="AM46" t="s">
        <v>135</v>
      </c>
    </row>
    <row r="47" spans="1:39" x14ac:dyDescent="0.35">
      <c r="A47">
        <v>3402</v>
      </c>
      <c r="B47" t="s">
        <v>47</v>
      </c>
      <c r="C47">
        <v>2020</v>
      </c>
      <c r="D47" s="1">
        <v>43831</v>
      </c>
      <c r="E47">
        <v>1</v>
      </c>
      <c r="F47">
        <v>200114392</v>
      </c>
      <c r="G47" t="s">
        <v>120</v>
      </c>
      <c r="H47">
        <v>91</v>
      </c>
      <c r="I47">
        <v>71104010</v>
      </c>
      <c r="J47">
        <v>21021040</v>
      </c>
      <c r="K47" t="s">
        <v>121</v>
      </c>
      <c r="L47" s="4">
        <v>132.56</v>
      </c>
      <c r="M47" t="s">
        <v>31</v>
      </c>
      <c r="N47" s="4">
        <v>132.56</v>
      </c>
      <c r="O47" t="s">
        <v>31</v>
      </c>
      <c r="R47" t="s">
        <v>272</v>
      </c>
      <c r="S47" t="s">
        <v>1131</v>
      </c>
      <c r="T47">
        <v>107211</v>
      </c>
      <c r="U47" t="s">
        <v>123</v>
      </c>
      <c r="X47" t="s">
        <v>35</v>
      </c>
      <c r="Y47" s="8">
        <v>4501229349</v>
      </c>
      <c r="Z47">
        <v>20200130</v>
      </c>
      <c r="AA47">
        <v>132.56</v>
      </c>
      <c r="AB47">
        <v>21.209600000000002</v>
      </c>
      <c r="AC47">
        <v>153.7696</v>
      </c>
      <c r="AD47">
        <v>200124384</v>
      </c>
      <c r="AE47" t="s">
        <v>281</v>
      </c>
      <c r="AF47" s="4">
        <v>153.7696</v>
      </c>
      <c r="AG47" t="s">
        <v>51</v>
      </c>
      <c r="AH47" t="s">
        <v>1123</v>
      </c>
      <c r="AI47">
        <v>200127161</v>
      </c>
      <c r="AJ47" t="s">
        <v>1148</v>
      </c>
      <c r="AK47" t="s">
        <v>1129</v>
      </c>
      <c r="AL47">
        <v>340218590</v>
      </c>
      <c r="AM47" t="s">
        <v>135</v>
      </c>
    </row>
    <row r="48" spans="1:39" x14ac:dyDescent="0.35">
      <c r="A48">
        <v>3402</v>
      </c>
      <c r="B48" t="s">
        <v>47</v>
      </c>
      <c r="C48">
        <v>2020</v>
      </c>
      <c r="D48" s="1">
        <v>43831</v>
      </c>
      <c r="E48">
        <v>1</v>
      </c>
      <c r="F48">
        <v>200114400</v>
      </c>
      <c r="G48" t="s">
        <v>120</v>
      </c>
      <c r="H48">
        <v>91</v>
      </c>
      <c r="I48">
        <v>71104010</v>
      </c>
      <c r="J48">
        <v>21021040</v>
      </c>
      <c r="K48" t="s">
        <v>121</v>
      </c>
      <c r="L48" s="4">
        <v>112.94</v>
      </c>
      <c r="M48" t="s">
        <v>31</v>
      </c>
      <c r="N48" s="4">
        <v>112.94</v>
      </c>
      <c r="O48" t="s">
        <v>31</v>
      </c>
      <c r="R48" t="s">
        <v>272</v>
      </c>
      <c r="S48" t="s">
        <v>1131</v>
      </c>
      <c r="T48">
        <v>107211</v>
      </c>
      <c r="U48" t="s">
        <v>123</v>
      </c>
      <c r="X48" t="s">
        <v>35</v>
      </c>
      <c r="Y48" s="8">
        <v>4501229349</v>
      </c>
      <c r="Z48">
        <v>20200130</v>
      </c>
      <c r="AA48">
        <v>112.94</v>
      </c>
      <c r="AB48">
        <v>18.070399999999999</v>
      </c>
      <c r="AC48">
        <v>131.0104</v>
      </c>
      <c r="AD48">
        <v>200124384</v>
      </c>
      <c r="AE48" t="s">
        <v>282</v>
      </c>
      <c r="AF48" s="4">
        <v>131.0104</v>
      </c>
      <c r="AG48" t="s">
        <v>51</v>
      </c>
      <c r="AH48" t="s">
        <v>1123</v>
      </c>
      <c r="AI48">
        <v>200127161</v>
      </c>
      <c r="AJ48" t="s">
        <v>1148</v>
      </c>
      <c r="AK48" t="s">
        <v>1129</v>
      </c>
      <c r="AL48">
        <v>340218590</v>
      </c>
      <c r="AM48" t="s">
        <v>135</v>
      </c>
    </row>
    <row r="49" spans="1:39" x14ac:dyDescent="0.35">
      <c r="A49">
        <v>3402</v>
      </c>
      <c r="B49" t="s">
        <v>47</v>
      </c>
      <c r="C49">
        <v>2020</v>
      </c>
      <c r="D49" s="1">
        <v>43831</v>
      </c>
      <c r="E49">
        <v>1</v>
      </c>
      <c r="F49">
        <v>200114402</v>
      </c>
      <c r="G49" t="s">
        <v>120</v>
      </c>
      <c r="H49">
        <v>91</v>
      </c>
      <c r="I49">
        <v>71104010</v>
      </c>
      <c r="J49">
        <v>21021040</v>
      </c>
      <c r="K49" t="s">
        <v>121</v>
      </c>
      <c r="L49" s="4">
        <v>113.71</v>
      </c>
      <c r="M49" t="s">
        <v>31</v>
      </c>
      <c r="N49" s="4">
        <v>113.71</v>
      </c>
      <c r="O49" t="s">
        <v>31</v>
      </c>
      <c r="R49" t="s">
        <v>272</v>
      </c>
      <c r="S49" t="s">
        <v>1131</v>
      </c>
      <c r="T49">
        <v>107211</v>
      </c>
      <c r="U49" t="s">
        <v>123</v>
      </c>
      <c r="X49" t="s">
        <v>35</v>
      </c>
      <c r="Y49" s="8">
        <v>4501229349</v>
      </c>
      <c r="Z49">
        <v>20200130</v>
      </c>
      <c r="AA49">
        <v>113.71</v>
      </c>
      <c r="AB49">
        <v>18.1936</v>
      </c>
      <c r="AC49">
        <v>131.90359999999998</v>
      </c>
      <c r="AD49">
        <v>200124384</v>
      </c>
      <c r="AE49" t="s">
        <v>283</v>
      </c>
      <c r="AF49" s="4">
        <v>131.90359999999998</v>
      </c>
      <c r="AG49" t="s">
        <v>51</v>
      </c>
      <c r="AH49" t="s">
        <v>1123</v>
      </c>
      <c r="AI49">
        <v>200127161</v>
      </c>
      <c r="AJ49" t="s">
        <v>1148</v>
      </c>
      <c r="AK49" t="s">
        <v>1129</v>
      </c>
      <c r="AL49">
        <v>340218590</v>
      </c>
      <c r="AM49" t="s">
        <v>135</v>
      </c>
    </row>
    <row r="50" spans="1:39" x14ac:dyDescent="0.35">
      <c r="A50">
        <v>3402</v>
      </c>
      <c r="B50" t="s">
        <v>47</v>
      </c>
      <c r="C50">
        <v>2020</v>
      </c>
      <c r="D50" s="1">
        <v>43831</v>
      </c>
      <c r="E50">
        <v>1</v>
      </c>
      <c r="F50">
        <v>200114335</v>
      </c>
      <c r="G50" t="s">
        <v>120</v>
      </c>
      <c r="H50">
        <v>91</v>
      </c>
      <c r="I50">
        <v>71104010</v>
      </c>
      <c r="J50">
        <v>21021040</v>
      </c>
      <c r="K50" t="s">
        <v>121</v>
      </c>
      <c r="L50" s="4">
        <v>109.7</v>
      </c>
      <c r="M50" t="s">
        <v>31</v>
      </c>
      <c r="N50" s="4">
        <v>109.7</v>
      </c>
      <c r="O50" t="s">
        <v>31</v>
      </c>
      <c r="R50" t="s">
        <v>272</v>
      </c>
      <c r="S50" t="s">
        <v>1131</v>
      </c>
      <c r="T50">
        <v>107211</v>
      </c>
      <c r="U50" t="s">
        <v>123</v>
      </c>
      <c r="X50" t="s">
        <v>35</v>
      </c>
      <c r="Y50" s="8">
        <v>4501229349</v>
      </c>
      <c r="Z50">
        <v>20200130</v>
      </c>
      <c r="AA50">
        <v>109.7</v>
      </c>
      <c r="AB50">
        <v>17.552</v>
      </c>
      <c r="AC50">
        <v>127.25200000000001</v>
      </c>
      <c r="AD50">
        <v>200124384</v>
      </c>
      <c r="AE50" t="s">
        <v>287</v>
      </c>
      <c r="AF50" s="4">
        <v>127.25200000000001</v>
      </c>
      <c r="AG50" t="s">
        <v>51</v>
      </c>
      <c r="AH50" t="s">
        <v>1123</v>
      </c>
      <c r="AI50">
        <v>200127161</v>
      </c>
      <c r="AJ50" t="s">
        <v>1148</v>
      </c>
      <c r="AK50" t="s">
        <v>1129</v>
      </c>
      <c r="AL50">
        <v>340218590</v>
      </c>
      <c r="AM50" t="s">
        <v>135</v>
      </c>
    </row>
    <row r="51" spans="1:39" x14ac:dyDescent="0.35">
      <c r="A51">
        <v>3402</v>
      </c>
      <c r="B51" t="s">
        <v>47</v>
      </c>
      <c r="C51">
        <v>2020</v>
      </c>
      <c r="D51" s="1">
        <v>43831</v>
      </c>
      <c r="E51">
        <v>1</v>
      </c>
      <c r="F51">
        <v>200114338</v>
      </c>
      <c r="G51" t="s">
        <v>120</v>
      </c>
      <c r="H51">
        <v>91</v>
      </c>
      <c r="I51">
        <v>71104010</v>
      </c>
      <c r="J51">
        <v>21021040</v>
      </c>
      <c r="K51" t="s">
        <v>121</v>
      </c>
      <c r="L51" s="4">
        <v>133.24</v>
      </c>
      <c r="M51" t="s">
        <v>31</v>
      </c>
      <c r="N51" s="4">
        <v>133.24</v>
      </c>
      <c r="O51" t="s">
        <v>31</v>
      </c>
      <c r="R51" t="s">
        <v>272</v>
      </c>
      <c r="S51" t="s">
        <v>1131</v>
      </c>
      <c r="T51">
        <v>107211</v>
      </c>
      <c r="U51" t="s">
        <v>123</v>
      </c>
      <c r="X51" t="s">
        <v>35</v>
      </c>
      <c r="Y51" s="8">
        <v>4501229349</v>
      </c>
      <c r="Z51">
        <v>20200130</v>
      </c>
      <c r="AA51">
        <v>133.24</v>
      </c>
      <c r="AB51">
        <v>21.3184</v>
      </c>
      <c r="AC51">
        <v>154.55840000000001</v>
      </c>
      <c r="AD51">
        <v>200124384</v>
      </c>
      <c r="AE51" t="s">
        <v>273</v>
      </c>
      <c r="AF51" s="4">
        <v>154.55840000000001</v>
      </c>
      <c r="AG51" t="s">
        <v>51</v>
      </c>
      <c r="AH51" t="s">
        <v>1123</v>
      </c>
      <c r="AI51">
        <v>200127161</v>
      </c>
      <c r="AJ51" t="s">
        <v>1148</v>
      </c>
      <c r="AK51" t="s">
        <v>1129</v>
      </c>
      <c r="AL51">
        <v>340218590</v>
      </c>
      <c r="AM51" t="s">
        <v>135</v>
      </c>
    </row>
    <row r="52" spans="1:39" x14ac:dyDescent="0.35">
      <c r="A52">
        <v>3402</v>
      </c>
      <c r="B52" t="s">
        <v>47</v>
      </c>
      <c r="C52">
        <v>2020</v>
      </c>
      <c r="D52" s="1">
        <v>43831</v>
      </c>
      <c r="E52">
        <v>1</v>
      </c>
      <c r="F52">
        <v>200114342</v>
      </c>
      <c r="G52" t="s">
        <v>120</v>
      </c>
      <c r="H52">
        <v>91</v>
      </c>
      <c r="I52">
        <v>71104010</v>
      </c>
      <c r="J52">
        <v>21021040</v>
      </c>
      <c r="K52" t="s">
        <v>121</v>
      </c>
      <c r="L52" s="4">
        <v>126.54</v>
      </c>
      <c r="M52" t="s">
        <v>31</v>
      </c>
      <c r="N52" s="4">
        <v>126.54</v>
      </c>
      <c r="O52" t="s">
        <v>31</v>
      </c>
      <c r="R52" t="s">
        <v>272</v>
      </c>
      <c r="S52" t="s">
        <v>1131</v>
      </c>
      <c r="T52">
        <v>107211</v>
      </c>
      <c r="U52" t="s">
        <v>123</v>
      </c>
      <c r="X52" t="s">
        <v>35</v>
      </c>
      <c r="Y52" s="8">
        <v>4501229349</v>
      </c>
      <c r="Z52">
        <v>20200130</v>
      </c>
      <c r="AA52">
        <v>126.54</v>
      </c>
      <c r="AB52">
        <v>20.246400000000001</v>
      </c>
      <c r="AC52">
        <v>146.78640000000001</v>
      </c>
      <c r="AD52">
        <v>200124384</v>
      </c>
      <c r="AE52" t="s">
        <v>276</v>
      </c>
      <c r="AF52" s="4">
        <v>146.78640000000001</v>
      </c>
      <c r="AG52" t="s">
        <v>51</v>
      </c>
      <c r="AH52" t="s">
        <v>1123</v>
      </c>
      <c r="AI52">
        <v>200127161</v>
      </c>
      <c r="AJ52" t="s">
        <v>1148</v>
      </c>
      <c r="AK52" t="s">
        <v>1129</v>
      </c>
      <c r="AL52">
        <v>340218590</v>
      </c>
      <c r="AM52" t="s">
        <v>135</v>
      </c>
    </row>
    <row r="53" spans="1:39" x14ac:dyDescent="0.35">
      <c r="A53">
        <v>3402</v>
      </c>
      <c r="B53" t="s">
        <v>47</v>
      </c>
      <c r="C53">
        <v>2020</v>
      </c>
      <c r="D53" s="1">
        <v>43831</v>
      </c>
      <c r="E53">
        <v>1</v>
      </c>
      <c r="F53">
        <v>200114344</v>
      </c>
      <c r="G53" t="s">
        <v>120</v>
      </c>
      <c r="H53">
        <v>91</v>
      </c>
      <c r="I53">
        <v>71104010</v>
      </c>
      <c r="J53">
        <v>21021040</v>
      </c>
      <c r="K53" t="s">
        <v>121</v>
      </c>
      <c r="L53" s="4">
        <v>92.61</v>
      </c>
      <c r="M53" t="s">
        <v>31</v>
      </c>
      <c r="N53" s="4">
        <v>92.61</v>
      </c>
      <c r="O53" t="s">
        <v>31</v>
      </c>
      <c r="R53" t="s">
        <v>272</v>
      </c>
      <c r="S53" t="s">
        <v>1131</v>
      </c>
      <c r="T53">
        <v>107211</v>
      </c>
      <c r="U53" t="s">
        <v>123</v>
      </c>
      <c r="X53" t="s">
        <v>35</v>
      </c>
      <c r="Y53" s="8">
        <v>4501229349</v>
      </c>
      <c r="Z53">
        <v>20200130</v>
      </c>
      <c r="AA53">
        <v>92.61</v>
      </c>
      <c r="AB53">
        <v>14.817600000000001</v>
      </c>
      <c r="AC53">
        <v>107.4276</v>
      </c>
      <c r="AD53">
        <v>200124384</v>
      </c>
      <c r="AE53" t="s">
        <v>277</v>
      </c>
      <c r="AF53" s="4">
        <v>107.4276</v>
      </c>
      <c r="AG53" t="s">
        <v>51</v>
      </c>
      <c r="AH53" t="s">
        <v>1123</v>
      </c>
      <c r="AI53">
        <v>200127161</v>
      </c>
      <c r="AJ53" t="s">
        <v>1148</v>
      </c>
      <c r="AK53" t="s">
        <v>1129</v>
      </c>
      <c r="AL53">
        <v>340218590</v>
      </c>
      <c r="AM53" t="s">
        <v>135</v>
      </c>
    </row>
    <row r="54" spans="1:39" x14ac:dyDescent="0.35">
      <c r="A54">
        <v>3402</v>
      </c>
      <c r="B54" t="s">
        <v>47</v>
      </c>
      <c r="C54">
        <v>2020</v>
      </c>
      <c r="D54" s="1">
        <v>43831</v>
      </c>
      <c r="E54">
        <v>1</v>
      </c>
      <c r="F54">
        <v>200114347</v>
      </c>
      <c r="G54" t="s">
        <v>120</v>
      </c>
      <c r="H54">
        <v>91</v>
      </c>
      <c r="I54">
        <v>71104010</v>
      </c>
      <c r="J54">
        <v>21021040</v>
      </c>
      <c r="K54" t="s">
        <v>121</v>
      </c>
      <c r="L54" s="4">
        <v>124.01</v>
      </c>
      <c r="M54" t="s">
        <v>31</v>
      </c>
      <c r="N54" s="4">
        <v>124.01</v>
      </c>
      <c r="O54" t="s">
        <v>31</v>
      </c>
      <c r="R54" t="s">
        <v>272</v>
      </c>
      <c r="S54" t="s">
        <v>1131</v>
      </c>
      <c r="T54">
        <v>107211</v>
      </c>
      <c r="U54" t="s">
        <v>123</v>
      </c>
      <c r="X54" t="s">
        <v>35</v>
      </c>
      <c r="Y54" s="8">
        <v>4501229349</v>
      </c>
      <c r="Z54">
        <v>20200130</v>
      </c>
      <c r="AA54">
        <v>124.01</v>
      </c>
      <c r="AB54">
        <v>19.8416</v>
      </c>
      <c r="AC54">
        <v>143.85160000000002</v>
      </c>
      <c r="AD54">
        <v>200124384</v>
      </c>
      <c r="AE54" t="s">
        <v>288</v>
      </c>
      <c r="AF54" s="4">
        <v>143.85160000000002</v>
      </c>
      <c r="AG54" t="s">
        <v>51</v>
      </c>
      <c r="AH54" t="s">
        <v>1123</v>
      </c>
      <c r="AI54">
        <v>200127161</v>
      </c>
      <c r="AJ54" t="s">
        <v>1148</v>
      </c>
      <c r="AK54" t="s">
        <v>1129</v>
      </c>
      <c r="AL54">
        <v>340218590</v>
      </c>
      <c r="AM54" t="s">
        <v>135</v>
      </c>
    </row>
    <row r="55" spans="1:39" x14ac:dyDescent="0.35">
      <c r="A55">
        <v>3402</v>
      </c>
      <c r="B55" t="s">
        <v>47</v>
      </c>
      <c r="C55">
        <v>2020</v>
      </c>
      <c r="D55" s="1">
        <v>43831</v>
      </c>
      <c r="E55">
        <v>1</v>
      </c>
      <c r="F55">
        <v>200114349</v>
      </c>
      <c r="G55" t="s">
        <v>120</v>
      </c>
      <c r="H55">
        <v>91</v>
      </c>
      <c r="I55">
        <v>71104010</v>
      </c>
      <c r="J55">
        <v>21021040</v>
      </c>
      <c r="K55" t="s">
        <v>121</v>
      </c>
      <c r="L55" s="4">
        <v>124005.88</v>
      </c>
      <c r="M55" t="s">
        <v>31</v>
      </c>
      <c r="N55" s="4">
        <v>124005.88</v>
      </c>
      <c r="O55" t="s">
        <v>31</v>
      </c>
      <c r="R55" t="s">
        <v>272</v>
      </c>
      <c r="S55" t="s">
        <v>1131</v>
      </c>
      <c r="T55">
        <v>107211</v>
      </c>
      <c r="U55" t="s">
        <v>123</v>
      </c>
      <c r="X55" t="s">
        <v>35</v>
      </c>
      <c r="Y55" s="8">
        <v>4501229349</v>
      </c>
      <c r="Z55">
        <v>20200130</v>
      </c>
      <c r="AA55">
        <v>124005.88</v>
      </c>
      <c r="AB55">
        <v>19840.9408</v>
      </c>
      <c r="AC55">
        <v>143846.82080000002</v>
      </c>
      <c r="AD55">
        <v>200124384</v>
      </c>
      <c r="AE55" t="s">
        <v>288</v>
      </c>
      <c r="AF55" s="4">
        <v>143846.82080000002</v>
      </c>
      <c r="AG55" t="s">
        <v>51</v>
      </c>
      <c r="AH55" t="s">
        <v>1123</v>
      </c>
      <c r="AI55">
        <v>200127161</v>
      </c>
      <c r="AJ55" t="s">
        <v>1148</v>
      </c>
      <c r="AK55" t="s">
        <v>1129</v>
      </c>
      <c r="AL55">
        <v>340218590</v>
      </c>
      <c r="AM55" t="s">
        <v>135</v>
      </c>
    </row>
    <row r="56" spans="1:39" x14ac:dyDescent="0.35">
      <c r="A56">
        <v>3402</v>
      </c>
      <c r="B56" t="s">
        <v>47</v>
      </c>
      <c r="C56">
        <v>2020</v>
      </c>
      <c r="D56" s="1">
        <v>43831</v>
      </c>
      <c r="E56">
        <v>1</v>
      </c>
      <c r="F56">
        <v>200114351</v>
      </c>
      <c r="G56" t="s">
        <v>120</v>
      </c>
      <c r="H56">
        <v>91</v>
      </c>
      <c r="I56">
        <v>71104010</v>
      </c>
      <c r="J56">
        <v>21021040</v>
      </c>
      <c r="K56" t="s">
        <v>121</v>
      </c>
      <c r="L56" s="4">
        <v>128.66</v>
      </c>
      <c r="M56" t="s">
        <v>31</v>
      </c>
      <c r="N56" s="4">
        <v>128.66</v>
      </c>
      <c r="O56" t="s">
        <v>31</v>
      </c>
      <c r="R56" t="s">
        <v>272</v>
      </c>
      <c r="S56" t="s">
        <v>1131</v>
      </c>
      <c r="T56">
        <v>107211</v>
      </c>
      <c r="U56" t="s">
        <v>123</v>
      </c>
      <c r="X56" t="s">
        <v>35</v>
      </c>
      <c r="Y56" s="8">
        <v>4501229349</v>
      </c>
      <c r="Z56">
        <v>20200130</v>
      </c>
      <c r="AA56">
        <v>128.66</v>
      </c>
      <c r="AB56">
        <v>20.585599999999999</v>
      </c>
      <c r="AC56">
        <v>149.2456</v>
      </c>
      <c r="AD56">
        <v>200124384</v>
      </c>
      <c r="AE56" t="s">
        <v>290</v>
      </c>
      <c r="AF56" s="4">
        <v>149.2456</v>
      </c>
      <c r="AG56" t="s">
        <v>51</v>
      </c>
      <c r="AH56" t="s">
        <v>1123</v>
      </c>
      <c r="AI56">
        <v>200127161</v>
      </c>
      <c r="AJ56" t="s">
        <v>1148</v>
      </c>
      <c r="AK56" t="s">
        <v>1129</v>
      </c>
      <c r="AL56">
        <v>340218590</v>
      </c>
      <c r="AM56" t="s">
        <v>135</v>
      </c>
    </row>
    <row r="57" spans="1:39" x14ac:dyDescent="0.35">
      <c r="A57">
        <v>3402</v>
      </c>
      <c r="B57" t="s">
        <v>47</v>
      </c>
      <c r="C57">
        <v>2020</v>
      </c>
      <c r="D57" s="1">
        <v>43831</v>
      </c>
      <c r="E57">
        <v>1</v>
      </c>
      <c r="F57">
        <v>200114353</v>
      </c>
      <c r="G57" t="s">
        <v>120</v>
      </c>
      <c r="H57">
        <v>91</v>
      </c>
      <c r="I57">
        <v>71104010</v>
      </c>
      <c r="J57">
        <v>21021040</v>
      </c>
      <c r="K57" t="s">
        <v>121</v>
      </c>
      <c r="L57" s="4">
        <v>125.42</v>
      </c>
      <c r="M57" t="s">
        <v>31</v>
      </c>
      <c r="N57" s="4">
        <v>125.42</v>
      </c>
      <c r="O57" t="s">
        <v>31</v>
      </c>
      <c r="R57" t="s">
        <v>272</v>
      </c>
      <c r="S57" t="s">
        <v>1131</v>
      </c>
      <c r="T57">
        <v>107211</v>
      </c>
      <c r="U57" t="s">
        <v>123</v>
      </c>
      <c r="X57" t="s">
        <v>35</v>
      </c>
      <c r="Y57" s="8">
        <v>4501229349</v>
      </c>
      <c r="Z57">
        <v>20200130</v>
      </c>
      <c r="AA57">
        <v>125.42</v>
      </c>
      <c r="AB57">
        <v>20.0672</v>
      </c>
      <c r="AC57">
        <v>145.4872</v>
      </c>
      <c r="AD57">
        <v>200124384</v>
      </c>
      <c r="AE57" t="s">
        <v>291</v>
      </c>
      <c r="AF57" s="4">
        <v>145.4872</v>
      </c>
      <c r="AG57" t="s">
        <v>51</v>
      </c>
      <c r="AH57" t="s">
        <v>1123</v>
      </c>
      <c r="AI57">
        <v>200127161</v>
      </c>
      <c r="AJ57" t="s">
        <v>1148</v>
      </c>
      <c r="AK57" t="s">
        <v>1129</v>
      </c>
      <c r="AL57">
        <v>340218590</v>
      </c>
      <c r="AM57" t="s">
        <v>135</v>
      </c>
    </row>
    <row r="58" spans="1:39" x14ac:dyDescent="0.35">
      <c r="A58">
        <v>3402</v>
      </c>
      <c r="B58" t="s">
        <v>47</v>
      </c>
      <c r="C58">
        <v>2020</v>
      </c>
      <c r="D58" s="1">
        <v>43831</v>
      </c>
      <c r="E58">
        <v>1</v>
      </c>
      <c r="F58">
        <v>200114355</v>
      </c>
      <c r="G58" t="s">
        <v>120</v>
      </c>
      <c r="H58">
        <v>91</v>
      </c>
      <c r="I58">
        <v>71104010</v>
      </c>
      <c r="J58">
        <v>21021040</v>
      </c>
      <c r="K58" t="s">
        <v>121</v>
      </c>
      <c r="L58" s="4">
        <v>146.44999999999999</v>
      </c>
      <c r="M58" t="s">
        <v>31</v>
      </c>
      <c r="N58" s="4">
        <v>146.44999999999999</v>
      </c>
      <c r="O58" t="s">
        <v>31</v>
      </c>
      <c r="R58" t="s">
        <v>272</v>
      </c>
      <c r="S58" t="s">
        <v>1131</v>
      </c>
      <c r="T58">
        <v>107211</v>
      </c>
      <c r="U58" t="s">
        <v>123</v>
      </c>
      <c r="X58" t="s">
        <v>35</v>
      </c>
      <c r="Y58" s="8">
        <v>4501229349</v>
      </c>
      <c r="Z58">
        <v>20200130</v>
      </c>
      <c r="AA58">
        <v>146.44999999999999</v>
      </c>
      <c r="AB58">
        <v>23.431999999999999</v>
      </c>
      <c r="AC58">
        <v>169.88199999999998</v>
      </c>
      <c r="AD58">
        <v>200124384</v>
      </c>
      <c r="AE58" t="s">
        <v>292</v>
      </c>
      <c r="AF58" s="4">
        <v>169.88199999999998</v>
      </c>
      <c r="AG58" t="s">
        <v>51</v>
      </c>
      <c r="AH58" t="s">
        <v>1123</v>
      </c>
      <c r="AI58">
        <v>200127161</v>
      </c>
      <c r="AJ58" t="s">
        <v>1148</v>
      </c>
      <c r="AK58" t="s">
        <v>1129</v>
      </c>
      <c r="AL58">
        <v>340218590</v>
      </c>
      <c r="AM58" t="s">
        <v>135</v>
      </c>
    </row>
    <row r="59" spans="1:39" x14ac:dyDescent="0.35">
      <c r="A59">
        <v>3402</v>
      </c>
      <c r="B59" t="s">
        <v>47</v>
      </c>
      <c r="C59">
        <v>2020</v>
      </c>
      <c r="D59" s="1">
        <v>43831</v>
      </c>
      <c r="E59">
        <v>1</v>
      </c>
      <c r="F59">
        <v>200114357</v>
      </c>
      <c r="G59" t="s">
        <v>120</v>
      </c>
      <c r="H59">
        <v>91</v>
      </c>
      <c r="I59">
        <v>71104010</v>
      </c>
      <c r="J59">
        <v>21021040</v>
      </c>
      <c r="K59" t="s">
        <v>121</v>
      </c>
      <c r="L59" s="4">
        <v>133.81</v>
      </c>
      <c r="M59" t="s">
        <v>31</v>
      </c>
      <c r="N59" s="4">
        <v>133.81</v>
      </c>
      <c r="O59" t="s">
        <v>31</v>
      </c>
      <c r="R59" t="s">
        <v>272</v>
      </c>
      <c r="S59" t="s">
        <v>1131</v>
      </c>
      <c r="T59">
        <v>107211</v>
      </c>
      <c r="U59" t="s">
        <v>123</v>
      </c>
      <c r="X59" t="s">
        <v>35</v>
      </c>
      <c r="Y59" s="8">
        <v>4501229349</v>
      </c>
      <c r="Z59">
        <v>20200130</v>
      </c>
      <c r="AA59">
        <v>133.81</v>
      </c>
      <c r="AB59">
        <v>21.409600000000001</v>
      </c>
      <c r="AC59">
        <v>155.21960000000001</v>
      </c>
      <c r="AD59">
        <v>200124384</v>
      </c>
      <c r="AE59" t="s">
        <v>293</v>
      </c>
      <c r="AF59" s="4">
        <v>155.21960000000001</v>
      </c>
      <c r="AG59" t="s">
        <v>51</v>
      </c>
      <c r="AH59" t="s">
        <v>1123</v>
      </c>
      <c r="AI59">
        <v>200127161</v>
      </c>
      <c r="AJ59" t="s">
        <v>1148</v>
      </c>
      <c r="AK59" t="s">
        <v>1129</v>
      </c>
      <c r="AL59">
        <v>340218590</v>
      </c>
      <c r="AM59" t="s">
        <v>135</v>
      </c>
    </row>
    <row r="60" spans="1:39" x14ac:dyDescent="0.35">
      <c r="A60">
        <v>3402</v>
      </c>
      <c r="B60" t="s">
        <v>47</v>
      </c>
      <c r="C60">
        <v>2020</v>
      </c>
      <c r="D60" s="1">
        <v>43831</v>
      </c>
      <c r="E60">
        <v>1</v>
      </c>
      <c r="F60">
        <v>200114360</v>
      </c>
      <c r="G60" t="s">
        <v>120</v>
      </c>
      <c r="H60">
        <v>91</v>
      </c>
      <c r="I60">
        <v>71104010</v>
      </c>
      <c r="J60">
        <v>21021040</v>
      </c>
      <c r="K60" t="s">
        <v>121</v>
      </c>
      <c r="L60" s="4">
        <v>106.13</v>
      </c>
      <c r="M60" t="s">
        <v>31</v>
      </c>
      <c r="N60" s="4">
        <v>106.13</v>
      </c>
      <c r="O60" t="s">
        <v>31</v>
      </c>
      <c r="R60" t="s">
        <v>272</v>
      </c>
      <c r="S60" t="s">
        <v>1131</v>
      </c>
      <c r="T60">
        <v>107211</v>
      </c>
      <c r="U60" t="s">
        <v>123</v>
      </c>
      <c r="X60" t="s">
        <v>35</v>
      </c>
      <c r="Y60" s="8">
        <v>4501229349</v>
      </c>
      <c r="Z60">
        <v>20200130</v>
      </c>
      <c r="AA60">
        <v>106.13</v>
      </c>
      <c r="AB60">
        <v>16.980799999999999</v>
      </c>
      <c r="AC60">
        <v>123.1108</v>
      </c>
      <c r="AD60">
        <v>200124384</v>
      </c>
      <c r="AE60" t="s">
        <v>294</v>
      </c>
      <c r="AF60" s="4">
        <v>123.1108</v>
      </c>
      <c r="AG60" t="s">
        <v>51</v>
      </c>
      <c r="AH60" t="s">
        <v>1123</v>
      </c>
      <c r="AI60">
        <v>200127161</v>
      </c>
      <c r="AJ60" t="s">
        <v>1148</v>
      </c>
      <c r="AK60" t="s">
        <v>1129</v>
      </c>
      <c r="AL60">
        <v>340218590</v>
      </c>
      <c r="AM60" t="s">
        <v>135</v>
      </c>
    </row>
    <row r="61" spans="1:39" x14ac:dyDescent="0.35">
      <c r="A61">
        <v>3402</v>
      </c>
      <c r="B61" t="s">
        <v>47</v>
      </c>
      <c r="C61">
        <v>2020</v>
      </c>
      <c r="D61" s="1">
        <v>43831</v>
      </c>
      <c r="E61">
        <v>1</v>
      </c>
      <c r="F61">
        <v>200114362</v>
      </c>
      <c r="G61" t="s">
        <v>120</v>
      </c>
      <c r="H61">
        <v>91</v>
      </c>
      <c r="I61">
        <v>71104010</v>
      </c>
      <c r="J61">
        <v>21021040</v>
      </c>
      <c r="K61" t="s">
        <v>121</v>
      </c>
      <c r="L61" s="4">
        <v>152.13</v>
      </c>
      <c r="M61" t="s">
        <v>31</v>
      </c>
      <c r="N61" s="4">
        <v>152.13</v>
      </c>
      <c r="O61" t="s">
        <v>31</v>
      </c>
      <c r="R61" t="s">
        <v>272</v>
      </c>
      <c r="S61" t="s">
        <v>1131</v>
      </c>
      <c r="T61">
        <v>107211</v>
      </c>
      <c r="U61" t="s">
        <v>123</v>
      </c>
      <c r="X61" t="s">
        <v>35</v>
      </c>
      <c r="Y61" s="8">
        <v>4501229349</v>
      </c>
      <c r="Z61">
        <v>20200130</v>
      </c>
      <c r="AA61">
        <v>152.13</v>
      </c>
      <c r="AB61">
        <v>24.340800000000002</v>
      </c>
      <c r="AC61">
        <v>176.4708</v>
      </c>
      <c r="AD61">
        <v>200124384</v>
      </c>
      <c r="AE61" t="s">
        <v>295</v>
      </c>
      <c r="AF61" s="4">
        <v>176.4708</v>
      </c>
      <c r="AG61" t="s">
        <v>51</v>
      </c>
      <c r="AH61" t="s">
        <v>1123</v>
      </c>
      <c r="AI61">
        <v>200127161</v>
      </c>
      <c r="AJ61" t="s">
        <v>1148</v>
      </c>
      <c r="AK61" t="s">
        <v>1129</v>
      </c>
      <c r="AL61">
        <v>340218590</v>
      </c>
      <c r="AM61" t="s">
        <v>135</v>
      </c>
    </row>
    <row r="62" spans="1:39" x14ac:dyDescent="0.35">
      <c r="A62">
        <v>3402</v>
      </c>
      <c r="B62" t="s">
        <v>47</v>
      </c>
      <c r="C62">
        <v>2020</v>
      </c>
      <c r="D62" s="1">
        <v>43831</v>
      </c>
      <c r="E62">
        <v>1</v>
      </c>
      <c r="F62">
        <v>200114364</v>
      </c>
      <c r="G62" t="s">
        <v>120</v>
      </c>
      <c r="H62">
        <v>91</v>
      </c>
      <c r="I62">
        <v>71104010</v>
      </c>
      <c r="J62">
        <v>21021040</v>
      </c>
      <c r="K62" t="s">
        <v>121</v>
      </c>
      <c r="L62" s="4">
        <v>139.52000000000001</v>
      </c>
      <c r="M62" t="s">
        <v>31</v>
      </c>
      <c r="N62" s="4">
        <v>139.52000000000001</v>
      </c>
      <c r="O62" t="s">
        <v>31</v>
      </c>
      <c r="R62" t="s">
        <v>272</v>
      </c>
      <c r="S62" t="s">
        <v>1131</v>
      </c>
      <c r="T62">
        <v>107211</v>
      </c>
      <c r="U62" t="s">
        <v>123</v>
      </c>
      <c r="X62" t="s">
        <v>35</v>
      </c>
      <c r="Y62" s="8">
        <v>4501229349</v>
      </c>
      <c r="Z62">
        <v>20200130</v>
      </c>
      <c r="AA62">
        <v>139.52000000000001</v>
      </c>
      <c r="AB62">
        <v>22.323200000000003</v>
      </c>
      <c r="AC62">
        <v>161.84320000000002</v>
      </c>
      <c r="AD62">
        <v>200124384</v>
      </c>
      <c r="AE62" t="s">
        <v>296</v>
      </c>
      <c r="AF62" s="4">
        <v>161.84320000000002</v>
      </c>
      <c r="AG62" t="s">
        <v>51</v>
      </c>
      <c r="AH62" t="s">
        <v>1123</v>
      </c>
      <c r="AI62">
        <v>200127161</v>
      </c>
      <c r="AJ62" t="s">
        <v>1148</v>
      </c>
      <c r="AK62" t="s">
        <v>1129</v>
      </c>
      <c r="AL62">
        <v>340218590</v>
      </c>
      <c r="AM62" t="s">
        <v>135</v>
      </c>
    </row>
    <row r="63" spans="1:39" x14ac:dyDescent="0.35">
      <c r="A63">
        <v>3402</v>
      </c>
      <c r="B63" t="s">
        <v>47</v>
      </c>
      <c r="C63">
        <v>2020</v>
      </c>
      <c r="D63" s="1">
        <v>43831</v>
      </c>
      <c r="E63">
        <v>1</v>
      </c>
      <c r="F63">
        <v>200114370</v>
      </c>
      <c r="G63" t="s">
        <v>120</v>
      </c>
      <c r="H63">
        <v>91</v>
      </c>
      <c r="I63">
        <v>71104010</v>
      </c>
      <c r="J63">
        <v>21021040</v>
      </c>
      <c r="K63" t="s">
        <v>121</v>
      </c>
      <c r="L63" s="4">
        <v>139.66</v>
      </c>
      <c r="M63" t="s">
        <v>31</v>
      </c>
      <c r="N63" s="4">
        <v>139.66</v>
      </c>
      <c r="O63" t="s">
        <v>31</v>
      </c>
      <c r="R63" t="s">
        <v>272</v>
      </c>
      <c r="S63" t="s">
        <v>1131</v>
      </c>
      <c r="T63">
        <v>107211</v>
      </c>
      <c r="U63" t="s">
        <v>123</v>
      </c>
      <c r="X63" t="s">
        <v>35</v>
      </c>
      <c r="Y63" s="8">
        <v>4501229349</v>
      </c>
      <c r="Z63">
        <v>20200130</v>
      </c>
      <c r="AA63">
        <v>139.66</v>
      </c>
      <c r="AB63">
        <v>22.345600000000001</v>
      </c>
      <c r="AC63">
        <v>162.00559999999999</v>
      </c>
      <c r="AD63">
        <v>200124384</v>
      </c>
      <c r="AE63" t="s">
        <v>297</v>
      </c>
      <c r="AF63" s="4">
        <v>162.00559999999999</v>
      </c>
      <c r="AG63" t="s">
        <v>51</v>
      </c>
      <c r="AH63" t="s">
        <v>1123</v>
      </c>
      <c r="AI63">
        <v>200127161</v>
      </c>
      <c r="AJ63" t="s">
        <v>1148</v>
      </c>
      <c r="AK63" t="s">
        <v>1129</v>
      </c>
      <c r="AL63">
        <v>340218590</v>
      </c>
      <c r="AM63" t="s">
        <v>135</v>
      </c>
    </row>
    <row r="64" spans="1:39" x14ac:dyDescent="0.35">
      <c r="A64">
        <v>3402</v>
      </c>
      <c r="B64" t="s">
        <v>47</v>
      </c>
      <c r="C64">
        <v>2020</v>
      </c>
      <c r="D64" s="1">
        <v>43831</v>
      </c>
      <c r="E64">
        <v>1</v>
      </c>
      <c r="F64">
        <v>200114386</v>
      </c>
      <c r="G64" t="s">
        <v>120</v>
      </c>
      <c r="H64">
        <v>91</v>
      </c>
      <c r="I64">
        <v>71104010</v>
      </c>
      <c r="J64">
        <v>21021040</v>
      </c>
      <c r="K64" t="s">
        <v>121</v>
      </c>
      <c r="L64" s="4">
        <v>135.1</v>
      </c>
      <c r="M64" t="s">
        <v>31</v>
      </c>
      <c r="N64" s="4">
        <v>135.1</v>
      </c>
      <c r="O64" t="s">
        <v>31</v>
      </c>
      <c r="R64" t="s">
        <v>272</v>
      </c>
      <c r="S64" t="s">
        <v>1131</v>
      </c>
      <c r="T64">
        <v>107211</v>
      </c>
      <c r="U64" t="s">
        <v>123</v>
      </c>
      <c r="X64" t="s">
        <v>35</v>
      </c>
      <c r="Y64" s="8">
        <v>4501229349</v>
      </c>
      <c r="Z64">
        <v>20200130</v>
      </c>
      <c r="AA64">
        <v>135.1</v>
      </c>
      <c r="AB64">
        <v>21.616</v>
      </c>
      <c r="AC64">
        <v>156.71600000000001</v>
      </c>
      <c r="AD64">
        <v>200124384</v>
      </c>
      <c r="AE64" t="s">
        <v>279</v>
      </c>
      <c r="AF64" s="4">
        <v>156.71600000000001</v>
      </c>
      <c r="AG64" t="s">
        <v>51</v>
      </c>
      <c r="AH64" t="s">
        <v>1123</v>
      </c>
      <c r="AI64">
        <v>200127161</v>
      </c>
      <c r="AJ64" t="s">
        <v>1148</v>
      </c>
      <c r="AK64" t="s">
        <v>1129</v>
      </c>
      <c r="AL64">
        <v>340218590</v>
      </c>
      <c r="AM64" t="s">
        <v>135</v>
      </c>
    </row>
    <row r="65" spans="1:39" x14ac:dyDescent="0.35">
      <c r="A65">
        <v>3402</v>
      </c>
      <c r="B65" t="s">
        <v>47</v>
      </c>
      <c r="C65">
        <v>2020</v>
      </c>
      <c r="D65" s="1">
        <v>43831</v>
      </c>
      <c r="E65">
        <v>1</v>
      </c>
      <c r="F65">
        <v>200114390</v>
      </c>
      <c r="G65" t="s">
        <v>120</v>
      </c>
      <c r="H65">
        <v>91</v>
      </c>
      <c r="I65">
        <v>71104010</v>
      </c>
      <c r="J65">
        <v>21021040</v>
      </c>
      <c r="K65" t="s">
        <v>121</v>
      </c>
      <c r="L65" s="4">
        <v>99.77</v>
      </c>
      <c r="M65" t="s">
        <v>31</v>
      </c>
      <c r="N65" s="4">
        <v>99.77</v>
      </c>
      <c r="O65" t="s">
        <v>31</v>
      </c>
      <c r="R65" t="s">
        <v>272</v>
      </c>
      <c r="S65" t="s">
        <v>1131</v>
      </c>
      <c r="T65">
        <v>107211</v>
      </c>
      <c r="U65" t="s">
        <v>123</v>
      </c>
      <c r="X65" t="s">
        <v>35</v>
      </c>
      <c r="Y65" s="8">
        <v>4501229349</v>
      </c>
      <c r="Z65">
        <v>20200130</v>
      </c>
      <c r="AA65">
        <v>99.77</v>
      </c>
      <c r="AB65">
        <v>15.963200000000001</v>
      </c>
      <c r="AC65">
        <v>115.7332</v>
      </c>
      <c r="AD65">
        <v>200124384</v>
      </c>
      <c r="AE65" t="s">
        <v>298</v>
      </c>
      <c r="AF65" s="4">
        <v>115.7332</v>
      </c>
      <c r="AG65" t="s">
        <v>51</v>
      </c>
      <c r="AH65" t="s">
        <v>1123</v>
      </c>
      <c r="AI65">
        <v>200127161</v>
      </c>
      <c r="AJ65" t="s">
        <v>1148</v>
      </c>
      <c r="AK65" t="s">
        <v>1129</v>
      </c>
      <c r="AL65">
        <v>340218590</v>
      </c>
      <c r="AM65" t="s">
        <v>135</v>
      </c>
    </row>
    <row r="66" spans="1:39" x14ac:dyDescent="0.35">
      <c r="A66">
        <v>3402</v>
      </c>
      <c r="B66" t="s">
        <v>47</v>
      </c>
      <c r="C66">
        <v>2020</v>
      </c>
      <c r="D66" s="1">
        <v>43831</v>
      </c>
      <c r="E66">
        <v>1</v>
      </c>
      <c r="F66">
        <v>200114394</v>
      </c>
      <c r="G66" t="s">
        <v>120</v>
      </c>
      <c r="H66">
        <v>91</v>
      </c>
      <c r="I66">
        <v>71104010</v>
      </c>
      <c r="J66">
        <v>21021040</v>
      </c>
      <c r="K66" t="s">
        <v>121</v>
      </c>
      <c r="L66" s="4">
        <v>114.32</v>
      </c>
      <c r="M66" t="s">
        <v>31</v>
      </c>
      <c r="N66" s="4">
        <v>114.32</v>
      </c>
      <c r="O66" t="s">
        <v>31</v>
      </c>
      <c r="R66" t="s">
        <v>272</v>
      </c>
      <c r="S66" t="s">
        <v>1131</v>
      </c>
      <c r="T66">
        <v>107211</v>
      </c>
      <c r="U66" t="s">
        <v>123</v>
      </c>
      <c r="X66" t="s">
        <v>35</v>
      </c>
      <c r="Y66" s="8">
        <v>4501229349</v>
      </c>
      <c r="Z66">
        <v>20200130</v>
      </c>
      <c r="AA66">
        <v>114.32</v>
      </c>
      <c r="AB66">
        <v>18.2912</v>
      </c>
      <c r="AC66">
        <v>132.6112</v>
      </c>
      <c r="AD66">
        <v>200124384</v>
      </c>
      <c r="AE66" t="s">
        <v>299</v>
      </c>
      <c r="AF66" s="4">
        <v>132.6112</v>
      </c>
      <c r="AG66" t="s">
        <v>51</v>
      </c>
      <c r="AH66" t="s">
        <v>1123</v>
      </c>
      <c r="AI66">
        <v>200127161</v>
      </c>
      <c r="AJ66" t="s">
        <v>1148</v>
      </c>
      <c r="AK66" t="s">
        <v>1129</v>
      </c>
      <c r="AL66">
        <v>340218590</v>
      </c>
      <c r="AM66" t="s">
        <v>135</v>
      </c>
    </row>
    <row r="67" spans="1:39" x14ac:dyDescent="0.35">
      <c r="A67">
        <v>3402</v>
      </c>
      <c r="B67" t="s">
        <v>47</v>
      </c>
      <c r="C67">
        <v>2020</v>
      </c>
      <c r="D67" s="1">
        <v>43831</v>
      </c>
      <c r="E67">
        <v>1</v>
      </c>
      <c r="F67">
        <v>200114396</v>
      </c>
      <c r="G67" t="s">
        <v>120</v>
      </c>
      <c r="H67">
        <v>91</v>
      </c>
      <c r="I67">
        <v>71104010</v>
      </c>
      <c r="J67">
        <v>21021040</v>
      </c>
      <c r="K67" t="s">
        <v>121</v>
      </c>
      <c r="L67" s="4">
        <v>103.05</v>
      </c>
      <c r="M67" t="s">
        <v>31</v>
      </c>
      <c r="N67" s="4">
        <v>103.05</v>
      </c>
      <c r="O67" t="s">
        <v>31</v>
      </c>
      <c r="R67" t="s">
        <v>272</v>
      </c>
      <c r="S67" t="s">
        <v>1131</v>
      </c>
      <c r="T67">
        <v>107211</v>
      </c>
      <c r="U67" t="s">
        <v>123</v>
      </c>
      <c r="X67" t="s">
        <v>35</v>
      </c>
      <c r="Y67" s="8">
        <v>4501229349</v>
      </c>
      <c r="Z67">
        <v>20200130</v>
      </c>
      <c r="AA67">
        <v>103.05</v>
      </c>
      <c r="AB67">
        <v>16.488</v>
      </c>
      <c r="AC67">
        <v>119.538</v>
      </c>
      <c r="AD67">
        <v>200124384</v>
      </c>
      <c r="AE67" t="s">
        <v>300</v>
      </c>
      <c r="AF67" s="4">
        <v>119.538</v>
      </c>
      <c r="AG67" t="s">
        <v>51</v>
      </c>
      <c r="AH67" t="s">
        <v>1123</v>
      </c>
      <c r="AI67">
        <v>200127161</v>
      </c>
      <c r="AJ67" t="s">
        <v>1148</v>
      </c>
      <c r="AK67" t="s">
        <v>1129</v>
      </c>
      <c r="AL67">
        <v>340218590</v>
      </c>
      <c r="AM67" t="s">
        <v>135</v>
      </c>
    </row>
    <row r="68" spans="1:39" x14ac:dyDescent="0.35">
      <c r="A68">
        <v>3402</v>
      </c>
      <c r="B68" t="s">
        <v>47</v>
      </c>
      <c r="C68">
        <v>2020</v>
      </c>
      <c r="D68" s="1">
        <v>43831</v>
      </c>
      <c r="E68">
        <v>1</v>
      </c>
      <c r="F68">
        <v>200114398</v>
      </c>
      <c r="G68" t="s">
        <v>120</v>
      </c>
      <c r="H68">
        <v>91</v>
      </c>
      <c r="I68">
        <v>71104010</v>
      </c>
      <c r="J68">
        <v>21021040</v>
      </c>
      <c r="K68" t="s">
        <v>121</v>
      </c>
      <c r="L68" s="4">
        <v>106.36</v>
      </c>
      <c r="M68" t="s">
        <v>31</v>
      </c>
      <c r="N68" s="4">
        <v>106.36</v>
      </c>
      <c r="O68" t="s">
        <v>31</v>
      </c>
      <c r="R68" t="s">
        <v>272</v>
      </c>
      <c r="S68" t="s">
        <v>1131</v>
      </c>
      <c r="T68">
        <v>107211</v>
      </c>
      <c r="U68" t="s">
        <v>123</v>
      </c>
      <c r="X68" t="s">
        <v>35</v>
      </c>
      <c r="Y68" s="8">
        <v>4501229349</v>
      </c>
      <c r="Z68">
        <v>20200130</v>
      </c>
      <c r="AA68">
        <v>106.36</v>
      </c>
      <c r="AB68">
        <v>17.017600000000002</v>
      </c>
      <c r="AC68">
        <v>123.3776</v>
      </c>
      <c r="AD68">
        <v>200124384</v>
      </c>
      <c r="AE68" t="s">
        <v>301</v>
      </c>
      <c r="AF68" s="4">
        <v>123.3776</v>
      </c>
      <c r="AG68" t="s">
        <v>51</v>
      </c>
      <c r="AH68" t="s">
        <v>1123</v>
      </c>
      <c r="AI68">
        <v>200127161</v>
      </c>
      <c r="AJ68" t="s">
        <v>1148</v>
      </c>
      <c r="AK68" t="s">
        <v>1129</v>
      </c>
      <c r="AL68">
        <v>340218590</v>
      </c>
      <c r="AM68" t="s">
        <v>135</v>
      </c>
    </row>
    <row r="69" spans="1:39" x14ac:dyDescent="0.35">
      <c r="A69">
        <v>3402</v>
      </c>
      <c r="B69" t="s">
        <v>47</v>
      </c>
      <c r="C69">
        <v>2020</v>
      </c>
      <c r="D69" s="1">
        <v>43831</v>
      </c>
      <c r="E69">
        <v>1</v>
      </c>
      <c r="F69">
        <v>200114405</v>
      </c>
      <c r="G69" t="s">
        <v>120</v>
      </c>
      <c r="H69">
        <v>91</v>
      </c>
      <c r="I69">
        <v>71104010</v>
      </c>
      <c r="J69">
        <v>21021040</v>
      </c>
      <c r="K69" t="s">
        <v>121</v>
      </c>
      <c r="L69" s="4">
        <v>92.39</v>
      </c>
      <c r="M69" t="s">
        <v>31</v>
      </c>
      <c r="N69" s="4">
        <v>92.39</v>
      </c>
      <c r="O69" t="s">
        <v>31</v>
      </c>
      <c r="R69" t="s">
        <v>272</v>
      </c>
      <c r="S69" t="s">
        <v>1131</v>
      </c>
      <c r="T69">
        <v>107211</v>
      </c>
      <c r="U69" t="s">
        <v>123</v>
      </c>
      <c r="X69" t="s">
        <v>35</v>
      </c>
      <c r="Y69" s="8">
        <v>4501229349</v>
      </c>
      <c r="Z69">
        <v>20200130</v>
      </c>
      <c r="AA69">
        <v>92.39</v>
      </c>
      <c r="AB69">
        <v>14.782400000000001</v>
      </c>
      <c r="AC69">
        <v>107.1724</v>
      </c>
      <c r="AD69">
        <v>200124384</v>
      </c>
      <c r="AE69" t="s">
        <v>302</v>
      </c>
      <c r="AF69" s="4">
        <v>107.1724</v>
      </c>
      <c r="AG69" t="s">
        <v>51</v>
      </c>
      <c r="AH69" t="s">
        <v>1123</v>
      </c>
      <c r="AI69">
        <v>200127161</v>
      </c>
      <c r="AJ69" t="s">
        <v>1148</v>
      </c>
      <c r="AK69" t="s">
        <v>1129</v>
      </c>
      <c r="AL69">
        <v>340218590</v>
      </c>
      <c r="AM69" t="s">
        <v>135</v>
      </c>
    </row>
    <row r="70" spans="1:39" x14ac:dyDescent="0.35">
      <c r="A70">
        <v>3402</v>
      </c>
      <c r="B70" t="s">
        <v>47</v>
      </c>
      <c r="C70">
        <v>2020</v>
      </c>
      <c r="D70" s="1">
        <v>43831</v>
      </c>
      <c r="E70">
        <v>1</v>
      </c>
      <c r="F70">
        <v>200114407</v>
      </c>
      <c r="G70" t="s">
        <v>120</v>
      </c>
      <c r="H70">
        <v>91</v>
      </c>
      <c r="I70">
        <v>71104010</v>
      </c>
      <c r="J70">
        <v>21021040</v>
      </c>
      <c r="K70" t="s">
        <v>121</v>
      </c>
      <c r="L70" s="4">
        <v>131.58000000000001</v>
      </c>
      <c r="M70" t="s">
        <v>31</v>
      </c>
      <c r="N70" s="4">
        <v>131.58000000000001</v>
      </c>
      <c r="O70" t="s">
        <v>31</v>
      </c>
      <c r="R70" t="s">
        <v>272</v>
      </c>
      <c r="S70" t="s">
        <v>1131</v>
      </c>
      <c r="T70">
        <v>107211</v>
      </c>
      <c r="U70" t="s">
        <v>123</v>
      </c>
      <c r="X70" t="s">
        <v>35</v>
      </c>
      <c r="Y70" s="8">
        <v>4501229349</v>
      </c>
      <c r="Z70">
        <v>20200130</v>
      </c>
      <c r="AA70">
        <v>131.58000000000001</v>
      </c>
      <c r="AB70">
        <v>21.052800000000001</v>
      </c>
      <c r="AC70">
        <v>152.6328</v>
      </c>
      <c r="AD70">
        <v>200124384</v>
      </c>
      <c r="AE70" t="s">
        <v>274</v>
      </c>
      <c r="AF70" s="4">
        <v>152.6328</v>
      </c>
      <c r="AG70" t="s">
        <v>51</v>
      </c>
      <c r="AH70" t="s">
        <v>1123</v>
      </c>
      <c r="AI70">
        <v>200127161</v>
      </c>
      <c r="AJ70" t="s">
        <v>1148</v>
      </c>
      <c r="AK70" t="s">
        <v>1129</v>
      </c>
      <c r="AL70">
        <v>340218590</v>
      </c>
      <c r="AM70" t="s">
        <v>135</v>
      </c>
    </row>
    <row r="71" spans="1:39" x14ac:dyDescent="0.35">
      <c r="A71">
        <v>3402</v>
      </c>
      <c r="B71" t="s">
        <v>47</v>
      </c>
      <c r="C71">
        <v>2020</v>
      </c>
      <c r="D71" s="1">
        <v>43831</v>
      </c>
      <c r="E71">
        <v>1</v>
      </c>
      <c r="F71">
        <v>200114409</v>
      </c>
      <c r="G71" t="s">
        <v>120</v>
      </c>
      <c r="H71">
        <v>91</v>
      </c>
      <c r="I71">
        <v>71104010</v>
      </c>
      <c r="J71">
        <v>21021040</v>
      </c>
      <c r="K71" t="s">
        <v>121</v>
      </c>
      <c r="L71" s="4">
        <v>134.05000000000001</v>
      </c>
      <c r="M71" t="s">
        <v>31</v>
      </c>
      <c r="N71" s="4">
        <v>134.05000000000001</v>
      </c>
      <c r="O71" t="s">
        <v>31</v>
      </c>
      <c r="R71" t="s">
        <v>272</v>
      </c>
      <c r="S71" t="s">
        <v>1131</v>
      </c>
      <c r="T71">
        <v>107211</v>
      </c>
      <c r="U71" t="s">
        <v>123</v>
      </c>
      <c r="X71" t="s">
        <v>35</v>
      </c>
      <c r="Y71" s="8">
        <v>4501229349</v>
      </c>
      <c r="Z71">
        <v>20200130</v>
      </c>
      <c r="AA71">
        <v>134.05000000000001</v>
      </c>
      <c r="AB71">
        <v>21.448000000000004</v>
      </c>
      <c r="AC71">
        <v>155.49800000000002</v>
      </c>
      <c r="AD71">
        <v>200124384</v>
      </c>
      <c r="AE71" t="s">
        <v>303</v>
      </c>
      <c r="AF71" s="4">
        <v>155.49800000000002</v>
      </c>
      <c r="AG71" t="s">
        <v>51</v>
      </c>
      <c r="AH71" t="s">
        <v>1123</v>
      </c>
      <c r="AI71">
        <v>200127161</v>
      </c>
      <c r="AJ71" t="s">
        <v>1148</v>
      </c>
      <c r="AK71" t="s">
        <v>1129</v>
      </c>
      <c r="AL71">
        <v>340218590</v>
      </c>
      <c r="AM71" t="s">
        <v>135</v>
      </c>
    </row>
    <row r="72" spans="1:39" x14ac:dyDescent="0.35">
      <c r="A72">
        <v>3402</v>
      </c>
      <c r="B72" t="s">
        <v>47</v>
      </c>
      <c r="C72">
        <v>2020</v>
      </c>
      <c r="D72" s="1">
        <v>43831</v>
      </c>
      <c r="E72">
        <v>1</v>
      </c>
      <c r="F72">
        <v>200114411</v>
      </c>
      <c r="G72" t="s">
        <v>120</v>
      </c>
      <c r="H72">
        <v>91</v>
      </c>
      <c r="I72">
        <v>71104010</v>
      </c>
      <c r="J72">
        <v>21021040</v>
      </c>
      <c r="K72" t="s">
        <v>121</v>
      </c>
      <c r="L72" s="4">
        <v>140.38999999999999</v>
      </c>
      <c r="M72" t="s">
        <v>31</v>
      </c>
      <c r="N72" s="4">
        <v>140.38999999999999</v>
      </c>
      <c r="O72" t="s">
        <v>31</v>
      </c>
      <c r="R72" t="s">
        <v>272</v>
      </c>
      <c r="S72" t="s">
        <v>1131</v>
      </c>
      <c r="T72">
        <v>107211</v>
      </c>
      <c r="U72" t="s">
        <v>123</v>
      </c>
      <c r="X72" t="s">
        <v>35</v>
      </c>
      <c r="Y72" s="8">
        <v>4501229349</v>
      </c>
      <c r="Z72">
        <v>20200130</v>
      </c>
      <c r="AA72">
        <v>140.38999999999999</v>
      </c>
      <c r="AB72">
        <v>22.462399999999999</v>
      </c>
      <c r="AC72">
        <v>162.85239999999999</v>
      </c>
      <c r="AD72">
        <v>200124384</v>
      </c>
      <c r="AE72" t="s">
        <v>304</v>
      </c>
      <c r="AF72" s="4">
        <v>162.85239999999999</v>
      </c>
      <c r="AG72" t="s">
        <v>51</v>
      </c>
      <c r="AH72" t="s">
        <v>1123</v>
      </c>
      <c r="AI72">
        <v>200127161</v>
      </c>
      <c r="AJ72" t="s">
        <v>1148</v>
      </c>
      <c r="AK72" t="s">
        <v>1129</v>
      </c>
      <c r="AL72">
        <v>340218590</v>
      </c>
      <c r="AM72" t="s">
        <v>135</v>
      </c>
    </row>
    <row r="73" spans="1:39" x14ac:dyDescent="0.35">
      <c r="A73">
        <v>3407</v>
      </c>
      <c r="B73" t="s">
        <v>83</v>
      </c>
      <c r="C73">
        <v>2020</v>
      </c>
      <c r="D73" s="1">
        <v>43831</v>
      </c>
      <c r="E73">
        <v>1</v>
      </c>
      <c r="F73">
        <v>700042289</v>
      </c>
      <c r="G73" t="s">
        <v>120</v>
      </c>
      <c r="H73">
        <v>91</v>
      </c>
      <c r="I73">
        <v>71104010</v>
      </c>
      <c r="J73">
        <v>21021040</v>
      </c>
      <c r="K73" t="s">
        <v>121</v>
      </c>
      <c r="L73" s="4">
        <v>3557319.57</v>
      </c>
      <c r="M73" t="s">
        <v>31</v>
      </c>
      <c r="N73" s="4">
        <v>3557319.57</v>
      </c>
      <c r="O73" t="s">
        <v>31</v>
      </c>
      <c r="R73" t="s">
        <v>537</v>
      </c>
      <c r="S73" t="s">
        <v>1131</v>
      </c>
      <c r="T73">
        <v>107211</v>
      </c>
      <c r="U73" t="s">
        <v>123</v>
      </c>
      <c r="X73" t="s">
        <v>65</v>
      </c>
      <c r="Y73">
        <v>1012020</v>
      </c>
      <c r="Z73" t="s">
        <v>1163</v>
      </c>
      <c r="AA73">
        <v>3557319.57</v>
      </c>
      <c r="AE73" t="s">
        <v>538</v>
      </c>
      <c r="AH73" t="s">
        <v>1123</v>
      </c>
      <c r="AJ73" t="s">
        <v>1148</v>
      </c>
      <c r="AK73" t="s">
        <v>1129</v>
      </c>
      <c r="AL73">
        <v>340718590</v>
      </c>
      <c r="AM73" t="s">
        <v>541</v>
      </c>
    </row>
    <row r="74" spans="1:39" x14ac:dyDescent="0.35">
      <c r="A74">
        <v>3402</v>
      </c>
      <c r="B74" t="s">
        <v>259</v>
      </c>
      <c r="C74">
        <v>2020</v>
      </c>
      <c r="D74" s="1">
        <v>43831</v>
      </c>
      <c r="E74">
        <v>1</v>
      </c>
      <c r="F74">
        <v>200076926</v>
      </c>
      <c r="G74" t="s">
        <v>120</v>
      </c>
      <c r="H74">
        <v>91</v>
      </c>
      <c r="I74">
        <v>71104010</v>
      </c>
      <c r="J74">
        <v>21021040</v>
      </c>
      <c r="K74" t="s">
        <v>121</v>
      </c>
      <c r="L74" s="4">
        <v>117.8</v>
      </c>
      <c r="M74" t="s">
        <v>31</v>
      </c>
      <c r="N74" s="4">
        <v>117.8</v>
      </c>
      <c r="O74" t="s">
        <v>31</v>
      </c>
      <c r="R74" t="s">
        <v>137</v>
      </c>
      <c r="S74" t="s">
        <v>1131</v>
      </c>
      <c r="T74">
        <v>107211</v>
      </c>
      <c r="U74" t="s">
        <v>123</v>
      </c>
      <c r="X74" t="s">
        <v>259</v>
      </c>
      <c r="Y74" s="8">
        <v>4501226813</v>
      </c>
      <c r="Z74">
        <v>20200125</v>
      </c>
      <c r="AA74">
        <v>117.8</v>
      </c>
      <c r="AB74">
        <v>18.847999999999999</v>
      </c>
      <c r="AC74">
        <v>136.648</v>
      </c>
      <c r="AD74">
        <v>200211626</v>
      </c>
      <c r="AE74" t="s">
        <v>716</v>
      </c>
      <c r="AF74" s="4">
        <v>136.648</v>
      </c>
      <c r="AG74" t="s">
        <v>1150</v>
      </c>
      <c r="AH74" t="s">
        <v>1123</v>
      </c>
      <c r="AJ74" t="s">
        <v>1148</v>
      </c>
      <c r="AK74" t="s">
        <v>1129</v>
      </c>
      <c r="AL74">
        <v>340255290</v>
      </c>
      <c r="AM74" t="s">
        <v>135</v>
      </c>
    </row>
    <row r="75" spans="1:39" x14ac:dyDescent="0.35">
      <c r="A75">
        <v>3402</v>
      </c>
      <c r="B75" t="s">
        <v>259</v>
      </c>
      <c r="C75">
        <v>2020</v>
      </c>
      <c r="D75" s="1">
        <v>43831</v>
      </c>
      <c r="E75">
        <v>1</v>
      </c>
      <c r="F75">
        <v>200076928</v>
      </c>
      <c r="G75" t="s">
        <v>120</v>
      </c>
      <c r="H75">
        <v>91</v>
      </c>
      <c r="I75">
        <v>71104010</v>
      </c>
      <c r="J75">
        <v>21021040</v>
      </c>
      <c r="K75" t="s">
        <v>121</v>
      </c>
      <c r="L75" s="4">
        <v>114</v>
      </c>
      <c r="M75" t="s">
        <v>31</v>
      </c>
      <c r="N75" s="4">
        <v>114</v>
      </c>
      <c r="O75" t="s">
        <v>31</v>
      </c>
      <c r="R75" t="s">
        <v>137</v>
      </c>
      <c r="S75" t="s">
        <v>1131</v>
      </c>
      <c r="T75">
        <v>107211</v>
      </c>
      <c r="U75" t="s">
        <v>123</v>
      </c>
      <c r="X75" t="s">
        <v>259</v>
      </c>
      <c r="Y75" s="8">
        <v>4501226813</v>
      </c>
      <c r="Z75">
        <v>20200125</v>
      </c>
      <c r="AA75">
        <v>114</v>
      </c>
      <c r="AB75">
        <v>18.240000000000002</v>
      </c>
      <c r="AC75">
        <v>132.24</v>
      </c>
      <c r="AD75">
        <v>200211626</v>
      </c>
      <c r="AE75" t="s">
        <v>717</v>
      </c>
      <c r="AF75" s="4">
        <v>132.24</v>
      </c>
      <c r="AG75" t="s">
        <v>1150</v>
      </c>
      <c r="AH75" t="s">
        <v>1123</v>
      </c>
      <c r="AJ75" t="s">
        <v>1148</v>
      </c>
      <c r="AK75" t="s">
        <v>1129</v>
      </c>
      <c r="AL75">
        <v>340255290</v>
      </c>
      <c r="AM75" t="s">
        <v>135</v>
      </c>
    </row>
    <row r="76" spans="1:39" x14ac:dyDescent="0.35">
      <c r="A76">
        <v>3402</v>
      </c>
      <c r="B76" t="s">
        <v>259</v>
      </c>
      <c r="C76">
        <v>2020</v>
      </c>
      <c r="D76" s="1">
        <v>43831</v>
      </c>
      <c r="E76">
        <v>1</v>
      </c>
      <c r="F76">
        <v>200076930</v>
      </c>
      <c r="G76" t="s">
        <v>120</v>
      </c>
      <c r="H76">
        <v>91</v>
      </c>
      <c r="I76">
        <v>71104010</v>
      </c>
      <c r="J76">
        <v>21021040</v>
      </c>
      <c r="K76" t="s">
        <v>121</v>
      </c>
      <c r="L76" s="4">
        <v>114</v>
      </c>
      <c r="M76" t="s">
        <v>31</v>
      </c>
      <c r="N76" s="4">
        <v>114</v>
      </c>
      <c r="O76" t="s">
        <v>31</v>
      </c>
      <c r="R76" t="s">
        <v>137</v>
      </c>
      <c r="S76" t="s">
        <v>1131</v>
      </c>
      <c r="T76">
        <v>107211</v>
      </c>
      <c r="U76" t="s">
        <v>123</v>
      </c>
      <c r="X76" t="s">
        <v>259</v>
      </c>
      <c r="Y76" s="8">
        <v>4501226813</v>
      </c>
      <c r="Z76">
        <v>20200125</v>
      </c>
      <c r="AA76">
        <v>114</v>
      </c>
      <c r="AB76">
        <v>18.240000000000002</v>
      </c>
      <c r="AC76">
        <v>132.24</v>
      </c>
      <c r="AD76">
        <v>200211626</v>
      </c>
      <c r="AE76" t="s">
        <v>718</v>
      </c>
      <c r="AF76" s="4">
        <v>132.24</v>
      </c>
      <c r="AG76" t="s">
        <v>1150</v>
      </c>
      <c r="AH76" t="s">
        <v>1123</v>
      </c>
      <c r="AJ76" t="s">
        <v>1148</v>
      </c>
      <c r="AK76" t="s">
        <v>1129</v>
      </c>
      <c r="AL76">
        <v>340255290</v>
      </c>
      <c r="AM76" t="s">
        <v>135</v>
      </c>
    </row>
    <row r="77" spans="1:39" x14ac:dyDescent="0.35">
      <c r="A77">
        <v>3402</v>
      </c>
      <c r="B77" t="s">
        <v>259</v>
      </c>
      <c r="C77">
        <v>2020</v>
      </c>
      <c r="D77" s="1">
        <v>43831</v>
      </c>
      <c r="E77">
        <v>1</v>
      </c>
      <c r="F77">
        <v>200076932</v>
      </c>
      <c r="G77" t="s">
        <v>120</v>
      </c>
      <c r="H77">
        <v>91</v>
      </c>
      <c r="I77">
        <v>71104010</v>
      </c>
      <c r="J77">
        <v>21021040</v>
      </c>
      <c r="K77" t="s">
        <v>121</v>
      </c>
      <c r="L77" s="4">
        <v>117.8</v>
      </c>
      <c r="M77" t="s">
        <v>31</v>
      </c>
      <c r="N77" s="4">
        <v>117.8</v>
      </c>
      <c r="O77" t="s">
        <v>31</v>
      </c>
      <c r="R77" t="s">
        <v>137</v>
      </c>
      <c r="S77" t="s">
        <v>1131</v>
      </c>
      <c r="T77">
        <v>107211</v>
      </c>
      <c r="U77" t="s">
        <v>123</v>
      </c>
      <c r="X77" t="s">
        <v>259</v>
      </c>
      <c r="Y77" s="8">
        <v>4501226813</v>
      </c>
      <c r="Z77">
        <v>20200125</v>
      </c>
      <c r="AA77">
        <v>117.8</v>
      </c>
      <c r="AB77">
        <v>18.847999999999999</v>
      </c>
      <c r="AC77">
        <v>136.648</v>
      </c>
      <c r="AD77">
        <v>200211626</v>
      </c>
      <c r="AE77" t="s">
        <v>719</v>
      </c>
      <c r="AF77" s="4">
        <v>136.648</v>
      </c>
      <c r="AG77" t="s">
        <v>1150</v>
      </c>
      <c r="AH77" t="s">
        <v>1123</v>
      </c>
      <c r="AJ77" t="s">
        <v>1148</v>
      </c>
      <c r="AK77" t="s">
        <v>1129</v>
      </c>
      <c r="AL77">
        <v>340255290</v>
      </c>
      <c r="AM77" t="s">
        <v>135</v>
      </c>
    </row>
    <row r="78" spans="1:39" x14ac:dyDescent="0.35">
      <c r="A78">
        <v>3402</v>
      </c>
      <c r="B78" t="s">
        <v>253</v>
      </c>
      <c r="C78">
        <v>2020</v>
      </c>
      <c r="D78" s="1">
        <v>43831</v>
      </c>
      <c r="E78">
        <v>1</v>
      </c>
      <c r="F78">
        <v>200038800</v>
      </c>
      <c r="G78" t="s">
        <v>101</v>
      </c>
      <c r="H78">
        <v>50</v>
      </c>
      <c r="I78">
        <v>71104010</v>
      </c>
      <c r="J78">
        <v>21021040</v>
      </c>
      <c r="K78" t="s">
        <v>121</v>
      </c>
      <c r="L78" s="4">
        <v>119.81</v>
      </c>
      <c r="M78" t="s">
        <v>31</v>
      </c>
      <c r="N78" s="4">
        <v>119.81</v>
      </c>
      <c r="O78" t="s">
        <v>31</v>
      </c>
      <c r="X78" t="s">
        <v>57</v>
      </c>
      <c r="Z78">
        <v>20200106</v>
      </c>
      <c r="AA78">
        <v>119.81</v>
      </c>
      <c r="AE78" t="s">
        <v>898</v>
      </c>
      <c r="AL78">
        <v>340255290</v>
      </c>
      <c r="AM78" t="s">
        <v>825</v>
      </c>
    </row>
    <row r="79" spans="1:39" x14ac:dyDescent="0.35">
      <c r="A79">
        <v>3402</v>
      </c>
      <c r="B79" t="s">
        <v>28</v>
      </c>
      <c r="C79">
        <v>2020</v>
      </c>
      <c r="D79" s="1">
        <v>43831</v>
      </c>
      <c r="E79">
        <v>2</v>
      </c>
      <c r="F79">
        <v>200120037</v>
      </c>
      <c r="G79" t="s">
        <v>101</v>
      </c>
      <c r="H79">
        <v>50</v>
      </c>
      <c r="I79">
        <v>71104010</v>
      </c>
      <c r="J79">
        <v>71104010</v>
      </c>
      <c r="K79" t="s">
        <v>121</v>
      </c>
      <c r="L79" s="4">
        <v>187070</v>
      </c>
      <c r="M79" t="s">
        <v>31</v>
      </c>
      <c r="N79" s="4">
        <v>187070</v>
      </c>
      <c r="O79" t="s">
        <v>31</v>
      </c>
      <c r="X79" t="s">
        <v>32</v>
      </c>
      <c r="Z79">
        <v>20200131</v>
      </c>
      <c r="AA79">
        <v>187070</v>
      </c>
      <c r="AE79" t="s">
        <v>969</v>
      </c>
      <c r="AL79">
        <v>340218590</v>
      </c>
      <c r="AM79" t="s">
        <v>105</v>
      </c>
    </row>
    <row r="80" spans="1:39" x14ac:dyDescent="0.35">
      <c r="A80">
        <v>3403</v>
      </c>
      <c r="B80" t="s">
        <v>28</v>
      </c>
      <c r="C80">
        <v>2020</v>
      </c>
      <c r="D80" s="1">
        <v>43831</v>
      </c>
      <c r="E80">
        <v>2</v>
      </c>
      <c r="F80">
        <v>300019295</v>
      </c>
      <c r="G80" t="s">
        <v>101</v>
      </c>
      <c r="H80">
        <v>50</v>
      </c>
      <c r="I80">
        <v>71104010</v>
      </c>
      <c r="J80">
        <v>71104030</v>
      </c>
      <c r="K80" t="s">
        <v>121</v>
      </c>
      <c r="L80" s="4">
        <v>48879.33</v>
      </c>
      <c r="M80" t="s">
        <v>31</v>
      </c>
      <c r="N80" s="4">
        <v>48879.33</v>
      </c>
      <c r="O80" t="s">
        <v>31</v>
      </c>
      <c r="X80" t="s">
        <v>32</v>
      </c>
      <c r="Y80" t="s">
        <v>980</v>
      </c>
      <c r="Z80">
        <v>20200131</v>
      </c>
      <c r="AA80">
        <v>48879.33</v>
      </c>
      <c r="AE80" t="s">
        <v>981</v>
      </c>
      <c r="AL80">
        <v>340318590</v>
      </c>
      <c r="AM80" t="s">
        <v>982</v>
      </c>
    </row>
    <row r="81" spans="1:39" x14ac:dyDescent="0.35">
      <c r="A81">
        <v>3402</v>
      </c>
      <c r="B81" t="s">
        <v>28</v>
      </c>
      <c r="C81">
        <v>2020</v>
      </c>
      <c r="D81" s="1">
        <v>43831</v>
      </c>
      <c r="E81">
        <v>2</v>
      </c>
      <c r="F81">
        <v>200122819</v>
      </c>
      <c r="G81" t="s">
        <v>101</v>
      </c>
      <c r="H81">
        <v>50</v>
      </c>
      <c r="I81">
        <v>71104010</v>
      </c>
      <c r="J81">
        <v>71104010</v>
      </c>
      <c r="K81" t="s">
        <v>121</v>
      </c>
      <c r="L81" s="4">
        <v>290750.48</v>
      </c>
      <c r="M81" t="s">
        <v>31</v>
      </c>
      <c r="N81" s="4">
        <v>290750.48</v>
      </c>
      <c r="O81" t="s">
        <v>31</v>
      </c>
      <c r="X81" t="s">
        <v>65</v>
      </c>
      <c r="Z81">
        <v>20200131</v>
      </c>
      <c r="AA81">
        <v>290750.48</v>
      </c>
      <c r="AE81" t="s">
        <v>986</v>
      </c>
      <c r="AL81">
        <v>340218590</v>
      </c>
      <c r="AM81" t="s">
        <v>105</v>
      </c>
    </row>
    <row r="82" spans="1:39" x14ac:dyDescent="0.35">
      <c r="A82">
        <v>3401</v>
      </c>
      <c r="B82" t="s">
        <v>28</v>
      </c>
      <c r="C82">
        <v>2020</v>
      </c>
      <c r="D82" s="1">
        <v>43831</v>
      </c>
      <c r="E82">
        <v>1</v>
      </c>
      <c r="F82">
        <v>100035058</v>
      </c>
      <c r="G82" t="s">
        <v>120</v>
      </c>
      <c r="H82">
        <v>91</v>
      </c>
      <c r="I82">
        <v>71104010</v>
      </c>
      <c r="J82">
        <v>21021040</v>
      </c>
      <c r="K82" t="s">
        <v>121</v>
      </c>
      <c r="L82" s="4">
        <v>891114</v>
      </c>
      <c r="M82" t="s">
        <v>31</v>
      </c>
      <c r="N82" s="4">
        <v>891114</v>
      </c>
      <c r="O82" t="s">
        <v>31</v>
      </c>
      <c r="R82" t="s">
        <v>122</v>
      </c>
      <c r="S82" t="s">
        <v>1131</v>
      </c>
      <c r="T82">
        <v>107211</v>
      </c>
      <c r="U82" t="s">
        <v>123</v>
      </c>
      <c r="X82" t="s">
        <v>72</v>
      </c>
      <c r="Y82" s="8">
        <v>4501216248</v>
      </c>
      <c r="Z82" t="s">
        <v>1127</v>
      </c>
      <c r="AA82">
        <v>891114</v>
      </c>
      <c r="AD82">
        <v>100036889</v>
      </c>
      <c r="AE82" t="s">
        <v>1128</v>
      </c>
      <c r="AF82" s="4"/>
      <c r="AG82" t="s">
        <v>51</v>
      </c>
      <c r="AH82" t="s">
        <v>1123</v>
      </c>
      <c r="AI82">
        <v>100036917</v>
      </c>
      <c r="AJ82" t="s">
        <v>1148</v>
      </c>
      <c r="AK82" t="s">
        <v>1129</v>
      </c>
      <c r="AL82">
        <v>340118590</v>
      </c>
      <c r="AM82" t="s">
        <v>124</v>
      </c>
    </row>
    <row r="83" spans="1:39" x14ac:dyDescent="0.35">
      <c r="A83">
        <v>3401</v>
      </c>
      <c r="B83" t="s">
        <v>28</v>
      </c>
      <c r="C83">
        <v>2020</v>
      </c>
      <c r="D83" s="1">
        <v>43831</v>
      </c>
      <c r="E83">
        <v>1</v>
      </c>
      <c r="F83">
        <v>100035059</v>
      </c>
      <c r="G83" t="s">
        <v>120</v>
      </c>
      <c r="H83">
        <v>91</v>
      </c>
      <c r="I83">
        <v>71104010</v>
      </c>
      <c r="J83">
        <v>21021040</v>
      </c>
      <c r="K83" t="s">
        <v>121</v>
      </c>
      <c r="L83" s="4">
        <v>115331</v>
      </c>
      <c r="M83" t="s">
        <v>31</v>
      </c>
      <c r="N83" s="4">
        <v>115331</v>
      </c>
      <c r="O83" t="s">
        <v>31</v>
      </c>
      <c r="R83" t="s">
        <v>122</v>
      </c>
      <c r="S83" t="s">
        <v>1131</v>
      </c>
      <c r="T83">
        <v>107211</v>
      </c>
      <c r="U83" t="s">
        <v>123</v>
      </c>
      <c r="X83" t="s">
        <v>72</v>
      </c>
      <c r="Y83" s="8">
        <v>4501216248</v>
      </c>
      <c r="Z83" t="s">
        <v>1127</v>
      </c>
      <c r="AA83">
        <v>115331</v>
      </c>
      <c r="AD83">
        <v>100036889</v>
      </c>
      <c r="AE83" t="s">
        <v>1128</v>
      </c>
      <c r="AF83" s="4"/>
      <c r="AG83" t="s">
        <v>51</v>
      </c>
      <c r="AH83" t="s">
        <v>1123</v>
      </c>
      <c r="AI83">
        <v>100036917</v>
      </c>
      <c r="AJ83" t="s">
        <v>1148</v>
      </c>
      <c r="AK83" t="s">
        <v>1129</v>
      </c>
      <c r="AL83">
        <v>340118590</v>
      </c>
      <c r="AM83" t="s">
        <v>124</v>
      </c>
    </row>
    <row r="84" spans="1:39" x14ac:dyDescent="0.35">
      <c r="A84">
        <v>3406</v>
      </c>
      <c r="B84" t="s">
        <v>28</v>
      </c>
      <c r="C84">
        <v>2020</v>
      </c>
      <c r="D84" s="1">
        <v>43831</v>
      </c>
      <c r="E84">
        <v>1</v>
      </c>
      <c r="F84">
        <v>600033388</v>
      </c>
      <c r="G84" t="s">
        <v>101</v>
      </c>
      <c r="H84">
        <v>50</v>
      </c>
      <c r="I84">
        <v>71104010</v>
      </c>
      <c r="J84">
        <v>11610030</v>
      </c>
      <c r="K84" t="s">
        <v>121</v>
      </c>
      <c r="L84" s="4">
        <v>50188.66</v>
      </c>
      <c r="M84" t="s">
        <v>31</v>
      </c>
      <c r="N84" s="4">
        <v>50188.66</v>
      </c>
      <c r="O84" t="s">
        <v>31</v>
      </c>
      <c r="X84" t="s">
        <v>72</v>
      </c>
      <c r="Y84" t="s">
        <v>994</v>
      </c>
      <c r="Z84">
        <v>20200131</v>
      </c>
      <c r="AA84">
        <v>50188.66</v>
      </c>
      <c r="AE84" t="s">
        <v>995</v>
      </c>
      <c r="AL84">
        <v>340618590</v>
      </c>
      <c r="AM84" t="s">
        <v>922</v>
      </c>
    </row>
    <row r="85" spans="1:39" x14ac:dyDescent="0.35">
      <c r="A85">
        <v>3403</v>
      </c>
      <c r="B85" t="s">
        <v>28</v>
      </c>
      <c r="C85">
        <v>2020</v>
      </c>
      <c r="D85" s="1">
        <v>43831</v>
      </c>
      <c r="E85">
        <v>1</v>
      </c>
      <c r="F85">
        <v>300020411</v>
      </c>
      <c r="G85" t="s">
        <v>120</v>
      </c>
      <c r="H85">
        <v>91</v>
      </c>
      <c r="I85">
        <v>71104010</v>
      </c>
      <c r="J85">
        <v>21021040</v>
      </c>
      <c r="K85" t="s">
        <v>121</v>
      </c>
      <c r="L85" s="4">
        <v>44864</v>
      </c>
      <c r="M85" t="s">
        <v>31</v>
      </c>
      <c r="N85" s="4">
        <v>44864</v>
      </c>
      <c r="O85" t="s">
        <v>31</v>
      </c>
      <c r="R85" t="s">
        <v>542</v>
      </c>
      <c r="S85" t="s">
        <v>1131</v>
      </c>
      <c r="T85">
        <v>107211</v>
      </c>
      <c r="U85" t="s">
        <v>123</v>
      </c>
      <c r="X85" t="s">
        <v>72</v>
      </c>
      <c r="Y85" s="8">
        <v>450122871</v>
      </c>
      <c r="Z85">
        <v>20200131</v>
      </c>
      <c r="AA85">
        <v>44864</v>
      </c>
      <c r="AB85">
        <v>7178.24</v>
      </c>
      <c r="AC85">
        <v>52042.239999999998</v>
      </c>
      <c r="AD85">
        <v>300021003</v>
      </c>
      <c r="AE85" t="s">
        <v>964</v>
      </c>
      <c r="AF85" s="4">
        <v>52042.239999999998</v>
      </c>
      <c r="AG85" t="s">
        <v>51</v>
      </c>
      <c r="AH85" t="s">
        <v>1123</v>
      </c>
      <c r="AI85">
        <v>300021371</v>
      </c>
      <c r="AJ85" t="s">
        <v>1148</v>
      </c>
      <c r="AK85" t="s">
        <v>1129</v>
      </c>
      <c r="AL85">
        <v>340318590</v>
      </c>
      <c r="AM85" t="s">
        <v>222</v>
      </c>
    </row>
    <row r="86" spans="1:39" x14ac:dyDescent="0.35">
      <c r="A86">
        <v>3407</v>
      </c>
      <c r="B86" t="s">
        <v>28</v>
      </c>
      <c r="C86">
        <v>2020</v>
      </c>
      <c r="D86" s="1">
        <v>43831</v>
      </c>
      <c r="E86">
        <v>2</v>
      </c>
      <c r="F86">
        <v>700041037</v>
      </c>
      <c r="G86" t="s">
        <v>101</v>
      </c>
      <c r="H86">
        <v>50</v>
      </c>
      <c r="I86">
        <v>71104010</v>
      </c>
      <c r="J86">
        <v>71104030</v>
      </c>
      <c r="K86" t="s">
        <v>121</v>
      </c>
      <c r="L86" s="4">
        <v>117908.32</v>
      </c>
      <c r="M86" t="s">
        <v>31</v>
      </c>
      <c r="N86" s="4">
        <v>117908.32</v>
      </c>
      <c r="O86" t="s">
        <v>31</v>
      </c>
      <c r="X86" t="s">
        <v>35</v>
      </c>
      <c r="Y86" t="s">
        <v>375</v>
      </c>
      <c r="Z86" t="s">
        <v>376</v>
      </c>
      <c r="AA86">
        <v>117908.32</v>
      </c>
      <c r="AE86" t="s">
        <v>1040</v>
      </c>
      <c r="AL86">
        <v>340718590</v>
      </c>
      <c r="AM86" t="s">
        <v>217</v>
      </c>
    </row>
    <row r="89" spans="1:39" s="33" customFormat="1" x14ac:dyDescent="0.35">
      <c r="A89" s="33" t="s">
        <v>1235</v>
      </c>
    </row>
    <row r="91" spans="1:39" x14ac:dyDescent="0.35">
      <c r="A91" t="s">
        <v>1233</v>
      </c>
    </row>
    <row r="93" spans="1:39" s="26" customFormat="1" ht="42.65" customHeight="1" x14ac:dyDescent="0.35">
      <c r="A93" s="25" t="s">
        <v>1205</v>
      </c>
      <c r="B93" s="25" t="s">
        <v>1206</v>
      </c>
      <c r="C93" s="25" t="s">
        <v>2</v>
      </c>
      <c r="D93" s="25" t="s">
        <v>1207</v>
      </c>
      <c r="E93" s="25" t="s">
        <v>1208</v>
      </c>
      <c r="F93" s="25" t="s">
        <v>1209</v>
      </c>
      <c r="G93" s="25" t="s">
        <v>1210</v>
      </c>
      <c r="H93" s="25" t="s">
        <v>1211</v>
      </c>
      <c r="I93" s="26" t="s">
        <v>1212</v>
      </c>
      <c r="J93" s="25" t="s">
        <v>1213</v>
      </c>
      <c r="K93" s="25" t="s">
        <v>1214</v>
      </c>
      <c r="L93" s="25" t="s">
        <v>1215</v>
      </c>
      <c r="M93" s="27" t="s">
        <v>1216</v>
      </c>
      <c r="N93" s="25" t="s">
        <v>1217</v>
      </c>
      <c r="O93" s="25" t="s">
        <v>1218</v>
      </c>
      <c r="P93" s="25" t="s">
        <v>1219</v>
      </c>
      <c r="Q93" s="28" t="s">
        <v>1110</v>
      </c>
      <c r="R93" s="28" t="s">
        <v>1220</v>
      </c>
      <c r="S93" s="28" t="s">
        <v>1221</v>
      </c>
      <c r="T93" s="28" t="s">
        <v>1222</v>
      </c>
      <c r="U93" s="29" t="s">
        <v>1111</v>
      </c>
      <c r="V93" s="29" t="s">
        <v>1112</v>
      </c>
      <c r="W93" s="29" t="s">
        <v>1113</v>
      </c>
      <c r="X93" s="28" t="s">
        <v>1223</v>
      </c>
      <c r="Y93" s="28" t="s">
        <v>1118</v>
      </c>
      <c r="Z93" s="28" t="s">
        <v>1119</v>
      </c>
      <c r="AA93" s="28" t="s">
        <v>1114</v>
      </c>
      <c r="AB93" s="28" t="s">
        <v>1115</v>
      </c>
      <c r="AC93" s="29" t="s">
        <v>1116</v>
      </c>
      <c r="AD93" s="28" t="s">
        <v>1117</v>
      </c>
    </row>
    <row r="94" spans="1:39" ht="14.25" customHeight="1" x14ac:dyDescent="0.35">
      <c r="A94" s="30">
        <v>3407</v>
      </c>
      <c r="B94" s="30" t="s">
        <v>83</v>
      </c>
      <c r="C94" s="30">
        <v>2020</v>
      </c>
      <c r="D94" s="31">
        <v>43831</v>
      </c>
      <c r="E94" s="30">
        <v>1</v>
      </c>
      <c r="F94" s="30">
        <v>700032933</v>
      </c>
      <c r="G94" s="30" t="s">
        <v>120</v>
      </c>
      <c r="H94" s="30">
        <v>81</v>
      </c>
      <c r="I94" s="30">
        <v>71104010</v>
      </c>
      <c r="J94" s="30" t="s">
        <v>121</v>
      </c>
      <c r="K94" s="30">
        <v>3557319.57</v>
      </c>
      <c r="L94" s="30" t="s">
        <v>31</v>
      </c>
      <c r="M94" s="32">
        <v>3557319.57</v>
      </c>
      <c r="N94" s="30" t="s">
        <v>31</v>
      </c>
      <c r="Q94" t="s">
        <v>1131</v>
      </c>
      <c r="R94" t="s">
        <v>123</v>
      </c>
      <c r="S94" t="s">
        <v>1229</v>
      </c>
      <c r="T94" t="s">
        <v>28</v>
      </c>
      <c r="W94" s="3">
        <v>4082382</v>
      </c>
      <c r="X94" t="s">
        <v>1230</v>
      </c>
      <c r="Y94" t="s">
        <v>1130</v>
      </c>
      <c r="Z94" t="s">
        <v>1129</v>
      </c>
    </row>
    <row r="95" spans="1:39" ht="14.25" customHeight="1" x14ac:dyDescent="0.35">
      <c r="A95" s="30">
        <v>3407</v>
      </c>
      <c r="B95" s="30" t="s">
        <v>28</v>
      </c>
      <c r="C95" s="30">
        <v>2020</v>
      </c>
      <c r="D95" s="31">
        <v>43831</v>
      </c>
      <c r="E95" s="30">
        <v>2</v>
      </c>
      <c r="F95" s="30">
        <v>700041037</v>
      </c>
      <c r="G95" s="30" t="s">
        <v>101</v>
      </c>
      <c r="H95" s="30">
        <v>50</v>
      </c>
      <c r="I95" s="30">
        <v>71104010</v>
      </c>
      <c r="J95" s="30" t="s">
        <v>121</v>
      </c>
      <c r="K95" s="30">
        <v>-117908.32</v>
      </c>
      <c r="L95" s="30" t="s">
        <v>31</v>
      </c>
      <c r="M95" s="34">
        <v>-117908.32</v>
      </c>
      <c r="N95" s="30" t="s">
        <v>31</v>
      </c>
      <c r="Q95" t="s">
        <v>1131</v>
      </c>
      <c r="R95" t="s">
        <v>123</v>
      </c>
      <c r="S95" t="s">
        <v>1229</v>
      </c>
      <c r="T95" t="s">
        <v>28</v>
      </c>
      <c r="X95" t="s">
        <v>1230</v>
      </c>
      <c r="Y95" t="s">
        <v>1130</v>
      </c>
      <c r="Z95" t="s">
        <v>1129</v>
      </c>
    </row>
    <row r="96" spans="1:39" ht="14.25" customHeight="1" x14ac:dyDescent="0.35">
      <c r="A96" s="30">
        <v>3407</v>
      </c>
      <c r="B96" s="30" t="s">
        <v>28</v>
      </c>
      <c r="C96" s="30">
        <v>2020</v>
      </c>
      <c r="D96" s="31">
        <v>43831</v>
      </c>
      <c r="E96" s="30">
        <v>1</v>
      </c>
      <c r="F96" s="30">
        <v>700041037</v>
      </c>
      <c r="G96" s="30" t="s">
        <v>101</v>
      </c>
      <c r="H96" s="30">
        <v>40</v>
      </c>
      <c r="I96" s="30">
        <v>71104010</v>
      </c>
      <c r="J96" s="30" t="s">
        <v>121</v>
      </c>
      <c r="K96" s="30">
        <v>117908.32</v>
      </c>
      <c r="L96" s="30" t="s">
        <v>31</v>
      </c>
      <c r="M96" s="32">
        <v>117908.32</v>
      </c>
      <c r="N96" s="30" t="s">
        <v>31</v>
      </c>
      <c r="Q96" t="s">
        <v>1131</v>
      </c>
      <c r="R96" t="s">
        <v>123</v>
      </c>
      <c r="S96" t="s">
        <v>1229</v>
      </c>
      <c r="T96" t="s">
        <v>28</v>
      </c>
      <c r="X96" t="s">
        <v>1230</v>
      </c>
      <c r="Y96" t="s">
        <v>1130</v>
      </c>
      <c r="Z96" t="s">
        <v>1129</v>
      </c>
    </row>
    <row r="97" spans="1:39" ht="14.25" customHeight="1" x14ac:dyDescent="0.35">
      <c r="A97" s="30">
        <v>3407</v>
      </c>
      <c r="B97" s="30" t="s">
        <v>83</v>
      </c>
      <c r="C97" s="30">
        <v>2020</v>
      </c>
      <c r="D97" s="31">
        <v>43831</v>
      </c>
      <c r="E97" s="30">
        <v>1</v>
      </c>
      <c r="F97" s="30">
        <v>700042289</v>
      </c>
      <c r="G97" s="30" t="s">
        <v>120</v>
      </c>
      <c r="H97" s="30">
        <v>91</v>
      </c>
      <c r="I97" s="30">
        <v>71104010</v>
      </c>
      <c r="J97" s="30" t="s">
        <v>121</v>
      </c>
      <c r="K97" s="30">
        <v>-3557319.57</v>
      </c>
      <c r="L97" s="30" t="s">
        <v>31</v>
      </c>
      <c r="M97" s="34">
        <v>-3557319.57</v>
      </c>
      <c r="N97" s="30" t="s">
        <v>31</v>
      </c>
      <c r="Q97" t="s">
        <v>1131</v>
      </c>
      <c r="R97" t="s">
        <v>123</v>
      </c>
      <c r="S97" t="s">
        <v>1229</v>
      </c>
      <c r="T97" t="s">
        <v>28</v>
      </c>
      <c r="X97" t="s">
        <v>1230</v>
      </c>
      <c r="Y97" t="s">
        <v>1130</v>
      </c>
      <c r="Z97" t="s">
        <v>1129</v>
      </c>
    </row>
    <row r="98" spans="1:39" ht="14.25" customHeight="1" x14ac:dyDescent="0.35">
      <c r="A98" s="30">
        <v>3407</v>
      </c>
      <c r="B98" s="30" t="s">
        <v>28</v>
      </c>
      <c r="C98" s="30">
        <v>2020</v>
      </c>
      <c r="D98" s="31">
        <v>43831</v>
      </c>
      <c r="E98" s="30">
        <v>1</v>
      </c>
      <c r="F98" s="30">
        <v>700042327</v>
      </c>
      <c r="G98" s="30" t="s">
        <v>120</v>
      </c>
      <c r="H98" s="30">
        <v>81</v>
      </c>
      <c r="I98" s="30">
        <v>71104010</v>
      </c>
      <c r="J98" s="30" t="s">
        <v>121</v>
      </c>
      <c r="K98" s="30">
        <v>3519294.86</v>
      </c>
      <c r="L98" s="30" t="s">
        <v>31</v>
      </c>
      <c r="M98" s="32">
        <v>3519294.86</v>
      </c>
      <c r="N98" s="30" t="s">
        <v>31</v>
      </c>
      <c r="Q98" t="s">
        <v>1131</v>
      </c>
      <c r="R98" t="s">
        <v>123</v>
      </c>
      <c r="S98" t="s">
        <v>1229</v>
      </c>
      <c r="T98" t="s">
        <v>28</v>
      </c>
      <c r="X98" t="s">
        <v>1230</v>
      </c>
      <c r="Y98" t="s">
        <v>1130</v>
      </c>
      <c r="Z98" t="s">
        <v>1129</v>
      </c>
    </row>
    <row r="100" spans="1:39" x14ac:dyDescent="0.35">
      <c r="A100" t="s">
        <v>1234</v>
      </c>
    </row>
    <row r="101" spans="1:39" ht="65" x14ac:dyDescent="0.3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17</v>
      </c>
      <c r="K101" t="s">
        <v>9</v>
      </c>
      <c r="L101" s="6" t="s">
        <v>10</v>
      </c>
      <c r="M101" t="s">
        <v>11</v>
      </c>
      <c r="N101" s="4" t="s">
        <v>12</v>
      </c>
      <c r="O101" t="s">
        <v>13</v>
      </c>
      <c r="P101" t="s">
        <v>14</v>
      </c>
      <c r="Q101" t="s">
        <v>15</v>
      </c>
      <c r="R101" s="2" t="s">
        <v>16</v>
      </c>
      <c r="S101" s="2" t="s">
        <v>1110</v>
      </c>
      <c r="T101" s="5" t="s">
        <v>18</v>
      </c>
      <c r="U101" t="s">
        <v>19</v>
      </c>
      <c r="V101" t="s">
        <v>20</v>
      </c>
      <c r="W101" t="s">
        <v>21</v>
      </c>
      <c r="X101" t="s">
        <v>22</v>
      </c>
      <c r="Y101" s="7" t="s">
        <v>23</v>
      </c>
      <c r="Z101" t="s">
        <v>24</v>
      </c>
      <c r="AA101" s="2" t="s">
        <v>1111</v>
      </c>
      <c r="AB101" s="2" t="s">
        <v>1112</v>
      </c>
      <c r="AC101" s="6" t="s">
        <v>1113</v>
      </c>
      <c r="AD101" s="2" t="s">
        <v>1120</v>
      </c>
      <c r="AE101" t="s">
        <v>25</v>
      </c>
      <c r="AF101" s="6" t="s">
        <v>1116</v>
      </c>
      <c r="AG101" s="2" t="s">
        <v>1114</v>
      </c>
      <c r="AH101" s="2" t="s">
        <v>1115</v>
      </c>
      <c r="AI101" s="2" t="s">
        <v>1117</v>
      </c>
      <c r="AJ101" s="2" t="s">
        <v>1118</v>
      </c>
      <c r="AK101" s="2" t="s">
        <v>1119</v>
      </c>
      <c r="AL101" t="s">
        <v>26</v>
      </c>
      <c r="AM101" t="s">
        <v>27</v>
      </c>
    </row>
    <row r="102" spans="1:39" x14ac:dyDescent="0.35">
      <c r="A102">
        <v>3407</v>
      </c>
      <c r="B102" t="s">
        <v>83</v>
      </c>
      <c r="C102">
        <v>2020</v>
      </c>
      <c r="D102" s="1">
        <v>43831</v>
      </c>
      <c r="E102">
        <v>1</v>
      </c>
      <c r="F102">
        <v>700032933</v>
      </c>
      <c r="G102" t="s">
        <v>120</v>
      </c>
      <c r="H102">
        <v>81</v>
      </c>
      <c r="I102">
        <v>71104010</v>
      </c>
      <c r="J102">
        <v>21021040</v>
      </c>
      <c r="K102" t="s">
        <v>121</v>
      </c>
      <c r="L102" s="4">
        <v>3557319.57</v>
      </c>
      <c r="M102" t="s">
        <v>31</v>
      </c>
      <c r="N102" s="4">
        <v>3557319.57</v>
      </c>
      <c r="O102" t="s">
        <v>31</v>
      </c>
      <c r="R102" t="s">
        <v>537</v>
      </c>
      <c r="S102" t="s">
        <v>1131</v>
      </c>
      <c r="T102">
        <v>107211</v>
      </c>
      <c r="U102" t="s">
        <v>123</v>
      </c>
      <c r="X102" t="s">
        <v>83</v>
      </c>
      <c r="Y102" s="8" t="s">
        <v>1162</v>
      </c>
      <c r="Z102">
        <v>20200128</v>
      </c>
      <c r="AA102">
        <v>3557319.57</v>
      </c>
      <c r="AB102">
        <v>569171.13119999995</v>
      </c>
      <c r="AC102" s="3">
        <v>4082382</v>
      </c>
      <c r="AD102">
        <v>700042411</v>
      </c>
      <c r="AE102" t="s">
        <v>538</v>
      </c>
      <c r="AF102" s="4">
        <v>4082382</v>
      </c>
      <c r="AG102" t="s">
        <v>51</v>
      </c>
      <c r="AH102" t="s">
        <v>1123</v>
      </c>
      <c r="AJ102" t="s">
        <v>1148</v>
      </c>
      <c r="AK102" t="s">
        <v>1129</v>
      </c>
      <c r="AL102">
        <v>340718590</v>
      </c>
      <c r="AM102" t="s">
        <v>244</v>
      </c>
    </row>
    <row r="103" spans="1:39" x14ac:dyDescent="0.35">
      <c r="A103">
        <v>3407</v>
      </c>
      <c r="B103" t="s">
        <v>83</v>
      </c>
      <c r="C103">
        <v>2020</v>
      </c>
      <c r="D103" s="1">
        <v>43831</v>
      </c>
      <c r="E103">
        <v>1</v>
      </c>
      <c r="F103">
        <v>700042289</v>
      </c>
      <c r="G103" t="s">
        <v>120</v>
      </c>
      <c r="H103">
        <v>91</v>
      </c>
      <c r="I103">
        <v>71104010</v>
      </c>
      <c r="J103">
        <v>21021040</v>
      </c>
      <c r="K103" t="s">
        <v>121</v>
      </c>
      <c r="L103" s="4">
        <v>3557319.57</v>
      </c>
      <c r="M103" t="s">
        <v>31</v>
      </c>
      <c r="N103" s="4">
        <v>3557319.57</v>
      </c>
      <c r="O103" t="s">
        <v>31</v>
      </c>
      <c r="R103" t="s">
        <v>537</v>
      </c>
      <c r="S103" t="s">
        <v>1131</v>
      </c>
      <c r="T103">
        <v>107211</v>
      </c>
      <c r="U103" t="s">
        <v>123</v>
      </c>
      <c r="X103" t="s">
        <v>65</v>
      </c>
      <c r="Y103">
        <v>1012020</v>
      </c>
      <c r="Z103" t="s">
        <v>1163</v>
      </c>
      <c r="AA103">
        <v>3557319.57</v>
      </c>
      <c r="AE103" t="s">
        <v>538</v>
      </c>
      <c r="AH103" t="s">
        <v>1123</v>
      </c>
      <c r="AJ103" t="s">
        <v>1148</v>
      </c>
      <c r="AK103" t="s">
        <v>1129</v>
      </c>
      <c r="AL103">
        <v>340718590</v>
      </c>
      <c r="AM103" t="s">
        <v>541</v>
      </c>
    </row>
    <row r="104" spans="1:39" x14ac:dyDescent="0.35">
      <c r="A104">
        <v>3407</v>
      </c>
      <c r="B104" t="s">
        <v>28</v>
      </c>
      <c r="C104">
        <v>2020</v>
      </c>
      <c r="D104" s="1">
        <v>43831</v>
      </c>
      <c r="E104">
        <v>1</v>
      </c>
      <c r="F104">
        <v>700042327</v>
      </c>
      <c r="G104" t="s">
        <v>120</v>
      </c>
      <c r="H104">
        <v>81</v>
      </c>
      <c r="I104">
        <v>71104010</v>
      </c>
      <c r="J104">
        <v>21021040</v>
      </c>
      <c r="K104" t="s">
        <v>121</v>
      </c>
      <c r="L104" s="4">
        <v>3519294.86</v>
      </c>
      <c r="M104" t="s">
        <v>31</v>
      </c>
      <c r="N104" s="4">
        <v>3519294.86</v>
      </c>
      <c r="O104" t="s">
        <v>31</v>
      </c>
      <c r="R104" t="s">
        <v>537</v>
      </c>
      <c r="S104" t="s">
        <v>1131</v>
      </c>
      <c r="T104">
        <v>107211</v>
      </c>
      <c r="U104" t="s">
        <v>123</v>
      </c>
      <c r="X104" t="s">
        <v>65</v>
      </c>
      <c r="Y104" t="s">
        <v>990</v>
      </c>
      <c r="Z104" t="s">
        <v>1163</v>
      </c>
      <c r="AA104">
        <v>3519294.86</v>
      </c>
      <c r="AE104" t="s">
        <v>991</v>
      </c>
      <c r="AH104" t="s">
        <v>1123</v>
      </c>
      <c r="AJ104" t="s">
        <v>1148</v>
      </c>
      <c r="AK104" t="s">
        <v>1129</v>
      </c>
      <c r="AL104">
        <v>340718590</v>
      </c>
      <c r="AM104" t="s">
        <v>541</v>
      </c>
    </row>
    <row r="105" spans="1:39" x14ac:dyDescent="0.35">
      <c r="A105">
        <v>3407</v>
      </c>
      <c r="B105" t="s">
        <v>28</v>
      </c>
      <c r="C105">
        <v>2020</v>
      </c>
      <c r="D105" s="1">
        <v>43831</v>
      </c>
      <c r="E105">
        <v>2</v>
      </c>
      <c r="F105">
        <v>700041037</v>
      </c>
      <c r="G105" t="s">
        <v>101</v>
      </c>
      <c r="H105">
        <v>50</v>
      </c>
      <c r="I105">
        <v>71104010</v>
      </c>
      <c r="J105">
        <v>71104030</v>
      </c>
      <c r="K105" t="s">
        <v>121</v>
      </c>
      <c r="L105" s="4">
        <v>117908.32</v>
      </c>
      <c r="M105" t="s">
        <v>31</v>
      </c>
      <c r="N105" s="4">
        <v>117908.32</v>
      </c>
      <c r="O105" t="s">
        <v>31</v>
      </c>
      <c r="X105" t="s">
        <v>35</v>
      </c>
      <c r="Y105" t="s">
        <v>375</v>
      </c>
      <c r="Z105" t="s">
        <v>376</v>
      </c>
      <c r="AA105">
        <v>117908.32</v>
      </c>
      <c r="AE105" t="s">
        <v>1040</v>
      </c>
      <c r="AL105">
        <v>340718590</v>
      </c>
      <c r="AM105" t="s">
        <v>217</v>
      </c>
    </row>
    <row r="106" spans="1:39" x14ac:dyDescent="0.35">
      <c r="A106">
        <v>3407</v>
      </c>
      <c r="B106" t="s">
        <v>28</v>
      </c>
      <c r="C106">
        <v>2020</v>
      </c>
      <c r="D106" s="1">
        <v>43831</v>
      </c>
      <c r="E106">
        <v>1</v>
      </c>
      <c r="F106">
        <v>700041037</v>
      </c>
      <c r="G106" t="s">
        <v>101</v>
      </c>
      <c r="H106">
        <v>40</v>
      </c>
      <c r="I106">
        <v>71104010</v>
      </c>
      <c r="J106">
        <v>71104030</v>
      </c>
      <c r="K106" t="s">
        <v>121</v>
      </c>
      <c r="L106" s="4">
        <v>117908.32</v>
      </c>
      <c r="M106" t="s">
        <v>31</v>
      </c>
      <c r="N106" s="4">
        <v>117908.32</v>
      </c>
      <c r="O106" t="s">
        <v>31</v>
      </c>
      <c r="X106" t="s">
        <v>35</v>
      </c>
      <c r="Y106" t="s">
        <v>375</v>
      </c>
      <c r="Z106" t="s">
        <v>376</v>
      </c>
      <c r="AA106">
        <v>117908.32</v>
      </c>
      <c r="AE106" t="s">
        <v>1040</v>
      </c>
      <c r="AL106">
        <v>340732290</v>
      </c>
      <c r="AM106" t="s">
        <v>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9100-E7F5-48FD-AD0D-879267B5DF41}">
  <dimension ref="A3:I34"/>
  <sheetViews>
    <sheetView topLeftCell="A7" workbookViewId="0">
      <selection activeCell="I33" sqref="I33"/>
    </sheetView>
  </sheetViews>
  <sheetFormatPr baseColWidth="10" defaultRowHeight="14.5" x14ac:dyDescent="0.35"/>
  <cols>
    <col min="1" max="2" width="18.90625" bestFit="1" customWidth="1"/>
    <col min="3" max="3" width="18.6328125" bestFit="1" customWidth="1"/>
    <col min="4" max="4" width="16.90625" bestFit="1" customWidth="1"/>
    <col min="5" max="5" width="15.54296875" bestFit="1" customWidth="1"/>
    <col min="6" max="6" width="12" bestFit="1" customWidth="1"/>
    <col min="7" max="7" width="18.90625" bestFit="1" customWidth="1"/>
    <col min="8" max="8" width="26.7265625" bestFit="1" customWidth="1"/>
    <col min="9" max="9" width="24.81640625" bestFit="1" customWidth="1"/>
  </cols>
  <sheetData>
    <row r="3" spans="1:9" x14ac:dyDescent="0.35">
      <c r="A3" s="13" t="s">
        <v>8</v>
      </c>
      <c r="B3" s="13" t="s">
        <v>9</v>
      </c>
      <c r="C3" t="s">
        <v>1188</v>
      </c>
      <c r="D3" t="s">
        <v>1187</v>
      </c>
      <c r="F3" s="12" t="s">
        <v>8</v>
      </c>
      <c r="G3" s="12" t="s">
        <v>9</v>
      </c>
      <c r="H3" s="12" t="s">
        <v>1188</v>
      </c>
      <c r="I3" s="12" t="s">
        <v>1187</v>
      </c>
    </row>
    <row r="4" spans="1:9" x14ac:dyDescent="0.35">
      <c r="A4">
        <v>71101060</v>
      </c>
      <c r="B4" t="s">
        <v>30</v>
      </c>
      <c r="C4">
        <v>1</v>
      </c>
      <c r="D4">
        <v>6100.02</v>
      </c>
      <c r="F4" s="14">
        <v>71101060</v>
      </c>
      <c r="G4" t="s">
        <v>30</v>
      </c>
      <c r="H4">
        <v>1</v>
      </c>
      <c r="I4">
        <v>6100.02</v>
      </c>
    </row>
    <row r="5" spans="1:9" x14ac:dyDescent="0.35">
      <c r="A5">
        <v>71104010</v>
      </c>
      <c r="B5" t="s">
        <v>121</v>
      </c>
      <c r="C5">
        <v>349</v>
      </c>
      <c r="D5">
        <v>16547319.279999999</v>
      </c>
      <c r="F5" s="14">
        <v>71104010</v>
      </c>
      <c r="G5" t="s">
        <v>121</v>
      </c>
      <c r="H5">
        <v>349</v>
      </c>
      <c r="I5">
        <v>16547319.279999999</v>
      </c>
    </row>
    <row r="6" spans="1:9" x14ac:dyDescent="0.35">
      <c r="A6">
        <v>71105060</v>
      </c>
      <c r="B6" t="s">
        <v>238</v>
      </c>
      <c r="C6">
        <v>14</v>
      </c>
      <c r="D6">
        <v>828167.54999999993</v>
      </c>
      <c r="F6" s="14">
        <v>71105060</v>
      </c>
      <c r="G6" t="s">
        <v>238</v>
      </c>
      <c r="H6">
        <v>14</v>
      </c>
      <c r="I6">
        <v>828167.54999999993</v>
      </c>
    </row>
    <row r="7" spans="1:9" x14ac:dyDescent="0.35">
      <c r="A7">
        <v>71105120</v>
      </c>
      <c r="B7" t="s">
        <v>268</v>
      </c>
      <c r="C7">
        <v>25</v>
      </c>
      <c r="D7">
        <v>592656.31000000017</v>
      </c>
      <c r="F7" s="14">
        <v>71105120</v>
      </c>
      <c r="G7" t="s">
        <v>268</v>
      </c>
      <c r="H7">
        <v>25</v>
      </c>
      <c r="I7">
        <v>592656.31000000017</v>
      </c>
    </row>
    <row r="8" spans="1:9" x14ac:dyDescent="0.35">
      <c r="A8">
        <v>71105130</v>
      </c>
      <c r="B8" t="s">
        <v>305</v>
      </c>
      <c r="C8">
        <v>3</v>
      </c>
      <c r="D8">
        <v>69069.279999999999</v>
      </c>
      <c r="F8" s="14">
        <v>71105130</v>
      </c>
      <c r="G8" t="s">
        <v>305</v>
      </c>
      <c r="H8">
        <v>3</v>
      </c>
      <c r="I8">
        <v>69069.279999999999</v>
      </c>
    </row>
    <row r="9" spans="1:9" x14ac:dyDescent="0.35">
      <c r="A9">
        <v>71106040</v>
      </c>
      <c r="B9" t="s">
        <v>125</v>
      </c>
      <c r="C9">
        <v>36</v>
      </c>
      <c r="D9">
        <v>3702308.3699999996</v>
      </c>
      <c r="F9" s="14">
        <v>71106040</v>
      </c>
      <c r="G9" t="s">
        <v>125</v>
      </c>
      <c r="H9">
        <v>36</v>
      </c>
      <c r="I9">
        <v>3702308.3699999996</v>
      </c>
    </row>
    <row r="10" spans="1:9" x14ac:dyDescent="0.35">
      <c r="A10">
        <v>71106100</v>
      </c>
      <c r="B10" t="s">
        <v>97</v>
      </c>
      <c r="C10">
        <v>4</v>
      </c>
      <c r="D10">
        <v>75689.64</v>
      </c>
      <c r="F10" s="14">
        <v>71106100</v>
      </c>
      <c r="G10" t="s">
        <v>97</v>
      </c>
      <c r="H10">
        <v>4</v>
      </c>
      <c r="I10">
        <v>75689.64</v>
      </c>
    </row>
    <row r="11" spans="1:9" x14ac:dyDescent="0.35">
      <c r="A11">
        <v>71106150</v>
      </c>
      <c r="B11" t="s">
        <v>102</v>
      </c>
      <c r="C11">
        <v>16</v>
      </c>
      <c r="D11">
        <v>13970002.479999999</v>
      </c>
      <c r="F11" s="14">
        <v>71106150</v>
      </c>
      <c r="G11" t="s">
        <v>102</v>
      </c>
      <c r="H11">
        <v>16</v>
      </c>
      <c r="I11">
        <v>13970002.479999999</v>
      </c>
    </row>
    <row r="12" spans="1:9" x14ac:dyDescent="0.35">
      <c r="A12" t="s">
        <v>1186</v>
      </c>
      <c r="C12">
        <v>448</v>
      </c>
      <c r="D12">
        <v>35791312.930000015</v>
      </c>
      <c r="F12" s="14">
        <v>71101060</v>
      </c>
      <c r="G12" t="s">
        <v>30</v>
      </c>
      <c r="H12">
        <v>7</v>
      </c>
      <c r="I12">
        <v>423766.16000000003</v>
      </c>
    </row>
    <row r="13" spans="1:9" x14ac:dyDescent="0.35">
      <c r="F13" s="14">
        <v>71104010</v>
      </c>
      <c r="G13" t="s">
        <v>121</v>
      </c>
      <c r="H13">
        <v>318</v>
      </c>
      <c r="I13">
        <v>25927902.17000002</v>
      </c>
    </row>
    <row r="14" spans="1:9" x14ac:dyDescent="0.35">
      <c r="F14" s="14">
        <v>71105060</v>
      </c>
      <c r="G14" t="s">
        <v>238</v>
      </c>
      <c r="H14">
        <v>5</v>
      </c>
      <c r="I14">
        <v>106050</v>
      </c>
    </row>
    <row r="15" spans="1:9" x14ac:dyDescent="0.35">
      <c r="F15" s="14">
        <v>71105120</v>
      </c>
      <c r="G15" t="s">
        <v>268</v>
      </c>
      <c r="H15">
        <v>7</v>
      </c>
      <c r="I15">
        <v>264382.40999999997</v>
      </c>
    </row>
    <row r="16" spans="1:9" x14ac:dyDescent="0.35">
      <c r="F16" s="14">
        <v>71105130</v>
      </c>
      <c r="G16" t="s">
        <v>305</v>
      </c>
      <c r="H16">
        <v>2</v>
      </c>
      <c r="I16">
        <v>41980.67</v>
      </c>
    </row>
    <row r="17" spans="6:9" x14ac:dyDescent="0.35">
      <c r="F17" s="14">
        <v>71106040</v>
      </c>
      <c r="G17" t="s">
        <v>125</v>
      </c>
      <c r="H17">
        <v>17</v>
      </c>
      <c r="I17">
        <v>1372169.0199999998</v>
      </c>
    </row>
    <row r="18" spans="6:9" x14ac:dyDescent="0.35">
      <c r="F18" s="14">
        <v>71106100</v>
      </c>
      <c r="G18" t="s">
        <v>97</v>
      </c>
      <c r="H18">
        <v>7</v>
      </c>
      <c r="I18">
        <v>87485.14</v>
      </c>
    </row>
    <row r="19" spans="6:9" x14ac:dyDescent="0.35">
      <c r="F19" s="14">
        <v>71106150</v>
      </c>
      <c r="G19" t="s">
        <v>102</v>
      </c>
      <c r="H19">
        <v>1</v>
      </c>
      <c r="I19">
        <v>82566.649999999994</v>
      </c>
    </row>
    <row r="20" spans="6:9" x14ac:dyDescent="0.35">
      <c r="F20" s="14">
        <v>71104010</v>
      </c>
      <c r="G20" t="s">
        <v>121</v>
      </c>
      <c r="H20">
        <v>293</v>
      </c>
      <c r="I20">
        <v>19298279.139999997</v>
      </c>
    </row>
    <row r="25" spans="6:9" x14ac:dyDescent="0.35">
      <c r="F25" s="13" t="s">
        <v>8</v>
      </c>
      <c r="G25" s="13" t="s">
        <v>9</v>
      </c>
      <c r="H25" t="s">
        <v>1195</v>
      </c>
      <c r="I25" t="s">
        <v>1196</v>
      </c>
    </row>
    <row r="26" spans="6:9" x14ac:dyDescent="0.35">
      <c r="F26">
        <v>71101060</v>
      </c>
      <c r="G26" t="s">
        <v>30</v>
      </c>
      <c r="H26">
        <v>8</v>
      </c>
      <c r="I26">
        <v>429866.18000000005</v>
      </c>
    </row>
    <row r="27" spans="6:9" x14ac:dyDescent="0.35">
      <c r="F27">
        <v>71104010</v>
      </c>
      <c r="G27" t="s">
        <v>121</v>
      </c>
      <c r="H27">
        <v>960</v>
      </c>
      <c r="I27">
        <v>61773500.590000018</v>
      </c>
    </row>
    <row r="28" spans="6:9" x14ac:dyDescent="0.35">
      <c r="F28">
        <v>71105060</v>
      </c>
      <c r="G28" t="s">
        <v>238</v>
      </c>
      <c r="H28">
        <v>19</v>
      </c>
      <c r="I28">
        <v>934217.54999999993</v>
      </c>
    </row>
    <row r="29" spans="6:9" x14ac:dyDescent="0.35">
      <c r="F29">
        <v>71105120</v>
      </c>
      <c r="G29" t="s">
        <v>268</v>
      </c>
      <c r="H29">
        <v>32</v>
      </c>
      <c r="I29">
        <v>857038.7200000002</v>
      </c>
    </row>
    <row r="30" spans="6:9" x14ac:dyDescent="0.35">
      <c r="F30">
        <v>71105130</v>
      </c>
      <c r="G30" t="s">
        <v>305</v>
      </c>
      <c r="H30">
        <v>5</v>
      </c>
      <c r="I30">
        <v>111049.95</v>
      </c>
    </row>
    <row r="31" spans="6:9" x14ac:dyDescent="0.35">
      <c r="F31">
        <v>71106040</v>
      </c>
      <c r="G31" t="s">
        <v>125</v>
      </c>
      <c r="H31">
        <v>53</v>
      </c>
      <c r="I31">
        <v>5074477.3899999997</v>
      </c>
    </row>
    <row r="32" spans="6:9" x14ac:dyDescent="0.35">
      <c r="F32">
        <v>71106100</v>
      </c>
      <c r="G32" t="s">
        <v>97</v>
      </c>
      <c r="H32">
        <v>11</v>
      </c>
      <c r="I32">
        <v>163174.78</v>
      </c>
    </row>
    <row r="33" spans="6:9" x14ac:dyDescent="0.35">
      <c r="F33">
        <v>71106150</v>
      </c>
      <c r="G33" t="s">
        <v>102</v>
      </c>
      <c r="H33">
        <v>17</v>
      </c>
      <c r="I33">
        <v>14052569.129999999</v>
      </c>
    </row>
    <row r="34" spans="6:9" x14ac:dyDescent="0.35">
      <c r="F34" t="s">
        <v>1186</v>
      </c>
      <c r="H34">
        <v>1105</v>
      </c>
      <c r="I34">
        <v>83395894.290000007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A6E2-FB0A-46A2-BF7C-CF8A939ED3D8}">
  <dimension ref="A1:AM449"/>
  <sheetViews>
    <sheetView workbookViewId="0">
      <selection sqref="A1:AM449"/>
    </sheetView>
  </sheetViews>
  <sheetFormatPr baseColWidth="10" defaultRowHeight="14.5" x14ac:dyDescent="0.35"/>
  <sheetData>
    <row r="1" spans="1:39" ht="6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</v>
      </c>
      <c r="K1" t="s">
        <v>9</v>
      </c>
      <c r="L1" s="2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s="2" t="s">
        <v>16</v>
      </c>
      <c r="S1" s="2" t="s">
        <v>1110</v>
      </c>
      <c r="T1" s="5" t="s">
        <v>18</v>
      </c>
      <c r="U1" t="s">
        <v>19</v>
      </c>
      <c r="V1" t="s">
        <v>20</v>
      </c>
      <c r="W1" t="s">
        <v>21</v>
      </c>
      <c r="X1" t="s">
        <v>22</v>
      </c>
      <c r="Y1" s="7" t="s">
        <v>23</v>
      </c>
      <c r="Z1" t="s">
        <v>24</v>
      </c>
      <c r="AA1" s="2" t="s">
        <v>1111</v>
      </c>
      <c r="AB1" s="2" t="s">
        <v>1112</v>
      </c>
      <c r="AC1" s="6" t="s">
        <v>1113</v>
      </c>
      <c r="AD1" s="2" t="s">
        <v>1120</v>
      </c>
      <c r="AE1" t="s">
        <v>25</v>
      </c>
      <c r="AF1" s="6" t="s">
        <v>1116</v>
      </c>
      <c r="AG1" s="2" t="s">
        <v>1114</v>
      </c>
      <c r="AH1" s="2" t="s">
        <v>1115</v>
      </c>
      <c r="AI1" s="2" t="s">
        <v>1117</v>
      </c>
      <c r="AJ1" s="2" t="s">
        <v>1118</v>
      </c>
      <c r="AK1" s="2" t="s">
        <v>1119</v>
      </c>
      <c r="AL1" t="s">
        <v>26</v>
      </c>
      <c r="AM1" t="s">
        <v>27</v>
      </c>
    </row>
    <row r="2" spans="1:39" x14ac:dyDescent="0.35">
      <c r="A2">
        <v>3401</v>
      </c>
      <c r="B2" t="s">
        <v>61</v>
      </c>
      <c r="C2">
        <v>2020</v>
      </c>
      <c r="D2" s="1">
        <v>43831</v>
      </c>
      <c r="E2">
        <v>1</v>
      </c>
      <c r="F2">
        <v>100026729</v>
      </c>
      <c r="G2" t="s">
        <v>120</v>
      </c>
      <c r="H2">
        <v>81</v>
      </c>
      <c r="I2">
        <v>71104010</v>
      </c>
      <c r="J2">
        <v>21021040</v>
      </c>
      <c r="K2" t="s">
        <v>121</v>
      </c>
      <c r="L2">
        <v>49308.02</v>
      </c>
      <c r="M2" t="s">
        <v>31</v>
      </c>
      <c r="N2">
        <v>49308.02</v>
      </c>
      <c r="O2" t="s">
        <v>31</v>
      </c>
      <c r="R2" t="s">
        <v>122</v>
      </c>
      <c r="S2" t="s">
        <v>1131</v>
      </c>
      <c r="T2">
        <v>107211</v>
      </c>
      <c r="U2" t="s">
        <v>123</v>
      </c>
      <c r="X2" t="s">
        <v>61</v>
      </c>
      <c r="Y2" s="8">
        <v>4501216248</v>
      </c>
      <c r="Z2" t="s">
        <v>1127</v>
      </c>
      <c r="AA2">
        <v>49308.02</v>
      </c>
      <c r="AB2" s="3">
        <v>368995.17</v>
      </c>
      <c r="AC2" s="3">
        <v>2790526</v>
      </c>
      <c r="AD2">
        <v>100036889</v>
      </c>
      <c r="AE2" t="s">
        <v>1128</v>
      </c>
      <c r="AF2" s="4">
        <v>2790526</v>
      </c>
      <c r="AG2" t="s">
        <v>51</v>
      </c>
      <c r="AH2" t="s">
        <v>1123</v>
      </c>
      <c r="AI2">
        <v>100036917</v>
      </c>
      <c r="AJ2" t="s">
        <v>1130</v>
      </c>
      <c r="AK2" t="s">
        <v>1129</v>
      </c>
      <c r="AL2">
        <v>340118590</v>
      </c>
      <c r="AM2" t="s">
        <v>124</v>
      </c>
    </row>
    <row r="3" spans="1:39" x14ac:dyDescent="0.35">
      <c r="A3">
        <v>3401</v>
      </c>
      <c r="B3" t="s">
        <v>61</v>
      </c>
      <c r="C3">
        <v>2020</v>
      </c>
      <c r="D3" s="1">
        <v>43831</v>
      </c>
      <c r="E3">
        <v>1</v>
      </c>
      <c r="F3">
        <v>100026958</v>
      </c>
      <c r="G3" t="s">
        <v>120</v>
      </c>
      <c r="H3">
        <v>81</v>
      </c>
      <c r="I3">
        <v>71106040</v>
      </c>
      <c r="J3">
        <v>21021040</v>
      </c>
      <c r="K3" t="s">
        <v>125</v>
      </c>
      <c r="L3">
        <v>10377.35</v>
      </c>
      <c r="M3" t="s">
        <v>54</v>
      </c>
      <c r="N3">
        <v>195112.86</v>
      </c>
      <c r="O3" t="s">
        <v>31</v>
      </c>
      <c r="R3" t="s">
        <v>1121</v>
      </c>
      <c r="S3">
        <v>593383972</v>
      </c>
      <c r="T3">
        <v>600226</v>
      </c>
      <c r="U3" t="s">
        <v>126</v>
      </c>
      <c r="X3" t="s">
        <v>61</v>
      </c>
      <c r="Y3" s="8" t="s">
        <v>127</v>
      </c>
      <c r="Z3">
        <v>20200127</v>
      </c>
      <c r="AA3">
        <v>10377.35</v>
      </c>
      <c r="AB3">
        <v>0</v>
      </c>
      <c r="AC3">
        <v>10377.35</v>
      </c>
      <c r="AD3">
        <v>100030322</v>
      </c>
      <c r="AE3" t="s">
        <v>128</v>
      </c>
      <c r="AF3" s="4">
        <v>9433.9545454545441</v>
      </c>
      <c r="AG3" t="s">
        <v>212</v>
      </c>
      <c r="AH3" t="s">
        <v>1123</v>
      </c>
      <c r="AI3">
        <v>100036041</v>
      </c>
      <c r="AJ3" t="s">
        <v>1125</v>
      </c>
      <c r="AK3" t="s">
        <v>1124</v>
      </c>
      <c r="AL3">
        <v>340121790</v>
      </c>
      <c r="AM3" t="s">
        <v>129</v>
      </c>
    </row>
    <row r="4" spans="1:39" x14ac:dyDescent="0.35">
      <c r="A4">
        <v>3401</v>
      </c>
      <c r="B4" t="s">
        <v>61</v>
      </c>
      <c r="C4">
        <v>2020</v>
      </c>
      <c r="D4" s="1">
        <v>43831</v>
      </c>
      <c r="E4">
        <v>1</v>
      </c>
      <c r="F4">
        <v>100026728</v>
      </c>
      <c r="G4" t="s">
        <v>120</v>
      </c>
      <c r="H4">
        <v>81</v>
      </c>
      <c r="I4">
        <v>71104010</v>
      </c>
      <c r="J4">
        <v>21021040</v>
      </c>
      <c r="K4" t="s">
        <v>121</v>
      </c>
      <c r="L4">
        <v>39676</v>
      </c>
      <c r="M4" t="s">
        <v>31</v>
      </c>
      <c r="N4">
        <v>39676</v>
      </c>
      <c r="O4" t="s">
        <v>31</v>
      </c>
      <c r="R4" t="s">
        <v>122</v>
      </c>
      <c r="S4" t="s">
        <v>1131</v>
      </c>
      <c r="T4">
        <v>107211</v>
      </c>
      <c r="U4" t="s">
        <v>123</v>
      </c>
      <c r="X4" t="s">
        <v>61</v>
      </c>
      <c r="Y4" s="8">
        <v>4501216248</v>
      </c>
      <c r="Z4" t="s">
        <v>1127</v>
      </c>
      <c r="AA4">
        <v>39676</v>
      </c>
      <c r="AD4">
        <v>100036889</v>
      </c>
      <c r="AE4" t="s">
        <v>1128</v>
      </c>
      <c r="AF4" s="4">
        <v>3245.7840000000001</v>
      </c>
      <c r="AG4" t="s">
        <v>51</v>
      </c>
      <c r="AH4" t="s">
        <v>1123</v>
      </c>
      <c r="AI4">
        <v>100036917</v>
      </c>
      <c r="AJ4" t="s">
        <v>1130</v>
      </c>
      <c r="AK4" t="s">
        <v>1129</v>
      </c>
      <c r="AL4">
        <v>340118590</v>
      </c>
      <c r="AM4" t="s">
        <v>124</v>
      </c>
    </row>
    <row r="5" spans="1:39" x14ac:dyDescent="0.35">
      <c r="A5">
        <v>3406</v>
      </c>
      <c r="B5" t="s">
        <v>61</v>
      </c>
      <c r="C5">
        <v>2020</v>
      </c>
      <c r="D5" s="1">
        <v>43831</v>
      </c>
      <c r="E5">
        <v>1</v>
      </c>
      <c r="F5">
        <v>600025749</v>
      </c>
      <c r="G5" t="s">
        <v>120</v>
      </c>
      <c r="H5">
        <v>81</v>
      </c>
      <c r="I5">
        <v>71106040</v>
      </c>
      <c r="J5">
        <v>21021040</v>
      </c>
      <c r="K5" t="s">
        <v>125</v>
      </c>
      <c r="L5">
        <v>284.54000000000002</v>
      </c>
      <c r="M5" t="s">
        <v>54</v>
      </c>
      <c r="N5">
        <v>5349.86</v>
      </c>
      <c r="O5" t="s">
        <v>31</v>
      </c>
      <c r="R5" t="s">
        <v>1121</v>
      </c>
      <c r="S5">
        <v>752738581</v>
      </c>
      <c r="T5">
        <v>602358</v>
      </c>
      <c r="U5" t="s">
        <v>130</v>
      </c>
      <c r="X5" t="s">
        <v>61</v>
      </c>
      <c r="Y5" s="8">
        <v>2292347</v>
      </c>
      <c r="Z5">
        <v>20200127</v>
      </c>
      <c r="AA5">
        <v>284.54000000000002</v>
      </c>
      <c r="AB5">
        <v>0</v>
      </c>
      <c r="AC5">
        <v>284.54000000000002</v>
      </c>
      <c r="AD5">
        <v>600027034</v>
      </c>
      <c r="AE5" t="s">
        <v>131</v>
      </c>
      <c r="AF5" s="4">
        <v>284.54000000000002</v>
      </c>
      <c r="AG5" t="s">
        <v>1146</v>
      </c>
      <c r="AH5" t="s">
        <v>1123</v>
      </c>
      <c r="AI5">
        <v>600039069</v>
      </c>
      <c r="AJ5" t="s">
        <v>1125</v>
      </c>
      <c r="AK5" t="s">
        <v>1124</v>
      </c>
      <c r="AL5">
        <v>340621790</v>
      </c>
      <c r="AM5" t="s">
        <v>132</v>
      </c>
    </row>
    <row r="6" spans="1:39" x14ac:dyDescent="0.35">
      <c r="A6">
        <v>3402</v>
      </c>
      <c r="B6" t="s">
        <v>61</v>
      </c>
      <c r="C6">
        <v>2020</v>
      </c>
      <c r="D6" s="1">
        <v>43831</v>
      </c>
      <c r="E6">
        <v>1</v>
      </c>
      <c r="F6">
        <v>200086370</v>
      </c>
      <c r="G6" t="s">
        <v>120</v>
      </c>
      <c r="H6">
        <v>81</v>
      </c>
      <c r="I6">
        <v>71104010</v>
      </c>
      <c r="J6">
        <v>21021040</v>
      </c>
      <c r="K6" t="s">
        <v>121</v>
      </c>
      <c r="L6">
        <v>175.05</v>
      </c>
      <c r="M6" t="s">
        <v>31</v>
      </c>
      <c r="N6">
        <v>175.05</v>
      </c>
      <c r="O6" t="s">
        <v>31</v>
      </c>
      <c r="R6" t="s">
        <v>133</v>
      </c>
      <c r="S6" t="s">
        <v>1131</v>
      </c>
      <c r="T6">
        <v>107211</v>
      </c>
      <c r="U6" t="s">
        <v>123</v>
      </c>
      <c r="X6" t="s">
        <v>61</v>
      </c>
      <c r="Y6" s="8">
        <v>4501226797</v>
      </c>
      <c r="Z6">
        <v>20200127</v>
      </c>
      <c r="AA6">
        <v>175.05</v>
      </c>
      <c r="AB6">
        <v>28.008000000000003</v>
      </c>
      <c r="AC6">
        <v>203.05800000000002</v>
      </c>
      <c r="AD6">
        <v>200127172</v>
      </c>
      <c r="AE6" t="s">
        <v>134</v>
      </c>
      <c r="AF6" s="4">
        <v>203.05800000000002</v>
      </c>
      <c r="AG6" t="s">
        <v>1146</v>
      </c>
      <c r="AH6" t="s">
        <v>1123</v>
      </c>
      <c r="AI6">
        <v>200130320</v>
      </c>
      <c r="AJ6" t="s">
        <v>1148</v>
      </c>
      <c r="AK6" t="s">
        <v>1129</v>
      </c>
      <c r="AL6">
        <v>340255290</v>
      </c>
      <c r="AM6" t="s">
        <v>135</v>
      </c>
    </row>
    <row r="7" spans="1:39" x14ac:dyDescent="0.35">
      <c r="A7">
        <v>3402</v>
      </c>
      <c r="B7" t="s">
        <v>61</v>
      </c>
      <c r="C7">
        <v>2020</v>
      </c>
      <c r="D7" s="1">
        <v>43831</v>
      </c>
      <c r="E7">
        <v>3</v>
      </c>
      <c r="F7">
        <v>200086370</v>
      </c>
      <c r="G7" t="s">
        <v>120</v>
      </c>
      <c r="H7">
        <v>81</v>
      </c>
      <c r="I7">
        <v>71104010</v>
      </c>
      <c r="J7">
        <v>21021040</v>
      </c>
      <c r="K7" t="s">
        <v>121</v>
      </c>
      <c r="L7">
        <v>2730.06</v>
      </c>
      <c r="M7" t="s">
        <v>31</v>
      </c>
      <c r="N7">
        <v>2730.06</v>
      </c>
      <c r="O7" t="s">
        <v>31</v>
      </c>
      <c r="R7" t="s">
        <v>133</v>
      </c>
      <c r="S7" t="s">
        <v>1131</v>
      </c>
      <c r="T7">
        <v>107211</v>
      </c>
      <c r="U7" t="s">
        <v>123</v>
      </c>
      <c r="X7" t="s">
        <v>61</v>
      </c>
      <c r="Y7" s="8">
        <v>4501226797</v>
      </c>
      <c r="Z7">
        <v>20200127</v>
      </c>
      <c r="AA7">
        <v>2730.06</v>
      </c>
      <c r="AB7">
        <v>436.80959999999999</v>
      </c>
      <c r="AC7">
        <v>3166.8696</v>
      </c>
      <c r="AD7">
        <v>200127172</v>
      </c>
      <c r="AE7" t="s">
        <v>136</v>
      </c>
      <c r="AF7" s="4">
        <v>3166.8696</v>
      </c>
      <c r="AG7" t="s">
        <v>1146</v>
      </c>
      <c r="AH7" t="s">
        <v>1123</v>
      </c>
      <c r="AI7">
        <v>200130320</v>
      </c>
      <c r="AJ7" t="s">
        <v>1148</v>
      </c>
      <c r="AK7" t="s">
        <v>1129</v>
      </c>
      <c r="AL7">
        <v>340255290</v>
      </c>
      <c r="AM7" t="s">
        <v>135</v>
      </c>
    </row>
    <row r="8" spans="1:39" x14ac:dyDescent="0.35">
      <c r="A8">
        <v>3402</v>
      </c>
      <c r="B8" t="s">
        <v>61</v>
      </c>
      <c r="C8">
        <v>2020</v>
      </c>
      <c r="D8" s="1">
        <v>43831</v>
      </c>
      <c r="E8">
        <v>1</v>
      </c>
      <c r="F8">
        <v>200086373</v>
      </c>
      <c r="G8" t="s">
        <v>120</v>
      </c>
      <c r="H8">
        <v>81</v>
      </c>
      <c r="I8">
        <v>71104010</v>
      </c>
      <c r="J8">
        <v>21021040</v>
      </c>
      <c r="K8" t="s">
        <v>121</v>
      </c>
      <c r="L8">
        <v>0.05</v>
      </c>
      <c r="M8" t="s">
        <v>31</v>
      </c>
      <c r="N8">
        <v>0.05</v>
      </c>
      <c r="O8" t="s">
        <v>31</v>
      </c>
      <c r="R8" t="s">
        <v>137</v>
      </c>
      <c r="S8" t="s">
        <v>1131</v>
      </c>
      <c r="T8">
        <v>107211</v>
      </c>
      <c r="U8" t="s">
        <v>123</v>
      </c>
      <c r="X8" t="s">
        <v>61</v>
      </c>
      <c r="Y8" s="8">
        <v>4501226813</v>
      </c>
      <c r="Z8">
        <v>20200127</v>
      </c>
      <c r="AA8">
        <v>0.05</v>
      </c>
      <c r="AB8">
        <v>8.0000000000000002E-3</v>
      </c>
      <c r="AC8">
        <v>5.8000000000000003E-2</v>
      </c>
      <c r="AD8">
        <v>200211626</v>
      </c>
      <c r="AE8" t="s">
        <v>138</v>
      </c>
      <c r="AF8" s="4">
        <v>5.8000000000000003E-2</v>
      </c>
      <c r="AG8" t="s">
        <v>1150</v>
      </c>
      <c r="AH8" t="s">
        <v>1123</v>
      </c>
      <c r="AI8">
        <v>200225788</v>
      </c>
      <c r="AJ8" t="s">
        <v>1130</v>
      </c>
      <c r="AK8" t="s">
        <v>1129</v>
      </c>
      <c r="AL8">
        <v>340255290</v>
      </c>
      <c r="AM8" t="s">
        <v>135</v>
      </c>
    </row>
    <row r="9" spans="1:39" x14ac:dyDescent="0.35">
      <c r="A9">
        <v>3402</v>
      </c>
      <c r="B9" t="s">
        <v>61</v>
      </c>
      <c r="C9">
        <v>2020</v>
      </c>
      <c r="D9" s="1">
        <v>43831</v>
      </c>
      <c r="E9">
        <v>3</v>
      </c>
      <c r="F9">
        <v>200086373</v>
      </c>
      <c r="G9" t="s">
        <v>120</v>
      </c>
      <c r="H9">
        <v>81</v>
      </c>
      <c r="I9">
        <v>71104010</v>
      </c>
      <c r="J9">
        <v>21021040</v>
      </c>
      <c r="K9" t="s">
        <v>121</v>
      </c>
      <c r="L9">
        <v>0.05</v>
      </c>
      <c r="M9" t="s">
        <v>31</v>
      </c>
      <c r="N9">
        <v>0.05</v>
      </c>
      <c r="O9" t="s">
        <v>31</v>
      </c>
      <c r="R9" t="s">
        <v>137</v>
      </c>
      <c r="S9" t="s">
        <v>1131</v>
      </c>
      <c r="T9">
        <v>107211</v>
      </c>
      <c r="U9" t="s">
        <v>123</v>
      </c>
      <c r="X9" t="s">
        <v>61</v>
      </c>
      <c r="Y9" s="8">
        <v>4501226813</v>
      </c>
      <c r="Z9">
        <v>20200127</v>
      </c>
      <c r="AA9">
        <v>0.05</v>
      </c>
      <c r="AB9">
        <v>8.0000000000000002E-3</v>
      </c>
      <c r="AC9">
        <v>5.8000000000000003E-2</v>
      </c>
      <c r="AD9">
        <v>200211626</v>
      </c>
      <c r="AE9" t="s">
        <v>139</v>
      </c>
      <c r="AF9" s="4">
        <v>5.8000000000000003E-2</v>
      </c>
      <c r="AG9" t="s">
        <v>1150</v>
      </c>
      <c r="AH9" t="s">
        <v>1123</v>
      </c>
      <c r="AI9">
        <v>200225788</v>
      </c>
      <c r="AJ9" t="s">
        <v>1130</v>
      </c>
      <c r="AK9" t="s">
        <v>1129</v>
      </c>
      <c r="AL9">
        <v>340255290</v>
      </c>
      <c r="AM9" t="s">
        <v>135</v>
      </c>
    </row>
    <row r="10" spans="1:39" x14ac:dyDescent="0.35">
      <c r="A10">
        <v>3402</v>
      </c>
      <c r="B10" t="s">
        <v>61</v>
      </c>
      <c r="C10">
        <v>2020</v>
      </c>
      <c r="D10" s="1">
        <v>43831</v>
      </c>
      <c r="E10">
        <v>1</v>
      </c>
      <c r="F10">
        <v>200086374</v>
      </c>
      <c r="G10" t="s">
        <v>120</v>
      </c>
      <c r="H10">
        <v>81</v>
      </c>
      <c r="I10">
        <v>71104010</v>
      </c>
      <c r="J10">
        <v>21021040</v>
      </c>
      <c r="K10" t="s">
        <v>121</v>
      </c>
      <c r="L10">
        <v>114</v>
      </c>
      <c r="M10" t="s">
        <v>31</v>
      </c>
      <c r="N10">
        <v>114</v>
      </c>
      <c r="O10" t="s">
        <v>31</v>
      </c>
      <c r="R10" t="s">
        <v>137</v>
      </c>
      <c r="S10" t="s">
        <v>1131</v>
      </c>
      <c r="T10">
        <v>107211</v>
      </c>
      <c r="U10" t="s">
        <v>123</v>
      </c>
      <c r="X10" t="s">
        <v>61</v>
      </c>
      <c r="Y10" s="8">
        <v>4501226813</v>
      </c>
      <c r="Z10">
        <v>20200127</v>
      </c>
      <c r="AA10">
        <v>114</v>
      </c>
      <c r="AB10">
        <v>18.240000000000002</v>
      </c>
      <c r="AC10">
        <v>132.24</v>
      </c>
      <c r="AD10">
        <v>200211626</v>
      </c>
      <c r="AE10" t="s">
        <v>140</v>
      </c>
      <c r="AF10" s="4">
        <v>132.24</v>
      </c>
      <c r="AG10" t="s">
        <v>1150</v>
      </c>
      <c r="AH10" t="s">
        <v>1123</v>
      </c>
      <c r="AI10">
        <v>200225788</v>
      </c>
      <c r="AJ10" t="s">
        <v>1130</v>
      </c>
      <c r="AK10" t="s">
        <v>1129</v>
      </c>
      <c r="AL10">
        <v>340255290</v>
      </c>
      <c r="AM10" t="s">
        <v>135</v>
      </c>
    </row>
    <row r="11" spans="1:39" x14ac:dyDescent="0.35">
      <c r="A11">
        <v>3402</v>
      </c>
      <c r="B11" t="s">
        <v>61</v>
      </c>
      <c r="C11">
        <v>2020</v>
      </c>
      <c r="D11" s="1">
        <v>43831</v>
      </c>
      <c r="E11">
        <v>3</v>
      </c>
      <c r="F11">
        <v>200086374</v>
      </c>
      <c r="G11" t="s">
        <v>120</v>
      </c>
      <c r="H11">
        <v>81</v>
      </c>
      <c r="I11">
        <v>71104010</v>
      </c>
      <c r="J11">
        <v>21021040</v>
      </c>
      <c r="K11" t="s">
        <v>121</v>
      </c>
      <c r="L11">
        <v>117.8</v>
      </c>
      <c r="M11" t="s">
        <v>31</v>
      </c>
      <c r="N11">
        <v>117.8</v>
      </c>
      <c r="O11" t="s">
        <v>31</v>
      </c>
      <c r="R11" t="s">
        <v>137</v>
      </c>
      <c r="S11" t="s">
        <v>1131</v>
      </c>
      <c r="T11">
        <v>107211</v>
      </c>
      <c r="U11" t="s">
        <v>123</v>
      </c>
      <c r="X11" t="s">
        <v>61</v>
      </c>
      <c r="Y11" s="8">
        <v>4501226813</v>
      </c>
      <c r="Z11">
        <v>20200127</v>
      </c>
      <c r="AA11">
        <v>117.8</v>
      </c>
      <c r="AB11">
        <v>18.847999999999999</v>
      </c>
      <c r="AC11">
        <v>136.648</v>
      </c>
      <c r="AD11">
        <v>200211626</v>
      </c>
      <c r="AE11" t="s">
        <v>141</v>
      </c>
      <c r="AF11" s="4">
        <v>136.648</v>
      </c>
      <c r="AG11" t="s">
        <v>1150</v>
      </c>
      <c r="AH11" t="s">
        <v>1123</v>
      </c>
      <c r="AI11">
        <v>200225788</v>
      </c>
      <c r="AJ11" t="s">
        <v>1130</v>
      </c>
      <c r="AK11" t="s">
        <v>1129</v>
      </c>
      <c r="AL11">
        <v>340255290</v>
      </c>
      <c r="AM11" t="s">
        <v>135</v>
      </c>
    </row>
    <row r="12" spans="1:39" x14ac:dyDescent="0.35">
      <c r="A12">
        <v>3402</v>
      </c>
      <c r="B12" t="s">
        <v>61</v>
      </c>
      <c r="C12">
        <v>2020</v>
      </c>
      <c r="D12" s="1">
        <v>43831</v>
      </c>
      <c r="E12">
        <v>1</v>
      </c>
      <c r="F12">
        <v>200086379</v>
      </c>
      <c r="G12" t="s">
        <v>120</v>
      </c>
      <c r="H12">
        <v>81</v>
      </c>
      <c r="I12">
        <v>71104010</v>
      </c>
      <c r="J12">
        <v>21021040</v>
      </c>
      <c r="K12" t="s">
        <v>121</v>
      </c>
      <c r="L12">
        <v>1112.03</v>
      </c>
      <c r="M12" t="s">
        <v>31</v>
      </c>
      <c r="N12">
        <v>1112.03</v>
      </c>
      <c r="O12" t="s">
        <v>31</v>
      </c>
      <c r="R12" t="s">
        <v>133</v>
      </c>
      <c r="S12" t="s">
        <v>1131</v>
      </c>
      <c r="T12">
        <v>107211</v>
      </c>
      <c r="U12" t="s">
        <v>123</v>
      </c>
      <c r="X12" t="s">
        <v>61</v>
      </c>
      <c r="Y12" s="8">
        <v>4501226797</v>
      </c>
      <c r="Z12">
        <v>20200127</v>
      </c>
      <c r="AA12">
        <v>1112.03</v>
      </c>
      <c r="AB12">
        <v>177.9248</v>
      </c>
      <c r="AC12">
        <v>1289.9548</v>
      </c>
      <c r="AD12">
        <v>200127172</v>
      </c>
      <c r="AE12" t="s">
        <v>142</v>
      </c>
      <c r="AF12" s="4">
        <v>1289.9548</v>
      </c>
      <c r="AG12" t="s">
        <v>1146</v>
      </c>
      <c r="AH12" t="s">
        <v>1123</v>
      </c>
      <c r="AI12">
        <v>200130320</v>
      </c>
      <c r="AJ12" t="s">
        <v>1148</v>
      </c>
      <c r="AK12" t="s">
        <v>1129</v>
      </c>
      <c r="AL12">
        <v>340255290</v>
      </c>
      <c r="AM12" t="s">
        <v>135</v>
      </c>
    </row>
    <row r="13" spans="1:39" x14ac:dyDescent="0.35">
      <c r="A13">
        <v>3402</v>
      </c>
      <c r="B13" t="s">
        <v>61</v>
      </c>
      <c r="C13">
        <v>2020</v>
      </c>
      <c r="D13" s="1">
        <v>43831</v>
      </c>
      <c r="E13">
        <v>1</v>
      </c>
      <c r="F13">
        <v>200086381</v>
      </c>
      <c r="G13" t="s">
        <v>120</v>
      </c>
      <c r="H13">
        <v>81</v>
      </c>
      <c r="I13">
        <v>71104010</v>
      </c>
      <c r="J13">
        <v>21021040</v>
      </c>
      <c r="K13" t="s">
        <v>121</v>
      </c>
      <c r="L13">
        <v>624.05999999999995</v>
      </c>
      <c r="M13" t="s">
        <v>31</v>
      </c>
      <c r="N13">
        <v>624.05999999999995</v>
      </c>
      <c r="O13" t="s">
        <v>31</v>
      </c>
      <c r="R13" t="s">
        <v>133</v>
      </c>
      <c r="S13" t="s">
        <v>1131</v>
      </c>
      <c r="T13">
        <v>107211</v>
      </c>
      <c r="U13" t="s">
        <v>123</v>
      </c>
      <c r="X13" t="s">
        <v>61</v>
      </c>
      <c r="Y13" s="8">
        <v>4501226797</v>
      </c>
      <c r="Z13">
        <v>20200127</v>
      </c>
      <c r="AA13">
        <v>624.05999999999995</v>
      </c>
      <c r="AB13">
        <v>99.849599999999995</v>
      </c>
      <c r="AC13">
        <v>723.90959999999995</v>
      </c>
      <c r="AD13">
        <v>200127172</v>
      </c>
      <c r="AE13" t="s">
        <v>143</v>
      </c>
      <c r="AF13" s="4">
        <v>723.90959999999995</v>
      </c>
      <c r="AG13" t="s">
        <v>1146</v>
      </c>
      <c r="AH13" t="s">
        <v>1123</v>
      </c>
      <c r="AI13">
        <v>200130320</v>
      </c>
      <c r="AJ13" t="s">
        <v>1148</v>
      </c>
      <c r="AK13" t="s">
        <v>1129</v>
      </c>
      <c r="AL13">
        <v>340255290</v>
      </c>
      <c r="AM13" t="s">
        <v>135</v>
      </c>
    </row>
    <row r="14" spans="1:39" x14ac:dyDescent="0.35">
      <c r="A14">
        <v>3402</v>
      </c>
      <c r="B14" t="s">
        <v>61</v>
      </c>
      <c r="C14">
        <v>2020</v>
      </c>
      <c r="D14" s="1">
        <v>43831</v>
      </c>
      <c r="E14">
        <v>1</v>
      </c>
      <c r="F14">
        <v>200086384</v>
      </c>
      <c r="G14" t="s">
        <v>120</v>
      </c>
      <c r="H14">
        <v>81</v>
      </c>
      <c r="I14">
        <v>71104010</v>
      </c>
      <c r="J14">
        <v>21021040</v>
      </c>
      <c r="K14" t="s">
        <v>121</v>
      </c>
      <c r="L14">
        <v>0.04</v>
      </c>
      <c r="M14" t="s">
        <v>31</v>
      </c>
      <c r="N14">
        <v>0.04</v>
      </c>
      <c r="O14" t="s">
        <v>31</v>
      </c>
      <c r="R14" t="s">
        <v>133</v>
      </c>
      <c r="S14" t="s">
        <v>1131</v>
      </c>
      <c r="T14">
        <v>107211</v>
      </c>
      <c r="U14" t="s">
        <v>123</v>
      </c>
      <c r="X14" t="s">
        <v>61</v>
      </c>
      <c r="Y14" s="8">
        <v>4501226797</v>
      </c>
      <c r="Z14">
        <v>20200127</v>
      </c>
      <c r="AA14">
        <v>0.04</v>
      </c>
      <c r="AB14">
        <v>6.4000000000000003E-3</v>
      </c>
      <c r="AC14">
        <v>4.6400000000000004E-2</v>
      </c>
      <c r="AD14">
        <v>200127172</v>
      </c>
      <c r="AE14" t="s">
        <v>144</v>
      </c>
      <c r="AF14" s="4">
        <v>4.6400000000000004E-2</v>
      </c>
      <c r="AG14" t="s">
        <v>1146</v>
      </c>
      <c r="AH14" t="s">
        <v>1123</v>
      </c>
      <c r="AI14">
        <v>200130320</v>
      </c>
      <c r="AJ14" t="s">
        <v>1148</v>
      </c>
      <c r="AK14" t="s">
        <v>1129</v>
      </c>
      <c r="AL14">
        <v>340255290</v>
      </c>
      <c r="AM14" t="s">
        <v>135</v>
      </c>
    </row>
    <row r="15" spans="1:39" x14ac:dyDescent="0.35">
      <c r="A15">
        <v>3402</v>
      </c>
      <c r="B15" t="s">
        <v>61</v>
      </c>
      <c r="C15">
        <v>2020</v>
      </c>
      <c r="D15" s="1">
        <v>43831</v>
      </c>
      <c r="E15">
        <v>3</v>
      </c>
      <c r="F15">
        <v>200086384</v>
      </c>
      <c r="G15" t="s">
        <v>120</v>
      </c>
      <c r="H15">
        <v>81</v>
      </c>
      <c r="I15">
        <v>71104010</v>
      </c>
      <c r="J15">
        <v>21021040</v>
      </c>
      <c r="K15" t="s">
        <v>121</v>
      </c>
      <c r="L15">
        <v>304</v>
      </c>
      <c r="M15" t="s">
        <v>31</v>
      </c>
      <c r="N15">
        <v>304</v>
      </c>
      <c r="O15" t="s">
        <v>31</v>
      </c>
      <c r="R15" t="s">
        <v>133</v>
      </c>
      <c r="S15" t="s">
        <v>1131</v>
      </c>
      <c r="T15">
        <v>107211</v>
      </c>
      <c r="U15" t="s">
        <v>123</v>
      </c>
      <c r="X15" t="s">
        <v>61</v>
      </c>
      <c r="Y15" s="8">
        <v>4501226797</v>
      </c>
      <c r="Z15">
        <v>20200127</v>
      </c>
      <c r="AA15">
        <v>304</v>
      </c>
      <c r="AB15">
        <v>48.64</v>
      </c>
      <c r="AC15">
        <v>352.64</v>
      </c>
      <c r="AD15">
        <v>200127172</v>
      </c>
      <c r="AE15" t="s">
        <v>145</v>
      </c>
      <c r="AF15" s="4">
        <v>352.64</v>
      </c>
      <c r="AG15" t="s">
        <v>1146</v>
      </c>
      <c r="AH15" t="s">
        <v>1123</v>
      </c>
      <c r="AI15">
        <v>200130320</v>
      </c>
      <c r="AJ15" t="s">
        <v>1148</v>
      </c>
      <c r="AK15" t="s">
        <v>1129</v>
      </c>
      <c r="AL15">
        <v>340255290</v>
      </c>
      <c r="AM15" t="s">
        <v>135</v>
      </c>
    </row>
    <row r="16" spans="1:39" x14ac:dyDescent="0.35">
      <c r="A16">
        <v>3401</v>
      </c>
      <c r="B16" t="s">
        <v>61</v>
      </c>
      <c r="C16">
        <v>2020</v>
      </c>
      <c r="D16" s="1">
        <v>43831</v>
      </c>
      <c r="E16">
        <v>1</v>
      </c>
      <c r="F16">
        <v>100026935</v>
      </c>
      <c r="G16" t="s">
        <v>120</v>
      </c>
      <c r="H16">
        <v>81</v>
      </c>
      <c r="I16">
        <v>71106040</v>
      </c>
      <c r="J16">
        <v>21021040</v>
      </c>
      <c r="K16" t="s">
        <v>125</v>
      </c>
      <c r="L16">
        <v>5730.55</v>
      </c>
      <c r="M16" t="s">
        <v>54</v>
      </c>
      <c r="N16">
        <v>107744.65</v>
      </c>
      <c r="O16" t="s">
        <v>31</v>
      </c>
      <c r="R16" t="s">
        <v>1121</v>
      </c>
      <c r="S16">
        <v>752738581</v>
      </c>
      <c r="T16">
        <v>602358</v>
      </c>
      <c r="U16" t="s">
        <v>130</v>
      </c>
      <c r="X16" t="s">
        <v>61</v>
      </c>
      <c r="Y16" s="8">
        <v>2273653</v>
      </c>
      <c r="Z16">
        <v>20200127</v>
      </c>
      <c r="AA16">
        <v>5730.55</v>
      </c>
      <c r="AB16">
        <v>0</v>
      </c>
      <c r="AC16">
        <v>5730.55</v>
      </c>
      <c r="AD16">
        <v>100027985</v>
      </c>
      <c r="AE16" t="s">
        <v>146</v>
      </c>
      <c r="AF16" s="4">
        <v>5730.55</v>
      </c>
      <c r="AG16" t="s">
        <v>1146</v>
      </c>
      <c r="AH16" t="s">
        <v>1123</v>
      </c>
      <c r="AI16">
        <v>100040908</v>
      </c>
      <c r="AJ16" t="s">
        <v>1125</v>
      </c>
      <c r="AK16" t="s">
        <v>1124</v>
      </c>
      <c r="AL16">
        <v>340121790</v>
      </c>
      <c r="AM16" t="s">
        <v>129</v>
      </c>
    </row>
    <row r="17" spans="1:39" x14ac:dyDescent="0.35">
      <c r="A17">
        <v>3406</v>
      </c>
      <c r="B17" t="s">
        <v>61</v>
      </c>
      <c r="C17">
        <v>2020</v>
      </c>
      <c r="D17" s="1">
        <v>43831</v>
      </c>
      <c r="E17">
        <v>1</v>
      </c>
      <c r="F17">
        <v>600025898</v>
      </c>
      <c r="G17" t="s">
        <v>120</v>
      </c>
      <c r="H17">
        <v>81</v>
      </c>
      <c r="I17">
        <v>71104010</v>
      </c>
      <c r="J17">
        <v>21021040</v>
      </c>
      <c r="K17" t="s">
        <v>121</v>
      </c>
      <c r="L17">
        <v>94815</v>
      </c>
      <c r="M17" t="s">
        <v>31</v>
      </c>
      <c r="N17">
        <v>94815</v>
      </c>
      <c r="O17" t="s">
        <v>31</v>
      </c>
      <c r="R17" t="s">
        <v>147</v>
      </c>
      <c r="S17" t="s">
        <v>1131</v>
      </c>
      <c r="T17">
        <v>107211</v>
      </c>
      <c r="U17" t="s">
        <v>123</v>
      </c>
      <c r="X17" t="s">
        <v>61</v>
      </c>
      <c r="Y17" s="8">
        <v>4501226446</v>
      </c>
      <c r="Z17">
        <v>20200127</v>
      </c>
      <c r="AA17">
        <v>94815</v>
      </c>
      <c r="AB17">
        <v>94815</v>
      </c>
      <c r="AC17">
        <v>189630</v>
      </c>
      <c r="AD17">
        <v>600035567</v>
      </c>
      <c r="AE17" t="s">
        <v>148</v>
      </c>
      <c r="AF17" s="4">
        <v>189630</v>
      </c>
      <c r="AG17" t="s">
        <v>51</v>
      </c>
      <c r="AH17" t="s">
        <v>1123</v>
      </c>
      <c r="AI17">
        <v>600035588</v>
      </c>
      <c r="AJ17" t="s">
        <v>1148</v>
      </c>
      <c r="AK17" t="s">
        <v>1129</v>
      </c>
      <c r="AL17">
        <v>340618590</v>
      </c>
      <c r="AM17" t="s">
        <v>149</v>
      </c>
    </row>
    <row r="18" spans="1:39" x14ac:dyDescent="0.35">
      <c r="A18">
        <v>3406</v>
      </c>
      <c r="B18" t="s">
        <v>61</v>
      </c>
      <c r="C18">
        <v>2020</v>
      </c>
      <c r="D18" s="1">
        <v>43831</v>
      </c>
      <c r="E18">
        <v>1</v>
      </c>
      <c r="F18">
        <v>600025899</v>
      </c>
      <c r="G18" t="s">
        <v>120</v>
      </c>
      <c r="H18">
        <v>81</v>
      </c>
      <c r="I18">
        <v>71104010</v>
      </c>
      <c r="J18">
        <v>21021040</v>
      </c>
      <c r="K18" t="s">
        <v>121</v>
      </c>
      <c r="L18">
        <v>97975.5</v>
      </c>
      <c r="M18" t="s">
        <v>31</v>
      </c>
      <c r="N18">
        <v>97975.5</v>
      </c>
      <c r="O18" t="s">
        <v>31</v>
      </c>
      <c r="R18" t="s">
        <v>147</v>
      </c>
      <c r="S18" t="s">
        <v>1131</v>
      </c>
      <c r="T18">
        <v>107211</v>
      </c>
      <c r="U18" t="s">
        <v>123</v>
      </c>
      <c r="X18" t="s">
        <v>61</v>
      </c>
      <c r="Y18" s="8">
        <v>4501226446</v>
      </c>
      <c r="Z18">
        <v>20200127</v>
      </c>
      <c r="AA18">
        <v>97975.5</v>
      </c>
      <c r="AB18">
        <v>97975.5</v>
      </c>
      <c r="AC18">
        <v>195951</v>
      </c>
      <c r="AD18">
        <v>600035567</v>
      </c>
      <c r="AE18" t="s">
        <v>150</v>
      </c>
      <c r="AF18" s="4">
        <v>195951</v>
      </c>
      <c r="AG18" t="s">
        <v>51</v>
      </c>
      <c r="AH18" t="s">
        <v>1123</v>
      </c>
      <c r="AI18">
        <v>600035588</v>
      </c>
      <c r="AJ18" t="s">
        <v>1148</v>
      </c>
      <c r="AK18" t="s">
        <v>1129</v>
      </c>
      <c r="AL18">
        <v>340618590</v>
      </c>
      <c r="AM18" t="s">
        <v>149</v>
      </c>
    </row>
    <row r="19" spans="1:39" x14ac:dyDescent="0.35">
      <c r="A19">
        <v>3406</v>
      </c>
      <c r="B19" t="s">
        <v>61</v>
      </c>
      <c r="C19">
        <v>2020</v>
      </c>
      <c r="D19" s="1">
        <v>43831</v>
      </c>
      <c r="E19">
        <v>1</v>
      </c>
      <c r="F19">
        <v>600025901</v>
      </c>
      <c r="G19" t="s">
        <v>120</v>
      </c>
      <c r="H19">
        <v>81</v>
      </c>
      <c r="I19">
        <v>71104010</v>
      </c>
      <c r="J19">
        <v>21021040</v>
      </c>
      <c r="K19" t="s">
        <v>121</v>
      </c>
      <c r="L19">
        <v>101587.5</v>
      </c>
      <c r="M19" t="s">
        <v>31</v>
      </c>
      <c r="N19">
        <v>101587.5</v>
      </c>
      <c r="O19" t="s">
        <v>31</v>
      </c>
      <c r="R19" t="s">
        <v>147</v>
      </c>
      <c r="S19" t="s">
        <v>1131</v>
      </c>
      <c r="T19">
        <v>107211</v>
      </c>
      <c r="U19" t="s">
        <v>123</v>
      </c>
      <c r="X19" t="s">
        <v>61</v>
      </c>
      <c r="Y19" s="8">
        <v>4501226446</v>
      </c>
      <c r="Z19">
        <v>20200127</v>
      </c>
      <c r="AA19">
        <v>101587.5</v>
      </c>
      <c r="AB19">
        <v>101587.5</v>
      </c>
      <c r="AC19">
        <v>203175</v>
      </c>
      <c r="AD19">
        <v>600035567</v>
      </c>
      <c r="AE19" t="s">
        <v>151</v>
      </c>
      <c r="AF19" s="4">
        <v>203175</v>
      </c>
      <c r="AG19" t="s">
        <v>51</v>
      </c>
      <c r="AH19" t="s">
        <v>1123</v>
      </c>
      <c r="AI19">
        <v>600035588</v>
      </c>
      <c r="AJ19" t="s">
        <v>1148</v>
      </c>
      <c r="AK19" t="s">
        <v>1129</v>
      </c>
      <c r="AL19">
        <v>340618590</v>
      </c>
      <c r="AM19" t="s">
        <v>149</v>
      </c>
    </row>
    <row r="20" spans="1:39" x14ac:dyDescent="0.35">
      <c r="A20">
        <v>3406</v>
      </c>
      <c r="B20" t="s">
        <v>61</v>
      </c>
      <c r="C20">
        <v>2020</v>
      </c>
      <c r="D20" s="1">
        <v>43831</v>
      </c>
      <c r="E20">
        <v>1</v>
      </c>
      <c r="F20">
        <v>600025902</v>
      </c>
      <c r="G20" t="s">
        <v>120</v>
      </c>
      <c r="H20">
        <v>81</v>
      </c>
      <c r="I20">
        <v>71104010</v>
      </c>
      <c r="J20">
        <v>21021040</v>
      </c>
      <c r="K20" t="s">
        <v>121</v>
      </c>
      <c r="L20">
        <v>96169.5</v>
      </c>
      <c r="M20" t="s">
        <v>31</v>
      </c>
      <c r="N20">
        <v>96169.5</v>
      </c>
      <c r="O20" t="s">
        <v>31</v>
      </c>
      <c r="R20" t="s">
        <v>147</v>
      </c>
      <c r="S20" t="s">
        <v>1131</v>
      </c>
      <c r="T20">
        <v>107211</v>
      </c>
      <c r="U20" t="s">
        <v>123</v>
      </c>
      <c r="X20" t="s">
        <v>61</v>
      </c>
      <c r="Y20" s="8">
        <v>4501226446</v>
      </c>
      <c r="Z20">
        <v>20200127</v>
      </c>
      <c r="AA20">
        <v>96169.5</v>
      </c>
      <c r="AB20">
        <v>96169.5</v>
      </c>
      <c r="AC20">
        <v>192339</v>
      </c>
      <c r="AD20">
        <v>600035567</v>
      </c>
      <c r="AE20" t="s">
        <v>152</v>
      </c>
      <c r="AF20" s="4">
        <v>192339</v>
      </c>
      <c r="AG20" t="s">
        <v>51</v>
      </c>
      <c r="AH20" t="s">
        <v>1123</v>
      </c>
      <c r="AI20">
        <v>600035588</v>
      </c>
      <c r="AJ20" t="s">
        <v>1148</v>
      </c>
      <c r="AK20" t="s">
        <v>1129</v>
      </c>
      <c r="AL20">
        <v>340618590</v>
      </c>
      <c r="AM20" t="s">
        <v>149</v>
      </c>
    </row>
    <row r="21" spans="1:39" x14ac:dyDescent="0.35">
      <c r="A21">
        <v>3406</v>
      </c>
      <c r="B21" t="s">
        <v>61</v>
      </c>
      <c r="C21">
        <v>2020</v>
      </c>
      <c r="D21" s="1">
        <v>43831</v>
      </c>
      <c r="E21">
        <v>1</v>
      </c>
      <c r="F21">
        <v>600025903</v>
      </c>
      <c r="G21" t="s">
        <v>120</v>
      </c>
      <c r="H21">
        <v>81</v>
      </c>
      <c r="I21">
        <v>71104010</v>
      </c>
      <c r="J21">
        <v>21021040</v>
      </c>
      <c r="K21" t="s">
        <v>121</v>
      </c>
      <c r="L21">
        <v>86688</v>
      </c>
      <c r="M21" t="s">
        <v>31</v>
      </c>
      <c r="N21">
        <v>86688</v>
      </c>
      <c r="O21" t="s">
        <v>31</v>
      </c>
      <c r="R21" t="s">
        <v>147</v>
      </c>
      <c r="S21" t="s">
        <v>1131</v>
      </c>
      <c r="T21">
        <v>107211</v>
      </c>
      <c r="U21" t="s">
        <v>123</v>
      </c>
      <c r="X21" t="s">
        <v>61</v>
      </c>
      <c r="Y21" s="8">
        <v>4501226446</v>
      </c>
      <c r="Z21">
        <v>20200127</v>
      </c>
      <c r="AA21">
        <v>86688</v>
      </c>
      <c r="AB21">
        <v>86688</v>
      </c>
      <c r="AC21">
        <v>173376</v>
      </c>
      <c r="AD21">
        <v>600035567</v>
      </c>
      <c r="AE21" t="s">
        <v>153</v>
      </c>
      <c r="AF21" s="4">
        <v>173376</v>
      </c>
      <c r="AG21" t="s">
        <v>51</v>
      </c>
      <c r="AH21" t="s">
        <v>1123</v>
      </c>
      <c r="AI21">
        <v>600035588</v>
      </c>
      <c r="AJ21" t="s">
        <v>1148</v>
      </c>
      <c r="AK21" t="s">
        <v>1129</v>
      </c>
      <c r="AL21">
        <v>340618590</v>
      </c>
      <c r="AM21" t="s">
        <v>149</v>
      </c>
    </row>
    <row r="22" spans="1:39" x14ac:dyDescent="0.35">
      <c r="A22">
        <v>3406</v>
      </c>
      <c r="B22" t="s">
        <v>61</v>
      </c>
      <c r="C22">
        <v>2020</v>
      </c>
      <c r="D22" s="1">
        <v>43831</v>
      </c>
      <c r="E22">
        <v>1</v>
      </c>
      <c r="F22">
        <v>600025904</v>
      </c>
      <c r="G22" t="s">
        <v>120</v>
      </c>
      <c r="H22">
        <v>81</v>
      </c>
      <c r="I22">
        <v>71104010</v>
      </c>
      <c r="J22">
        <v>21021040</v>
      </c>
      <c r="K22" t="s">
        <v>121</v>
      </c>
      <c r="L22">
        <v>81270</v>
      </c>
      <c r="M22" t="s">
        <v>31</v>
      </c>
      <c r="N22">
        <v>81270</v>
      </c>
      <c r="O22" t="s">
        <v>31</v>
      </c>
      <c r="R22" t="s">
        <v>147</v>
      </c>
      <c r="S22" t="s">
        <v>1131</v>
      </c>
      <c r="T22">
        <v>107211</v>
      </c>
      <c r="U22" t="s">
        <v>123</v>
      </c>
      <c r="X22" t="s">
        <v>61</v>
      </c>
      <c r="Y22" s="8">
        <v>4501226446</v>
      </c>
      <c r="Z22">
        <v>20200127</v>
      </c>
      <c r="AA22">
        <v>81270</v>
      </c>
      <c r="AB22">
        <v>81270</v>
      </c>
      <c r="AC22">
        <v>162540</v>
      </c>
      <c r="AD22">
        <v>600035567</v>
      </c>
      <c r="AE22" t="s">
        <v>154</v>
      </c>
      <c r="AF22" s="4">
        <v>162540</v>
      </c>
      <c r="AG22" t="s">
        <v>51</v>
      </c>
      <c r="AH22" t="s">
        <v>1123</v>
      </c>
      <c r="AI22">
        <v>600035588</v>
      </c>
      <c r="AJ22" t="s">
        <v>1148</v>
      </c>
      <c r="AK22" t="s">
        <v>1129</v>
      </c>
      <c r="AL22">
        <v>340618590</v>
      </c>
      <c r="AM22" t="s">
        <v>149</v>
      </c>
    </row>
    <row r="23" spans="1:39" x14ac:dyDescent="0.35">
      <c r="A23">
        <v>3406</v>
      </c>
      <c r="B23" t="s">
        <v>61</v>
      </c>
      <c r="C23">
        <v>2020</v>
      </c>
      <c r="D23" s="1">
        <v>43831</v>
      </c>
      <c r="E23">
        <v>1</v>
      </c>
      <c r="F23">
        <v>600025905</v>
      </c>
      <c r="G23" t="s">
        <v>120</v>
      </c>
      <c r="H23">
        <v>81</v>
      </c>
      <c r="I23">
        <v>71104010</v>
      </c>
      <c r="J23">
        <v>21021040</v>
      </c>
      <c r="K23" t="s">
        <v>121</v>
      </c>
      <c r="L23">
        <v>80367</v>
      </c>
      <c r="M23" t="s">
        <v>31</v>
      </c>
      <c r="N23">
        <v>80367</v>
      </c>
      <c r="O23" t="s">
        <v>31</v>
      </c>
      <c r="R23" t="s">
        <v>147</v>
      </c>
      <c r="S23" t="s">
        <v>1131</v>
      </c>
      <c r="T23">
        <v>107211</v>
      </c>
      <c r="U23" t="s">
        <v>123</v>
      </c>
      <c r="X23" t="s">
        <v>61</v>
      </c>
      <c r="Y23" s="8">
        <v>4501226446</v>
      </c>
      <c r="Z23">
        <v>20200127</v>
      </c>
      <c r="AA23">
        <v>80367</v>
      </c>
      <c r="AB23">
        <v>80367</v>
      </c>
      <c r="AC23">
        <v>160734</v>
      </c>
      <c r="AD23">
        <v>600035567</v>
      </c>
      <c r="AE23" t="s">
        <v>155</v>
      </c>
      <c r="AF23" s="4">
        <v>160734</v>
      </c>
      <c r="AG23" t="s">
        <v>51</v>
      </c>
      <c r="AH23" t="s">
        <v>1123</v>
      </c>
      <c r="AI23">
        <v>600035588</v>
      </c>
      <c r="AJ23" t="s">
        <v>1148</v>
      </c>
      <c r="AK23" t="s">
        <v>1129</v>
      </c>
      <c r="AL23">
        <v>340618590</v>
      </c>
      <c r="AM23" t="s">
        <v>149</v>
      </c>
    </row>
    <row r="24" spans="1:39" x14ac:dyDescent="0.35">
      <c r="A24">
        <v>3406</v>
      </c>
      <c r="B24" t="s">
        <v>61</v>
      </c>
      <c r="C24">
        <v>2020</v>
      </c>
      <c r="D24" s="1">
        <v>43831</v>
      </c>
      <c r="E24">
        <v>1</v>
      </c>
      <c r="F24">
        <v>600025906</v>
      </c>
      <c r="G24" t="s">
        <v>120</v>
      </c>
      <c r="H24">
        <v>81</v>
      </c>
      <c r="I24">
        <v>71104010</v>
      </c>
      <c r="J24">
        <v>21021040</v>
      </c>
      <c r="K24" t="s">
        <v>121</v>
      </c>
      <c r="L24">
        <v>80818.5</v>
      </c>
      <c r="M24" t="s">
        <v>31</v>
      </c>
      <c r="N24">
        <v>80818.5</v>
      </c>
      <c r="O24" t="s">
        <v>31</v>
      </c>
      <c r="R24" t="s">
        <v>147</v>
      </c>
      <c r="S24" t="s">
        <v>1131</v>
      </c>
      <c r="T24">
        <v>107211</v>
      </c>
      <c r="U24" t="s">
        <v>123</v>
      </c>
      <c r="X24" t="s">
        <v>61</v>
      </c>
      <c r="Y24" s="8">
        <v>4501226446</v>
      </c>
      <c r="Z24">
        <v>20200127</v>
      </c>
      <c r="AA24">
        <v>80818.5</v>
      </c>
      <c r="AB24">
        <v>80818.5</v>
      </c>
      <c r="AC24">
        <v>161637</v>
      </c>
      <c r="AD24">
        <v>600035567</v>
      </c>
      <c r="AE24" t="s">
        <v>156</v>
      </c>
      <c r="AF24" s="4">
        <v>161637</v>
      </c>
      <c r="AG24" t="s">
        <v>51</v>
      </c>
      <c r="AH24" t="s">
        <v>1123</v>
      </c>
      <c r="AI24">
        <v>600035588</v>
      </c>
      <c r="AJ24" t="s">
        <v>1148</v>
      </c>
      <c r="AK24" t="s">
        <v>1129</v>
      </c>
      <c r="AL24">
        <v>340618590</v>
      </c>
      <c r="AM24" t="s">
        <v>149</v>
      </c>
    </row>
    <row r="25" spans="1:39" x14ac:dyDescent="0.35">
      <c r="A25">
        <v>3406</v>
      </c>
      <c r="B25" t="s">
        <v>61</v>
      </c>
      <c r="C25">
        <v>2020</v>
      </c>
      <c r="D25" s="1">
        <v>43831</v>
      </c>
      <c r="E25">
        <v>1</v>
      </c>
      <c r="F25">
        <v>600025907</v>
      </c>
      <c r="G25" t="s">
        <v>120</v>
      </c>
      <c r="H25">
        <v>81</v>
      </c>
      <c r="I25">
        <v>71104010</v>
      </c>
      <c r="J25">
        <v>21021040</v>
      </c>
      <c r="K25" t="s">
        <v>121</v>
      </c>
      <c r="L25">
        <v>86688</v>
      </c>
      <c r="M25" t="s">
        <v>31</v>
      </c>
      <c r="N25">
        <v>86688</v>
      </c>
      <c r="O25" t="s">
        <v>31</v>
      </c>
      <c r="R25" t="s">
        <v>147</v>
      </c>
      <c r="S25" t="s">
        <v>1131</v>
      </c>
      <c r="T25">
        <v>107211</v>
      </c>
      <c r="U25" t="s">
        <v>123</v>
      </c>
      <c r="X25" t="s">
        <v>61</v>
      </c>
      <c r="Y25" s="8">
        <v>4501226446</v>
      </c>
      <c r="Z25">
        <v>20200127</v>
      </c>
      <c r="AA25">
        <v>86688</v>
      </c>
      <c r="AB25">
        <v>86688</v>
      </c>
      <c r="AC25">
        <v>173376</v>
      </c>
      <c r="AD25">
        <v>600035567</v>
      </c>
      <c r="AE25" t="s">
        <v>157</v>
      </c>
      <c r="AF25" s="4">
        <v>173376</v>
      </c>
      <c r="AG25" t="s">
        <v>51</v>
      </c>
      <c r="AH25" t="s">
        <v>1123</v>
      </c>
      <c r="AI25">
        <v>600035588</v>
      </c>
      <c r="AJ25" t="s">
        <v>1148</v>
      </c>
      <c r="AK25" t="s">
        <v>1129</v>
      </c>
      <c r="AL25">
        <v>340618590</v>
      </c>
      <c r="AM25" t="s">
        <v>149</v>
      </c>
    </row>
    <row r="26" spans="1:39" x14ac:dyDescent="0.35">
      <c r="A26">
        <v>3406</v>
      </c>
      <c r="B26" t="s">
        <v>61</v>
      </c>
      <c r="C26">
        <v>2020</v>
      </c>
      <c r="D26" s="1">
        <v>43831</v>
      </c>
      <c r="E26">
        <v>1</v>
      </c>
      <c r="F26">
        <v>600025908</v>
      </c>
      <c r="G26" t="s">
        <v>120</v>
      </c>
      <c r="H26">
        <v>81</v>
      </c>
      <c r="I26">
        <v>71104010</v>
      </c>
      <c r="J26">
        <v>21021040</v>
      </c>
      <c r="K26" t="s">
        <v>121</v>
      </c>
      <c r="L26">
        <v>97975.5</v>
      </c>
      <c r="M26" t="s">
        <v>31</v>
      </c>
      <c r="N26">
        <v>97975.5</v>
      </c>
      <c r="O26" t="s">
        <v>31</v>
      </c>
      <c r="R26" t="s">
        <v>147</v>
      </c>
      <c r="S26" t="s">
        <v>1131</v>
      </c>
      <c r="T26">
        <v>107211</v>
      </c>
      <c r="U26" t="s">
        <v>123</v>
      </c>
      <c r="X26" t="s">
        <v>61</v>
      </c>
      <c r="Y26" s="8">
        <v>4501226446</v>
      </c>
      <c r="Z26">
        <v>20200127</v>
      </c>
      <c r="AA26">
        <v>97975.5</v>
      </c>
      <c r="AB26">
        <v>97975.5</v>
      </c>
      <c r="AC26">
        <v>195951</v>
      </c>
      <c r="AD26">
        <v>600035567</v>
      </c>
      <c r="AE26" t="s">
        <v>158</v>
      </c>
      <c r="AF26" s="4">
        <v>195951</v>
      </c>
      <c r="AG26" t="s">
        <v>51</v>
      </c>
      <c r="AH26" t="s">
        <v>1123</v>
      </c>
      <c r="AI26">
        <v>600035588</v>
      </c>
      <c r="AJ26" t="s">
        <v>1148</v>
      </c>
      <c r="AK26" t="s">
        <v>1129</v>
      </c>
      <c r="AL26">
        <v>340618590</v>
      </c>
      <c r="AM26" t="s">
        <v>149</v>
      </c>
    </row>
    <row r="27" spans="1:39" x14ac:dyDescent="0.35">
      <c r="A27">
        <v>3406</v>
      </c>
      <c r="B27" t="s">
        <v>61</v>
      </c>
      <c r="C27">
        <v>2020</v>
      </c>
      <c r="D27" s="1">
        <v>43831</v>
      </c>
      <c r="E27">
        <v>1</v>
      </c>
      <c r="F27">
        <v>600025909</v>
      </c>
      <c r="G27" t="s">
        <v>120</v>
      </c>
      <c r="H27">
        <v>81</v>
      </c>
      <c r="I27">
        <v>71104010</v>
      </c>
      <c r="J27">
        <v>21021040</v>
      </c>
      <c r="K27" t="s">
        <v>121</v>
      </c>
      <c r="L27">
        <v>99781.5</v>
      </c>
      <c r="M27" t="s">
        <v>31</v>
      </c>
      <c r="N27">
        <v>99781.5</v>
      </c>
      <c r="O27" t="s">
        <v>31</v>
      </c>
      <c r="R27" t="s">
        <v>147</v>
      </c>
      <c r="S27" t="s">
        <v>1131</v>
      </c>
      <c r="T27">
        <v>107211</v>
      </c>
      <c r="U27" t="s">
        <v>123</v>
      </c>
      <c r="X27" t="s">
        <v>61</v>
      </c>
      <c r="Y27" s="8">
        <v>4501226446</v>
      </c>
      <c r="Z27">
        <v>20200127</v>
      </c>
      <c r="AA27">
        <v>99781.5</v>
      </c>
      <c r="AB27">
        <v>99781.5</v>
      </c>
      <c r="AC27">
        <v>199563</v>
      </c>
      <c r="AD27">
        <v>600035567</v>
      </c>
      <c r="AE27" t="s">
        <v>159</v>
      </c>
      <c r="AF27" s="4">
        <v>199563</v>
      </c>
      <c r="AG27" t="s">
        <v>51</v>
      </c>
      <c r="AH27" t="s">
        <v>1123</v>
      </c>
      <c r="AI27">
        <v>600035588</v>
      </c>
      <c r="AJ27" t="s">
        <v>1148</v>
      </c>
      <c r="AK27" t="s">
        <v>1129</v>
      </c>
      <c r="AL27">
        <v>340618590</v>
      </c>
      <c r="AM27" t="s">
        <v>149</v>
      </c>
    </row>
    <row r="28" spans="1:39" x14ac:dyDescent="0.35">
      <c r="A28">
        <v>3406</v>
      </c>
      <c r="B28" t="s">
        <v>61</v>
      </c>
      <c r="C28">
        <v>2020</v>
      </c>
      <c r="D28" s="1">
        <v>43831</v>
      </c>
      <c r="E28">
        <v>1</v>
      </c>
      <c r="F28">
        <v>600025910</v>
      </c>
      <c r="G28" t="s">
        <v>120</v>
      </c>
      <c r="H28">
        <v>81</v>
      </c>
      <c r="I28">
        <v>71104010</v>
      </c>
      <c r="J28">
        <v>21021040</v>
      </c>
      <c r="K28" t="s">
        <v>121</v>
      </c>
      <c r="L28">
        <v>96169.5</v>
      </c>
      <c r="M28" t="s">
        <v>31</v>
      </c>
      <c r="N28">
        <v>96169.5</v>
      </c>
      <c r="O28" t="s">
        <v>31</v>
      </c>
      <c r="R28" t="s">
        <v>147</v>
      </c>
      <c r="S28" t="s">
        <v>1131</v>
      </c>
      <c r="T28">
        <v>107211</v>
      </c>
      <c r="U28" t="s">
        <v>123</v>
      </c>
      <c r="X28" t="s">
        <v>61</v>
      </c>
      <c r="Y28" s="8">
        <v>4501226446</v>
      </c>
      <c r="Z28">
        <v>20200127</v>
      </c>
      <c r="AA28">
        <v>96169.5</v>
      </c>
      <c r="AB28">
        <v>96169.5</v>
      </c>
      <c r="AC28">
        <v>192339</v>
      </c>
      <c r="AD28">
        <v>600035567</v>
      </c>
      <c r="AE28" t="s">
        <v>160</v>
      </c>
      <c r="AF28" s="4">
        <v>192339</v>
      </c>
      <c r="AG28" t="s">
        <v>51</v>
      </c>
      <c r="AH28" t="s">
        <v>1123</v>
      </c>
      <c r="AI28">
        <v>600035588</v>
      </c>
      <c r="AJ28" t="s">
        <v>1148</v>
      </c>
      <c r="AK28" t="s">
        <v>1129</v>
      </c>
      <c r="AL28">
        <v>340618590</v>
      </c>
      <c r="AM28" t="s">
        <v>149</v>
      </c>
    </row>
    <row r="29" spans="1:39" x14ac:dyDescent="0.35">
      <c r="A29">
        <v>3406</v>
      </c>
      <c r="B29" t="s">
        <v>61</v>
      </c>
      <c r="C29">
        <v>2020</v>
      </c>
      <c r="D29" s="1">
        <v>43831</v>
      </c>
      <c r="E29">
        <v>1</v>
      </c>
      <c r="F29">
        <v>600025912</v>
      </c>
      <c r="G29" t="s">
        <v>120</v>
      </c>
      <c r="H29">
        <v>81</v>
      </c>
      <c r="I29">
        <v>71104010</v>
      </c>
      <c r="J29">
        <v>21021040</v>
      </c>
      <c r="K29" t="s">
        <v>121</v>
      </c>
      <c r="L29">
        <v>93460.5</v>
      </c>
      <c r="M29" t="s">
        <v>31</v>
      </c>
      <c r="N29">
        <v>93460.5</v>
      </c>
      <c r="O29" t="s">
        <v>31</v>
      </c>
      <c r="R29" t="s">
        <v>147</v>
      </c>
      <c r="S29" t="s">
        <v>1131</v>
      </c>
      <c r="T29">
        <v>107211</v>
      </c>
      <c r="U29" t="s">
        <v>123</v>
      </c>
      <c r="X29" t="s">
        <v>61</v>
      </c>
      <c r="Y29" s="8">
        <v>4501226446</v>
      </c>
      <c r="Z29">
        <v>20200127</v>
      </c>
      <c r="AA29">
        <v>93460.5</v>
      </c>
      <c r="AB29">
        <v>93460.5</v>
      </c>
      <c r="AC29">
        <v>186921</v>
      </c>
      <c r="AD29">
        <v>600035567</v>
      </c>
      <c r="AE29" t="s">
        <v>161</v>
      </c>
      <c r="AF29" s="4">
        <v>186921</v>
      </c>
      <c r="AG29" t="s">
        <v>51</v>
      </c>
      <c r="AH29" t="s">
        <v>1123</v>
      </c>
      <c r="AI29">
        <v>600035588</v>
      </c>
      <c r="AJ29" t="s">
        <v>1148</v>
      </c>
      <c r="AK29" t="s">
        <v>1129</v>
      </c>
      <c r="AL29">
        <v>340618590</v>
      </c>
      <c r="AM29" t="s">
        <v>149</v>
      </c>
    </row>
    <row r="30" spans="1:39" x14ac:dyDescent="0.35">
      <c r="A30">
        <v>3406</v>
      </c>
      <c r="B30" t="s">
        <v>61</v>
      </c>
      <c r="C30">
        <v>2020</v>
      </c>
      <c r="D30" s="1">
        <v>43831</v>
      </c>
      <c r="E30">
        <v>1</v>
      </c>
      <c r="F30">
        <v>600025913</v>
      </c>
      <c r="G30" t="s">
        <v>120</v>
      </c>
      <c r="H30">
        <v>81</v>
      </c>
      <c r="I30">
        <v>71104010</v>
      </c>
      <c r="J30">
        <v>21021040</v>
      </c>
      <c r="K30" t="s">
        <v>121</v>
      </c>
      <c r="L30">
        <v>96169.5</v>
      </c>
      <c r="M30" t="s">
        <v>31</v>
      </c>
      <c r="N30">
        <v>96169.5</v>
      </c>
      <c r="O30" t="s">
        <v>31</v>
      </c>
      <c r="R30" t="s">
        <v>147</v>
      </c>
      <c r="S30" t="s">
        <v>1131</v>
      </c>
      <c r="T30">
        <v>107211</v>
      </c>
      <c r="U30" t="s">
        <v>123</v>
      </c>
      <c r="X30" t="s">
        <v>61</v>
      </c>
      <c r="Y30" s="8">
        <v>4501226446</v>
      </c>
      <c r="Z30">
        <v>20200127</v>
      </c>
      <c r="AA30">
        <v>96169.5</v>
      </c>
      <c r="AB30">
        <v>96169.5</v>
      </c>
      <c r="AC30">
        <v>192339</v>
      </c>
      <c r="AD30">
        <v>600035567</v>
      </c>
      <c r="AE30" t="s">
        <v>162</v>
      </c>
      <c r="AF30" s="4">
        <v>192339</v>
      </c>
      <c r="AG30" t="s">
        <v>51</v>
      </c>
      <c r="AH30" t="s">
        <v>1123</v>
      </c>
      <c r="AI30">
        <v>600035588</v>
      </c>
      <c r="AJ30" t="s">
        <v>1148</v>
      </c>
      <c r="AK30" t="s">
        <v>1129</v>
      </c>
      <c r="AL30">
        <v>340618590</v>
      </c>
      <c r="AM30" t="s">
        <v>149</v>
      </c>
    </row>
    <row r="31" spans="1:39" x14ac:dyDescent="0.35">
      <c r="A31">
        <v>3406</v>
      </c>
      <c r="B31" t="s">
        <v>61</v>
      </c>
      <c r="C31">
        <v>2020</v>
      </c>
      <c r="D31" s="1">
        <v>43831</v>
      </c>
      <c r="E31">
        <v>1</v>
      </c>
      <c r="F31">
        <v>600025914</v>
      </c>
      <c r="G31" t="s">
        <v>120</v>
      </c>
      <c r="H31">
        <v>81</v>
      </c>
      <c r="I31">
        <v>71104010</v>
      </c>
      <c r="J31">
        <v>21021040</v>
      </c>
      <c r="K31" t="s">
        <v>121</v>
      </c>
      <c r="L31">
        <v>96169.5</v>
      </c>
      <c r="M31" t="s">
        <v>31</v>
      </c>
      <c r="N31">
        <v>96169.5</v>
      </c>
      <c r="O31" t="s">
        <v>31</v>
      </c>
      <c r="R31" t="s">
        <v>147</v>
      </c>
      <c r="S31" t="s">
        <v>1131</v>
      </c>
      <c r="T31">
        <v>107211</v>
      </c>
      <c r="U31" t="s">
        <v>123</v>
      </c>
      <c r="X31" t="s">
        <v>61</v>
      </c>
      <c r="Y31" s="8">
        <v>4501226446</v>
      </c>
      <c r="Z31">
        <v>20200127</v>
      </c>
      <c r="AA31">
        <v>96169.5</v>
      </c>
      <c r="AB31">
        <v>96169.5</v>
      </c>
      <c r="AC31">
        <v>192339</v>
      </c>
      <c r="AD31">
        <v>600035567</v>
      </c>
      <c r="AE31" t="s">
        <v>163</v>
      </c>
      <c r="AF31" s="4">
        <v>192339</v>
      </c>
      <c r="AG31" t="s">
        <v>51</v>
      </c>
      <c r="AH31" t="s">
        <v>1123</v>
      </c>
      <c r="AI31">
        <v>600035588</v>
      </c>
      <c r="AJ31" t="s">
        <v>1148</v>
      </c>
      <c r="AK31" t="s">
        <v>1129</v>
      </c>
      <c r="AL31">
        <v>340618590</v>
      </c>
      <c r="AM31" t="s">
        <v>149</v>
      </c>
    </row>
    <row r="32" spans="1:39" x14ac:dyDescent="0.35">
      <c r="A32">
        <v>3406</v>
      </c>
      <c r="B32" t="s">
        <v>61</v>
      </c>
      <c r="C32">
        <v>2020</v>
      </c>
      <c r="D32" s="1">
        <v>43831</v>
      </c>
      <c r="E32">
        <v>1</v>
      </c>
      <c r="F32">
        <v>600025915</v>
      </c>
      <c r="G32" t="s">
        <v>120</v>
      </c>
      <c r="H32">
        <v>81</v>
      </c>
      <c r="I32">
        <v>71104010</v>
      </c>
      <c r="J32">
        <v>21021040</v>
      </c>
      <c r="K32" t="s">
        <v>121</v>
      </c>
      <c r="L32">
        <v>92557.5</v>
      </c>
      <c r="M32" t="s">
        <v>31</v>
      </c>
      <c r="N32">
        <v>92557.5</v>
      </c>
      <c r="O32" t="s">
        <v>31</v>
      </c>
      <c r="R32" t="s">
        <v>147</v>
      </c>
      <c r="S32" t="s">
        <v>1131</v>
      </c>
      <c r="T32">
        <v>107211</v>
      </c>
      <c r="U32" t="s">
        <v>123</v>
      </c>
      <c r="X32" t="s">
        <v>61</v>
      </c>
      <c r="Y32" s="8">
        <v>4501226446</v>
      </c>
      <c r="Z32">
        <v>20200127</v>
      </c>
      <c r="AA32">
        <v>92557.5</v>
      </c>
      <c r="AB32">
        <v>92557.5</v>
      </c>
      <c r="AC32">
        <v>185115</v>
      </c>
      <c r="AD32">
        <v>600035567</v>
      </c>
      <c r="AE32" t="s">
        <v>164</v>
      </c>
      <c r="AF32" s="4">
        <v>185115</v>
      </c>
      <c r="AG32" t="s">
        <v>51</v>
      </c>
      <c r="AH32" t="s">
        <v>1123</v>
      </c>
      <c r="AI32">
        <v>600035588</v>
      </c>
      <c r="AJ32" t="s">
        <v>1148</v>
      </c>
      <c r="AK32" t="s">
        <v>1129</v>
      </c>
      <c r="AL32">
        <v>340618590</v>
      </c>
      <c r="AM32" t="s">
        <v>149</v>
      </c>
    </row>
    <row r="33" spans="1:39" x14ac:dyDescent="0.35">
      <c r="A33">
        <v>3406</v>
      </c>
      <c r="B33" t="s">
        <v>61</v>
      </c>
      <c r="C33">
        <v>2020</v>
      </c>
      <c r="D33" s="1">
        <v>43831</v>
      </c>
      <c r="E33">
        <v>1</v>
      </c>
      <c r="F33">
        <v>600025916</v>
      </c>
      <c r="G33" t="s">
        <v>120</v>
      </c>
      <c r="H33">
        <v>81</v>
      </c>
      <c r="I33">
        <v>71104010</v>
      </c>
      <c r="J33">
        <v>21021040</v>
      </c>
      <c r="K33" t="s">
        <v>121</v>
      </c>
      <c r="L33">
        <v>97975.5</v>
      </c>
      <c r="M33" t="s">
        <v>31</v>
      </c>
      <c r="N33">
        <v>97975.5</v>
      </c>
      <c r="O33" t="s">
        <v>31</v>
      </c>
      <c r="R33" t="s">
        <v>147</v>
      </c>
      <c r="S33" t="s">
        <v>1131</v>
      </c>
      <c r="T33">
        <v>107211</v>
      </c>
      <c r="U33" t="s">
        <v>123</v>
      </c>
      <c r="X33" t="s">
        <v>61</v>
      </c>
      <c r="Y33" s="8">
        <v>4501226446</v>
      </c>
      <c r="Z33">
        <v>20200127</v>
      </c>
      <c r="AA33">
        <v>97975.5</v>
      </c>
      <c r="AB33">
        <v>97975.5</v>
      </c>
      <c r="AC33">
        <v>195951</v>
      </c>
      <c r="AD33">
        <v>600035567</v>
      </c>
      <c r="AE33" t="s">
        <v>165</v>
      </c>
      <c r="AF33" s="4">
        <v>195951</v>
      </c>
      <c r="AG33" t="s">
        <v>51</v>
      </c>
      <c r="AH33" t="s">
        <v>1123</v>
      </c>
      <c r="AI33">
        <v>600035588</v>
      </c>
      <c r="AJ33" t="s">
        <v>1148</v>
      </c>
      <c r="AK33" t="s">
        <v>1129</v>
      </c>
      <c r="AL33">
        <v>340618590</v>
      </c>
      <c r="AM33" t="s">
        <v>149</v>
      </c>
    </row>
    <row r="34" spans="1:39" x14ac:dyDescent="0.35">
      <c r="A34">
        <v>3406</v>
      </c>
      <c r="B34" t="s">
        <v>61</v>
      </c>
      <c r="C34">
        <v>2020</v>
      </c>
      <c r="D34" s="1">
        <v>43831</v>
      </c>
      <c r="E34">
        <v>1</v>
      </c>
      <c r="F34">
        <v>600025917</v>
      </c>
      <c r="G34" t="s">
        <v>120</v>
      </c>
      <c r="H34">
        <v>81</v>
      </c>
      <c r="I34">
        <v>71104010</v>
      </c>
      <c r="J34">
        <v>21021040</v>
      </c>
      <c r="K34" t="s">
        <v>121</v>
      </c>
      <c r="L34">
        <v>94363.5</v>
      </c>
      <c r="M34" t="s">
        <v>31</v>
      </c>
      <c r="N34">
        <v>94363.5</v>
      </c>
      <c r="O34" t="s">
        <v>31</v>
      </c>
      <c r="R34" t="s">
        <v>147</v>
      </c>
      <c r="S34" t="s">
        <v>1131</v>
      </c>
      <c r="T34">
        <v>107211</v>
      </c>
      <c r="U34" t="s">
        <v>123</v>
      </c>
      <c r="X34" t="s">
        <v>61</v>
      </c>
      <c r="Y34" s="8">
        <v>4501226446</v>
      </c>
      <c r="Z34">
        <v>20200127</v>
      </c>
      <c r="AA34">
        <v>94363.5</v>
      </c>
      <c r="AB34">
        <v>94363.5</v>
      </c>
      <c r="AC34">
        <v>188727</v>
      </c>
      <c r="AD34">
        <v>600035567</v>
      </c>
      <c r="AE34" t="s">
        <v>166</v>
      </c>
      <c r="AF34" s="4">
        <v>188727</v>
      </c>
      <c r="AG34" t="s">
        <v>51</v>
      </c>
      <c r="AH34" t="s">
        <v>1123</v>
      </c>
      <c r="AI34">
        <v>600035588</v>
      </c>
      <c r="AJ34" t="s">
        <v>1148</v>
      </c>
      <c r="AK34" t="s">
        <v>1129</v>
      </c>
      <c r="AL34">
        <v>340618590</v>
      </c>
      <c r="AM34" t="s">
        <v>149</v>
      </c>
    </row>
    <row r="35" spans="1:39" x14ac:dyDescent="0.35">
      <c r="A35">
        <v>3406</v>
      </c>
      <c r="B35" t="s">
        <v>61</v>
      </c>
      <c r="C35">
        <v>2020</v>
      </c>
      <c r="D35" s="1">
        <v>43831</v>
      </c>
      <c r="E35">
        <v>1</v>
      </c>
      <c r="F35">
        <v>600025918</v>
      </c>
      <c r="G35" t="s">
        <v>120</v>
      </c>
      <c r="H35">
        <v>81</v>
      </c>
      <c r="I35">
        <v>71104010</v>
      </c>
      <c r="J35">
        <v>21021040</v>
      </c>
      <c r="K35" t="s">
        <v>121</v>
      </c>
      <c r="L35">
        <v>94363.5</v>
      </c>
      <c r="M35" t="s">
        <v>31</v>
      </c>
      <c r="N35">
        <v>94363.5</v>
      </c>
      <c r="O35" t="s">
        <v>31</v>
      </c>
      <c r="R35" t="s">
        <v>147</v>
      </c>
      <c r="S35" t="s">
        <v>1131</v>
      </c>
      <c r="T35">
        <v>107211</v>
      </c>
      <c r="U35" t="s">
        <v>123</v>
      </c>
      <c r="X35" t="s">
        <v>61</v>
      </c>
      <c r="Y35" s="8">
        <v>4501226446</v>
      </c>
      <c r="Z35">
        <v>20200127</v>
      </c>
      <c r="AA35">
        <v>94363.5</v>
      </c>
      <c r="AB35">
        <v>94363.5</v>
      </c>
      <c r="AC35">
        <v>188727</v>
      </c>
      <c r="AD35">
        <v>600035567</v>
      </c>
      <c r="AE35" t="s">
        <v>167</v>
      </c>
      <c r="AF35" s="4">
        <v>188727</v>
      </c>
      <c r="AG35" t="s">
        <v>51</v>
      </c>
      <c r="AH35" t="s">
        <v>1123</v>
      </c>
      <c r="AI35">
        <v>600035588</v>
      </c>
      <c r="AJ35" t="s">
        <v>1148</v>
      </c>
      <c r="AK35" t="s">
        <v>1129</v>
      </c>
      <c r="AL35">
        <v>340618590</v>
      </c>
      <c r="AM35" t="s">
        <v>149</v>
      </c>
    </row>
    <row r="36" spans="1:39" x14ac:dyDescent="0.35">
      <c r="A36">
        <v>3406</v>
      </c>
      <c r="B36" t="s">
        <v>61</v>
      </c>
      <c r="C36">
        <v>2020</v>
      </c>
      <c r="D36" s="1">
        <v>43831</v>
      </c>
      <c r="E36">
        <v>1</v>
      </c>
      <c r="F36">
        <v>600025919</v>
      </c>
      <c r="G36" t="s">
        <v>120</v>
      </c>
      <c r="H36">
        <v>81</v>
      </c>
      <c r="I36">
        <v>71104010</v>
      </c>
      <c r="J36">
        <v>21021040</v>
      </c>
      <c r="K36" t="s">
        <v>121</v>
      </c>
      <c r="L36">
        <v>79012.5</v>
      </c>
      <c r="M36" t="s">
        <v>31</v>
      </c>
      <c r="N36">
        <v>79012.5</v>
      </c>
      <c r="O36" t="s">
        <v>31</v>
      </c>
      <c r="R36" t="s">
        <v>147</v>
      </c>
      <c r="S36" t="s">
        <v>1131</v>
      </c>
      <c r="T36">
        <v>107211</v>
      </c>
      <c r="U36" t="s">
        <v>123</v>
      </c>
      <c r="X36" t="s">
        <v>61</v>
      </c>
      <c r="Y36" s="8">
        <v>4501226446</v>
      </c>
      <c r="Z36">
        <v>20200127</v>
      </c>
      <c r="AA36">
        <v>79012.5</v>
      </c>
      <c r="AB36">
        <v>79012.5</v>
      </c>
      <c r="AC36">
        <v>158025</v>
      </c>
      <c r="AD36">
        <v>600035567</v>
      </c>
      <c r="AE36" t="s">
        <v>168</v>
      </c>
      <c r="AF36" s="4">
        <v>158025</v>
      </c>
      <c r="AG36" t="s">
        <v>51</v>
      </c>
      <c r="AH36" t="s">
        <v>1123</v>
      </c>
      <c r="AI36">
        <v>600035588</v>
      </c>
      <c r="AJ36" t="s">
        <v>1148</v>
      </c>
      <c r="AK36" t="s">
        <v>1129</v>
      </c>
      <c r="AL36">
        <v>340618590</v>
      </c>
      <c r="AM36" t="s">
        <v>149</v>
      </c>
    </row>
    <row r="37" spans="1:39" x14ac:dyDescent="0.35">
      <c r="A37">
        <v>3406</v>
      </c>
      <c r="B37" t="s">
        <v>61</v>
      </c>
      <c r="C37">
        <v>2020</v>
      </c>
      <c r="D37" s="1">
        <v>43831</v>
      </c>
      <c r="E37">
        <v>1</v>
      </c>
      <c r="F37">
        <v>600025920</v>
      </c>
      <c r="G37" t="s">
        <v>120</v>
      </c>
      <c r="H37">
        <v>81</v>
      </c>
      <c r="I37">
        <v>71104010</v>
      </c>
      <c r="J37">
        <v>21021040</v>
      </c>
      <c r="K37" t="s">
        <v>121</v>
      </c>
      <c r="L37">
        <v>79464</v>
      </c>
      <c r="M37" t="s">
        <v>31</v>
      </c>
      <c r="N37">
        <v>79464</v>
      </c>
      <c r="O37" t="s">
        <v>31</v>
      </c>
      <c r="R37" t="s">
        <v>147</v>
      </c>
      <c r="S37" t="s">
        <v>1131</v>
      </c>
      <c r="T37">
        <v>107211</v>
      </c>
      <c r="U37" t="s">
        <v>123</v>
      </c>
      <c r="X37" t="s">
        <v>61</v>
      </c>
      <c r="Y37" s="8">
        <v>4501226446</v>
      </c>
      <c r="Z37">
        <v>20200127</v>
      </c>
      <c r="AA37">
        <v>79464</v>
      </c>
      <c r="AB37">
        <v>79464</v>
      </c>
      <c r="AC37">
        <v>158928</v>
      </c>
      <c r="AD37">
        <v>600035567</v>
      </c>
      <c r="AE37" t="s">
        <v>169</v>
      </c>
      <c r="AF37" s="4">
        <v>158928</v>
      </c>
      <c r="AG37" t="s">
        <v>51</v>
      </c>
      <c r="AH37" t="s">
        <v>1123</v>
      </c>
      <c r="AI37">
        <v>600035588</v>
      </c>
      <c r="AJ37" t="s">
        <v>1148</v>
      </c>
      <c r="AK37" t="s">
        <v>1129</v>
      </c>
      <c r="AL37">
        <v>340618590</v>
      </c>
      <c r="AM37" t="s">
        <v>149</v>
      </c>
    </row>
    <row r="38" spans="1:39" x14ac:dyDescent="0.35">
      <c r="A38">
        <v>3406</v>
      </c>
      <c r="B38" t="s">
        <v>61</v>
      </c>
      <c r="C38">
        <v>2020</v>
      </c>
      <c r="D38" s="1">
        <v>43831</v>
      </c>
      <c r="E38">
        <v>1</v>
      </c>
      <c r="F38">
        <v>600025921</v>
      </c>
      <c r="G38" t="s">
        <v>120</v>
      </c>
      <c r="H38">
        <v>81</v>
      </c>
      <c r="I38">
        <v>71104010</v>
      </c>
      <c r="J38">
        <v>21021040</v>
      </c>
      <c r="K38" t="s">
        <v>121</v>
      </c>
      <c r="L38">
        <v>79915.5</v>
      </c>
      <c r="M38" t="s">
        <v>31</v>
      </c>
      <c r="N38">
        <v>79915.5</v>
      </c>
      <c r="O38" t="s">
        <v>31</v>
      </c>
      <c r="R38" t="s">
        <v>147</v>
      </c>
      <c r="S38" t="s">
        <v>1131</v>
      </c>
      <c r="T38">
        <v>107211</v>
      </c>
      <c r="U38" t="s">
        <v>123</v>
      </c>
      <c r="X38" t="s">
        <v>61</v>
      </c>
      <c r="Y38" s="8">
        <v>4501226446</v>
      </c>
      <c r="Z38">
        <v>20200127</v>
      </c>
      <c r="AA38">
        <v>79915.5</v>
      </c>
      <c r="AB38">
        <v>79915.5</v>
      </c>
      <c r="AC38">
        <v>159831</v>
      </c>
      <c r="AD38">
        <v>600035567</v>
      </c>
      <c r="AE38" t="s">
        <v>170</v>
      </c>
      <c r="AF38" s="4">
        <v>159831</v>
      </c>
      <c r="AG38" t="s">
        <v>51</v>
      </c>
      <c r="AH38" t="s">
        <v>1123</v>
      </c>
      <c r="AI38">
        <v>600035588</v>
      </c>
      <c r="AJ38" t="s">
        <v>1148</v>
      </c>
      <c r="AK38" t="s">
        <v>1129</v>
      </c>
      <c r="AL38">
        <v>340618590</v>
      </c>
      <c r="AM38" t="s">
        <v>149</v>
      </c>
    </row>
    <row r="39" spans="1:39" x14ac:dyDescent="0.35">
      <c r="A39">
        <v>3406</v>
      </c>
      <c r="B39" t="s">
        <v>61</v>
      </c>
      <c r="C39">
        <v>2020</v>
      </c>
      <c r="D39" s="1">
        <v>43831</v>
      </c>
      <c r="E39">
        <v>1</v>
      </c>
      <c r="F39">
        <v>600025922</v>
      </c>
      <c r="G39" t="s">
        <v>120</v>
      </c>
      <c r="H39">
        <v>81</v>
      </c>
      <c r="I39">
        <v>71104010</v>
      </c>
      <c r="J39">
        <v>21021040</v>
      </c>
      <c r="K39" t="s">
        <v>121</v>
      </c>
      <c r="L39">
        <v>78561</v>
      </c>
      <c r="M39" t="s">
        <v>31</v>
      </c>
      <c r="N39">
        <v>78561</v>
      </c>
      <c r="O39" t="s">
        <v>31</v>
      </c>
      <c r="R39" t="s">
        <v>147</v>
      </c>
      <c r="S39" t="s">
        <v>1131</v>
      </c>
      <c r="T39">
        <v>107211</v>
      </c>
      <c r="U39" t="s">
        <v>123</v>
      </c>
      <c r="X39" t="s">
        <v>61</v>
      </c>
      <c r="Y39" s="8">
        <v>4501226446</v>
      </c>
      <c r="Z39">
        <v>20200127</v>
      </c>
      <c r="AA39">
        <v>78561</v>
      </c>
      <c r="AB39">
        <v>78561</v>
      </c>
      <c r="AC39">
        <v>157122</v>
      </c>
      <c r="AD39">
        <v>600035567</v>
      </c>
      <c r="AE39" t="s">
        <v>171</v>
      </c>
      <c r="AF39" s="4">
        <v>157122</v>
      </c>
      <c r="AG39" t="s">
        <v>51</v>
      </c>
      <c r="AH39" t="s">
        <v>1123</v>
      </c>
      <c r="AI39">
        <v>600035588</v>
      </c>
      <c r="AJ39" t="s">
        <v>1148</v>
      </c>
      <c r="AK39" t="s">
        <v>1129</v>
      </c>
      <c r="AL39">
        <v>340618590</v>
      </c>
      <c r="AM39" t="s">
        <v>149</v>
      </c>
    </row>
    <row r="40" spans="1:39" x14ac:dyDescent="0.35">
      <c r="A40">
        <v>3406</v>
      </c>
      <c r="B40" t="s">
        <v>61</v>
      </c>
      <c r="C40">
        <v>2020</v>
      </c>
      <c r="D40" s="1">
        <v>43831</v>
      </c>
      <c r="E40">
        <v>1</v>
      </c>
      <c r="F40">
        <v>600025923</v>
      </c>
      <c r="G40" t="s">
        <v>120</v>
      </c>
      <c r="H40">
        <v>81</v>
      </c>
      <c r="I40">
        <v>71104010</v>
      </c>
      <c r="J40">
        <v>21021040</v>
      </c>
      <c r="K40" t="s">
        <v>121</v>
      </c>
      <c r="L40">
        <v>78561</v>
      </c>
      <c r="M40" t="s">
        <v>31</v>
      </c>
      <c r="N40">
        <v>78561</v>
      </c>
      <c r="O40" t="s">
        <v>31</v>
      </c>
      <c r="R40" t="s">
        <v>147</v>
      </c>
      <c r="S40" t="s">
        <v>1131</v>
      </c>
      <c r="T40">
        <v>107211</v>
      </c>
      <c r="U40" t="s">
        <v>123</v>
      </c>
      <c r="X40" t="s">
        <v>61</v>
      </c>
      <c r="Y40" s="8">
        <v>4501226446</v>
      </c>
      <c r="Z40">
        <v>20200127</v>
      </c>
      <c r="AA40">
        <v>78561</v>
      </c>
      <c r="AB40">
        <v>78561</v>
      </c>
      <c r="AC40">
        <v>157122</v>
      </c>
      <c r="AD40">
        <v>600035567</v>
      </c>
      <c r="AE40" t="s">
        <v>172</v>
      </c>
      <c r="AF40" s="4">
        <v>157122</v>
      </c>
      <c r="AG40" t="s">
        <v>51</v>
      </c>
      <c r="AH40" t="s">
        <v>1123</v>
      </c>
      <c r="AI40">
        <v>600035588</v>
      </c>
      <c r="AJ40" t="s">
        <v>1148</v>
      </c>
      <c r="AK40" t="s">
        <v>1129</v>
      </c>
      <c r="AL40">
        <v>340618590</v>
      </c>
      <c r="AM40" t="s">
        <v>149</v>
      </c>
    </row>
    <row r="41" spans="1:39" x14ac:dyDescent="0.35">
      <c r="A41">
        <v>3406</v>
      </c>
      <c r="B41" t="s">
        <v>61</v>
      </c>
      <c r="C41">
        <v>2020</v>
      </c>
      <c r="D41" s="1">
        <v>43831</v>
      </c>
      <c r="E41">
        <v>1</v>
      </c>
      <c r="F41">
        <v>600025925</v>
      </c>
      <c r="G41" t="s">
        <v>120</v>
      </c>
      <c r="H41">
        <v>81</v>
      </c>
      <c r="I41">
        <v>71104010</v>
      </c>
      <c r="J41">
        <v>21021040</v>
      </c>
      <c r="K41" t="s">
        <v>121</v>
      </c>
      <c r="L41">
        <v>92557.5</v>
      </c>
      <c r="M41" t="s">
        <v>31</v>
      </c>
      <c r="N41">
        <v>92557.5</v>
      </c>
      <c r="O41" t="s">
        <v>31</v>
      </c>
      <c r="R41" t="s">
        <v>147</v>
      </c>
      <c r="S41" t="s">
        <v>1131</v>
      </c>
      <c r="T41">
        <v>107211</v>
      </c>
      <c r="U41" t="s">
        <v>123</v>
      </c>
      <c r="X41" t="s">
        <v>61</v>
      </c>
      <c r="Y41" s="8">
        <v>4501226446</v>
      </c>
      <c r="Z41">
        <v>20200127</v>
      </c>
      <c r="AA41">
        <v>92557.5</v>
      </c>
      <c r="AB41">
        <v>92557.5</v>
      </c>
      <c r="AC41">
        <v>185115</v>
      </c>
      <c r="AD41">
        <v>600035567</v>
      </c>
      <c r="AE41" t="s">
        <v>173</v>
      </c>
      <c r="AF41" s="4">
        <v>185115</v>
      </c>
      <c r="AG41" t="s">
        <v>51</v>
      </c>
      <c r="AH41" t="s">
        <v>1123</v>
      </c>
      <c r="AI41">
        <v>600035588</v>
      </c>
      <c r="AJ41" t="s">
        <v>1148</v>
      </c>
      <c r="AK41" t="s">
        <v>1129</v>
      </c>
      <c r="AL41">
        <v>340618590</v>
      </c>
      <c r="AM41" t="s">
        <v>149</v>
      </c>
    </row>
    <row r="42" spans="1:39" x14ac:dyDescent="0.35">
      <c r="A42">
        <v>3406</v>
      </c>
      <c r="B42" t="s">
        <v>61</v>
      </c>
      <c r="C42">
        <v>2020</v>
      </c>
      <c r="D42" s="1">
        <v>43831</v>
      </c>
      <c r="E42">
        <v>1</v>
      </c>
      <c r="F42">
        <v>600025927</v>
      </c>
      <c r="G42" t="s">
        <v>120</v>
      </c>
      <c r="H42">
        <v>81</v>
      </c>
      <c r="I42">
        <v>71104010</v>
      </c>
      <c r="J42">
        <v>21021040</v>
      </c>
      <c r="K42" t="s">
        <v>121</v>
      </c>
      <c r="L42">
        <v>97975.5</v>
      </c>
      <c r="M42" t="s">
        <v>31</v>
      </c>
      <c r="N42">
        <v>97975.5</v>
      </c>
      <c r="O42" t="s">
        <v>31</v>
      </c>
      <c r="R42" t="s">
        <v>147</v>
      </c>
      <c r="S42" t="s">
        <v>1131</v>
      </c>
      <c r="T42">
        <v>107211</v>
      </c>
      <c r="U42" t="s">
        <v>123</v>
      </c>
      <c r="X42" t="s">
        <v>61</v>
      </c>
      <c r="Y42" s="8">
        <v>4501226446</v>
      </c>
      <c r="Z42">
        <v>20200127</v>
      </c>
      <c r="AA42">
        <v>97975.5</v>
      </c>
      <c r="AB42">
        <v>97975.5</v>
      </c>
      <c r="AC42">
        <v>195951</v>
      </c>
      <c r="AD42">
        <v>600035567</v>
      </c>
      <c r="AE42" t="s">
        <v>174</v>
      </c>
      <c r="AF42" s="4">
        <v>195951</v>
      </c>
      <c r="AG42" t="s">
        <v>51</v>
      </c>
      <c r="AH42" t="s">
        <v>1123</v>
      </c>
      <c r="AI42">
        <v>600035588</v>
      </c>
      <c r="AJ42" t="s">
        <v>1148</v>
      </c>
      <c r="AK42" t="s">
        <v>1129</v>
      </c>
      <c r="AL42">
        <v>340618590</v>
      </c>
      <c r="AM42" t="s">
        <v>149</v>
      </c>
    </row>
    <row r="43" spans="1:39" x14ac:dyDescent="0.35">
      <c r="A43">
        <v>3406</v>
      </c>
      <c r="B43" t="s">
        <v>61</v>
      </c>
      <c r="C43">
        <v>2020</v>
      </c>
      <c r="D43" s="1">
        <v>43831</v>
      </c>
      <c r="E43">
        <v>1</v>
      </c>
      <c r="F43">
        <v>600025928</v>
      </c>
      <c r="G43" t="s">
        <v>120</v>
      </c>
      <c r="H43">
        <v>81</v>
      </c>
      <c r="I43">
        <v>71104010</v>
      </c>
      <c r="J43">
        <v>21021040</v>
      </c>
      <c r="K43" t="s">
        <v>121</v>
      </c>
      <c r="L43">
        <v>83205</v>
      </c>
      <c r="M43" t="s">
        <v>31</v>
      </c>
      <c r="N43">
        <v>83205</v>
      </c>
      <c r="O43" t="s">
        <v>31</v>
      </c>
      <c r="R43" t="s">
        <v>147</v>
      </c>
      <c r="S43" t="s">
        <v>1131</v>
      </c>
      <c r="T43">
        <v>107211</v>
      </c>
      <c r="U43" t="s">
        <v>123</v>
      </c>
      <c r="X43" t="s">
        <v>61</v>
      </c>
      <c r="Y43" s="8">
        <v>4501226446</v>
      </c>
      <c r="Z43">
        <v>20200127</v>
      </c>
      <c r="AA43">
        <v>83205</v>
      </c>
      <c r="AB43">
        <v>83205</v>
      </c>
      <c r="AC43">
        <v>166410</v>
      </c>
      <c r="AD43">
        <v>600035567</v>
      </c>
      <c r="AE43" t="s">
        <v>175</v>
      </c>
      <c r="AF43" s="4">
        <v>166410</v>
      </c>
      <c r="AG43" t="s">
        <v>51</v>
      </c>
      <c r="AH43" t="s">
        <v>1123</v>
      </c>
      <c r="AI43">
        <v>600035588</v>
      </c>
      <c r="AJ43" t="s">
        <v>1148</v>
      </c>
      <c r="AK43" t="s">
        <v>1129</v>
      </c>
      <c r="AL43">
        <v>340618590</v>
      </c>
      <c r="AM43" t="s">
        <v>149</v>
      </c>
    </row>
    <row r="44" spans="1:39" x14ac:dyDescent="0.35">
      <c r="A44">
        <v>3403</v>
      </c>
      <c r="B44" t="s">
        <v>61</v>
      </c>
      <c r="C44">
        <v>2020</v>
      </c>
      <c r="D44" s="1">
        <v>43831</v>
      </c>
      <c r="E44">
        <v>1</v>
      </c>
      <c r="F44">
        <v>300015083</v>
      </c>
      <c r="G44" t="s">
        <v>120</v>
      </c>
      <c r="H44">
        <v>81</v>
      </c>
      <c r="I44">
        <v>71106040</v>
      </c>
      <c r="J44">
        <v>21021040</v>
      </c>
      <c r="K44" t="s">
        <v>125</v>
      </c>
      <c r="L44">
        <v>634.57000000000005</v>
      </c>
      <c r="M44" t="s">
        <v>54</v>
      </c>
      <c r="N44">
        <v>11931.06</v>
      </c>
      <c r="O44" t="s">
        <v>31</v>
      </c>
      <c r="R44" t="s">
        <v>1121</v>
      </c>
      <c r="S44">
        <v>752738581</v>
      </c>
      <c r="T44">
        <v>602358</v>
      </c>
      <c r="U44" t="s">
        <v>130</v>
      </c>
      <c r="X44" t="s">
        <v>61</v>
      </c>
      <c r="Y44" s="8">
        <v>2292349</v>
      </c>
      <c r="Z44">
        <v>20200127</v>
      </c>
      <c r="AA44">
        <v>634.57000000000005</v>
      </c>
      <c r="AB44">
        <v>0</v>
      </c>
      <c r="AC44">
        <v>634.57000000000005</v>
      </c>
      <c r="AD44">
        <v>300018475</v>
      </c>
      <c r="AE44" t="s">
        <v>176</v>
      </c>
      <c r="AF44" s="4">
        <v>634.57000000000005</v>
      </c>
      <c r="AG44" t="s">
        <v>1146</v>
      </c>
      <c r="AH44" t="s">
        <v>1123</v>
      </c>
      <c r="AI44">
        <v>300026024</v>
      </c>
      <c r="AJ44" t="s">
        <v>1125</v>
      </c>
      <c r="AK44" t="s">
        <v>1124</v>
      </c>
      <c r="AL44">
        <v>340321990</v>
      </c>
      <c r="AM44" t="s">
        <v>177</v>
      </c>
    </row>
    <row r="45" spans="1:39" x14ac:dyDescent="0.35">
      <c r="A45">
        <v>3402</v>
      </c>
      <c r="B45" t="s">
        <v>61</v>
      </c>
      <c r="C45">
        <v>2020</v>
      </c>
      <c r="D45" s="1">
        <v>43831</v>
      </c>
      <c r="E45">
        <v>1</v>
      </c>
      <c r="F45">
        <v>200091597</v>
      </c>
      <c r="G45" t="s">
        <v>120</v>
      </c>
      <c r="H45">
        <v>81</v>
      </c>
      <c r="I45">
        <v>71106150</v>
      </c>
      <c r="J45">
        <v>21021040</v>
      </c>
      <c r="K45" t="s">
        <v>102</v>
      </c>
      <c r="L45">
        <v>7909.01</v>
      </c>
      <c r="M45" t="s">
        <v>54</v>
      </c>
      <c r="N45">
        <v>148703.62</v>
      </c>
      <c r="O45" t="s">
        <v>31</v>
      </c>
      <c r="R45" t="s">
        <v>1121</v>
      </c>
      <c r="S45">
        <v>593383972</v>
      </c>
      <c r="T45">
        <v>600226</v>
      </c>
      <c r="U45" t="s">
        <v>126</v>
      </c>
      <c r="X45" t="s">
        <v>83</v>
      </c>
      <c r="Y45" s="8" t="s">
        <v>179</v>
      </c>
      <c r="Z45">
        <v>20200127</v>
      </c>
      <c r="AA45">
        <v>7909.01</v>
      </c>
      <c r="AB45">
        <v>0</v>
      </c>
      <c r="AC45">
        <v>7909.01</v>
      </c>
      <c r="AD45">
        <v>200091600</v>
      </c>
      <c r="AE45" t="s">
        <v>180</v>
      </c>
      <c r="AF45" s="4">
        <v>6327.2080000000005</v>
      </c>
      <c r="AG45" t="s">
        <v>1152</v>
      </c>
      <c r="AH45" t="s">
        <v>1123</v>
      </c>
      <c r="AI45">
        <v>200783543</v>
      </c>
      <c r="AJ45" t="s">
        <v>1125</v>
      </c>
      <c r="AK45" t="s">
        <v>1124</v>
      </c>
      <c r="AL45">
        <v>340221790</v>
      </c>
      <c r="AM45" t="s">
        <v>135</v>
      </c>
    </row>
    <row r="46" spans="1:39" x14ac:dyDescent="0.35">
      <c r="A46">
        <v>3409</v>
      </c>
      <c r="B46" t="s">
        <v>181</v>
      </c>
      <c r="C46">
        <v>2020</v>
      </c>
      <c r="D46" s="1">
        <v>43831</v>
      </c>
      <c r="E46">
        <v>1</v>
      </c>
      <c r="F46">
        <v>900006201</v>
      </c>
      <c r="G46" t="s">
        <v>120</v>
      </c>
      <c r="H46">
        <v>81</v>
      </c>
      <c r="I46">
        <v>71106040</v>
      </c>
      <c r="J46">
        <v>21021040</v>
      </c>
      <c r="K46" t="s">
        <v>125</v>
      </c>
      <c r="L46">
        <v>115.68</v>
      </c>
      <c r="M46" t="s">
        <v>54</v>
      </c>
      <c r="N46">
        <v>2173.9699999999998</v>
      </c>
      <c r="O46" t="s">
        <v>31</v>
      </c>
      <c r="R46" t="s">
        <v>1121</v>
      </c>
      <c r="S46">
        <v>133189146</v>
      </c>
      <c r="T46">
        <v>105142</v>
      </c>
      <c r="U46" t="s">
        <v>182</v>
      </c>
      <c r="X46" t="s">
        <v>181</v>
      </c>
      <c r="Y46" s="8" t="s">
        <v>183</v>
      </c>
      <c r="Z46">
        <v>20200118</v>
      </c>
      <c r="AA46">
        <v>115.68</v>
      </c>
      <c r="AB46">
        <v>0</v>
      </c>
      <c r="AC46">
        <v>115.68</v>
      </c>
      <c r="AD46">
        <v>900006377</v>
      </c>
      <c r="AE46" t="s">
        <v>184</v>
      </c>
      <c r="AF46" s="4">
        <v>115.68</v>
      </c>
      <c r="AG46" t="s">
        <v>93</v>
      </c>
      <c r="AH46" t="s">
        <v>1123</v>
      </c>
      <c r="AI46">
        <v>900008379</v>
      </c>
      <c r="AJ46" t="s">
        <v>1125</v>
      </c>
      <c r="AK46" t="s">
        <v>1124</v>
      </c>
      <c r="AL46">
        <v>340921790</v>
      </c>
      <c r="AM46" t="s">
        <v>185</v>
      </c>
    </row>
    <row r="47" spans="1:39" x14ac:dyDescent="0.35">
      <c r="A47">
        <v>3403</v>
      </c>
      <c r="B47" t="s">
        <v>28</v>
      </c>
      <c r="C47">
        <v>2020</v>
      </c>
      <c r="D47" s="1">
        <v>43831</v>
      </c>
      <c r="E47">
        <v>1</v>
      </c>
      <c r="F47">
        <v>300017857</v>
      </c>
      <c r="G47" t="s">
        <v>120</v>
      </c>
      <c r="H47">
        <v>81</v>
      </c>
      <c r="I47">
        <v>71106040</v>
      </c>
      <c r="J47">
        <v>21021040</v>
      </c>
      <c r="K47" t="s">
        <v>125</v>
      </c>
      <c r="L47">
        <v>19637.509999999998</v>
      </c>
      <c r="M47" t="s">
        <v>31</v>
      </c>
      <c r="N47">
        <v>19637.509999999998</v>
      </c>
      <c r="O47" t="s">
        <v>31</v>
      </c>
      <c r="R47" t="s">
        <v>218</v>
      </c>
      <c r="S47" t="s">
        <v>1141</v>
      </c>
      <c r="T47">
        <v>600623</v>
      </c>
      <c r="U47" t="s">
        <v>219</v>
      </c>
      <c r="X47" t="s">
        <v>28</v>
      </c>
      <c r="Y47" s="8" t="s">
        <v>220</v>
      </c>
      <c r="Z47">
        <v>4501231390</v>
      </c>
      <c r="AA47">
        <v>19637.509999999998</v>
      </c>
      <c r="AB47">
        <v>3142.0015999999996</v>
      </c>
      <c r="AC47" s="4">
        <v>22779.511599999998</v>
      </c>
      <c r="AD47">
        <v>300020318</v>
      </c>
      <c r="AE47" t="s">
        <v>221</v>
      </c>
      <c r="AF47" s="4">
        <v>22779.511599999998</v>
      </c>
      <c r="AG47" t="s">
        <v>1143</v>
      </c>
      <c r="AH47" t="s">
        <v>1123</v>
      </c>
      <c r="AI47">
        <v>300049758</v>
      </c>
      <c r="AJ47" t="s">
        <v>1136</v>
      </c>
      <c r="AK47" t="s">
        <v>1135</v>
      </c>
      <c r="AL47">
        <v>340310190</v>
      </c>
      <c r="AM47" t="s">
        <v>222</v>
      </c>
    </row>
    <row r="48" spans="1:39" x14ac:dyDescent="0.35">
      <c r="A48">
        <v>3403</v>
      </c>
      <c r="B48" t="s">
        <v>28</v>
      </c>
      <c r="C48">
        <v>2020</v>
      </c>
      <c r="D48" s="1">
        <v>43831</v>
      </c>
      <c r="E48">
        <v>1</v>
      </c>
      <c r="F48">
        <v>300017858</v>
      </c>
      <c r="G48" t="s">
        <v>120</v>
      </c>
      <c r="H48">
        <v>81</v>
      </c>
      <c r="I48">
        <v>71106040</v>
      </c>
      <c r="J48">
        <v>21021040</v>
      </c>
      <c r="K48" t="s">
        <v>125</v>
      </c>
      <c r="L48">
        <v>874</v>
      </c>
      <c r="M48" t="s">
        <v>54</v>
      </c>
      <c r="N48">
        <v>16349.66</v>
      </c>
      <c r="O48" t="s">
        <v>31</v>
      </c>
      <c r="R48" t="s">
        <v>223</v>
      </c>
      <c r="S48" t="s">
        <v>1141</v>
      </c>
      <c r="T48">
        <v>600623</v>
      </c>
      <c r="U48" t="s">
        <v>219</v>
      </c>
      <c r="X48" t="s">
        <v>28</v>
      </c>
      <c r="Y48" s="8" t="s">
        <v>224</v>
      </c>
      <c r="Z48">
        <v>4501231419</v>
      </c>
      <c r="AA48">
        <v>874</v>
      </c>
      <c r="AB48">
        <v>139.84</v>
      </c>
      <c r="AC48" s="4">
        <v>1013.84</v>
      </c>
      <c r="AD48">
        <v>300020317</v>
      </c>
      <c r="AE48" t="s">
        <v>225</v>
      </c>
      <c r="AF48" s="4">
        <v>1013.84</v>
      </c>
      <c r="AG48" t="s">
        <v>1142</v>
      </c>
      <c r="AH48" t="s">
        <v>1123</v>
      </c>
      <c r="AI48">
        <v>300236206</v>
      </c>
      <c r="AJ48" t="s">
        <v>1125</v>
      </c>
      <c r="AK48" t="s">
        <v>1124</v>
      </c>
      <c r="AL48">
        <v>340310190</v>
      </c>
      <c r="AM48" t="s">
        <v>222</v>
      </c>
    </row>
    <row r="49" spans="1:39" x14ac:dyDescent="0.35">
      <c r="A49">
        <v>3402</v>
      </c>
      <c r="B49" t="s">
        <v>62</v>
      </c>
      <c r="C49">
        <v>2020</v>
      </c>
      <c r="D49" s="1">
        <v>43831</v>
      </c>
      <c r="E49">
        <v>1</v>
      </c>
      <c r="F49">
        <v>200096302</v>
      </c>
      <c r="G49" t="s">
        <v>120</v>
      </c>
      <c r="H49">
        <v>81</v>
      </c>
      <c r="I49">
        <v>71105060</v>
      </c>
      <c r="J49">
        <v>21021040</v>
      </c>
      <c r="K49" t="s">
        <v>238</v>
      </c>
      <c r="L49">
        <v>30524.48</v>
      </c>
      <c r="M49" t="s">
        <v>31</v>
      </c>
      <c r="N49">
        <v>30524.48</v>
      </c>
      <c r="O49" t="s">
        <v>31</v>
      </c>
      <c r="R49" t="s">
        <v>239</v>
      </c>
      <c r="S49" t="s">
        <v>1153</v>
      </c>
      <c r="T49">
        <v>606476</v>
      </c>
      <c r="U49" t="s">
        <v>240</v>
      </c>
      <c r="X49" t="s">
        <v>62</v>
      </c>
      <c r="Y49" s="8" t="s">
        <v>241</v>
      </c>
      <c r="Z49">
        <v>20200129</v>
      </c>
      <c r="AA49">
        <v>30524.48</v>
      </c>
      <c r="AB49">
        <v>4883.9168</v>
      </c>
      <c r="AC49">
        <v>35408.396800000002</v>
      </c>
      <c r="AD49">
        <v>200124279</v>
      </c>
      <c r="AE49" t="s">
        <v>242</v>
      </c>
      <c r="AF49" s="4">
        <v>35408.396800000002</v>
      </c>
      <c r="AG49" t="s">
        <v>1147</v>
      </c>
      <c r="AH49" t="s">
        <v>1123</v>
      </c>
      <c r="AI49">
        <v>200154027</v>
      </c>
      <c r="AJ49" t="s">
        <v>1136</v>
      </c>
      <c r="AK49" t="s">
        <v>1135</v>
      </c>
      <c r="AL49">
        <v>340225490</v>
      </c>
      <c r="AM49" t="s">
        <v>135</v>
      </c>
    </row>
    <row r="50" spans="1:39" x14ac:dyDescent="0.35">
      <c r="A50">
        <v>3407</v>
      </c>
      <c r="B50" t="s">
        <v>62</v>
      </c>
      <c r="C50">
        <v>2020</v>
      </c>
      <c r="D50" s="1">
        <v>43831</v>
      </c>
      <c r="E50">
        <v>1</v>
      </c>
      <c r="F50">
        <v>700034671</v>
      </c>
      <c r="G50" t="s">
        <v>120</v>
      </c>
      <c r="H50">
        <v>81</v>
      </c>
      <c r="I50">
        <v>71106040</v>
      </c>
      <c r="J50">
        <v>21021040</v>
      </c>
      <c r="K50" t="s">
        <v>125</v>
      </c>
      <c r="L50">
        <v>1889.25</v>
      </c>
      <c r="M50" t="s">
        <v>54</v>
      </c>
      <c r="N50">
        <v>35783.72</v>
      </c>
      <c r="O50" t="s">
        <v>31</v>
      </c>
      <c r="R50" t="s">
        <v>1121</v>
      </c>
      <c r="S50">
        <v>752738581</v>
      </c>
      <c r="T50">
        <v>602358</v>
      </c>
      <c r="U50" t="s">
        <v>130</v>
      </c>
      <c r="X50" t="s">
        <v>62</v>
      </c>
      <c r="Y50" s="8">
        <v>2292345</v>
      </c>
      <c r="Z50">
        <v>20200129</v>
      </c>
      <c r="AA50">
        <v>1889.25</v>
      </c>
      <c r="AB50">
        <v>0</v>
      </c>
      <c r="AC50">
        <v>1889.25</v>
      </c>
      <c r="AD50">
        <v>700043292</v>
      </c>
      <c r="AE50" t="s">
        <v>243</v>
      </c>
      <c r="AF50" s="4">
        <v>1889.25</v>
      </c>
      <c r="AG50" t="s">
        <v>1146</v>
      </c>
      <c r="AH50" t="s">
        <v>1123</v>
      </c>
      <c r="AI50">
        <v>700050731</v>
      </c>
      <c r="AJ50" t="s">
        <v>1125</v>
      </c>
      <c r="AK50" t="s">
        <v>1124</v>
      </c>
      <c r="AL50">
        <v>340721790</v>
      </c>
      <c r="AM50" t="s">
        <v>244</v>
      </c>
    </row>
    <row r="51" spans="1:39" x14ac:dyDescent="0.35">
      <c r="A51">
        <v>3401</v>
      </c>
      <c r="B51" t="s">
        <v>62</v>
      </c>
      <c r="C51">
        <v>2020</v>
      </c>
      <c r="D51" s="1">
        <v>43831</v>
      </c>
      <c r="E51">
        <v>1</v>
      </c>
      <c r="F51">
        <v>100029231</v>
      </c>
      <c r="G51" t="s">
        <v>120</v>
      </c>
      <c r="H51">
        <v>81</v>
      </c>
      <c r="I51">
        <v>71104010</v>
      </c>
      <c r="J51">
        <v>21021040</v>
      </c>
      <c r="K51" t="s">
        <v>121</v>
      </c>
      <c r="L51">
        <v>50484</v>
      </c>
      <c r="M51" t="s">
        <v>31</v>
      </c>
      <c r="N51">
        <v>50484</v>
      </c>
      <c r="O51" t="s">
        <v>31</v>
      </c>
      <c r="R51" t="s">
        <v>122</v>
      </c>
      <c r="S51" t="s">
        <v>1131</v>
      </c>
      <c r="T51">
        <v>107211</v>
      </c>
      <c r="U51" t="s">
        <v>123</v>
      </c>
      <c r="X51" t="s">
        <v>62</v>
      </c>
      <c r="Y51" s="8">
        <v>4501216248</v>
      </c>
      <c r="Z51" t="s">
        <v>1127</v>
      </c>
      <c r="AA51">
        <v>50484</v>
      </c>
      <c r="AD51">
        <v>100036889</v>
      </c>
      <c r="AE51" t="s">
        <v>1128</v>
      </c>
      <c r="AF51" s="4"/>
      <c r="AG51" t="s">
        <v>51</v>
      </c>
      <c r="AH51" t="s">
        <v>1123</v>
      </c>
      <c r="AI51">
        <v>100036917</v>
      </c>
      <c r="AJ51" t="s">
        <v>1148</v>
      </c>
      <c r="AK51" t="s">
        <v>1129</v>
      </c>
      <c r="AL51">
        <v>340118590</v>
      </c>
      <c r="AM51" t="s">
        <v>124</v>
      </c>
    </row>
    <row r="52" spans="1:39" x14ac:dyDescent="0.35">
      <c r="A52">
        <v>3402</v>
      </c>
      <c r="B52" t="s">
        <v>62</v>
      </c>
      <c r="C52">
        <v>2020</v>
      </c>
      <c r="D52" s="1">
        <v>43831</v>
      </c>
      <c r="E52">
        <v>1</v>
      </c>
      <c r="F52">
        <v>200096532</v>
      </c>
      <c r="G52" t="s">
        <v>120</v>
      </c>
      <c r="H52">
        <v>81</v>
      </c>
      <c r="I52">
        <v>71105060</v>
      </c>
      <c r="J52">
        <v>21021040</v>
      </c>
      <c r="K52" t="s">
        <v>238</v>
      </c>
      <c r="L52">
        <v>9475</v>
      </c>
      <c r="M52" t="s">
        <v>31</v>
      </c>
      <c r="N52">
        <v>9475</v>
      </c>
      <c r="O52" t="s">
        <v>31</v>
      </c>
      <c r="R52" t="s">
        <v>248</v>
      </c>
      <c r="T52">
        <v>101476</v>
      </c>
      <c r="U52" t="s">
        <v>249</v>
      </c>
      <c r="X52" t="s">
        <v>62</v>
      </c>
      <c r="Y52" s="8" t="s">
        <v>250</v>
      </c>
      <c r="Z52">
        <v>20200129</v>
      </c>
      <c r="AA52">
        <v>9475</v>
      </c>
      <c r="AB52">
        <v>1516</v>
      </c>
      <c r="AC52">
        <v>10991</v>
      </c>
      <c r="AD52">
        <v>200124339</v>
      </c>
      <c r="AE52" t="s">
        <v>251</v>
      </c>
      <c r="AF52" s="4">
        <v>10991</v>
      </c>
      <c r="AG52" t="s">
        <v>1147</v>
      </c>
      <c r="AH52" t="s">
        <v>1123</v>
      </c>
      <c r="AI52">
        <v>200154004</v>
      </c>
      <c r="AJ52" t="s">
        <v>1136</v>
      </c>
      <c r="AK52" t="s">
        <v>1135</v>
      </c>
      <c r="AL52">
        <v>340253290</v>
      </c>
      <c r="AM52" t="s">
        <v>135</v>
      </c>
    </row>
    <row r="53" spans="1:39" x14ac:dyDescent="0.35">
      <c r="A53">
        <v>3401</v>
      </c>
      <c r="B53" t="s">
        <v>47</v>
      </c>
      <c r="C53">
        <v>2020</v>
      </c>
      <c r="D53" s="1">
        <v>43831</v>
      </c>
      <c r="E53">
        <v>1</v>
      </c>
      <c r="F53">
        <v>100030312</v>
      </c>
      <c r="G53" t="s">
        <v>120</v>
      </c>
      <c r="H53">
        <v>81</v>
      </c>
      <c r="I53">
        <v>71106040</v>
      </c>
      <c r="J53">
        <v>21021040</v>
      </c>
      <c r="K53" t="s">
        <v>125</v>
      </c>
      <c r="L53">
        <v>294.10000000000002</v>
      </c>
      <c r="M53" t="s">
        <v>54</v>
      </c>
      <c r="N53">
        <v>5529.73</v>
      </c>
      <c r="O53" t="s">
        <v>31</v>
      </c>
      <c r="R53" t="s">
        <v>1121</v>
      </c>
      <c r="S53">
        <v>435003532</v>
      </c>
      <c r="T53">
        <v>600803</v>
      </c>
      <c r="U53" t="s">
        <v>263</v>
      </c>
      <c r="X53" t="s">
        <v>47</v>
      </c>
      <c r="Y53">
        <v>881747592654</v>
      </c>
      <c r="Z53">
        <v>20200130</v>
      </c>
      <c r="AA53">
        <v>294.10000000000002</v>
      </c>
      <c r="AB53">
        <v>0</v>
      </c>
      <c r="AC53">
        <v>294.10000000000002</v>
      </c>
      <c r="AE53" t="s">
        <v>264</v>
      </c>
      <c r="AF53">
        <v>294.10000000000002</v>
      </c>
      <c r="AG53" t="s">
        <v>1144</v>
      </c>
      <c r="AH53" t="s">
        <v>1123</v>
      </c>
      <c r="AI53">
        <v>100063856</v>
      </c>
      <c r="AJ53" t="s">
        <v>1125</v>
      </c>
      <c r="AK53" t="s">
        <v>1124</v>
      </c>
      <c r="AL53">
        <v>340121790</v>
      </c>
      <c r="AM53" t="s">
        <v>129</v>
      </c>
    </row>
    <row r="54" spans="1:39" x14ac:dyDescent="0.35">
      <c r="A54">
        <v>3407</v>
      </c>
      <c r="B54" t="s">
        <v>47</v>
      </c>
      <c r="C54">
        <v>2020</v>
      </c>
      <c r="D54" s="1">
        <v>43831</v>
      </c>
      <c r="E54">
        <v>1</v>
      </c>
      <c r="F54">
        <v>700036796</v>
      </c>
      <c r="G54" t="s">
        <v>120</v>
      </c>
      <c r="H54">
        <v>81</v>
      </c>
      <c r="I54">
        <v>71105060</v>
      </c>
      <c r="J54">
        <v>21021040</v>
      </c>
      <c r="K54" t="s">
        <v>238</v>
      </c>
      <c r="L54">
        <v>104895.14</v>
      </c>
      <c r="M54" t="s">
        <v>31</v>
      </c>
      <c r="N54">
        <v>104895.14</v>
      </c>
      <c r="O54" t="s">
        <v>31</v>
      </c>
      <c r="R54" t="s">
        <v>265</v>
      </c>
      <c r="S54" t="s">
        <v>1179</v>
      </c>
      <c r="T54">
        <v>606740</v>
      </c>
      <c r="U54" t="s">
        <v>266</v>
      </c>
      <c r="X54" t="s">
        <v>47</v>
      </c>
      <c r="Y54" s="9">
        <v>1766</v>
      </c>
      <c r="Z54">
        <v>20200130</v>
      </c>
      <c r="AA54">
        <v>104895.14</v>
      </c>
      <c r="AB54">
        <v>16783.222399999999</v>
      </c>
      <c r="AC54">
        <v>121678.3624</v>
      </c>
      <c r="AD54">
        <v>700036809</v>
      </c>
      <c r="AE54" t="s">
        <v>267</v>
      </c>
      <c r="AF54" s="4">
        <v>121678.3624</v>
      </c>
      <c r="AG54" t="s">
        <v>28</v>
      </c>
      <c r="AH54" t="s">
        <v>1123</v>
      </c>
      <c r="AI54">
        <v>700037016</v>
      </c>
      <c r="AJ54" t="s">
        <v>1136</v>
      </c>
      <c r="AK54" t="s">
        <v>1135</v>
      </c>
      <c r="AL54">
        <v>340727190</v>
      </c>
      <c r="AM54" t="s">
        <v>217</v>
      </c>
    </row>
    <row r="55" spans="1:39" x14ac:dyDescent="0.35">
      <c r="A55">
        <v>3402</v>
      </c>
      <c r="B55" t="s">
        <v>47</v>
      </c>
      <c r="C55">
        <v>2020</v>
      </c>
      <c r="D55" s="1">
        <v>43831</v>
      </c>
      <c r="E55">
        <v>1</v>
      </c>
      <c r="F55">
        <v>200102631</v>
      </c>
      <c r="G55" t="s">
        <v>120</v>
      </c>
      <c r="H55">
        <v>81</v>
      </c>
      <c r="I55">
        <v>71104010</v>
      </c>
      <c r="J55">
        <v>21021040</v>
      </c>
      <c r="K55" t="s">
        <v>121</v>
      </c>
      <c r="L55">
        <v>133.24</v>
      </c>
      <c r="M55" t="s">
        <v>31</v>
      </c>
      <c r="N55">
        <v>133.24</v>
      </c>
      <c r="O55" t="s">
        <v>31</v>
      </c>
      <c r="R55" t="s">
        <v>272</v>
      </c>
      <c r="S55" t="s">
        <v>1131</v>
      </c>
      <c r="T55">
        <v>107211</v>
      </c>
      <c r="U55" t="s">
        <v>123</v>
      </c>
      <c r="X55" t="s">
        <v>47</v>
      </c>
      <c r="Y55" s="8">
        <v>4501229349</v>
      </c>
      <c r="Z55">
        <v>20200130</v>
      </c>
      <c r="AA55">
        <v>133.24</v>
      </c>
      <c r="AB55">
        <v>21.3184</v>
      </c>
      <c r="AC55">
        <v>154.55840000000001</v>
      </c>
      <c r="AD55">
        <v>200124384</v>
      </c>
      <c r="AE55" t="s">
        <v>273</v>
      </c>
      <c r="AF55" s="4">
        <v>154.55840000000001</v>
      </c>
      <c r="AG55" t="s">
        <v>51</v>
      </c>
      <c r="AH55" t="s">
        <v>1123</v>
      </c>
      <c r="AI55">
        <v>200127161</v>
      </c>
      <c r="AJ55" t="s">
        <v>1148</v>
      </c>
      <c r="AK55" t="s">
        <v>1129</v>
      </c>
      <c r="AL55">
        <v>340218590</v>
      </c>
      <c r="AM55" t="s">
        <v>135</v>
      </c>
    </row>
    <row r="56" spans="1:39" x14ac:dyDescent="0.35">
      <c r="A56">
        <v>3402</v>
      </c>
      <c r="B56" t="s">
        <v>47</v>
      </c>
      <c r="C56">
        <v>2020</v>
      </c>
      <c r="D56" s="1">
        <v>43831</v>
      </c>
      <c r="E56">
        <v>1</v>
      </c>
      <c r="F56">
        <v>200102658</v>
      </c>
      <c r="G56" t="s">
        <v>120</v>
      </c>
      <c r="H56">
        <v>81</v>
      </c>
      <c r="I56">
        <v>71104010</v>
      </c>
      <c r="J56">
        <v>21021040</v>
      </c>
      <c r="K56" t="s">
        <v>121</v>
      </c>
      <c r="L56">
        <v>131.58000000000001</v>
      </c>
      <c r="M56" t="s">
        <v>31</v>
      </c>
      <c r="N56">
        <v>131.58000000000001</v>
      </c>
      <c r="O56" t="s">
        <v>31</v>
      </c>
      <c r="R56" t="s">
        <v>272</v>
      </c>
      <c r="S56" t="s">
        <v>1131</v>
      </c>
      <c r="T56">
        <v>107211</v>
      </c>
      <c r="U56" t="s">
        <v>123</v>
      </c>
      <c r="X56" t="s">
        <v>47</v>
      </c>
      <c r="Y56" s="8">
        <v>4501229349</v>
      </c>
      <c r="Z56">
        <v>20200130</v>
      </c>
      <c r="AA56">
        <v>131.58000000000001</v>
      </c>
      <c r="AB56">
        <v>21.052800000000001</v>
      </c>
      <c r="AC56">
        <v>152.6328</v>
      </c>
      <c r="AD56">
        <v>200124384</v>
      </c>
      <c r="AE56" t="s">
        <v>274</v>
      </c>
      <c r="AF56" s="4">
        <v>152.6328</v>
      </c>
      <c r="AG56" t="s">
        <v>51</v>
      </c>
      <c r="AH56" t="s">
        <v>1123</v>
      </c>
      <c r="AI56">
        <v>200127161</v>
      </c>
      <c r="AJ56" t="s">
        <v>1148</v>
      </c>
      <c r="AK56" t="s">
        <v>1129</v>
      </c>
      <c r="AL56">
        <v>340218590</v>
      </c>
      <c r="AM56" t="s">
        <v>135</v>
      </c>
    </row>
    <row r="57" spans="1:39" x14ac:dyDescent="0.35">
      <c r="A57">
        <v>3402</v>
      </c>
      <c r="B57" t="s">
        <v>47</v>
      </c>
      <c r="C57">
        <v>2020</v>
      </c>
      <c r="D57" s="1">
        <v>43831</v>
      </c>
      <c r="E57">
        <v>1</v>
      </c>
      <c r="F57">
        <v>200114340</v>
      </c>
      <c r="G57" t="s">
        <v>120</v>
      </c>
      <c r="H57">
        <v>91</v>
      </c>
      <c r="I57">
        <v>71104010</v>
      </c>
      <c r="J57">
        <v>21021040</v>
      </c>
      <c r="K57" t="s">
        <v>121</v>
      </c>
      <c r="L57">
        <v>144.96</v>
      </c>
      <c r="M57" t="s">
        <v>31</v>
      </c>
      <c r="N57">
        <v>144.96</v>
      </c>
      <c r="O57" t="s">
        <v>31</v>
      </c>
      <c r="R57" t="s">
        <v>272</v>
      </c>
      <c r="S57" t="s">
        <v>1131</v>
      </c>
      <c r="T57">
        <v>107211</v>
      </c>
      <c r="U57" t="s">
        <v>123</v>
      </c>
      <c r="X57" t="s">
        <v>35</v>
      </c>
      <c r="Y57" s="8">
        <v>4501229349</v>
      </c>
      <c r="Z57">
        <v>20200130</v>
      </c>
      <c r="AA57">
        <v>144.96</v>
      </c>
      <c r="AB57">
        <v>23.1936</v>
      </c>
      <c r="AC57">
        <v>168.15360000000001</v>
      </c>
      <c r="AD57">
        <v>200124384</v>
      </c>
      <c r="AE57" t="s">
        <v>275</v>
      </c>
      <c r="AF57" s="4">
        <v>168.15360000000001</v>
      </c>
      <c r="AG57" t="s">
        <v>51</v>
      </c>
      <c r="AH57" t="s">
        <v>1123</v>
      </c>
      <c r="AI57">
        <v>200127161</v>
      </c>
      <c r="AJ57" t="s">
        <v>1148</v>
      </c>
      <c r="AK57" t="s">
        <v>1129</v>
      </c>
      <c r="AL57">
        <v>340218590</v>
      </c>
      <c r="AM57" t="s">
        <v>135</v>
      </c>
    </row>
    <row r="58" spans="1:39" x14ac:dyDescent="0.35">
      <c r="A58">
        <v>3402</v>
      </c>
      <c r="B58" t="s">
        <v>47</v>
      </c>
      <c r="C58">
        <v>2020</v>
      </c>
      <c r="D58" s="1">
        <v>43831</v>
      </c>
      <c r="E58">
        <v>1</v>
      </c>
      <c r="F58">
        <v>200114341</v>
      </c>
      <c r="G58" t="s">
        <v>120</v>
      </c>
      <c r="H58">
        <v>81</v>
      </c>
      <c r="I58">
        <v>71104010</v>
      </c>
      <c r="J58">
        <v>21021040</v>
      </c>
      <c r="K58" t="s">
        <v>121</v>
      </c>
      <c r="L58">
        <v>144965.98000000001</v>
      </c>
      <c r="M58" t="s">
        <v>31</v>
      </c>
      <c r="N58">
        <v>144965.98000000001</v>
      </c>
      <c r="O58" t="s">
        <v>31</v>
      </c>
      <c r="R58" t="s">
        <v>272</v>
      </c>
      <c r="S58" t="s">
        <v>1131</v>
      </c>
      <c r="T58">
        <v>107211</v>
      </c>
      <c r="U58" t="s">
        <v>123</v>
      </c>
      <c r="X58" t="s">
        <v>35</v>
      </c>
      <c r="Y58" s="8">
        <v>4501229349</v>
      </c>
      <c r="Z58">
        <v>20200130</v>
      </c>
      <c r="AA58">
        <v>144965.98000000001</v>
      </c>
      <c r="AB58">
        <v>23194.556800000002</v>
      </c>
      <c r="AC58">
        <v>168160.5368</v>
      </c>
      <c r="AD58">
        <v>200124384</v>
      </c>
      <c r="AE58" t="s">
        <v>275</v>
      </c>
      <c r="AF58" s="4">
        <v>168160.5368</v>
      </c>
      <c r="AG58" t="s">
        <v>51</v>
      </c>
      <c r="AH58" t="s">
        <v>1123</v>
      </c>
      <c r="AI58">
        <v>200127161</v>
      </c>
      <c r="AJ58" t="s">
        <v>1148</v>
      </c>
      <c r="AK58" t="s">
        <v>1129</v>
      </c>
      <c r="AL58">
        <v>340218590</v>
      </c>
      <c r="AM58" t="s">
        <v>135</v>
      </c>
    </row>
    <row r="59" spans="1:39" x14ac:dyDescent="0.35">
      <c r="A59">
        <v>3402</v>
      </c>
      <c r="B59" t="s">
        <v>47</v>
      </c>
      <c r="C59">
        <v>2020</v>
      </c>
      <c r="D59" s="1">
        <v>43831</v>
      </c>
      <c r="E59">
        <v>1</v>
      </c>
      <c r="F59">
        <v>200114343</v>
      </c>
      <c r="G59" t="s">
        <v>120</v>
      </c>
      <c r="H59">
        <v>81</v>
      </c>
      <c r="I59">
        <v>71104010</v>
      </c>
      <c r="J59">
        <v>21021040</v>
      </c>
      <c r="K59" t="s">
        <v>121</v>
      </c>
      <c r="L59">
        <v>126548.08</v>
      </c>
      <c r="M59" t="s">
        <v>31</v>
      </c>
      <c r="N59">
        <v>126548.08</v>
      </c>
      <c r="O59" t="s">
        <v>31</v>
      </c>
      <c r="R59" t="s">
        <v>272</v>
      </c>
      <c r="S59" t="s">
        <v>1131</v>
      </c>
      <c r="T59">
        <v>107211</v>
      </c>
      <c r="U59" t="s">
        <v>123</v>
      </c>
      <c r="X59" t="s">
        <v>35</v>
      </c>
      <c r="Y59" s="8">
        <v>4501229349</v>
      </c>
      <c r="Z59">
        <v>20200130</v>
      </c>
      <c r="AA59">
        <v>126548.08</v>
      </c>
      <c r="AB59">
        <v>20247.692800000001</v>
      </c>
      <c r="AC59">
        <v>146795.77280000001</v>
      </c>
      <c r="AD59">
        <v>200124384</v>
      </c>
      <c r="AE59" t="s">
        <v>276</v>
      </c>
      <c r="AF59" s="4">
        <v>146795.77280000001</v>
      </c>
      <c r="AG59" t="s">
        <v>51</v>
      </c>
      <c r="AH59" t="s">
        <v>1123</v>
      </c>
      <c r="AI59">
        <v>200127161</v>
      </c>
      <c r="AJ59" t="s">
        <v>1148</v>
      </c>
      <c r="AK59" t="s">
        <v>1129</v>
      </c>
      <c r="AL59">
        <v>340218590</v>
      </c>
      <c r="AM59" t="s">
        <v>135</v>
      </c>
    </row>
    <row r="60" spans="1:39" x14ac:dyDescent="0.35">
      <c r="A60">
        <v>3402</v>
      </c>
      <c r="B60" t="s">
        <v>47</v>
      </c>
      <c r="C60">
        <v>2020</v>
      </c>
      <c r="D60" s="1">
        <v>43831</v>
      </c>
      <c r="E60">
        <v>1</v>
      </c>
      <c r="F60">
        <v>200114346</v>
      </c>
      <c r="G60" t="s">
        <v>120</v>
      </c>
      <c r="H60">
        <v>81</v>
      </c>
      <c r="I60">
        <v>71104010</v>
      </c>
      <c r="J60">
        <v>21021040</v>
      </c>
      <c r="K60" t="s">
        <v>121</v>
      </c>
      <c r="L60">
        <v>92593.4</v>
      </c>
      <c r="M60" t="s">
        <v>31</v>
      </c>
      <c r="N60">
        <v>92593.4</v>
      </c>
      <c r="O60" t="s">
        <v>31</v>
      </c>
      <c r="R60" t="s">
        <v>272</v>
      </c>
      <c r="S60" t="s">
        <v>1131</v>
      </c>
      <c r="T60">
        <v>107211</v>
      </c>
      <c r="U60" t="s">
        <v>123</v>
      </c>
      <c r="X60" t="s">
        <v>35</v>
      </c>
      <c r="Y60" s="8">
        <v>4501229349</v>
      </c>
      <c r="Z60">
        <v>20200130</v>
      </c>
      <c r="AA60">
        <v>92593.4</v>
      </c>
      <c r="AB60">
        <v>14814.944</v>
      </c>
      <c r="AC60">
        <v>107408.344</v>
      </c>
      <c r="AD60">
        <v>200124384</v>
      </c>
      <c r="AE60" t="s">
        <v>277</v>
      </c>
      <c r="AF60" s="4">
        <v>107408.344</v>
      </c>
      <c r="AG60" t="s">
        <v>51</v>
      </c>
      <c r="AH60" t="s">
        <v>1123</v>
      </c>
      <c r="AI60">
        <v>200127161</v>
      </c>
      <c r="AJ60" t="s">
        <v>1148</v>
      </c>
      <c r="AK60" t="s">
        <v>1129</v>
      </c>
      <c r="AL60">
        <v>340218590</v>
      </c>
      <c r="AM60" t="s">
        <v>135</v>
      </c>
    </row>
    <row r="61" spans="1:39" x14ac:dyDescent="0.35">
      <c r="A61">
        <v>3402</v>
      </c>
      <c r="B61" t="s">
        <v>47</v>
      </c>
      <c r="C61">
        <v>2020</v>
      </c>
      <c r="D61" s="1">
        <v>43831</v>
      </c>
      <c r="E61">
        <v>1</v>
      </c>
      <c r="F61">
        <v>200114375</v>
      </c>
      <c r="G61" t="s">
        <v>120</v>
      </c>
      <c r="H61">
        <v>91</v>
      </c>
      <c r="I61">
        <v>71104010</v>
      </c>
      <c r="J61">
        <v>21021040</v>
      </c>
      <c r="K61" t="s">
        <v>121</v>
      </c>
      <c r="L61">
        <v>131.54</v>
      </c>
      <c r="M61" t="s">
        <v>31</v>
      </c>
      <c r="N61">
        <v>131.54</v>
      </c>
      <c r="O61" t="s">
        <v>31</v>
      </c>
      <c r="R61" t="s">
        <v>272</v>
      </c>
      <c r="S61" t="s">
        <v>1131</v>
      </c>
      <c r="T61">
        <v>107211</v>
      </c>
      <c r="U61" t="s">
        <v>123</v>
      </c>
      <c r="X61" t="s">
        <v>35</v>
      </c>
      <c r="Y61" s="8">
        <v>4501229349</v>
      </c>
      <c r="Z61">
        <v>20200130</v>
      </c>
      <c r="AA61">
        <v>131.54</v>
      </c>
      <c r="AB61">
        <v>21.046399999999998</v>
      </c>
      <c r="AC61">
        <v>152.5864</v>
      </c>
      <c r="AD61">
        <v>200124384</v>
      </c>
      <c r="AE61" t="s">
        <v>278</v>
      </c>
      <c r="AF61" s="4">
        <v>152.5864</v>
      </c>
      <c r="AG61" t="s">
        <v>51</v>
      </c>
      <c r="AH61" t="s">
        <v>1123</v>
      </c>
      <c r="AI61">
        <v>200127161</v>
      </c>
      <c r="AJ61" t="s">
        <v>1148</v>
      </c>
      <c r="AK61" t="s">
        <v>1129</v>
      </c>
      <c r="AL61">
        <v>340218590</v>
      </c>
      <c r="AM61" t="s">
        <v>135</v>
      </c>
    </row>
    <row r="62" spans="1:39" x14ac:dyDescent="0.35">
      <c r="A62">
        <v>3402</v>
      </c>
      <c r="B62" t="s">
        <v>47</v>
      </c>
      <c r="C62">
        <v>2020</v>
      </c>
      <c r="D62" s="1">
        <v>43831</v>
      </c>
      <c r="E62">
        <v>1</v>
      </c>
      <c r="F62">
        <v>200114387</v>
      </c>
      <c r="G62" t="s">
        <v>120</v>
      </c>
      <c r="H62">
        <v>81</v>
      </c>
      <c r="I62">
        <v>71104010</v>
      </c>
      <c r="J62">
        <v>21021040</v>
      </c>
      <c r="K62" t="s">
        <v>121</v>
      </c>
      <c r="L62">
        <v>135096.29999999999</v>
      </c>
      <c r="M62" t="s">
        <v>31</v>
      </c>
      <c r="N62">
        <v>135096.29999999999</v>
      </c>
      <c r="O62" t="s">
        <v>31</v>
      </c>
      <c r="R62" t="s">
        <v>272</v>
      </c>
      <c r="S62" t="s">
        <v>1131</v>
      </c>
      <c r="T62">
        <v>107211</v>
      </c>
      <c r="U62" t="s">
        <v>123</v>
      </c>
      <c r="X62" t="s">
        <v>35</v>
      </c>
      <c r="Y62" s="8">
        <v>4501229349</v>
      </c>
      <c r="Z62">
        <v>20200130</v>
      </c>
      <c r="AA62">
        <v>135096.29999999999</v>
      </c>
      <c r="AB62">
        <v>21615.407999999999</v>
      </c>
      <c r="AC62">
        <v>156711.70799999998</v>
      </c>
      <c r="AD62">
        <v>200124384</v>
      </c>
      <c r="AE62" t="s">
        <v>279</v>
      </c>
      <c r="AF62" s="4">
        <v>156711.70799999998</v>
      </c>
      <c r="AG62" t="s">
        <v>51</v>
      </c>
      <c r="AH62" t="s">
        <v>1123</v>
      </c>
      <c r="AI62">
        <v>200127161</v>
      </c>
      <c r="AJ62" t="s">
        <v>1148</v>
      </c>
      <c r="AK62" t="s">
        <v>1129</v>
      </c>
      <c r="AL62">
        <v>340218590</v>
      </c>
      <c r="AM62" t="s">
        <v>135</v>
      </c>
    </row>
    <row r="63" spans="1:39" x14ac:dyDescent="0.35">
      <c r="A63">
        <v>3402</v>
      </c>
      <c r="B63" t="s">
        <v>47</v>
      </c>
      <c r="C63">
        <v>2020</v>
      </c>
      <c r="D63" s="1">
        <v>43831</v>
      </c>
      <c r="E63">
        <v>1</v>
      </c>
      <c r="F63">
        <v>200114388</v>
      </c>
      <c r="G63" t="s">
        <v>120</v>
      </c>
      <c r="H63">
        <v>91</v>
      </c>
      <c r="I63">
        <v>71104010</v>
      </c>
      <c r="J63">
        <v>21021040</v>
      </c>
      <c r="K63" t="s">
        <v>121</v>
      </c>
      <c r="L63">
        <v>132.84</v>
      </c>
      <c r="M63" t="s">
        <v>31</v>
      </c>
      <c r="N63">
        <v>132.84</v>
      </c>
      <c r="O63" t="s">
        <v>31</v>
      </c>
      <c r="R63" t="s">
        <v>272</v>
      </c>
      <c r="S63" t="s">
        <v>1131</v>
      </c>
      <c r="T63">
        <v>107211</v>
      </c>
      <c r="U63" t="s">
        <v>123</v>
      </c>
      <c r="X63" t="s">
        <v>35</v>
      </c>
      <c r="Y63" s="8">
        <v>4501229349</v>
      </c>
      <c r="Z63">
        <v>20200130</v>
      </c>
      <c r="AA63">
        <v>132.84</v>
      </c>
      <c r="AB63">
        <v>21.2544</v>
      </c>
      <c r="AC63">
        <v>154.09440000000001</v>
      </c>
      <c r="AD63">
        <v>200124384</v>
      </c>
      <c r="AE63" t="s">
        <v>280</v>
      </c>
      <c r="AF63" s="4">
        <v>154.09440000000001</v>
      </c>
      <c r="AG63" t="s">
        <v>51</v>
      </c>
      <c r="AH63" t="s">
        <v>1123</v>
      </c>
      <c r="AI63">
        <v>200127161</v>
      </c>
      <c r="AJ63" t="s">
        <v>1148</v>
      </c>
      <c r="AK63" t="s">
        <v>1129</v>
      </c>
      <c r="AL63">
        <v>340218590</v>
      </c>
      <c r="AM63" t="s">
        <v>135</v>
      </c>
    </row>
    <row r="64" spans="1:39" x14ac:dyDescent="0.35">
      <c r="A64">
        <v>3402</v>
      </c>
      <c r="B64" t="s">
        <v>47</v>
      </c>
      <c r="C64">
        <v>2020</v>
      </c>
      <c r="D64" s="1">
        <v>43831</v>
      </c>
      <c r="E64">
        <v>1</v>
      </c>
      <c r="F64">
        <v>200114389</v>
      </c>
      <c r="G64" t="s">
        <v>120</v>
      </c>
      <c r="H64">
        <v>81</v>
      </c>
      <c r="I64">
        <v>71104010</v>
      </c>
      <c r="J64">
        <v>21021040</v>
      </c>
      <c r="K64" t="s">
        <v>121</v>
      </c>
      <c r="L64">
        <v>132835.92000000001</v>
      </c>
      <c r="M64" t="s">
        <v>31</v>
      </c>
      <c r="N64">
        <v>132835.92000000001</v>
      </c>
      <c r="O64" t="s">
        <v>31</v>
      </c>
      <c r="R64" t="s">
        <v>272</v>
      </c>
      <c r="S64" t="s">
        <v>1131</v>
      </c>
      <c r="T64">
        <v>107211</v>
      </c>
      <c r="U64" t="s">
        <v>123</v>
      </c>
      <c r="X64" t="s">
        <v>35</v>
      </c>
      <c r="Y64" s="8">
        <v>4501229349</v>
      </c>
      <c r="Z64">
        <v>20200130</v>
      </c>
      <c r="AA64">
        <v>132835.92000000001</v>
      </c>
      <c r="AB64">
        <v>21253.747200000002</v>
      </c>
      <c r="AC64">
        <v>154089.66720000003</v>
      </c>
      <c r="AD64">
        <v>200124384</v>
      </c>
      <c r="AE64" t="s">
        <v>280</v>
      </c>
      <c r="AF64" s="4">
        <v>154089.66720000003</v>
      </c>
      <c r="AG64" t="s">
        <v>51</v>
      </c>
      <c r="AH64" t="s">
        <v>1123</v>
      </c>
      <c r="AI64">
        <v>200127161</v>
      </c>
      <c r="AJ64" t="s">
        <v>1148</v>
      </c>
      <c r="AK64" t="s">
        <v>1129</v>
      </c>
      <c r="AL64">
        <v>340218590</v>
      </c>
      <c r="AM64" t="s">
        <v>135</v>
      </c>
    </row>
    <row r="65" spans="1:39" x14ac:dyDescent="0.35">
      <c r="A65">
        <v>3402</v>
      </c>
      <c r="B65" t="s">
        <v>47</v>
      </c>
      <c r="C65">
        <v>2020</v>
      </c>
      <c r="D65" s="1">
        <v>43831</v>
      </c>
      <c r="E65">
        <v>1</v>
      </c>
      <c r="F65">
        <v>200114392</v>
      </c>
      <c r="G65" t="s">
        <v>120</v>
      </c>
      <c r="H65">
        <v>91</v>
      </c>
      <c r="I65">
        <v>71104010</v>
      </c>
      <c r="J65">
        <v>21021040</v>
      </c>
      <c r="K65" t="s">
        <v>121</v>
      </c>
      <c r="L65">
        <v>132.56</v>
      </c>
      <c r="M65" t="s">
        <v>31</v>
      </c>
      <c r="N65">
        <v>132.56</v>
      </c>
      <c r="O65" t="s">
        <v>31</v>
      </c>
      <c r="R65" t="s">
        <v>272</v>
      </c>
      <c r="S65" t="s">
        <v>1131</v>
      </c>
      <c r="T65">
        <v>107211</v>
      </c>
      <c r="U65" t="s">
        <v>123</v>
      </c>
      <c r="X65" t="s">
        <v>35</v>
      </c>
      <c r="Y65" s="8">
        <v>4501229349</v>
      </c>
      <c r="Z65">
        <v>20200130</v>
      </c>
      <c r="AA65">
        <v>132.56</v>
      </c>
      <c r="AB65">
        <v>21.209600000000002</v>
      </c>
      <c r="AC65">
        <v>153.7696</v>
      </c>
      <c r="AD65">
        <v>200124384</v>
      </c>
      <c r="AE65" t="s">
        <v>281</v>
      </c>
      <c r="AF65" s="4">
        <v>153.7696</v>
      </c>
      <c r="AG65" t="s">
        <v>51</v>
      </c>
      <c r="AH65" t="s">
        <v>1123</v>
      </c>
      <c r="AI65">
        <v>200127161</v>
      </c>
      <c r="AJ65" t="s">
        <v>1148</v>
      </c>
      <c r="AK65" t="s">
        <v>1129</v>
      </c>
      <c r="AL65">
        <v>340218590</v>
      </c>
      <c r="AM65" t="s">
        <v>135</v>
      </c>
    </row>
    <row r="66" spans="1:39" x14ac:dyDescent="0.35">
      <c r="A66">
        <v>3402</v>
      </c>
      <c r="B66" t="s">
        <v>47</v>
      </c>
      <c r="C66">
        <v>2020</v>
      </c>
      <c r="D66" s="1">
        <v>43831</v>
      </c>
      <c r="E66">
        <v>1</v>
      </c>
      <c r="F66">
        <v>200114393</v>
      </c>
      <c r="G66" t="s">
        <v>120</v>
      </c>
      <c r="H66">
        <v>81</v>
      </c>
      <c r="I66">
        <v>71104010</v>
      </c>
      <c r="J66">
        <v>21021040</v>
      </c>
      <c r="K66" t="s">
        <v>121</v>
      </c>
      <c r="L66">
        <v>132559.07999999999</v>
      </c>
      <c r="M66" t="s">
        <v>31</v>
      </c>
      <c r="N66">
        <v>132559.07999999999</v>
      </c>
      <c r="O66" t="s">
        <v>31</v>
      </c>
      <c r="R66" t="s">
        <v>272</v>
      </c>
      <c r="S66" t="s">
        <v>1131</v>
      </c>
      <c r="T66">
        <v>107211</v>
      </c>
      <c r="U66" t="s">
        <v>123</v>
      </c>
      <c r="X66" t="s">
        <v>35</v>
      </c>
      <c r="Y66" s="8">
        <v>4501229349</v>
      </c>
      <c r="Z66">
        <v>20200130</v>
      </c>
      <c r="AA66">
        <v>132559.07999999999</v>
      </c>
      <c r="AB66">
        <v>21209.452799999999</v>
      </c>
      <c r="AC66">
        <v>153768.53279999999</v>
      </c>
      <c r="AD66">
        <v>200124384</v>
      </c>
      <c r="AE66" t="s">
        <v>281</v>
      </c>
      <c r="AF66" s="4">
        <v>153768.53279999999</v>
      </c>
      <c r="AG66" t="s">
        <v>51</v>
      </c>
      <c r="AH66" t="s">
        <v>1123</v>
      </c>
      <c r="AI66">
        <v>200127161</v>
      </c>
      <c r="AJ66" t="s">
        <v>1148</v>
      </c>
      <c r="AK66" t="s">
        <v>1129</v>
      </c>
      <c r="AL66">
        <v>340218590</v>
      </c>
      <c r="AM66" t="s">
        <v>135</v>
      </c>
    </row>
    <row r="67" spans="1:39" x14ac:dyDescent="0.35">
      <c r="A67">
        <v>3402</v>
      </c>
      <c r="B67" t="s">
        <v>47</v>
      </c>
      <c r="C67">
        <v>2020</v>
      </c>
      <c r="D67" s="1">
        <v>43831</v>
      </c>
      <c r="E67">
        <v>1</v>
      </c>
      <c r="F67">
        <v>200114400</v>
      </c>
      <c r="G67" t="s">
        <v>120</v>
      </c>
      <c r="H67">
        <v>91</v>
      </c>
      <c r="I67">
        <v>71104010</v>
      </c>
      <c r="J67">
        <v>21021040</v>
      </c>
      <c r="K67" t="s">
        <v>121</v>
      </c>
      <c r="L67">
        <v>112.94</v>
      </c>
      <c r="M67" t="s">
        <v>31</v>
      </c>
      <c r="N67">
        <v>112.94</v>
      </c>
      <c r="O67" t="s">
        <v>31</v>
      </c>
      <c r="R67" t="s">
        <v>272</v>
      </c>
      <c r="S67" t="s">
        <v>1131</v>
      </c>
      <c r="T67">
        <v>107211</v>
      </c>
      <c r="U67" t="s">
        <v>123</v>
      </c>
      <c r="X67" t="s">
        <v>35</v>
      </c>
      <c r="Y67" s="8">
        <v>4501229349</v>
      </c>
      <c r="Z67">
        <v>20200130</v>
      </c>
      <c r="AA67">
        <v>112.94</v>
      </c>
      <c r="AB67">
        <v>18.070399999999999</v>
      </c>
      <c r="AC67">
        <v>131.0104</v>
      </c>
      <c r="AD67">
        <v>200124384</v>
      </c>
      <c r="AE67" t="s">
        <v>282</v>
      </c>
      <c r="AF67" s="4">
        <v>131.0104</v>
      </c>
      <c r="AG67" t="s">
        <v>51</v>
      </c>
      <c r="AH67" t="s">
        <v>1123</v>
      </c>
      <c r="AI67">
        <v>200127161</v>
      </c>
      <c r="AJ67" t="s">
        <v>1148</v>
      </c>
      <c r="AK67" t="s">
        <v>1129</v>
      </c>
      <c r="AL67">
        <v>340218590</v>
      </c>
      <c r="AM67" t="s">
        <v>135</v>
      </c>
    </row>
    <row r="68" spans="1:39" x14ac:dyDescent="0.35">
      <c r="A68">
        <v>3402</v>
      </c>
      <c r="B68" t="s">
        <v>47</v>
      </c>
      <c r="C68">
        <v>2020</v>
      </c>
      <c r="D68" s="1">
        <v>43831</v>
      </c>
      <c r="E68">
        <v>1</v>
      </c>
      <c r="F68">
        <v>200114402</v>
      </c>
      <c r="G68" t="s">
        <v>120</v>
      </c>
      <c r="H68">
        <v>91</v>
      </c>
      <c r="I68">
        <v>71104010</v>
      </c>
      <c r="J68">
        <v>21021040</v>
      </c>
      <c r="K68" t="s">
        <v>121</v>
      </c>
      <c r="L68">
        <v>113.71</v>
      </c>
      <c r="M68" t="s">
        <v>31</v>
      </c>
      <c r="N68">
        <v>113.71</v>
      </c>
      <c r="O68" t="s">
        <v>31</v>
      </c>
      <c r="R68" t="s">
        <v>272</v>
      </c>
      <c r="S68" t="s">
        <v>1131</v>
      </c>
      <c r="T68">
        <v>107211</v>
      </c>
      <c r="U68" t="s">
        <v>123</v>
      </c>
      <c r="X68" t="s">
        <v>35</v>
      </c>
      <c r="Y68" s="8">
        <v>4501229349</v>
      </c>
      <c r="Z68">
        <v>20200130</v>
      </c>
      <c r="AA68">
        <v>113.71</v>
      </c>
      <c r="AB68">
        <v>18.1936</v>
      </c>
      <c r="AC68">
        <v>131.90359999999998</v>
      </c>
      <c r="AD68">
        <v>200124384</v>
      </c>
      <c r="AE68" t="s">
        <v>283</v>
      </c>
      <c r="AF68" s="4">
        <v>131.90359999999998</v>
      </c>
      <c r="AG68" t="s">
        <v>51</v>
      </c>
      <c r="AH68" t="s">
        <v>1123</v>
      </c>
      <c r="AI68">
        <v>200127161</v>
      </c>
      <c r="AJ68" t="s">
        <v>1148</v>
      </c>
      <c r="AK68" t="s">
        <v>1129</v>
      </c>
      <c r="AL68">
        <v>340218590</v>
      </c>
      <c r="AM68" t="s">
        <v>135</v>
      </c>
    </row>
    <row r="69" spans="1:39" x14ac:dyDescent="0.35">
      <c r="A69">
        <v>3402</v>
      </c>
      <c r="B69" t="s">
        <v>47</v>
      </c>
      <c r="C69">
        <v>2020</v>
      </c>
      <c r="D69" s="1">
        <v>43831</v>
      </c>
      <c r="E69">
        <v>1</v>
      </c>
      <c r="F69">
        <v>200114408</v>
      </c>
      <c r="G69" t="s">
        <v>120</v>
      </c>
      <c r="H69">
        <v>81</v>
      </c>
      <c r="I69">
        <v>71104010</v>
      </c>
      <c r="J69">
        <v>21021040</v>
      </c>
      <c r="K69" t="s">
        <v>121</v>
      </c>
      <c r="L69">
        <v>131581.92000000001</v>
      </c>
      <c r="M69" t="s">
        <v>31</v>
      </c>
      <c r="N69">
        <v>131581.92000000001</v>
      </c>
      <c r="O69" t="s">
        <v>31</v>
      </c>
      <c r="R69" t="s">
        <v>272</v>
      </c>
      <c r="S69" t="s">
        <v>1131</v>
      </c>
      <c r="T69">
        <v>107211</v>
      </c>
      <c r="U69" t="s">
        <v>123</v>
      </c>
      <c r="X69" t="s">
        <v>35</v>
      </c>
      <c r="Y69" s="8">
        <v>4501229349</v>
      </c>
      <c r="Z69">
        <v>20200130</v>
      </c>
      <c r="AA69">
        <v>131581.92000000001</v>
      </c>
      <c r="AB69">
        <v>21053.107200000002</v>
      </c>
      <c r="AC69">
        <v>152635.02720000001</v>
      </c>
      <c r="AD69">
        <v>200124384</v>
      </c>
      <c r="AE69" t="s">
        <v>274</v>
      </c>
      <c r="AF69" s="4">
        <v>152635.02720000001</v>
      </c>
      <c r="AG69" t="s">
        <v>51</v>
      </c>
      <c r="AH69" t="s">
        <v>1123</v>
      </c>
      <c r="AI69">
        <v>200127161</v>
      </c>
      <c r="AJ69" t="s">
        <v>1148</v>
      </c>
      <c r="AK69" t="s">
        <v>1129</v>
      </c>
      <c r="AL69">
        <v>340218590</v>
      </c>
      <c r="AM69" t="s">
        <v>135</v>
      </c>
    </row>
    <row r="70" spans="1:39" x14ac:dyDescent="0.35">
      <c r="A70">
        <v>3406</v>
      </c>
      <c r="B70" t="s">
        <v>47</v>
      </c>
      <c r="C70">
        <v>2020</v>
      </c>
      <c r="D70" s="1">
        <v>43831</v>
      </c>
      <c r="E70">
        <v>1</v>
      </c>
      <c r="F70">
        <v>600029607</v>
      </c>
      <c r="G70" t="s">
        <v>120</v>
      </c>
      <c r="H70">
        <v>81</v>
      </c>
      <c r="I70">
        <v>71104010</v>
      </c>
      <c r="J70">
        <v>21021040</v>
      </c>
      <c r="K70" t="s">
        <v>121</v>
      </c>
      <c r="L70">
        <v>85785</v>
      </c>
      <c r="M70" t="s">
        <v>31</v>
      </c>
      <c r="N70">
        <v>85785</v>
      </c>
      <c r="O70" t="s">
        <v>31</v>
      </c>
      <c r="R70" t="s">
        <v>147</v>
      </c>
      <c r="S70" t="s">
        <v>1131</v>
      </c>
      <c r="T70">
        <v>107211</v>
      </c>
      <c r="U70" t="s">
        <v>123</v>
      </c>
      <c r="X70" t="s">
        <v>47</v>
      </c>
      <c r="Y70" s="8">
        <v>4501226446</v>
      </c>
      <c r="Z70">
        <v>20200130</v>
      </c>
      <c r="AA70">
        <v>85785</v>
      </c>
      <c r="AB70">
        <v>85785</v>
      </c>
      <c r="AC70">
        <v>171570</v>
      </c>
      <c r="AD70">
        <v>600035567</v>
      </c>
      <c r="AE70" t="s">
        <v>284</v>
      </c>
      <c r="AF70" s="4">
        <v>171570</v>
      </c>
      <c r="AG70" t="s">
        <v>51</v>
      </c>
      <c r="AH70" t="s">
        <v>1123</v>
      </c>
      <c r="AI70">
        <v>600035588</v>
      </c>
      <c r="AJ70" t="s">
        <v>1148</v>
      </c>
      <c r="AK70" t="s">
        <v>1129</v>
      </c>
      <c r="AL70">
        <v>340618590</v>
      </c>
      <c r="AM70" t="s">
        <v>149</v>
      </c>
    </row>
    <row r="71" spans="1:39" x14ac:dyDescent="0.35">
      <c r="A71">
        <v>3406</v>
      </c>
      <c r="B71" t="s">
        <v>47</v>
      </c>
      <c r="C71">
        <v>2020</v>
      </c>
      <c r="D71" s="1">
        <v>43831</v>
      </c>
      <c r="E71">
        <v>1</v>
      </c>
      <c r="F71">
        <v>600029609</v>
      </c>
      <c r="G71" t="s">
        <v>120</v>
      </c>
      <c r="H71">
        <v>81</v>
      </c>
      <c r="I71">
        <v>71104010</v>
      </c>
      <c r="J71">
        <v>21021040</v>
      </c>
      <c r="K71" t="s">
        <v>121</v>
      </c>
      <c r="L71">
        <v>90300</v>
      </c>
      <c r="M71" t="s">
        <v>31</v>
      </c>
      <c r="N71">
        <v>90300</v>
      </c>
      <c r="O71" t="s">
        <v>31</v>
      </c>
      <c r="R71" t="s">
        <v>147</v>
      </c>
      <c r="S71" t="s">
        <v>1131</v>
      </c>
      <c r="T71">
        <v>107211</v>
      </c>
      <c r="U71" t="s">
        <v>123</v>
      </c>
      <c r="X71" t="s">
        <v>47</v>
      </c>
      <c r="Y71" s="8">
        <v>4501226446</v>
      </c>
      <c r="Z71">
        <v>20200130</v>
      </c>
      <c r="AA71">
        <v>90300</v>
      </c>
      <c r="AB71">
        <v>90300</v>
      </c>
      <c r="AC71">
        <v>180600</v>
      </c>
      <c r="AD71">
        <v>600035567</v>
      </c>
      <c r="AE71" t="s">
        <v>285</v>
      </c>
      <c r="AF71" s="4">
        <v>180600</v>
      </c>
      <c r="AG71" t="s">
        <v>51</v>
      </c>
      <c r="AH71" t="s">
        <v>1123</v>
      </c>
      <c r="AI71">
        <v>600035588</v>
      </c>
      <c r="AJ71" t="s">
        <v>1148</v>
      </c>
      <c r="AK71" t="s">
        <v>1129</v>
      </c>
      <c r="AL71">
        <v>340618590</v>
      </c>
      <c r="AM71" t="s">
        <v>149</v>
      </c>
    </row>
    <row r="72" spans="1:39" x14ac:dyDescent="0.35">
      <c r="A72">
        <v>3406</v>
      </c>
      <c r="B72" t="s">
        <v>47</v>
      </c>
      <c r="C72">
        <v>2020</v>
      </c>
      <c r="D72" s="1">
        <v>43831</v>
      </c>
      <c r="E72">
        <v>1</v>
      </c>
      <c r="F72">
        <v>600029610</v>
      </c>
      <c r="G72" t="s">
        <v>120</v>
      </c>
      <c r="H72">
        <v>81</v>
      </c>
      <c r="I72">
        <v>71104010</v>
      </c>
      <c r="J72">
        <v>21021040</v>
      </c>
      <c r="K72" t="s">
        <v>121</v>
      </c>
      <c r="L72">
        <v>95718</v>
      </c>
      <c r="M72" t="s">
        <v>31</v>
      </c>
      <c r="N72">
        <v>95718</v>
      </c>
      <c r="O72" t="s">
        <v>31</v>
      </c>
      <c r="R72" t="s">
        <v>147</v>
      </c>
      <c r="S72" t="s">
        <v>1131</v>
      </c>
      <c r="T72">
        <v>107211</v>
      </c>
      <c r="U72" t="s">
        <v>123</v>
      </c>
      <c r="X72" t="s">
        <v>47</v>
      </c>
      <c r="Y72" s="8">
        <v>4501226446</v>
      </c>
      <c r="Z72">
        <v>20200130</v>
      </c>
      <c r="AA72">
        <v>95718</v>
      </c>
      <c r="AB72">
        <v>95718</v>
      </c>
      <c r="AC72">
        <v>191436</v>
      </c>
      <c r="AD72">
        <v>600035567</v>
      </c>
      <c r="AE72" t="s">
        <v>286</v>
      </c>
      <c r="AF72" s="4">
        <v>191436</v>
      </c>
      <c r="AG72" t="s">
        <v>51</v>
      </c>
      <c r="AH72" t="s">
        <v>1123</v>
      </c>
      <c r="AI72">
        <v>600035588</v>
      </c>
      <c r="AJ72" t="s">
        <v>1148</v>
      </c>
      <c r="AK72" t="s">
        <v>1129</v>
      </c>
      <c r="AL72">
        <v>340618590</v>
      </c>
      <c r="AM72" t="s">
        <v>149</v>
      </c>
    </row>
    <row r="73" spans="1:39" x14ac:dyDescent="0.35">
      <c r="A73">
        <v>3402</v>
      </c>
      <c r="B73" t="s">
        <v>47</v>
      </c>
      <c r="C73">
        <v>2020</v>
      </c>
      <c r="D73" s="1">
        <v>43831</v>
      </c>
      <c r="E73">
        <v>1</v>
      </c>
      <c r="F73">
        <v>200102630</v>
      </c>
      <c r="G73" t="s">
        <v>120</v>
      </c>
      <c r="H73">
        <v>81</v>
      </c>
      <c r="I73">
        <v>71104010</v>
      </c>
      <c r="J73">
        <v>21021040</v>
      </c>
      <c r="K73" t="s">
        <v>121</v>
      </c>
      <c r="L73">
        <v>109.7</v>
      </c>
      <c r="M73" t="s">
        <v>31</v>
      </c>
      <c r="N73">
        <v>109.7</v>
      </c>
      <c r="O73" t="s">
        <v>31</v>
      </c>
      <c r="R73" t="s">
        <v>272</v>
      </c>
      <c r="S73" t="s">
        <v>1131</v>
      </c>
      <c r="T73">
        <v>107211</v>
      </c>
      <c r="U73" t="s">
        <v>123</v>
      </c>
      <c r="X73" t="s">
        <v>47</v>
      </c>
      <c r="Y73" s="8">
        <v>4501229349</v>
      </c>
      <c r="Z73">
        <v>20200130</v>
      </c>
      <c r="AA73">
        <v>109.7</v>
      </c>
      <c r="AB73">
        <v>17.552</v>
      </c>
      <c r="AC73">
        <v>127.25200000000001</v>
      </c>
      <c r="AD73">
        <v>200124384</v>
      </c>
      <c r="AE73" t="s">
        <v>287</v>
      </c>
      <c r="AF73" s="4">
        <v>127.25200000000001</v>
      </c>
      <c r="AG73" t="s">
        <v>51</v>
      </c>
      <c r="AH73" t="s">
        <v>1123</v>
      </c>
      <c r="AI73">
        <v>200127161</v>
      </c>
      <c r="AJ73" t="s">
        <v>1148</v>
      </c>
      <c r="AK73" t="s">
        <v>1129</v>
      </c>
      <c r="AL73">
        <v>340218590</v>
      </c>
      <c r="AM73" t="s">
        <v>135</v>
      </c>
    </row>
    <row r="74" spans="1:39" x14ac:dyDescent="0.35">
      <c r="A74">
        <v>3402</v>
      </c>
      <c r="B74" t="s">
        <v>47</v>
      </c>
      <c r="C74">
        <v>2020</v>
      </c>
      <c r="D74" s="1">
        <v>43831</v>
      </c>
      <c r="E74">
        <v>1</v>
      </c>
      <c r="F74">
        <v>200102632</v>
      </c>
      <c r="G74" t="s">
        <v>120</v>
      </c>
      <c r="H74">
        <v>81</v>
      </c>
      <c r="I74">
        <v>71104010</v>
      </c>
      <c r="J74">
        <v>21021040</v>
      </c>
      <c r="K74" t="s">
        <v>121</v>
      </c>
      <c r="L74">
        <v>144.96</v>
      </c>
      <c r="M74" t="s">
        <v>31</v>
      </c>
      <c r="N74">
        <v>144.96</v>
      </c>
      <c r="O74" t="s">
        <v>31</v>
      </c>
      <c r="R74" t="s">
        <v>272</v>
      </c>
      <c r="S74" t="s">
        <v>1131</v>
      </c>
      <c r="T74">
        <v>107211</v>
      </c>
      <c r="U74" t="s">
        <v>123</v>
      </c>
      <c r="X74" t="s">
        <v>47</v>
      </c>
      <c r="Y74" s="8">
        <v>4501229349</v>
      </c>
      <c r="Z74">
        <v>20200130</v>
      </c>
      <c r="AA74">
        <v>144.96</v>
      </c>
      <c r="AB74">
        <v>23.1936</v>
      </c>
      <c r="AC74">
        <v>168.15360000000001</v>
      </c>
      <c r="AD74">
        <v>200124384</v>
      </c>
      <c r="AE74" t="s">
        <v>275</v>
      </c>
      <c r="AF74" s="4">
        <v>168.15360000000001</v>
      </c>
      <c r="AG74" t="s">
        <v>51</v>
      </c>
      <c r="AH74" t="s">
        <v>1123</v>
      </c>
      <c r="AI74">
        <v>200127161</v>
      </c>
      <c r="AJ74" t="s">
        <v>1148</v>
      </c>
      <c r="AK74" t="s">
        <v>1129</v>
      </c>
      <c r="AL74">
        <v>340218590</v>
      </c>
      <c r="AM74" t="s">
        <v>135</v>
      </c>
    </row>
    <row r="75" spans="1:39" x14ac:dyDescent="0.35">
      <c r="A75">
        <v>3402</v>
      </c>
      <c r="B75" t="s">
        <v>47</v>
      </c>
      <c r="C75">
        <v>2020</v>
      </c>
      <c r="D75" s="1">
        <v>43831</v>
      </c>
      <c r="E75">
        <v>1</v>
      </c>
      <c r="F75">
        <v>200102633</v>
      </c>
      <c r="G75" t="s">
        <v>120</v>
      </c>
      <c r="H75">
        <v>81</v>
      </c>
      <c r="I75">
        <v>71104010</v>
      </c>
      <c r="J75">
        <v>21021040</v>
      </c>
      <c r="K75" t="s">
        <v>121</v>
      </c>
      <c r="L75">
        <v>126.54</v>
      </c>
      <c r="M75" t="s">
        <v>31</v>
      </c>
      <c r="N75">
        <v>126.54</v>
      </c>
      <c r="O75" t="s">
        <v>31</v>
      </c>
      <c r="R75" t="s">
        <v>272</v>
      </c>
      <c r="S75" t="s">
        <v>1131</v>
      </c>
      <c r="T75">
        <v>107211</v>
      </c>
      <c r="U75" t="s">
        <v>123</v>
      </c>
      <c r="X75" t="s">
        <v>47</v>
      </c>
      <c r="Y75" s="8">
        <v>4501229349</v>
      </c>
      <c r="Z75">
        <v>20200130</v>
      </c>
      <c r="AA75">
        <v>126.54</v>
      </c>
      <c r="AB75">
        <v>20.246400000000001</v>
      </c>
      <c r="AC75">
        <v>146.78640000000001</v>
      </c>
      <c r="AD75">
        <v>200124384</v>
      </c>
      <c r="AE75" t="s">
        <v>276</v>
      </c>
      <c r="AF75" s="4">
        <v>146.78640000000001</v>
      </c>
      <c r="AG75" t="s">
        <v>51</v>
      </c>
      <c r="AH75" t="s">
        <v>1123</v>
      </c>
      <c r="AI75">
        <v>200127161</v>
      </c>
      <c r="AJ75" t="s">
        <v>1148</v>
      </c>
      <c r="AK75" t="s">
        <v>1129</v>
      </c>
      <c r="AL75">
        <v>340218590</v>
      </c>
      <c r="AM75" t="s">
        <v>135</v>
      </c>
    </row>
    <row r="76" spans="1:39" x14ac:dyDescent="0.35">
      <c r="A76">
        <v>3402</v>
      </c>
      <c r="B76" t="s">
        <v>47</v>
      </c>
      <c r="C76">
        <v>2020</v>
      </c>
      <c r="D76" s="1">
        <v>43831</v>
      </c>
      <c r="E76">
        <v>1</v>
      </c>
      <c r="F76">
        <v>200102634</v>
      </c>
      <c r="G76" t="s">
        <v>120</v>
      </c>
      <c r="H76">
        <v>81</v>
      </c>
      <c r="I76">
        <v>71104010</v>
      </c>
      <c r="J76">
        <v>21021040</v>
      </c>
      <c r="K76" t="s">
        <v>121</v>
      </c>
      <c r="L76">
        <v>92.61</v>
      </c>
      <c r="M76" t="s">
        <v>31</v>
      </c>
      <c r="N76">
        <v>92.61</v>
      </c>
      <c r="O76" t="s">
        <v>31</v>
      </c>
      <c r="R76" t="s">
        <v>272</v>
      </c>
      <c r="S76" t="s">
        <v>1131</v>
      </c>
      <c r="T76">
        <v>107211</v>
      </c>
      <c r="U76" t="s">
        <v>123</v>
      </c>
      <c r="X76" t="s">
        <v>47</v>
      </c>
      <c r="Y76" s="8">
        <v>4501229349</v>
      </c>
      <c r="Z76">
        <v>20200130</v>
      </c>
      <c r="AA76">
        <v>92.61</v>
      </c>
      <c r="AB76">
        <v>14.817600000000001</v>
      </c>
      <c r="AC76">
        <v>107.4276</v>
      </c>
      <c r="AD76">
        <v>200124384</v>
      </c>
      <c r="AE76" t="s">
        <v>277</v>
      </c>
      <c r="AF76" s="4">
        <v>107.4276</v>
      </c>
      <c r="AG76" t="s">
        <v>51</v>
      </c>
      <c r="AH76" t="s">
        <v>1123</v>
      </c>
      <c r="AI76">
        <v>200127161</v>
      </c>
      <c r="AJ76" t="s">
        <v>1148</v>
      </c>
      <c r="AK76" t="s">
        <v>1129</v>
      </c>
      <c r="AL76">
        <v>340218590</v>
      </c>
      <c r="AM76" t="s">
        <v>135</v>
      </c>
    </row>
    <row r="77" spans="1:39" x14ac:dyDescent="0.35">
      <c r="A77">
        <v>3402</v>
      </c>
      <c r="B77" t="s">
        <v>47</v>
      </c>
      <c r="C77">
        <v>2020</v>
      </c>
      <c r="D77" s="1">
        <v>43831</v>
      </c>
      <c r="E77">
        <v>1</v>
      </c>
      <c r="F77">
        <v>200102635</v>
      </c>
      <c r="G77" t="s">
        <v>120</v>
      </c>
      <c r="H77">
        <v>81</v>
      </c>
      <c r="I77">
        <v>71104010</v>
      </c>
      <c r="J77">
        <v>21021040</v>
      </c>
      <c r="K77" t="s">
        <v>121</v>
      </c>
      <c r="L77">
        <v>124.01</v>
      </c>
      <c r="M77" t="s">
        <v>31</v>
      </c>
      <c r="N77">
        <v>124.01</v>
      </c>
      <c r="O77" t="s">
        <v>31</v>
      </c>
      <c r="R77" t="s">
        <v>272</v>
      </c>
      <c r="S77" t="s">
        <v>1131</v>
      </c>
      <c r="T77">
        <v>107211</v>
      </c>
      <c r="U77" t="s">
        <v>123</v>
      </c>
      <c r="X77" t="s">
        <v>47</v>
      </c>
      <c r="Y77" s="8">
        <v>4501229349</v>
      </c>
      <c r="Z77">
        <v>20200130</v>
      </c>
      <c r="AA77">
        <v>124.01</v>
      </c>
      <c r="AB77">
        <v>19.8416</v>
      </c>
      <c r="AC77">
        <v>143.85160000000002</v>
      </c>
      <c r="AD77">
        <v>200124384</v>
      </c>
      <c r="AE77" t="s">
        <v>288</v>
      </c>
      <c r="AF77" s="4">
        <v>143.85160000000002</v>
      </c>
      <c r="AG77" t="s">
        <v>51</v>
      </c>
      <c r="AH77" t="s">
        <v>1123</v>
      </c>
      <c r="AI77">
        <v>200127161</v>
      </c>
      <c r="AJ77" t="s">
        <v>1148</v>
      </c>
      <c r="AK77" t="s">
        <v>1129</v>
      </c>
      <c r="AL77">
        <v>340218590</v>
      </c>
      <c r="AM77" t="s">
        <v>135</v>
      </c>
    </row>
    <row r="78" spans="1:39" x14ac:dyDescent="0.35">
      <c r="A78">
        <v>3402</v>
      </c>
      <c r="B78" t="s">
        <v>47</v>
      </c>
      <c r="C78">
        <v>2020</v>
      </c>
      <c r="D78" s="1">
        <v>43831</v>
      </c>
      <c r="E78">
        <v>1</v>
      </c>
      <c r="F78">
        <v>200102636</v>
      </c>
      <c r="G78" t="s">
        <v>120</v>
      </c>
      <c r="H78">
        <v>81</v>
      </c>
      <c r="I78">
        <v>71104010</v>
      </c>
      <c r="J78">
        <v>21021040</v>
      </c>
      <c r="K78" t="s">
        <v>121</v>
      </c>
      <c r="L78">
        <v>110.07</v>
      </c>
      <c r="M78" t="s">
        <v>31</v>
      </c>
      <c r="N78">
        <v>110.07</v>
      </c>
      <c r="O78" t="s">
        <v>31</v>
      </c>
      <c r="R78" t="s">
        <v>272</v>
      </c>
      <c r="S78" t="s">
        <v>1131</v>
      </c>
      <c r="T78">
        <v>107211</v>
      </c>
      <c r="U78" t="s">
        <v>123</v>
      </c>
      <c r="X78" t="s">
        <v>47</v>
      </c>
      <c r="Y78" s="8">
        <v>4501229349</v>
      </c>
      <c r="Z78">
        <v>20200130</v>
      </c>
      <c r="AA78">
        <v>110.07</v>
      </c>
      <c r="AB78">
        <v>17.6112</v>
      </c>
      <c r="AC78">
        <v>127.68119999999999</v>
      </c>
      <c r="AD78">
        <v>200124384</v>
      </c>
      <c r="AE78" t="s">
        <v>289</v>
      </c>
      <c r="AF78" s="4">
        <v>127.68119999999999</v>
      </c>
      <c r="AG78" t="s">
        <v>51</v>
      </c>
      <c r="AH78" t="s">
        <v>1123</v>
      </c>
      <c r="AI78">
        <v>200127161</v>
      </c>
      <c r="AJ78" t="s">
        <v>1148</v>
      </c>
      <c r="AK78" t="s">
        <v>1129</v>
      </c>
      <c r="AL78">
        <v>340218590</v>
      </c>
      <c r="AM78" t="s">
        <v>135</v>
      </c>
    </row>
    <row r="79" spans="1:39" x14ac:dyDescent="0.35">
      <c r="A79">
        <v>3402</v>
      </c>
      <c r="B79" t="s">
        <v>47</v>
      </c>
      <c r="C79">
        <v>2020</v>
      </c>
      <c r="D79" s="1">
        <v>43831</v>
      </c>
      <c r="E79">
        <v>1</v>
      </c>
      <c r="F79">
        <v>200102637</v>
      </c>
      <c r="G79" t="s">
        <v>120</v>
      </c>
      <c r="H79">
        <v>81</v>
      </c>
      <c r="I79">
        <v>71104010</v>
      </c>
      <c r="J79">
        <v>21021040</v>
      </c>
      <c r="K79" t="s">
        <v>121</v>
      </c>
      <c r="L79">
        <v>128.66</v>
      </c>
      <c r="M79" t="s">
        <v>31</v>
      </c>
      <c r="N79">
        <v>128.66</v>
      </c>
      <c r="O79" t="s">
        <v>31</v>
      </c>
      <c r="R79" t="s">
        <v>272</v>
      </c>
      <c r="S79" t="s">
        <v>1131</v>
      </c>
      <c r="T79">
        <v>107211</v>
      </c>
      <c r="U79" t="s">
        <v>123</v>
      </c>
      <c r="X79" t="s">
        <v>47</v>
      </c>
      <c r="Y79" s="8">
        <v>4501229349</v>
      </c>
      <c r="Z79">
        <v>20200130</v>
      </c>
      <c r="AA79">
        <v>128.66</v>
      </c>
      <c r="AB79">
        <v>20.585599999999999</v>
      </c>
      <c r="AC79">
        <v>149.2456</v>
      </c>
      <c r="AD79">
        <v>200124384</v>
      </c>
      <c r="AE79" t="s">
        <v>290</v>
      </c>
      <c r="AF79" s="4">
        <v>149.2456</v>
      </c>
      <c r="AG79" t="s">
        <v>51</v>
      </c>
      <c r="AH79" t="s">
        <v>1123</v>
      </c>
      <c r="AI79">
        <v>200127161</v>
      </c>
      <c r="AJ79" t="s">
        <v>1148</v>
      </c>
      <c r="AK79" t="s">
        <v>1129</v>
      </c>
      <c r="AL79">
        <v>340218590</v>
      </c>
      <c r="AM79" t="s">
        <v>135</v>
      </c>
    </row>
    <row r="80" spans="1:39" x14ac:dyDescent="0.35">
      <c r="A80">
        <v>3402</v>
      </c>
      <c r="B80" t="s">
        <v>47</v>
      </c>
      <c r="C80">
        <v>2020</v>
      </c>
      <c r="D80" s="1">
        <v>43831</v>
      </c>
      <c r="E80">
        <v>1</v>
      </c>
      <c r="F80">
        <v>200102638</v>
      </c>
      <c r="G80" t="s">
        <v>120</v>
      </c>
      <c r="H80">
        <v>81</v>
      </c>
      <c r="I80">
        <v>71104010</v>
      </c>
      <c r="J80">
        <v>21021040</v>
      </c>
      <c r="K80" t="s">
        <v>121</v>
      </c>
      <c r="L80">
        <v>125.42</v>
      </c>
      <c r="M80" t="s">
        <v>31</v>
      </c>
      <c r="N80">
        <v>125.42</v>
      </c>
      <c r="O80" t="s">
        <v>31</v>
      </c>
      <c r="R80" t="s">
        <v>272</v>
      </c>
      <c r="S80" t="s">
        <v>1131</v>
      </c>
      <c r="T80">
        <v>107211</v>
      </c>
      <c r="U80" t="s">
        <v>123</v>
      </c>
      <c r="X80" t="s">
        <v>47</v>
      </c>
      <c r="Y80" s="8">
        <v>4501229349</v>
      </c>
      <c r="Z80">
        <v>20200130</v>
      </c>
      <c r="AA80">
        <v>125.42</v>
      </c>
      <c r="AB80">
        <v>20.0672</v>
      </c>
      <c r="AC80">
        <v>145.4872</v>
      </c>
      <c r="AD80">
        <v>200124384</v>
      </c>
      <c r="AE80" t="s">
        <v>291</v>
      </c>
      <c r="AF80" s="4">
        <v>145.4872</v>
      </c>
      <c r="AG80" t="s">
        <v>51</v>
      </c>
      <c r="AH80" t="s">
        <v>1123</v>
      </c>
      <c r="AI80">
        <v>200127161</v>
      </c>
      <c r="AJ80" t="s">
        <v>1148</v>
      </c>
      <c r="AK80" t="s">
        <v>1129</v>
      </c>
      <c r="AL80">
        <v>340218590</v>
      </c>
      <c r="AM80" t="s">
        <v>135</v>
      </c>
    </row>
    <row r="81" spans="1:39" x14ac:dyDescent="0.35">
      <c r="A81">
        <v>3402</v>
      </c>
      <c r="B81" t="s">
        <v>47</v>
      </c>
      <c r="C81">
        <v>2020</v>
      </c>
      <c r="D81" s="1">
        <v>43831</v>
      </c>
      <c r="E81">
        <v>1</v>
      </c>
      <c r="F81">
        <v>200102639</v>
      </c>
      <c r="G81" t="s">
        <v>120</v>
      </c>
      <c r="H81">
        <v>81</v>
      </c>
      <c r="I81">
        <v>71104010</v>
      </c>
      <c r="J81">
        <v>21021040</v>
      </c>
      <c r="K81" t="s">
        <v>121</v>
      </c>
      <c r="L81">
        <v>146.44999999999999</v>
      </c>
      <c r="M81" t="s">
        <v>31</v>
      </c>
      <c r="N81">
        <v>146.44999999999999</v>
      </c>
      <c r="O81" t="s">
        <v>31</v>
      </c>
      <c r="R81" t="s">
        <v>272</v>
      </c>
      <c r="S81" t="s">
        <v>1131</v>
      </c>
      <c r="T81">
        <v>107211</v>
      </c>
      <c r="U81" t="s">
        <v>123</v>
      </c>
      <c r="X81" t="s">
        <v>47</v>
      </c>
      <c r="Y81" s="8">
        <v>4501229349</v>
      </c>
      <c r="Z81">
        <v>20200130</v>
      </c>
      <c r="AA81">
        <v>146.44999999999999</v>
      </c>
      <c r="AB81">
        <v>23.431999999999999</v>
      </c>
      <c r="AC81">
        <v>169.88199999999998</v>
      </c>
      <c r="AD81">
        <v>200124384</v>
      </c>
      <c r="AE81" t="s">
        <v>292</v>
      </c>
      <c r="AF81" s="4">
        <v>169.88199999999998</v>
      </c>
      <c r="AG81" t="s">
        <v>51</v>
      </c>
      <c r="AH81" t="s">
        <v>1123</v>
      </c>
      <c r="AI81">
        <v>200127161</v>
      </c>
      <c r="AJ81" t="s">
        <v>1148</v>
      </c>
      <c r="AK81" t="s">
        <v>1129</v>
      </c>
      <c r="AL81">
        <v>340218590</v>
      </c>
      <c r="AM81" t="s">
        <v>135</v>
      </c>
    </row>
    <row r="82" spans="1:39" x14ac:dyDescent="0.35">
      <c r="A82">
        <v>3402</v>
      </c>
      <c r="B82" t="s">
        <v>47</v>
      </c>
      <c r="C82">
        <v>2020</v>
      </c>
      <c r="D82" s="1">
        <v>43831</v>
      </c>
      <c r="E82">
        <v>1</v>
      </c>
      <c r="F82">
        <v>200102640</v>
      </c>
      <c r="G82" t="s">
        <v>120</v>
      </c>
      <c r="H82">
        <v>81</v>
      </c>
      <c r="I82">
        <v>71104010</v>
      </c>
      <c r="J82">
        <v>21021040</v>
      </c>
      <c r="K82" t="s">
        <v>121</v>
      </c>
      <c r="L82">
        <v>133.81</v>
      </c>
      <c r="M82" t="s">
        <v>31</v>
      </c>
      <c r="N82">
        <v>133.81</v>
      </c>
      <c r="O82" t="s">
        <v>31</v>
      </c>
      <c r="R82" t="s">
        <v>272</v>
      </c>
      <c r="S82" t="s">
        <v>1131</v>
      </c>
      <c r="T82">
        <v>107211</v>
      </c>
      <c r="U82" t="s">
        <v>123</v>
      </c>
      <c r="X82" t="s">
        <v>47</v>
      </c>
      <c r="Y82" s="8">
        <v>4501229349</v>
      </c>
      <c r="Z82">
        <v>20200130</v>
      </c>
      <c r="AA82">
        <v>133.81</v>
      </c>
      <c r="AB82">
        <v>21.409600000000001</v>
      </c>
      <c r="AC82">
        <v>155.21960000000001</v>
      </c>
      <c r="AD82">
        <v>200124384</v>
      </c>
      <c r="AE82" t="s">
        <v>293</v>
      </c>
      <c r="AF82" s="4">
        <v>155.21960000000001</v>
      </c>
      <c r="AG82" t="s">
        <v>51</v>
      </c>
      <c r="AH82" t="s">
        <v>1123</v>
      </c>
      <c r="AI82">
        <v>200127161</v>
      </c>
      <c r="AJ82" t="s">
        <v>1148</v>
      </c>
      <c r="AK82" t="s">
        <v>1129</v>
      </c>
      <c r="AL82">
        <v>340218590</v>
      </c>
      <c r="AM82" t="s">
        <v>135</v>
      </c>
    </row>
    <row r="83" spans="1:39" x14ac:dyDescent="0.35">
      <c r="A83">
        <v>3402</v>
      </c>
      <c r="B83" t="s">
        <v>47</v>
      </c>
      <c r="C83">
        <v>2020</v>
      </c>
      <c r="D83" s="1">
        <v>43831</v>
      </c>
      <c r="E83">
        <v>1</v>
      </c>
      <c r="F83">
        <v>200102641</v>
      </c>
      <c r="G83" t="s">
        <v>120</v>
      </c>
      <c r="H83">
        <v>81</v>
      </c>
      <c r="I83">
        <v>71104010</v>
      </c>
      <c r="J83">
        <v>21021040</v>
      </c>
      <c r="K83" t="s">
        <v>121</v>
      </c>
      <c r="L83">
        <v>106.13</v>
      </c>
      <c r="M83" t="s">
        <v>31</v>
      </c>
      <c r="N83">
        <v>106.13</v>
      </c>
      <c r="O83" t="s">
        <v>31</v>
      </c>
      <c r="R83" t="s">
        <v>272</v>
      </c>
      <c r="S83" t="s">
        <v>1131</v>
      </c>
      <c r="T83">
        <v>107211</v>
      </c>
      <c r="U83" t="s">
        <v>123</v>
      </c>
      <c r="X83" t="s">
        <v>47</v>
      </c>
      <c r="Y83" s="8">
        <v>4501229349</v>
      </c>
      <c r="Z83">
        <v>20200130</v>
      </c>
      <c r="AA83">
        <v>106.13</v>
      </c>
      <c r="AB83">
        <v>16.980799999999999</v>
      </c>
      <c r="AC83">
        <v>123.1108</v>
      </c>
      <c r="AD83">
        <v>200124384</v>
      </c>
      <c r="AE83" t="s">
        <v>294</v>
      </c>
      <c r="AF83" s="4">
        <v>123.1108</v>
      </c>
      <c r="AG83" t="s">
        <v>51</v>
      </c>
      <c r="AH83" t="s">
        <v>1123</v>
      </c>
      <c r="AI83">
        <v>200127161</v>
      </c>
      <c r="AJ83" t="s">
        <v>1148</v>
      </c>
      <c r="AK83" t="s">
        <v>1129</v>
      </c>
      <c r="AL83">
        <v>340218590</v>
      </c>
      <c r="AM83" t="s">
        <v>135</v>
      </c>
    </row>
    <row r="84" spans="1:39" x14ac:dyDescent="0.35">
      <c r="A84">
        <v>3402</v>
      </c>
      <c r="B84" t="s">
        <v>47</v>
      </c>
      <c r="C84">
        <v>2020</v>
      </c>
      <c r="D84" s="1">
        <v>43831</v>
      </c>
      <c r="E84">
        <v>1</v>
      </c>
      <c r="F84">
        <v>200102642</v>
      </c>
      <c r="G84" t="s">
        <v>120</v>
      </c>
      <c r="H84">
        <v>81</v>
      </c>
      <c r="I84">
        <v>71104010</v>
      </c>
      <c r="J84">
        <v>21021040</v>
      </c>
      <c r="K84" t="s">
        <v>121</v>
      </c>
      <c r="L84">
        <v>152.13</v>
      </c>
      <c r="M84" t="s">
        <v>31</v>
      </c>
      <c r="N84">
        <v>152.13</v>
      </c>
      <c r="O84" t="s">
        <v>31</v>
      </c>
      <c r="R84" t="s">
        <v>272</v>
      </c>
      <c r="S84" t="s">
        <v>1131</v>
      </c>
      <c r="T84">
        <v>107211</v>
      </c>
      <c r="U84" t="s">
        <v>123</v>
      </c>
      <c r="X84" t="s">
        <v>47</v>
      </c>
      <c r="Y84" s="8">
        <v>4501229349</v>
      </c>
      <c r="Z84">
        <v>20200130</v>
      </c>
      <c r="AA84">
        <v>152.13</v>
      </c>
      <c r="AB84">
        <v>24.340800000000002</v>
      </c>
      <c r="AC84">
        <v>176.4708</v>
      </c>
      <c r="AD84">
        <v>200124384</v>
      </c>
      <c r="AE84" t="s">
        <v>295</v>
      </c>
      <c r="AF84" s="4">
        <v>176.4708</v>
      </c>
      <c r="AG84" t="s">
        <v>51</v>
      </c>
      <c r="AH84" t="s">
        <v>1123</v>
      </c>
      <c r="AI84">
        <v>200127161</v>
      </c>
      <c r="AJ84" t="s">
        <v>1148</v>
      </c>
      <c r="AK84" t="s">
        <v>1129</v>
      </c>
      <c r="AL84">
        <v>340218590</v>
      </c>
      <c r="AM84" t="s">
        <v>135</v>
      </c>
    </row>
    <row r="85" spans="1:39" x14ac:dyDescent="0.35">
      <c r="A85">
        <v>3402</v>
      </c>
      <c r="B85" t="s">
        <v>47</v>
      </c>
      <c r="C85">
        <v>2020</v>
      </c>
      <c r="D85" s="1">
        <v>43831</v>
      </c>
      <c r="E85">
        <v>1</v>
      </c>
      <c r="F85">
        <v>200102643</v>
      </c>
      <c r="G85" t="s">
        <v>120</v>
      </c>
      <c r="H85">
        <v>81</v>
      </c>
      <c r="I85">
        <v>71104010</v>
      </c>
      <c r="J85">
        <v>21021040</v>
      </c>
      <c r="K85" t="s">
        <v>121</v>
      </c>
      <c r="L85">
        <v>139.52000000000001</v>
      </c>
      <c r="M85" t="s">
        <v>31</v>
      </c>
      <c r="N85">
        <v>139.52000000000001</v>
      </c>
      <c r="O85" t="s">
        <v>31</v>
      </c>
      <c r="R85" t="s">
        <v>272</v>
      </c>
      <c r="S85" t="s">
        <v>1131</v>
      </c>
      <c r="T85">
        <v>107211</v>
      </c>
      <c r="U85" t="s">
        <v>123</v>
      </c>
      <c r="X85" t="s">
        <v>47</v>
      </c>
      <c r="Y85" s="8">
        <v>4501229349</v>
      </c>
      <c r="Z85">
        <v>20200130</v>
      </c>
      <c r="AA85">
        <v>139.52000000000001</v>
      </c>
      <c r="AB85">
        <v>22.323200000000003</v>
      </c>
      <c r="AC85">
        <v>161.84320000000002</v>
      </c>
      <c r="AD85">
        <v>200124384</v>
      </c>
      <c r="AE85" t="s">
        <v>296</v>
      </c>
      <c r="AF85" s="4">
        <v>161.84320000000002</v>
      </c>
      <c r="AG85" t="s">
        <v>51</v>
      </c>
      <c r="AH85" t="s">
        <v>1123</v>
      </c>
      <c r="AI85">
        <v>200127161</v>
      </c>
      <c r="AJ85" t="s">
        <v>1148</v>
      </c>
      <c r="AK85" t="s">
        <v>1129</v>
      </c>
      <c r="AL85">
        <v>340218590</v>
      </c>
      <c r="AM85" t="s">
        <v>135</v>
      </c>
    </row>
    <row r="86" spans="1:39" x14ac:dyDescent="0.35">
      <c r="A86">
        <v>3402</v>
      </c>
      <c r="B86" t="s">
        <v>47</v>
      </c>
      <c r="C86">
        <v>2020</v>
      </c>
      <c r="D86" s="1">
        <v>43831</v>
      </c>
      <c r="E86">
        <v>1</v>
      </c>
      <c r="F86">
        <v>200102645</v>
      </c>
      <c r="G86" t="s">
        <v>120</v>
      </c>
      <c r="H86">
        <v>81</v>
      </c>
      <c r="I86">
        <v>71104010</v>
      </c>
      <c r="J86">
        <v>21021040</v>
      </c>
      <c r="K86" t="s">
        <v>121</v>
      </c>
      <c r="L86">
        <v>139.66</v>
      </c>
      <c r="M86" t="s">
        <v>31</v>
      </c>
      <c r="N86">
        <v>139.66</v>
      </c>
      <c r="O86" t="s">
        <v>31</v>
      </c>
      <c r="R86" t="s">
        <v>272</v>
      </c>
      <c r="S86" t="s">
        <v>1131</v>
      </c>
      <c r="T86">
        <v>107211</v>
      </c>
      <c r="U86" t="s">
        <v>123</v>
      </c>
      <c r="X86" t="s">
        <v>47</v>
      </c>
      <c r="Y86" s="8">
        <v>4501229349</v>
      </c>
      <c r="Z86">
        <v>20200130</v>
      </c>
      <c r="AA86">
        <v>139.66</v>
      </c>
      <c r="AB86">
        <v>22.345600000000001</v>
      </c>
      <c r="AC86">
        <v>162.00559999999999</v>
      </c>
      <c r="AD86">
        <v>200124384</v>
      </c>
      <c r="AE86" t="s">
        <v>297</v>
      </c>
      <c r="AF86" s="4">
        <v>162.00559999999999</v>
      </c>
      <c r="AG86" t="s">
        <v>51</v>
      </c>
      <c r="AH86" t="s">
        <v>1123</v>
      </c>
      <c r="AI86">
        <v>200127161</v>
      </c>
      <c r="AJ86" t="s">
        <v>1148</v>
      </c>
      <c r="AK86" t="s">
        <v>1129</v>
      </c>
      <c r="AL86">
        <v>340218590</v>
      </c>
      <c r="AM86" t="s">
        <v>135</v>
      </c>
    </row>
    <row r="87" spans="1:39" x14ac:dyDescent="0.35">
      <c r="A87">
        <v>3402</v>
      </c>
      <c r="B87" t="s">
        <v>47</v>
      </c>
      <c r="C87">
        <v>2020</v>
      </c>
      <c r="D87" s="1">
        <v>43831</v>
      </c>
      <c r="E87">
        <v>1</v>
      </c>
      <c r="F87">
        <v>200102646</v>
      </c>
      <c r="G87" t="s">
        <v>120</v>
      </c>
      <c r="H87">
        <v>81</v>
      </c>
      <c r="I87">
        <v>71104010</v>
      </c>
      <c r="J87">
        <v>21021040</v>
      </c>
      <c r="K87" t="s">
        <v>121</v>
      </c>
      <c r="L87">
        <v>131.54</v>
      </c>
      <c r="M87" t="s">
        <v>31</v>
      </c>
      <c r="N87">
        <v>131.54</v>
      </c>
      <c r="O87" t="s">
        <v>31</v>
      </c>
      <c r="R87" t="s">
        <v>272</v>
      </c>
      <c r="S87" t="s">
        <v>1131</v>
      </c>
      <c r="T87">
        <v>107211</v>
      </c>
      <c r="U87" t="s">
        <v>123</v>
      </c>
      <c r="X87" t="s">
        <v>47</v>
      </c>
      <c r="Y87" s="8">
        <v>4501229349</v>
      </c>
      <c r="Z87">
        <v>20200130</v>
      </c>
      <c r="AA87">
        <v>131.54</v>
      </c>
      <c r="AB87">
        <v>21.046399999999998</v>
      </c>
      <c r="AC87">
        <v>152.5864</v>
      </c>
      <c r="AD87">
        <v>200124384</v>
      </c>
      <c r="AE87" t="s">
        <v>278</v>
      </c>
      <c r="AF87" s="4">
        <v>152.5864</v>
      </c>
      <c r="AG87" t="s">
        <v>51</v>
      </c>
      <c r="AH87" t="s">
        <v>1123</v>
      </c>
      <c r="AI87">
        <v>200127161</v>
      </c>
      <c r="AJ87" t="s">
        <v>1148</v>
      </c>
      <c r="AK87" t="s">
        <v>1129</v>
      </c>
      <c r="AL87">
        <v>340218590</v>
      </c>
      <c r="AM87" t="s">
        <v>135</v>
      </c>
    </row>
    <row r="88" spans="1:39" x14ac:dyDescent="0.35">
      <c r="A88">
        <v>3402</v>
      </c>
      <c r="B88" t="s">
        <v>47</v>
      </c>
      <c r="C88">
        <v>2020</v>
      </c>
      <c r="D88" s="1">
        <v>43831</v>
      </c>
      <c r="E88">
        <v>1</v>
      </c>
      <c r="F88">
        <v>200102648</v>
      </c>
      <c r="G88" t="s">
        <v>120</v>
      </c>
      <c r="H88">
        <v>81</v>
      </c>
      <c r="I88">
        <v>71104010</v>
      </c>
      <c r="J88">
        <v>21021040</v>
      </c>
      <c r="K88" t="s">
        <v>121</v>
      </c>
      <c r="L88">
        <v>135.1</v>
      </c>
      <c r="M88" t="s">
        <v>31</v>
      </c>
      <c r="N88">
        <v>135.1</v>
      </c>
      <c r="O88" t="s">
        <v>31</v>
      </c>
      <c r="R88" t="s">
        <v>272</v>
      </c>
      <c r="S88" t="s">
        <v>1131</v>
      </c>
      <c r="T88">
        <v>107211</v>
      </c>
      <c r="U88" t="s">
        <v>123</v>
      </c>
      <c r="X88" t="s">
        <v>47</v>
      </c>
      <c r="Y88" s="8">
        <v>4501229349</v>
      </c>
      <c r="Z88">
        <v>20200130</v>
      </c>
      <c r="AA88">
        <v>135.1</v>
      </c>
      <c r="AB88">
        <v>21.616</v>
      </c>
      <c r="AC88">
        <v>156.71600000000001</v>
      </c>
      <c r="AD88">
        <v>200124384</v>
      </c>
      <c r="AE88" t="s">
        <v>279</v>
      </c>
      <c r="AF88" s="4">
        <v>156.71600000000001</v>
      </c>
      <c r="AG88" t="s">
        <v>51</v>
      </c>
      <c r="AH88" t="s">
        <v>1123</v>
      </c>
      <c r="AI88">
        <v>200127161</v>
      </c>
      <c r="AJ88" t="s">
        <v>1148</v>
      </c>
      <c r="AK88" t="s">
        <v>1129</v>
      </c>
      <c r="AL88">
        <v>340218590</v>
      </c>
      <c r="AM88" t="s">
        <v>135</v>
      </c>
    </row>
    <row r="89" spans="1:39" x14ac:dyDescent="0.35">
      <c r="A89">
        <v>3402</v>
      </c>
      <c r="B89" t="s">
        <v>47</v>
      </c>
      <c r="C89">
        <v>2020</v>
      </c>
      <c r="D89" s="1">
        <v>43831</v>
      </c>
      <c r="E89">
        <v>1</v>
      </c>
      <c r="F89">
        <v>200102649</v>
      </c>
      <c r="G89" t="s">
        <v>120</v>
      </c>
      <c r="H89">
        <v>81</v>
      </c>
      <c r="I89">
        <v>71104010</v>
      </c>
      <c r="J89">
        <v>21021040</v>
      </c>
      <c r="K89" t="s">
        <v>121</v>
      </c>
      <c r="L89">
        <v>132.84</v>
      </c>
      <c r="M89" t="s">
        <v>31</v>
      </c>
      <c r="N89">
        <v>132.84</v>
      </c>
      <c r="O89" t="s">
        <v>31</v>
      </c>
      <c r="R89" t="s">
        <v>272</v>
      </c>
      <c r="S89" t="s">
        <v>1131</v>
      </c>
      <c r="T89">
        <v>107211</v>
      </c>
      <c r="U89" t="s">
        <v>123</v>
      </c>
      <c r="X89" t="s">
        <v>47</v>
      </c>
      <c r="Y89" s="8">
        <v>4501229349</v>
      </c>
      <c r="Z89">
        <v>20200130</v>
      </c>
      <c r="AA89">
        <v>132.84</v>
      </c>
      <c r="AB89">
        <v>21.2544</v>
      </c>
      <c r="AC89">
        <v>154.09440000000001</v>
      </c>
      <c r="AD89">
        <v>200124384</v>
      </c>
      <c r="AE89" t="s">
        <v>280</v>
      </c>
      <c r="AF89" s="4">
        <v>154.09440000000001</v>
      </c>
      <c r="AG89" t="s">
        <v>51</v>
      </c>
      <c r="AH89" t="s">
        <v>1123</v>
      </c>
      <c r="AI89">
        <v>200127161</v>
      </c>
      <c r="AJ89" t="s">
        <v>1148</v>
      </c>
      <c r="AK89" t="s">
        <v>1129</v>
      </c>
      <c r="AL89">
        <v>340218590</v>
      </c>
      <c r="AM89" t="s">
        <v>135</v>
      </c>
    </row>
    <row r="90" spans="1:39" x14ac:dyDescent="0.35">
      <c r="A90">
        <v>3402</v>
      </c>
      <c r="B90" t="s">
        <v>47</v>
      </c>
      <c r="C90">
        <v>2020</v>
      </c>
      <c r="D90" s="1">
        <v>43831</v>
      </c>
      <c r="E90">
        <v>1</v>
      </c>
      <c r="F90">
        <v>200102650</v>
      </c>
      <c r="G90" t="s">
        <v>120</v>
      </c>
      <c r="H90">
        <v>81</v>
      </c>
      <c r="I90">
        <v>71104010</v>
      </c>
      <c r="J90">
        <v>21021040</v>
      </c>
      <c r="K90" t="s">
        <v>121</v>
      </c>
      <c r="L90">
        <v>99.77</v>
      </c>
      <c r="M90" t="s">
        <v>31</v>
      </c>
      <c r="N90">
        <v>99.77</v>
      </c>
      <c r="O90" t="s">
        <v>31</v>
      </c>
      <c r="R90" t="s">
        <v>272</v>
      </c>
      <c r="S90" t="s">
        <v>1131</v>
      </c>
      <c r="T90">
        <v>107211</v>
      </c>
      <c r="U90" t="s">
        <v>123</v>
      </c>
      <c r="X90" t="s">
        <v>47</v>
      </c>
      <c r="Y90" s="8">
        <v>4501229349</v>
      </c>
      <c r="Z90">
        <v>20200130</v>
      </c>
      <c r="AA90">
        <v>99.77</v>
      </c>
      <c r="AB90">
        <v>15.963200000000001</v>
      </c>
      <c r="AC90">
        <v>115.7332</v>
      </c>
      <c r="AD90">
        <v>200124384</v>
      </c>
      <c r="AE90" t="s">
        <v>298</v>
      </c>
      <c r="AF90" s="4">
        <v>115.7332</v>
      </c>
      <c r="AG90" t="s">
        <v>51</v>
      </c>
      <c r="AH90" t="s">
        <v>1123</v>
      </c>
      <c r="AI90">
        <v>200127161</v>
      </c>
      <c r="AJ90" t="s">
        <v>1148</v>
      </c>
      <c r="AK90" t="s">
        <v>1129</v>
      </c>
      <c r="AL90">
        <v>340218590</v>
      </c>
      <c r="AM90" t="s">
        <v>135</v>
      </c>
    </row>
    <row r="91" spans="1:39" x14ac:dyDescent="0.35">
      <c r="A91">
        <v>3402</v>
      </c>
      <c r="B91" t="s">
        <v>47</v>
      </c>
      <c r="C91">
        <v>2020</v>
      </c>
      <c r="D91" s="1">
        <v>43831</v>
      </c>
      <c r="E91">
        <v>1</v>
      </c>
      <c r="F91">
        <v>200102651</v>
      </c>
      <c r="G91" t="s">
        <v>120</v>
      </c>
      <c r="H91">
        <v>81</v>
      </c>
      <c r="I91">
        <v>71104010</v>
      </c>
      <c r="J91">
        <v>21021040</v>
      </c>
      <c r="K91" t="s">
        <v>121</v>
      </c>
      <c r="L91">
        <v>132.56</v>
      </c>
      <c r="M91" t="s">
        <v>31</v>
      </c>
      <c r="N91">
        <v>132.56</v>
      </c>
      <c r="O91" t="s">
        <v>31</v>
      </c>
      <c r="R91" t="s">
        <v>272</v>
      </c>
      <c r="S91" t="s">
        <v>1131</v>
      </c>
      <c r="T91">
        <v>107211</v>
      </c>
      <c r="U91" t="s">
        <v>123</v>
      </c>
      <c r="X91" t="s">
        <v>47</v>
      </c>
      <c r="Y91" s="8">
        <v>4501229349</v>
      </c>
      <c r="Z91">
        <v>20200130</v>
      </c>
      <c r="AA91">
        <v>132.56</v>
      </c>
      <c r="AB91">
        <v>21.209600000000002</v>
      </c>
      <c r="AC91">
        <v>153.7696</v>
      </c>
      <c r="AD91">
        <v>200124384</v>
      </c>
      <c r="AE91" t="s">
        <v>281</v>
      </c>
      <c r="AF91" s="4">
        <v>153.7696</v>
      </c>
      <c r="AG91" t="s">
        <v>51</v>
      </c>
      <c r="AH91" t="s">
        <v>1123</v>
      </c>
      <c r="AI91">
        <v>200127161</v>
      </c>
      <c r="AJ91" t="s">
        <v>1148</v>
      </c>
      <c r="AK91" t="s">
        <v>1129</v>
      </c>
      <c r="AL91">
        <v>340218590</v>
      </c>
      <c r="AM91" t="s">
        <v>135</v>
      </c>
    </row>
    <row r="92" spans="1:39" x14ac:dyDescent="0.35">
      <c r="A92">
        <v>3402</v>
      </c>
      <c r="B92" t="s">
        <v>47</v>
      </c>
      <c r="C92">
        <v>2020</v>
      </c>
      <c r="D92" s="1">
        <v>43831</v>
      </c>
      <c r="E92">
        <v>1</v>
      </c>
      <c r="F92">
        <v>200102652</v>
      </c>
      <c r="G92" t="s">
        <v>120</v>
      </c>
      <c r="H92">
        <v>81</v>
      </c>
      <c r="I92">
        <v>71104010</v>
      </c>
      <c r="J92">
        <v>21021040</v>
      </c>
      <c r="K92" t="s">
        <v>121</v>
      </c>
      <c r="L92">
        <v>114.32</v>
      </c>
      <c r="M92" t="s">
        <v>31</v>
      </c>
      <c r="N92">
        <v>114.32</v>
      </c>
      <c r="O92" t="s">
        <v>31</v>
      </c>
      <c r="R92" t="s">
        <v>272</v>
      </c>
      <c r="S92" t="s">
        <v>1131</v>
      </c>
      <c r="T92">
        <v>107211</v>
      </c>
      <c r="U92" t="s">
        <v>123</v>
      </c>
      <c r="X92" t="s">
        <v>47</v>
      </c>
      <c r="Y92" s="8">
        <v>4501229349</v>
      </c>
      <c r="Z92">
        <v>20200130</v>
      </c>
      <c r="AA92">
        <v>114.32</v>
      </c>
      <c r="AB92">
        <v>18.2912</v>
      </c>
      <c r="AC92">
        <v>132.6112</v>
      </c>
      <c r="AD92">
        <v>200124384</v>
      </c>
      <c r="AE92" t="s">
        <v>299</v>
      </c>
      <c r="AF92" s="4">
        <v>132.6112</v>
      </c>
      <c r="AG92" t="s">
        <v>51</v>
      </c>
      <c r="AH92" t="s">
        <v>1123</v>
      </c>
      <c r="AI92">
        <v>200127161</v>
      </c>
      <c r="AJ92" t="s">
        <v>1148</v>
      </c>
      <c r="AK92" t="s">
        <v>1129</v>
      </c>
      <c r="AL92">
        <v>340218590</v>
      </c>
      <c r="AM92" t="s">
        <v>135</v>
      </c>
    </row>
    <row r="93" spans="1:39" x14ac:dyDescent="0.35">
      <c r="A93">
        <v>3402</v>
      </c>
      <c r="B93" t="s">
        <v>47</v>
      </c>
      <c r="C93">
        <v>2020</v>
      </c>
      <c r="D93" s="1">
        <v>43831</v>
      </c>
      <c r="E93">
        <v>1</v>
      </c>
      <c r="F93">
        <v>200102653</v>
      </c>
      <c r="G93" t="s">
        <v>120</v>
      </c>
      <c r="H93">
        <v>81</v>
      </c>
      <c r="I93">
        <v>71104010</v>
      </c>
      <c r="J93">
        <v>21021040</v>
      </c>
      <c r="K93" t="s">
        <v>121</v>
      </c>
      <c r="L93">
        <v>103.05</v>
      </c>
      <c r="M93" t="s">
        <v>31</v>
      </c>
      <c r="N93">
        <v>103.05</v>
      </c>
      <c r="O93" t="s">
        <v>31</v>
      </c>
      <c r="R93" t="s">
        <v>272</v>
      </c>
      <c r="S93" t="s">
        <v>1131</v>
      </c>
      <c r="T93">
        <v>107211</v>
      </c>
      <c r="U93" t="s">
        <v>123</v>
      </c>
      <c r="X93" t="s">
        <v>47</v>
      </c>
      <c r="Y93" s="8">
        <v>4501229349</v>
      </c>
      <c r="Z93">
        <v>20200130</v>
      </c>
      <c r="AA93">
        <v>103.05</v>
      </c>
      <c r="AB93">
        <v>16.488</v>
      </c>
      <c r="AC93">
        <v>119.538</v>
      </c>
      <c r="AD93">
        <v>200124384</v>
      </c>
      <c r="AE93" t="s">
        <v>300</v>
      </c>
      <c r="AF93" s="4">
        <v>119.538</v>
      </c>
      <c r="AG93" t="s">
        <v>51</v>
      </c>
      <c r="AH93" t="s">
        <v>1123</v>
      </c>
      <c r="AI93">
        <v>200127161</v>
      </c>
      <c r="AJ93" t="s">
        <v>1148</v>
      </c>
      <c r="AK93" t="s">
        <v>1129</v>
      </c>
      <c r="AL93">
        <v>340218590</v>
      </c>
      <c r="AM93" t="s">
        <v>135</v>
      </c>
    </row>
    <row r="94" spans="1:39" x14ac:dyDescent="0.35">
      <c r="A94">
        <v>3402</v>
      </c>
      <c r="B94" t="s">
        <v>47</v>
      </c>
      <c r="C94">
        <v>2020</v>
      </c>
      <c r="D94" s="1">
        <v>43831</v>
      </c>
      <c r="E94">
        <v>1</v>
      </c>
      <c r="F94">
        <v>200102654</v>
      </c>
      <c r="G94" t="s">
        <v>120</v>
      </c>
      <c r="H94">
        <v>81</v>
      </c>
      <c r="I94">
        <v>71104010</v>
      </c>
      <c r="J94">
        <v>21021040</v>
      </c>
      <c r="K94" t="s">
        <v>121</v>
      </c>
      <c r="L94">
        <v>106.36</v>
      </c>
      <c r="M94" t="s">
        <v>31</v>
      </c>
      <c r="N94">
        <v>106.36</v>
      </c>
      <c r="O94" t="s">
        <v>31</v>
      </c>
      <c r="R94" t="s">
        <v>272</v>
      </c>
      <c r="S94" t="s">
        <v>1131</v>
      </c>
      <c r="T94">
        <v>107211</v>
      </c>
      <c r="U94" t="s">
        <v>123</v>
      </c>
      <c r="X94" t="s">
        <v>47</v>
      </c>
      <c r="Y94" s="8">
        <v>4501229349</v>
      </c>
      <c r="Z94">
        <v>20200130</v>
      </c>
      <c r="AA94">
        <v>106.36</v>
      </c>
      <c r="AB94">
        <v>17.017600000000002</v>
      </c>
      <c r="AC94">
        <v>123.3776</v>
      </c>
      <c r="AD94">
        <v>200124384</v>
      </c>
      <c r="AE94" t="s">
        <v>301</v>
      </c>
      <c r="AF94" s="4">
        <v>123.3776</v>
      </c>
      <c r="AG94" t="s">
        <v>51</v>
      </c>
      <c r="AH94" t="s">
        <v>1123</v>
      </c>
      <c r="AI94">
        <v>200127161</v>
      </c>
      <c r="AJ94" t="s">
        <v>1148</v>
      </c>
      <c r="AK94" t="s">
        <v>1129</v>
      </c>
      <c r="AL94">
        <v>340218590</v>
      </c>
      <c r="AM94" t="s">
        <v>135</v>
      </c>
    </row>
    <row r="95" spans="1:39" x14ac:dyDescent="0.35">
      <c r="A95">
        <v>3402</v>
      </c>
      <c r="B95" t="s">
        <v>47</v>
      </c>
      <c r="C95">
        <v>2020</v>
      </c>
      <c r="D95" s="1">
        <v>43831</v>
      </c>
      <c r="E95">
        <v>1</v>
      </c>
      <c r="F95">
        <v>200102655</v>
      </c>
      <c r="G95" t="s">
        <v>120</v>
      </c>
      <c r="H95">
        <v>81</v>
      </c>
      <c r="I95">
        <v>71104010</v>
      </c>
      <c r="J95">
        <v>21021040</v>
      </c>
      <c r="K95" t="s">
        <v>121</v>
      </c>
      <c r="L95">
        <v>112.94</v>
      </c>
      <c r="M95" t="s">
        <v>31</v>
      </c>
      <c r="N95">
        <v>112.94</v>
      </c>
      <c r="O95" t="s">
        <v>31</v>
      </c>
      <c r="R95" t="s">
        <v>272</v>
      </c>
      <c r="S95" t="s">
        <v>1131</v>
      </c>
      <c r="T95">
        <v>107211</v>
      </c>
      <c r="U95" t="s">
        <v>123</v>
      </c>
      <c r="X95" t="s">
        <v>47</v>
      </c>
      <c r="Y95" s="8">
        <v>4501229349</v>
      </c>
      <c r="Z95">
        <v>20200130</v>
      </c>
      <c r="AA95">
        <v>112.94</v>
      </c>
      <c r="AB95">
        <v>18.070399999999999</v>
      </c>
      <c r="AC95">
        <v>131.0104</v>
      </c>
      <c r="AD95">
        <v>200124384</v>
      </c>
      <c r="AE95" t="s">
        <v>282</v>
      </c>
      <c r="AF95" s="4">
        <v>131.0104</v>
      </c>
      <c r="AG95" t="s">
        <v>51</v>
      </c>
      <c r="AH95" t="s">
        <v>1123</v>
      </c>
      <c r="AI95">
        <v>200127161</v>
      </c>
      <c r="AJ95" t="s">
        <v>1148</v>
      </c>
      <c r="AK95" t="s">
        <v>1129</v>
      </c>
      <c r="AL95">
        <v>340218590</v>
      </c>
      <c r="AM95" t="s">
        <v>135</v>
      </c>
    </row>
    <row r="96" spans="1:39" x14ac:dyDescent="0.35">
      <c r="A96">
        <v>3402</v>
      </c>
      <c r="B96" t="s">
        <v>47</v>
      </c>
      <c r="C96">
        <v>2020</v>
      </c>
      <c r="D96" s="1">
        <v>43831</v>
      </c>
      <c r="E96">
        <v>1</v>
      </c>
      <c r="F96">
        <v>200102656</v>
      </c>
      <c r="G96" t="s">
        <v>120</v>
      </c>
      <c r="H96">
        <v>81</v>
      </c>
      <c r="I96">
        <v>71104010</v>
      </c>
      <c r="J96">
        <v>21021040</v>
      </c>
      <c r="K96" t="s">
        <v>121</v>
      </c>
      <c r="L96">
        <v>113.71</v>
      </c>
      <c r="M96" t="s">
        <v>31</v>
      </c>
      <c r="N96">
        <v>113.71</v>
      </c>
      <c r="O96" t="s">
        <v>31</v>
      </c>
      <c r="R96" t="s">
        <v>272</v>
      </c>
      <c r="S96" t="s">
        <v>1131</v>
      </c>
      <c r="T96">
        <v>107211</v>
      </c>
      <c r="U96" t="s">
        <v>123</v>
      </c>
      <c r="X96" t="s">
        <v>47</v>
      </c>
      <c r="Y96" s="8">
        <v>4501229349</v>
      </c>
      <c r="Z96">
        <v>20200130</v>
      </c>
      <c r="AA96">
        <v>113.71</v>
      </c>
      <c r="AB96">
        <v>18.1936</v>
      </c>
      <c r="AC96">
        <v>131.90359999999998</v>
      </c>
      <c r="AD96">
        <v>200124384</v>
      </c>
      <c r="AE96" t="s">
        <v>283</v>
      </c>
      <c r="AF96" s="4">
        <v>131.90359999999998</v>
      </c>
      <c r="AG96" t="s">
        <v>51</v>
      </c>
      <c r="AH96" t="s">
        <v>1123</v>
      </c>
      <c r="AI96">
        <v>200127161</v>
      </c>
      <c r="AJ96" t="s">
        <v>1148</v>
      </c>
      <c r="AK96" t="s">
        <v>1129</v>
      </c>
      <c r="AL96">
        <v>340218590</v>
      </c>
      <c r="AM96" t="s">
        <v>135</v>
      </c>
    </row>
    <row r="97" spans="1:39" x14ac:dyDescent="0.35">
      <c r="A97">
        <v>3402</v>
      </c>
      <c r="B97" t="s">
        <v>47</v>
      </c>
      <c r="C97">
        <v>2020</v>
      </c>
      <c r="D97" s="1">
        <v>43831</v>
      </c>
      <c r="E97">
        <v>1</v>
      </c>
      <c r="F97">
        <v>200102657</v>
      </c>
      <c r="G97" t="s">
        <v>120</v>
      </c>
      <c r="H97">
        <v>81</v>
      </c>
      <c r="I97">
        <v>71104010</v>
      </c>
      <c r="J97">
        <v>21021040</v>
      </c>
      <c r="K97" t="s">
        <v>121</v>
      </c>
      <c r="L97">
        <v>92.39</v>
      </c>
      <c r="M97" t="s">
        <v>31</v>
      </c>
      <c r="N97">
        <v>92.39</v>
      </c>
      <c r="O97" t="s">
        <v>31</v>
      </c>
      <c r="R97" t="s">
        <v>272</v>
      </c>
      <c r="S97" t="s">
        <v>1131</v>
      </c>
      <c r="T97">
        <v>107211</v>
      </c>
      <c r="U97" t="s">
        <v>123</v>
      </c>
      <c r="X97" t="s">
        <v>47</v>
      </c>
      <c r="Y97" s="8">
        <v>4501229349</v>
      </c>
      <c r="Z97">
        <v>20200130</v>
      </c>
      <c r="AA97">
        <v>92.39</v>
      </c>
      <c r="AB97">
        <v>14.782400000000001</v>
      </c>
      <c r="AC97">
        <v>107.1724</v>
      </c>
      <c r="AD97">
        <v>200124384</v>
      </c>
      <c r="AE97" t="s">
        <v>302</v>
      </c>
      <c r="AF97" s="4">
        <v>107.1724</v>
      </c>
      <c r="AG97" t="s">
        <v>51</v>
      </c>
      <c r="AH97" t="s">
        <v>1123</v>
      </c>
      <c r="AI97">
        <v>200127161</v>
      </c>
      <c r="AJ97" t="s">
        <v>1148</v>
      </c>
      <c r="AK97" t="s">
        <v>1129</v>
      </c>
      <c r="AL97">
        <v>340218590</v>
      </c>
      <c r="AM97" t="s">
        <v>135</v>
      </c>
    </row>
    <row r="98" spans="1:39" x14ac:dyDescent="0.35">
      <c r="A98">
        <v>3402</v>
      </c>
      <c r="B98" t="s">
        <v>47</v>
      </c>
      <c r="C98">
        <v>2020</v>
      </c>
      <c r="D98" s="1">
        <v>43831</v>
      </c>
      <c r="E98">
        <v>1</v>
      </c>
      <c r="F98">
        <v>200102659</v>
      </c>
      <c r="G98" t="s">
        <v>120</v>
      </c>
      <c r="H98">
        <v>81</v>
      </c>
      <c r="I98">
        <v>71104010</v>
      </c>
      <c r="J98">
        <v>21021040</v>
      </c>
      <c r="K98" t="s">
        <v>121</v>
      </c>
      <c r="L98">
        <v>134.05000000000001</v>
      </c>
      <c r="M98" t="s">
        <v>31</v>
      </c>
      <c r="N98">
        <v>134.05000000000001</v>
      </c>
      <c r="O98" t="s">
        <v>31</v>
      </c>
      <c r="R98" t="s">
        <v>272</v>
      </c>
      <c r="S98" t="s">
        <v>1131</v>
      </c>
      <c r="T98">
        <v>107211</v>
      </c>
      <c r="U98" t="s">
        <v>123</v>
      </c>
      <c r="X98" t="s">
        <v>47</v>
      </c>
      <c r="Y98" s="8">
        <v>4501229349</v>
      </c>
      <c r="Z98">
        <v>20200130</v>
      </c>
      <c r="AA98">
        <v>134.05000000000001</v>
      </c>
      <c r="AB98">
        <v>21.448000000000004</v>
      </c>
      <c r="AC98">
        <v>155.49800000000002</v>
      </c>
      <c r="AD98">
        <v>200124384</v>
      </c>
      <c r="AE98" t="s">
        <v>303</v>
      </c>
      <c r="AF98" s="4">
        <v>155.49800000000002</v>
      </c>
      <c r="AG98" t="s">
        <v>51</v>
      </c>
      <c r="AH98" t="s">
        <v>1123</v>
      </c>
      <c r="AI98">
        <v>200127161</v>
      </c>
      <c r="AJ98" t="s">
        <v>1148</v>
      </c>
      <c r="AK98" t="s">
        <v>1129</v>
      </c>
      <c r="AL98">
        <v>340218590</v>
      </c>
      <c r="AM98" t="s">
        <v>135</v>
      </c>
    </row>
    <row r="99" spans="1:39" x14ac:dyDescent="0.35">
      <c r="A99">
        <v>3402</v>
      </c>
      <c r="B99" t="s">
        <v>47</v>
      </c>
      <c r="C99">
        <v>2020</v>
      </c>
      <c r="D99" s="1">
        <v>43831</v>
      </c>
      <c r="E99">
        <v>1</v>
      </c>
      <c r="F99">
        <v>200102660</v>
      </c>
      <c r="G99" t="s">
        <v>120</v>
      </c>
      <c r="H99">
        <v>81</v>
      </c>
      <c r="I99">
        <v>71104010</v>
      </c>
      <c r="J99">
        <v>21021040</v>
      </c>
      <c r="K99" t="s">
        <v>121</v>
      </c>
      <c r="L99">
        <v>140.38999999999999</v>
      </c>
      <c r="M99" t="s">
        <v>31</v>
      </c>
      <c r="N99">
        <v>140.38999999999999</v>
      </c>
      <c r="O99" t="s">
        <v>31</v>
      </c>
      <c r="R99" t="s">
        <v>272</v>
      </c>
      <c r="S99" t="s">
        <v>1131</v>
      </c>
      <c r="T99">
        <v>107211</v>
      </c>
      <c r="U99" t="s">
        <v>123</v>
      </c>
      <c r="X99" t="s">
        <v>47</v>
      </c>
      <c r="Y99" s="8">
        <v>4501229349</v>
      </c>
      <c r="Z99">
        <v>20200130</v>
      </c>
      <c r="AA99">
        <v>140.38999999999999</v>
      </c>
      <c r="AB99">
        <v>22.462399999999999</v>
      </c>
      <c r="AC99">
        <v>162.85239999999999</v>
      </c>
      <c r="AD99">
        <v>200124384</v>
      </c>
      <c r="AE99" t="s">
        <v>304</v>
      </c>
      <c r="AF99" s="4">
        <v>162.85239999999999</v>
      </c>
      <c r="AG99" t="s">
        <v>51</v>
      </c>
      <c r="AH99" t="s">
        <v>1123</v>
      </c>
      <c r="AI99">
        <v>200127161</v>
      </c>
      <c r="AJ99" t="s">
        <v>1148</v>
      </c>
      <c r="AK99" t="s">
        <v>1129</v>
      </c>
      <c r="AL99">
        <v>340218590</v>
      </c>
      <c r="AM99" t="s">
        <v>135</v>
      </c>
    </row>
    <row r="100" spans="1:39" x14ac:dyDescent="0.35">
      <c r="A100">
        <v>3402</v>
      </c>
      <c r="B100" t="s">
        <v>47</v>
      </c>
      <c r="C100">
        <v>2020</v>
      </c>
      <c r="D100" s="1">
        <v>43831</v>
      </c>
      <c r="E100">
        <v>1</v>
      </c>
      <c r="F100">
        <v>200114335</v>
      </c>
      <c r="G100" t="s">
        <v>120</v>
      </c>
      <c r="H100">
        <v>91</v>
      </c>
      <c r="I100">
        <v>71104010</v>
      </c>
      <c r="J100">
        <v>21021040</v>
      </c>
      <c r="K100" t="s">
        <v>121</v>
      </c>
      <c r="L100">
        <v>109.7</v>
      </c>
      <c r="M100" t="s">
        <v>31</v>
      </c>
      <c r="N100">
        <v>109.7</v>
      </c>
      <c r="O100" t="s">
        <v>31</v>
      </c>
      <c r="R100" t="s">
        <v>272</v>
      </c>
      <c r="S100" t="s">
        <v>1131</v>
      </c>
      <c r="T100">
        <v>107211</v>
      </c>
      <c r="U100" t="s">
        <v>123</v>
      </c>
      <c r="X100" t="s">
        <v>35</v>
      </c>
      <c r="Y100" s="8">
        <v>4501229349</v>
      </c>
      <c r="Z100">
        <v>20200130</v>
      </c>
      <c r="AA100">
        <v>109.7</v>
      </c>
      <c r="AB100">
        <v>17.552</v>
      </c>
      <c r="AC100">
        <v>127.25200000000001</v>
      </c>
      <c r="AD100">
        <v>200124384</v>
      </c>
      <c r="AE100" t="s">
        <v>287</v>
      </c>
      <c r="AF100" s="4">
        <v>127.25200000000001</v>
      </c>
      <c r="AG100" t="s">
        <v>51</v>
      </c>
      <c r="AH100" t="s">
        <v>1123</v>
      </c>
      <c r="AI100">
        <v>200127161</v>
      </c>
      <c r="AJ100" t="s">
        <v>1148</v>
      </c>
      <c r="AK100" t="s">
        <v>1129</v>
      </c>
      <c r="AL100">
        <v>340218590</v>
      </c>
      <c r="AM100" t="s">
        <v>135</v>
      </c>
    </row>
    <row r="101" spans="1:39" x14ac:dyDescent="0.35">
      <c r="A101">
        <v>3402</v>
      </c>
      <c r="B101" t="s">
        <v>47</v>
      </c>
      <c r="C101">
        <v>2020</v>
      </c>
      <c r="D101" s="1">
        <v>43831</v>
      </c>
      <c r="E101">
        <v>1</v>
      </c>
      <c r="F101">
        <v>200114336</v>
      </c>
      <c r="G101" t="s">
        <v>120</v>
      </c>
      <c r="H101">
        <v>81</v>
      </c>
      <c r="I101">
        <v>71104010</v>
      </c>
      <c r="J101">
        <v>21021040</v>
      </c>
      <c r="K101" t="s">
        <v>121</v>
      </c>
      <c r="L101">
        <v>109685.4</v>
      </c>
      <c r="M101" t="s">
        <v>31</v>
      </c>
      <c r="N101">
        <v>109685.4</v>
      </c>
      <c r="O101" t="s">
        <v>31</v>
      </c>
      <c r="R101" t="s">
        <v>272</v>
      </c>
      <c r="S101" t="s">
        <v>1131</v>
      </c>
      <c r="T101">
        <v>107211</v>
      </c>
      <c r="U101" t="s">
        <v>123</v>
      </c>
      <c r="X101" t="s">
        <v>35</v>
      </c>
      <c r="Y101" s="8">
        <v>4501229349</v>
      </c>
      <c r="Z101">
        <v>20200130</v>
      </c>
      <c r="AA101">
        <v>109685.4</v>
      </c>
      <c r="AB101">
        <v>17549.664000000001</v>
      </c>
      <c r="AC101">
        <v>127235.064</v>
      </c>
      <c r="AD101">
        <v>200124384</v>
      </c>
      <c r="AE101" t="s">
        <v>287</v>
      </c>
      <c r="AF101" s="4">
        <v>127235.064</v>
      </c>
      <c r="AG101" t="s">
        <v>51</v>
      </c>
      <c r="AH101" t="s">
        <v>1123</v>
      </c>
      <c r="AI101">
        <v>200127161</v>
      </c>
      <c r="AJ101" t="s">
        <v>1148</v>
      </c>
      <c r="AK101" t="s">
        <v>1129</v>
      </c>
      <c r="AL101">
        <v>340218590</v>
      </c>
      <c r="AM101" t="s">
        <v>135</v>
      </c>
    </row>
    <row r="102" spans="1:39" x14ac:dyDescent="0.35">
      <c r="A102">
        <v>3402</v>
      </c>
      <c r="B102" t="s">
        <v>47</v>
      </c>
      <c r="C102">
        <v>2020</v>
      </c>
      <c r="D102" s="1">
        <v>43831</v>
      </c>
      <c r="E102">
        <v>1</v>
      </c>
      <c r="F102">
        <v>200114338</v>
      </c>
      <c r="G102" t="s">
        <v>120</v>
      </c>
      <c r="H102">
        <v>91</v>
      </c>
      <c r="I102">
        <v>71104010</v>
      </c>
      <c r="J102">
        <v>21021040</v>
      </c>
      <c r="K102" t="s">
        <v>121</v>
      </c>
      <c r="L102">
        <v>133.24</v>
      </c>
      <c r="M102" t="s">
        <v>31</v>
      </c>
      <c r="N102">
        <v>133.24</v>
      </c>
      <c r="O102" t="s">
        <v>31</v>
      </c>
      <c r="R102" t="s">
        <v>272</v>
      </c>
      <c r="S102" t="s">
        <v>1131</v>
      </c>
      <c r="T102">
        <v>107211</v>
      </c>
      <c r="U102" t="s">
        <v>123</v>
      </c>
      <c r="X102" t="s">
        <v>35</v>
      </c>
      <c r="Y102" s="8">
        <v>4501229349</v>
      </c>
      <c r="Z102">
        <v>20200130</v>
      </c>
      <c r="AA102">
        <v>133.24</v>
      </c>
      <c r="AB102">
        <v>21.3184</v>
      </c>
      <c r="AC102">
        <v>154.55840000000001</v>
      </c>
      <c r="AD102">
        <v>200124384</v>
      </c>
      <c r="AE102" t="s">
        <v>273</v>
      </c>
      <c r="AF102" s="4">
        <v>154.55840000000001</v>
      </c>
      <c r="AG102" t="s">
        <v>51</v>
      </c>
      <c r="AH102" t="s">
        <v>1123</v>
      </c>
      <c r="AI102">
        <v>200127161</v>
      </c>
      <c r="AJ102" t="s">
        <v>1148</v>
      </c>
      <c r="AK102" t="s">
        <v>1129</v>
      </c>
      <c r="AL102">
        <v>340218590</v>
      </c>
      <c r="AM102" t="s">
        <v>135</v>
      </c>
    </row>
    <row r="103" spans="1:39" x14ac:dyDescent="0.35">
      <c r="A103">
        <v>3402</v>
      </c>
      <c r="B103" t="s">
        <v>47</v>
      </c>
      <c r="C103">
        <v>2020</v>
      </c>
      <c r="D103" s="1">
        <v>43831</v>
      </c>
      <c r="E103">
        <v>1</v>
      </c>
      <c r="F103">
        <v>200114339</v>
      </c>
      <c r="G103" t="s">
        <v>120</v>
      </c>
      <c r="H103">
        <v>81</v>
      </c>
      <c r="I103">
        <v>71104010</v>
      </c>
      <c r="J103">
        <v>21021040</v>
      </c>
      <c r="K103" t="s">
        <v>121</v>
      </c>
      <c r="L103">
        <v>133232.92000000001</v>
      </c>
      <c r="M103" t="s">
        <v>31</v>
      </c>
      <c r="N103">
        <v>133232.92000000001</v>
      </c>
      <c r="O103" t="s">
        <v>31</v>
      </c>
      <c r="R103" t="s">
        <v>272</v>
      </c>
      <c r="S103" t="s">
        <v>1131</v>
      </c>
      <c r="T103">
        <v>107211</v>
      </c>
      <c r="U103" t="s">
        <v>123</v>
      </c>
      <c r="X103" t="s">
        <v>35</v>
      </c>
      <c r="Y103" s="8">
        <v>4501229349</v>
      </c>
      <c r="Z103">
        <v>20200130</v>
      </c>
      <c r="AA103">
        <v>133232.92000000001</v>
      </c>
      <c r="AB103">
        <v>21317.267200000002</v>
      </c>
      <c r="AC103">
        <v>154550.18720000001</v>
      </c>
      <c r="AD103">
        <v>200124384</v>
      </c>
      <c r="AE103" t="s">
        <v>273</v>
      </c>
      <c r="AF103" s="4">
        <v>154550.18720000001</v>
      </c>
      <c r="AG103" t="s">
        <v>51</v>
      </c>
      <c r="AH103" t="s">
        <v>1123</v>
      </c>
      <c r="AI103">
        <v>200127161</v>
      </c>
      <c r="AJ103" t="s">
        <v>1148</v>
      </c>
      <c r="AK103" t="s">
        <v>1129</v>
      </c>
      <c r="AL103">
        <v>340218590</v>
      </c>
      <c r="AM103" t="s">
        <v>135</v>
      </c>
    </row>
    <row r="104" spans="1:39" x14ac:dyDescent="0.35">
      <c r="A104">
        <v>3402</v>
      </c>
      <c r="B104" t="s">
        <v>47</v>
      </c>
      <c r="C104">
        <v>2020</v>
      </c>
      <c r="D104" s="1">
        <v>43831</v>
      </c>
      <c r="E104">
        <v>1</v>
      </c>
      <c r="F104">
        <v>200114342</v>
      </c>
      <c r="G104" t="s">
        <v>120</v>
      </c>
      <c r="H104">
        <v>91</v>
      </c>
      <c r="I104">
        <v>71104010</v>
      </c>
      <c r="J104">
        <v>21021040</v>
      </c>
      <c r="K104" t="s">
        <v>121</v>
      </c>
      <c r="L104">
        <v>126.54</v>
      </c>
      <c r="M104" t="s">
        <v>31</v>
      </c>
      <c r="N104">
        <v>126.54</v>
      </c>
      <c r="O104" t="s">
        <v>31</v>
      </c>
      <c r="R104" t="s">
        <v>272</v>
      </c>
      <c r="S104" t="s">
        <v>1131</v>
      </c>
      <c r="T104">
        <v>107211</v>
      </c>
      <c r="U104" t="s">
        <v>123</v>
      </c>
      <c r="X104" t="s">
        <v>35</v>
      </c>
      <c r="Y104" s="8">
        <v>4501229349</v>
      </c>
      <c r="Z104">
        <v>20200130</v>
      </c>
      <c r="AA104">
        <v>126.54</v>
      </c>
      <c r="AB104">
        <v>20.246400000000001</v>
      </c>
      <c r="AC104">
        <v>146.78640000000001</v>
      </c>
      <c r="AD104">
        <v>200124384</v>
      </c>
      <c r="AE104" t="s">
        <v>276</v>
      </c>
      <c r="AF104" s="4">
        <v>146.78640000000001</v>
      </c>
      <c r="AG104" t="s">
        <v>51</v>
      </c>
      <c r="AH104" t="s">
        <v>1123</v>
      </c>
      <c r="AI104">
        <v>200127161</v>
      </c>
      <c r="AJ104" t="s">
        <v>1148</v>
      </c>
      <c r="AK104" t="s">
        <v>1129</v>
      </c>
      <c r="AL104">
        <v>340218590</v>
      </c>
      <c r="AM104" t="s">
        <v>135</v>
      </c>
    </row>
    <row r="105" spans="1:39" x14ac:dyDescent="0.35">
      <c r="A105">
        <v>3402</v>
      </c>
      <c r="B105" t="s">
        <v>47</v>
      </c>
      <c r="C105">
        <v>2020</v>
      </c>
      <c r="D105" s="1">
        <v>43831</v>
      </c>
      <c r="E105">
        <v>1</v>
      </c>
      <c r="F105">
        <v>200114344</v>
      </c>
      <c r="G105" t="s">
        <v>120</v>
      </c>
      <c r="H105">
        <v>91</v>
      </c>
      <c r="I105">
        <v>71104010</v>
      </c>
      <c r="J105">
        <v>21021040</v>
      </c>
      <c r="K105" t="s">
        <v>121</v>
      </c>
      <c r="L105">
        <v>92.61</v>
      </c>
      <c r="M105" t="s">
        <v>31</v>
      </c>
      <c r="N105">
        <v>92.61</v>
      </c>
      <c r="O105" t="s">
        <v>31</v>
      </c>
      <c r="R105" t="s">
        <v>272</v>
      </c>
      <c r="S105" t="s">
        <v>1131</v>
      </c>
      <c r="T105">
        <v>107211</v>
      </c>
      <c r="U105" t="s">
        <v>123</v>
      </c>
      <c r="X105" t="s">
        <v>35</v>
      </c>
      <c r="Y105" s="8">
        <v>4501229349</v>
      </c>
      <c r="Z105">
        <v>20200130</v>
      </c>
      <c r="AA105">
        <v>92.61</v>
      </c>
      <c r="AB105">
        <v>14.817600000000001</v>
      </c>
      <c r="AC105">
        <v>107.4276</v>
      </c>
      <c r="AD105">
        <v>200124384</v>
      </c>
      <c r="AE105" t="s">
        <v>277</v>
      </c>
      <c r="AF105" s="4">
        <v>107.4276</v>
      </c>
      <c r="AG105" t="s">
        <v>51</v>
      </c>
      <c r="AH105" t="s">
        <v>1123</v>
      </c>
      <c r="AI105">
        <v>200127161</v>
      </c>
      <c r="AJ105" t="s">
        <v>1148</v>
      </c>
      <c r="AK105" t="s">
        <v>1129</v>
      </c>
      <c r="AL105">
        <v>340218590</v>
      </c>
      <c r="AM105" t="s">
        <v>135</v>
      </c>
    </row>
    <row r="106" spans="1:39" x14ac:dyDescent="0.35">
      <c r="A106">
        <v>3402</v>
      </c>
      <c r="B106" t="s">
        <v>47</v>
      </c>
      <c r="C106">
        <v>2020</v>
      </c>
      <c r="D106" s="1">
        <v>43831</v>
      </c>
      <c r="E106">
        <v>1</v>
      </c>
      <c r="F106">
        <v>200114347</v>
      </c>
      <c r="G106" t="s">
        <v>120</v>
      </c>
      <c r="H106">
        <v>91</v>
      </c>
      <c r="I106">
        <v>71104010</v>
      </c>
      <c r="J106">
        <v>21021040</v>
      </c>
      <c r="K106" t="s">
        <v>121</v>
      </c>
      <c r="L106">
        <v>124.01</v>
      </c>
      <c r="M106" t="s">
        <v>31</v>
      </c>
      <c r="N106">
        <v>124.01</v>
      </c>
      <c r="O106" t="s">
        <v>31</v>
      </c>
      <c r="R106" t="s">
        <v>272</v>
      </c>
      <c r="S106" t="s">
        <v>1131</v>
      </c>
      <c r="T106">
        <v>107211</v>
      </c>
      <c r="U106" t="s">
        <v>123</v>
      </c>
      <c r="X106" t="s">
        <v>35</v>
      </c>
      <c r="Y106" s="8">
        <v>4501229349</v>
      </c>
      <c r="Z106">
        <v>20200130</v>
      </c>
      <c r="AA106">
        <v>124.01</v>
      </c>
      <c r="AB106">
        <v>19.8416</v>
      </c>
      <c r="AC106">
        <v>143.85160000000002</v>
      </c>
      <c r="AD106">
        <v>200124384</v>
      </c>
      <c r="AE106" t="s">
        <v>288</v>
      </c>
      <c r="AF106" s="4">
        <v>143.85160000000002</v>
      </c>
      <c r="AG106" t="s">
        <v>51</v>
      </c>
      <c r="AH106" t="s">
        <v>1123</v>
      </c>
      <c r="AI106">
        <v>200127161</v>
      </c>
      <c r="AJ106" t="s">
        <v>1148</v>
      </c>
      <c r="AK106" t="s">
        <v>1129</v>
      </c>
      <c r="AL106">
        <v>340218590</v>
      </c>
      <c r="AM106" t="s">
        <v>135</v>
      </c>
    </row>
    <row r="107" spans="1:39" x14ac:dyDescent="0.35">
      <c r="A107">
        <v>3402</v>
      </c>
      <c r="B107" t="s">
        <v>47</v>
      </c>
      <c r="C107">
        <v>2020</v>
      </c>
      <c r="D107" s="1">
        <v>43831</v>
      </c>
      <c r="E107">
        <v>1</v>
      </c>
      <c r="F107">
        <v>200114348</v>
      </c>
      <c r="G107" t="s">
        <v>120</v>
      </c>
      <c r="H107">
        <v>81</v>
      </c>
      <c r="I107">
        <v>71104010</v>
      </c>
      <c r="J107">
        <v>21021040</v>
      </c>
      <c r="K107" t="s">
        <v>121</v>
      </c>
      <c r="L107">
        <v>124005.88</v>
      </c>
      <c r="M107" t="s">
        <v>31</v>
      </c>
      <c r="N107">
        <v>124005.88</v>
      </c>
      <c r="O107" t="s">
        <v>31</v>
      </c>
      <c r="R107" t="s">
        <v>272</v>
      </c>
      <c r="S107" t="s">
        <v>1131</v>
      </c>
      <c r="T107">
        <v>107211</v>
      </c>
      <c r="U107" t="s">
        <v>123</v>
      </c>
      <c r="X107" t="s">
        <v>35</v>
      </c>
      <c r="Y107" s="8">
        <v>4501229349</v>
      </c>
      <c r="Z107">
        <v>20200130</v>
      </c>
      <c r="AA107">
        <v>124005.88</v>
      </c>
      <c r="AB107">
        <v>19840.9408</v>
      </c>
      <c r="AC107">
        <v>143846.82080000002</v>
      </c>
      <c r="AD107">
        <v>200124384</v>
      </c>
      <c r="AE107" t="s">
        <v>288</v>
      </c>
      <c r="AF107" s="4">
        <v>143846.82080000002</v>
      </c>
      <c r="AG107" t="s">
        <v>51</v>
      </c>
      <c r="AH107" t="s">
        <v>1123</v>
      </c>
      <c r="AI107">
        <v>200127161</v>
      </c>
      <c r="AJ107" t="s">
        <v>1148</v>
      </c>
      <c r="AK107" t="s">
        <v>1129</v>
      </c>
      <c r="AL107">
        <v>340218590</v>
      </c>
      <c r="AM107" t="s">
        <v>135</v>
      </c>
    </row>
    <row r="108" spans="1:39" x14ac:dyDescent="0.35">
      <c r="A108">
        <v>3402</v>
      </c>
      <c r="B108" t="s">
        <v>47</v>
      </c>
      <c r="C108">
        <v>2020</v>
      </c>
      <c r="D108" s="1">
        <v>43831</v>
      </c>
      <c r="E108">
        <v>1</v>
      </c>
      <c r="F108">
        <v>200114349</v>
      </c>
      <c r="G108" t="s">
        <v>120</v>
      </c>
      <c r="H108">
        <v>91</v>
      </c>
      <c r="I108">
        <v>71104010</v>
      </c>
      <c r="J108">
        <v>21021040</v>
      </c>
      <c r="K108" t="s">
        <v>121</v>
      </c>
      <c r="L108">
        <v>124005.88</v>
      </c>
      <c r="M108" t="s">
        <v>31</v>
      </c>
      <c r="N108">
        <v>124005.88</v>
      </c>
      <c r="O108" t="s">
        <v>31</v>
      </c>
      <c r="R108" t="s">
        <v>272</v>
      </c>
      <c r="S108" t="s">
        <v>1131</v>
      </c>
      <c r="T108">
        <v>107211</v>
      </c>
      <c r="U108" t="s">
        <v>123</v>
      </c>
      <c r="X108" t="s">
        <v>35</v>
      </c>
      <c r="Y108" s="8">
        <v>4501229349</v>
      </c>
      <c r="Z108">
        <v>20200130</v>
      </c>
      <c r="AA108">
        <v>124005.88</v>
      </c>
      <c r="AB108">
        <v>19840.9408</v>
      </c>
      <c r="AC108">
        <v>143846.82080000002</v>
      </c>
      <c r="AD108">
        <v>200124384</v>
      </c>
      <c r="AE108" t="s">
        <v>288</v>
      </c>
      <c r="AF108" s="4">
        <v>143846.82080000002</v>
      </c>
      <c r="AG108" t="s">
        <v>51</v>
      </c>
      <c r="AH108" t="s">
        <v>1123</v>
      </c>
      <c r="AI108">
        <v>200127161</v>
      </c>
      <c r="AJ108" t="s">
        <v>1148</v>
      </c>
      <c r="AK108" t="s">
        <v>1129</v>
      </c>
      <c r="AL108">
        <v>340218590</v>
      </c>
      <c r="AM108" t="s">
        <v>135</v>
      </c>
    </row>
    <row r="109" spans="1:39" x14ac:dyDescent="0.35">
      <c r="A109">
        <v>3402</v>
      </c>
      <c r="B109" t="s">
        <v>47</v>
      </c>
      <c r="C109">
        <v>2020</v>
      </c>
      <c r="D109" s="1">
        <v>43831</v>
      </c>
      <c r="E109">
        <v>1</v>
      </c>
      <c r="F109">
        <v>200114350</v>
      </c>
      <c r="G109" t="s">
        <v>120</v>
      </c>
      <c r="H109">
        <v>81</v>
      </c>
      <c r="I109">
        <v>71104010</v>
      </c>
      <c r="J109">
        <v>21021040</v>
      </c>
      <c r="K109" t="s">
        <v>121</v>
      </c>
      <c r="L109">
        <v>124005.88</v>
      </c>
      <c r="M109" t="s">
        <v>31</v>
      </c>
      <c r="N109">
        <v>124005.88</v>
      </c>
      <c r="O109" t="s">
        <v>31</v>
      </c>
      <c r="R109" t="s">
        <v>272</v>
      </c>
      <c r="S109" t="s">
        <v>1131</v>
      </c>
      <c r="T109">
        <v>107211</v>
      </c>
      <c r="U109" t="s">
        <v>123</v>
      </c>
      <c r="X109" t="s">
        <v>35</v>
      </c>
      <c r="Y109" s="8">
        <v>4501229349</v>
      </c>
      <c r="Z109">
        <v>20200130</v>
      </c>
      <c r="AA109">
        <v>124005.88</v>
      </c>
      <c r="AB109">
        <v>19840.9408</v>
      </c>
      <c r="AC109">
        <v>143846.82080000002</v>
      </c>
      <c r="AD109">
        <v>200124384</v>
      </c>
      <c r="AE109" t="s">
        <v>288</v>
      </c>
      <c r="AF109" s="4">
        <v>143846.82080000002</v>
      </c>
      <c r="AG109" t="s">
        <v>51</v>
      </c>
      <c r="AH109" t="s">
        <v>1123</v>
      </c>
      <c r="AI109">
        <v>200127161</v>
      </c>
      <c r="AJ109" t="s">
        <v>1148</v>
      </c>
      <c r="AK109" t="s">
        <v>1129</v>
      </c>
      <c r="AL109">
        <v>340218590</v>
      </c>
      <c r="AM109" t="s">
        <v>135</v>
      </c>
    </row>
    <row r="110" spans="1:39" x14ac:dyDescent="0.35">
      <c r="A110">
        <v>3402</v>
      </c>
      <c r="B110" t="s">
        <v>47</v>
      </c>
      <c r="C110">
        <v>2020</v>
      </c>
      <c r="D110" s="1">
        <v>43831</v>
      </c>
      <c r="E110">
        <v>1</v>
      </c>
      <c r="F110">
        <v>200114351</v>
      </c>
      <c r="G110" t="s">
        <v>120</v>
      </c>
      <c r="H110">
        <v>91</v>
      </c>
      <c r="I110">
        <v>71104010</v>
      </c>
      <c r="J110">
        <v>21021040</v>
      </c>
      <c r="K110" t="s">
        <v>121</v>
      </c>
      <c r="L110">
        <v>128.66</v>
      </c>
      <c r="M110" t="s">
        <v>31</v>
      </c>
      <c r="N110">
        <v>128.66</v>
      </c>
      <c r="O110" t="s">
        <v>31</v>
      </c>
      <c r="R110" t="s">
        <v>272</v>
      </c>
      <c r="S110" t="s">
        <v>1131</v>
      </c>
      <c r="T110">
        <v>107211</v>
      </c>
      <c r="U110" t="s">
        <v>123</v>
      </c>
      <c r="X110" t="s">
        <v>35</v>
      </c>
      <c r="Y110" s="8">
        <v>4501229349</v>
      </c>
      <c r="Z110">
        <v>20200130</v>
      </c>
      <c r="AA110">
        <v>128.66</v>
      </c>
      <c r="AB110">
        <v>20.585599999999999</v>
      </c>
      <c r="AC110">
        <v>149.2456</v>
      </c>
      <c r="AD110">
        <v>200124384</v>
      </c>
      <c r="AE110" t="s">
        <v>290</v>
      </c>
      <c r="AF110" s="4">
        <v>149.2456</v>
      </c>
      <c r="AG110" t="s">
        <v>51</v>
      </c>
      <c r="AH110" t="s">
        <v>1123</v>
      </c>
      <c r="AI110">
        <v>200127161</v>
      </c>
      <c r="AJ110" t="s">
        <v>1148</v>
      </c>
      <c r="AK110" t="s">
        <v>1129</v>
      </c>
      <c r="AL110">
        <v>340218590</v>
      </c>
      <c r="AM110" t="s">
        <v>135</v>
      </c>
    </row>
    <row r="111" spans="1:39" x14ac:dyDescent="0.35">
      <c r="A111">
        <v>3402</v>
      </c>
      <c r="B111" t="s">
        <v>47</v>
      </c>
      <c r="C111">
        <v>2020</v>
      </c>
      <c r="D111" s="1">
        <v>43831</v>
      </c>
      <c r="E111">
        <v>1</v>
      </c>
      <c r="F111">
        <v>200114352</v>
      </c>
      <c r="G111" t="s">
        <v>120</v>
      </c>
      <c r="H111">
        <v>81</v>
      </c>
      <c r="I111">
        <v>71104010</v>
      </c>
      <c r="J111">
        <v>21021040</v>
      </c>
      <c r="K111" t="s">
        <v>121</v>
      </c>
      <c r="L111">
        <v>128660.9</v>
      </c>
      <c r="M111" t="s">
        <v>31</v>
      </c>
      <c r="N111">
        <v>128660.9</v>
      </c>
      <c r="O111" t="s">
        <v>31</v>
      </c>
      <c r="R111" t="s">
        <v>272</v>
      </c>
      <c r="S111" t="s">
        <v>1131</v>
      </c>
      <c r="T111">
        <v>107211</v>
      </c>
      <c r="U111" t="s">
        <v>123</v>
      </c>
      <c r="X111" t="s">
        <v>35</v>
      </c>
      <c r="Y111" s="8">
        <v>4501229349</v>
      </c>
      <c r="Z111">
        <v>20200130</v>
      </c>
      <c r="AA111">
        <v>128660.9</v>
      </c>
      <c r="AB111">
        <v>20585.743999999999</v>
      </c>
      <c r="AC111">
        <v>149246.644</v>
      </c>
      <c r="AD111">
        <v>200124384</v>
      </c>
      <c r="AE111" t="s">
        <v>290</v>
      </c>
      <c r="AF111" s="4">
        <v>149246.644</v>
      </c>
      <c r="AG111" t="s">
        <v>51</v>
      </c>
      <c r="AH111" t="s">
        <v>1123</v>
      </c>
      <c r="AI111">
        <v>200127161</v>
      </c>
      <c r="AJ111" t="s">
        <v>1148</v>
      </c>
      <c r="AK111" t="s">
        <v>1129</v>
      </c>
      <c r="AL111">
        <v>340218590</v>
      </c>
      <c r="AM111" t="s">
        <v>135</v>
      </c>
    </row>
    <row r="112" spans="1:39" x14ac:dyDescent="0.35">
      <c r="A112">
        <v>3402</v>
      </c>
      <c r="B112" t="s">
        <v>47</v>
      </c>
      <c r="C112">
        <v>2020</v>
      </c>
      <c r="D112" s="1">
        <v>43831</v>
      </c>
      <c r="E112">
        <v>1</v>
      </c>
      <c r="F112">
        <v>200114353</v>
      </c>
      <c r="G112" t="s">
        <v>120</v>
      </c>
      <c r="H112">
        <v>91</v>
      </c>
      <c r="I112">
        <v>71104010</v>
      </c>
      <c r="J112">
        <v>21021040</v>
      </c>
      <c r="K112" t="s">
        <v>121</v>
      </c>
      <c r="L112">
        <v>125.42</v>
      </c>
      <c r="M112" t="s">
        <v>31</v>
      </c>
      <c r="N112">
        <v>125.42</v>
      </c>
      <c r="O112" t="s">
        <v>31</v>
      </c>
      <c r="R112" t="s">
        <v>272</v>
      </c>
      <c r="S112" t="s">
        <v>1131</v>
      </c>
      <c r="T112">
        <v>107211</v>
      </c>
      <c r="U112" t="s">
        <v>123</v>
      </c>
      <c r="X112" t="s">
        <v>35</v>
      </c>
      <c r="Y112" s="8">
        <v>4501229349</v>
      </c>
      <c r="Z112">
        <v>20200130</v>
      </c>
      <c r="AA112">
        <v>125.42</v>
      </c>
      <c r="AB112">
        <v>20.0672</v>
      </c>
      <c r="AC112">
        <v>145.4872</v>
      </c>
      <c r="AD112">
        <v>200124384</v>
      </c>
      <c r="AE112" t="s">
        <v>291</v>
      </c>
      <c r="AF112" s="4">
        <v>145.4872</v>
      </c>
      <c r="AG112" t="s">
        <v>51</v>
      </c>
      <c r="AH112" t="s">
        <v>1123</v>
      </c>
      <c r="AI112">
        <v>200127161</v>
      </c>
      <c r="AJ112" t="s">
        <v>1148</v>
      </c>
      <c r="AK112" t="s">
        <v>1129</v>
      </c>
      <c r="AL112">
        <v>340218590</v>
      </c>
      <c r="AM112" t="s">
        <v>135</v>
      </c>
    </row>
    <row r="113" spans="1:39" x14ac:dyDescent="0.35">
      <c r="A113">
        <v>3402</v>
      </c>
      <c r="B113" t="s">
        <v>47</v>
      </c>
      <c r="C113">
        <v>2020</v>
      </c>
      <c r="D113" s="1">
        <v>43831</v>
      </c>
      <c r="E113">
        <v>1</v>
      </c>
      <c r="F113">
        <v>200114354</v>
      </c>
      <c r="G113" t="s">
        <v>120</v>
      </c>
      <c r="H113">
        <v>81</v>
      </c>
      <c r="I113">
        <v>71104010</v>
      </c>
      <c r="J113">
        <v>21021040</v>
      </c>
      <c r="K113" t="s">
        <v>121</v>
      </c>
      <c r="L113">
        <v>125422.5</v>
      </c>
      <c r="M113" t="s">
        <v>31</v>
      </c>
      <c r="N113">
        <v>125422.5</v>
      </c>
      <c r="O113" t="s">
        <v>31</v>
      </c>
      <c r="R113" t="s">
        <v>272</v>
      </c>
      <c r="S113" t="s">
        <v>1131</v>
      </c>
      <c r="T113">
        <v>107211</v>
      </c>
      <c r="U113" t="s">
        <v>123</v>
      </c>
      <c r="X113" t="s">
        <v>35</v>
      </c>
      <c r="Y113" s="8">
        <v>4501229349</v>
      </c>
      <c r="Z113">
        <v>20200130</v>
      </c>
      <c r="AA113">
        <v>125422.5</v>
      </c>
      <c r="AB113">
        <v>20067.600000000002</v>
      </c>
      <c r="AC113">
        <v>145490.1</v>
      </c>
      <c r="AD113">
        <v>200124384</v>
      </c>
      <c r="AE113" t="s">
        <v>291</v>
      </c>
      <c r="AF113" s="4">
        <v>145490.1</v>
      </c>
      <c r="AG113" t="s">
        <v>51</v>
      </c>
      <c r="AH113" t="s">
        <v>1123</v>
      </c>
      <c r="AI113">
        <v>200127161</v>
      </c>
      <c r="AJ113" t="s">
        <v>1148</v>
      </c>
      <c r="AK113" t="s">
        <v>1129</v>
      </c>
      <c r="AL113">
        <v>340218590</v>
      </c>
      <c r="AM113" t="s">
        <v>135</v>
      </c>
    </row>
    <row r="114" spans="1:39" x14ac:dyDescent="0.35">
      <c r="A114">
        <v>3402</v>
      </c>
      <c r="B114" t="s">
        <v>47</v>
      </c>
      <c r="C114">
        <v>2020</v>
      </c>
      <c r="D114" s="1">
        <v>43831</v>
      </c>
      <c r="E114">
        <v>1</v>
      </c>
      <c r="F114">
        <v>200114355</v>
      </c>
      <c r="G114" t="s">
        <v>120</v>
      </c>
      <c r="H114">
        <v>91</v>
      </c>
      <c r="I114">
        <v>71104010</v>
      </c>
      <c r="J114">
        <v>21021040</v>
      </c>
      <c r="K114" t="s">
        <v>121</v>
      </c>
      <c r="L114">
        <v>146.44999999999999</v>
      </c>
      <c r="M114" t="s">
        <v>31</v>
      </c>
      <c r="N114">
        <v>146.44999999999999</v>
      </c>
      <c r="O114" t="s">
        <v>31</v>
      </c>
      <c r="R114" t="s">
        <v>272</v>
      </c>
      <c r="S114" t="s">
        <v>1131</v>
      </c>
      <c r="T114">
        <v>107211</v>
      </c>
      <c r="U114" t="s">
        <v>123</v>
      </c>
      <c r="X114" t="s">
        <v>35</v>
      </c>
      <c r="Y114" s="8">
        <v>4501229349</v>
      </c>
      <c r="Z114">
        <v>20200130</v>
      </c>
      <c r="AA114">
        <v>146.44999999999999</v>
      </c>
      <c r="AB114">
        <v>23.431999999999999</v>
      </c>
      <c r="AC114">
        <v>169.88199999999998</v>
      </c>
      <c r="AD114">
        <v>200124384</v>
      </c>
      <c r="AE114" t="s">
        <v>292</v>
      </c>
      <c r="AF114" s="4">
        <v>169.88199999999998</v>
      </c>
      <c r="AG114" t="s">
        <v>51</v>
      </c>
      <c r="AH114" t="s">
        <v>1123</v>
      </c>
      <c r="AI114">
        <v>200127161</v>
      </c>
      <c r="AJ114" t="s">
        <v>1148</v>
      </c>
      <c r="AK114" t="s">
        <v>1129</v>
      </c>
      <c r="AL114">
        <v>340218590</v>
      </c>
      <c r="AM114" t="s">
        <v>135</v>
      </c>
    </row>
    <row r="115" spans="1:39" x14ac:dyDescent="0.35">
      <c r="A115">
        <v>3402</v>
      </c>
      <c r="B115" t="s">
        <v>47</v>
      </c>
      <c r="C115">
        <v>2020</v>
      </c>
      <c r="D115" s="1">
        <v>43831</v>
      </c>
      <c r="E115">
        <v>1</v>
      </c>
      <c r="F115">
        <v>200114356</v>
      </c>
      <c r="G115" t="s">
        <v>120</v>
      </c>
      <c r="H115">
        <v>81</v>
      </c>
      <c r="I115">
        <v>71104010</v>
      </c>
      <c r="J115">
        <v>21021040</v>
      </c>
      <c r="K115" t="s">
        <v>121</v>
      </c>
      <c r="L115">
        <v>146443.92000000001</v>
      </c>
      <c r="M115" t="s">
        <v>31</v>
      </c>
      <c r="N115">
        <v>146443.92000000001</v>
      </c>
      <c r="O115" t="s">
        <v>31</v>
      </c>
      <c r="R115" t="s">
        <v>272</v>
      </c>
      <c r="S115" t="s">
        <v>1131</v>
      </c>
      <c r="T115">
        <v>107211</v>
      </c>
      <c r="U115" t="s">
        <v>123</v>
      </c>
      <c r="X115" t="s">
        <v>35</v>
      </c>
      <c r="Y115" s="8">
        <v>4501229349</v>
      </c>
      <c r="Z115">
        <v>20200130</v>
      </c>
      <c r="AA115">
        <v>146443.92000000001</v>
      </c>
      <c r="AB115">
        <v>23431.027200000004</v>
      </c>
      <c r="AC115">
        <v>169874.94720000002</v>
      </c>
      <c r="AD115">
        <v>200124384</v>
      </c>
      <c r="AE115" t="s">
        <v>292</v>
      </c>
      <c r="AF115" s="4">
        <v>169874.94720000002</v>
      </c>
      <c r="AG115" t="s">
        <v>51</v>
      </c>
      <c r="AH115" t="s">
        <v>1123</v>
      </c>
      <c r="AI115">
        <v>200127161</v>
      </c>
      <c r="AJ115" t="s">
        <v>1148</v>
      </c>
      <c r="AK115" t="s">
        <v>1129</v>
      </c>
      <c r="AL115">
        <v>340218590</v>
      </c>
      <c r="AM115" t="s">
        <v>135</v>
      </c>
    </row>
    <row r="116" spans="1:39" x14ac:dyDescent="0.35">
      <c r="A116">
        <v>3402</v>
      </c>
      <c r="B116" t="s">
        <v>47</v>
      </c>
      <c r="C116">
        <v>2020</v>
      </c>
      <c r="D116" s="1">
        <v>43831</v>
      </c>
      <c r="E116">
        <v>1</v>
      </c>
      <c r="F116">
        <v>200114357</v>
      </c>
      <c r="G116" t="s">
        <v>120</v>
      </c>
      <c r="H116">
        <v>91</v>
      </c>
      <c r="I116">
        <v>71104010</v>
      </c>
      <c r="J116">
        <v>21021040</v>
      </c>
      <c r="K116" t="s">
        <v>121</v>
      </c>
      <c r="L116">
        <v>133.81</v>
      </c>
      <c r="M116" t="s">
        <v>31</v>
      </c>
      <c r="N116">
        <v>133.81</v>
      </c>
      <c r="O116" t="s">
        <v>31</v>
      </c>
      <c r="R116" t="s">
        <v>272</v>
      </c>
      <c r="S116" t="s">
        <v>1131</v>
      </c>
      <c r="T116">
        <v>107211</v>
      </c>
      <c r="U116" t="s">
        <v>123</v>
      </c>
      <c r="X116" t="s">
        <v>35</v>
      </c>
      <c r="Y116" s="8">
        <v>4501229349</v>
      </c>
      <c r="Z116">
        <v>20200130</v>
      </c>
      <c r="AA116">
        <v>133.81</v>
      </c>
      <c r="AB116">
        <v>21.409600000000001</v>
      </c>
      <c r="AC116">
        <v>155.21960000000001</v>
      </c>
      <c r="AD116">
        <v>200124384</v>
      </c>
      <c r="AE116" t="s">
        <v>293</v>
      </c>
      <c r="AF116" s="4">
        <v>155.21960000000001</v>
      </c>
      <c r="AG116" t="s">
        <v>51</v>
      </c>
      <c r="AH116" t="s">
        <v>1123</v>
      </c>
      <c r="AI116">
        <v>200127161</v>
      </c>
      <c r="AJ116" t="s">
        <v>1148</v>
      </c>
      <c r="AK116" t="s">
        <v>1129</v>
      </c>
      <c r="AL116">
        <v>340218590</v>
      </c>
      <c r="AM116" t="s">
        <v>135</v>
      </c>
    </row>
    <row r="117" spans="1:39" x14ac:dyDescent="0.35">
      <c r="A117">
        <v>3402</v>
      </c>
      <c r="B117" t="s">
        <v>47</v>
      </c>
      <c r="C117">
        <v>2020</v>
      </c>
      <c r="D117" s="1">
        <v>43831</v>
      </c>
      <c r="E117">
        <v>1</v>
      </c>
      <c r="F117">
        <v>200114359</v>
      </c>
      <c r="G117" t="s">
        <v>120</v>
      </c>
      <c r="H117">
        <v>81</v>
      </c>
      <c r="I117">
        <v>71104010</v>
      </c>
      <c r="J117">
        <v>21021040</v>
      </c>
      <c r="K117" t="s">
        <v>121</v>
      </c>
      <c r="L117">
        <v>133814.44</v>
      </c>
      <c r="M117" t="s">
        <v>31</v>
      </c>
      <c r="N117">
        <v>133814.44</v>
      </c>
      <c r="O117" t="s">
        <v>31</v>
      </c>
      <c r="R117" t="s">
        <v>272</v>
      </c>
      <c r="S117" t="s">
        <v>1131</v>
      </c>
      <c r="T117">
        <v>107211</v>
      </c>
      <c r="U117" t="s">
        <v>123</v>
      </c>
      <c r="X117" t="s">
        <v>35</v>
      </c>
      <c r="Y117" s="8">
        <v>4501229349</v>
      </c>
      <c r="Z117">
        <v>20200130</v>
      </c>
      <c r="AA117">
        <v>133814.44</v>
      </c>
      <c r="AB117">
        <v>21410.310400000002</v>
      </c>
      <c r="AC117">
        <v>155224.75040000002</v>
      </c>
      <c r="AD117">
        <v>200124384</v>
      </c>
      <c r="AE117" t="s">
        <v>293</v>
      </c>
      <c r="AF117" s="4">
        <v>155224.75040000002</v>
      </c>
      <c r="AG117" t="s">
        <v>51</v>
      </c>
      <c r="AH117" t="s">
        <v>1123</v>
      </c>
      <c r="AI117">
        <v>200127161</v>
      </c>
      <c r="AJ117" t="s">
        <v>1148</v>
      </c>
      <c r="AK117" t="s">
        <v>1129</v>
      </c>
      <c r="AL117">
        <v>340218590</v>
      </c>
      <c r="AM117" t="s">
        <v>135</v>
      </c>
    </row>
    <row r="118" spans="1:39" x14ac:dyDescent="0.35">
      <c r="A118">
        <v>3402</v>
      </c>
      <c r="B118" t="s">
        <v>47</v>
      </c>
      <c r="C118">
        <v>2020</v>
      </c>
      <c r="D118" s="1">
        <v>43831</v>
      </c>
      <c r="E118">
        <v>1</v>
      </c>
      <c r="F118">
        <v>200114360</v>
      </c>
      <c r="G118" t="s">
        <v>120</v>
      </c>
      <c r="H118">
        <v>91</v>
      </c>
      <c r="I118">
        <v>71104010</v>
      </c>
      <c r="J118">
        <v>21021040</v>
      </c>
      <c r="K118" t="s">
        <v>121</v>
      </c>
      <c r="L118">
        <v>106.13</v>
      </c>
      <c r="M118" t="s">
        <v>31</v>
      </c>
      <c r="N118">
        <v>106.13</v>
      </c>
      <c r="O118" t="s">
        <v>31</v>
      </c>
      <c r="R118" t="s">
        <v>272</v>
      </c>
      <c r="S118" t="s">
        <v>1131</v>
      </c>
      <c r="T118">
        <v>107211</v>
      </c>
      <c r="U118" t="s">
        <v>123</v>
      </c>
      <c r="X118" t="s">
        <v>35</v>
      </c>
      <c r="Y118" s="8">
        <v>4501229349</v>
      </c>
      <c r="Z118">
        <v>20200130</v>
      </c>
      <c r="AA118">
        <v>106.13</v>
      </c>
      <c r="AB118">
        <v>16.980799999999999</v>
      </c>
      <c r="AC118">
        <v>123.1108</v>
      </c>
      <c r="AD118">
        <v>200124384</v>
      </c>
      <c r="AE118" t="s">
        <v>294</v>
      </c>
      <c r="AF118" s="4">
        <v>123.1108</v>
      </c>
      <c r="AG118" t="s">
        <v>51</v>
      </c>
      <c r="AH118" t="s">
        <v>1123</v>
      </c>
      <c r="AI118">
        <v>200127161</v>
      </c>
      <c r="AJ118" t="s">
        <v>1148</v>
      </c>
      <c r="AK118" t="s">
        <v>1129</v>
      </c>
      <c r="AL118">
        <v>340218590</v>
      </c>
      <c r="AM118" t="s">
        <v>135</v>
      </c>
    </row>
    <row r="119" spans="1:39" x14ac:dyDescent="0.35">
      <c r="A119">
        <v>3402</v>
      </c>
      <c r="B119" t="s">
        <v>47</v>
      </c>
      <c r="C119">
        <v>2020</v>
      </c>
      <c r="D119" s="1">
        <v>43831</v>
      </c>
      <c r="E119">
        <v>1</v>
      </c>
      <c r="F119">
        <v>200114361</v>
      </c>
      <c r="G119" t="s">
        <v>120</v>
      </c>
      <c r="H119">
        <v>81</v>
      </c>
      <c r="I119">
        <v>71104010</v>
      </c>
      <c r="J119">
        <v>21021040</v>
      </c>
      <c r="K119" t="s">
        <v>121</v>
      </c>
      <c r="L119">
        <v>106113.52</v>
      </c>
      <c r="M119" t="s">
        <v>31</v>
      </c>
      <c r="N119">
        <v>106113.52</v>
      </c>
      <c r="O119" t="s">
        <v>31</v>
      </c>
      <c r="R119" t="s">
        <v>272</v>
      </c>
      <c r="S119" t="s">
        <v>1131</v>
      </c>
      <c r="T119">
        <v>107211</v>
      </c>
      <c r="U119" t="s">
        <v>123</v>
      </c>
      <c r="X119" t="s">
        <v>35</v>
      </c>
      <c r="Y119" s="8">
        <v>4501229349</v>
      </c>
      <c r="Z119">
        <v>20200130</v>
      </c>
      <c r="AA119">
        <v>106113.52</v>
      </c>
      <c r="AB119">
        <v>16978.163200000003</v>
      </c>
      <c r="AC119">
        <v>123091.6832</v>
      </c>
      <c r="AD119">
        <v>200124384</v>
      </c>
      <c r="AE119" t="s">
        <v>294</v>
      </c>
      <c r="AF119" s="4">
        <v>123091.6832</v>
      </c>
      <c r="AG119" t="s">
        <v>51</v>
      </c>
      <c r="AH119" t="s">
        <v>1123</v>
      </c>
      <c r="AI119">
        <v>200127161</v>
      </c>
      <c r="AJ119" t="s">
        <v>1148</v>
      </c>
      <c r="AK119" t="s">
        <v>1129</v>
      </c>
      <c r="AL119">
        <v>340218590</v>
      </c>
      <c r="AM119" t="s">
        <v>135</v>
      </c>
    </row>
    <row r="120" spans="1:39" x14ac:dyDescent="0.35">
      <c r="A120">
        <v>3402</v>
      </c>
      <c r="B120" t="s">
        <v>47</v>
      </c>
      <c r="C120">
        <v>2020</v>
      </c>
      <c r="D120" s="1">
        <v>43831</v>
      </c>
      <c r="E120">
        <v>1</v>
      </c>
      <c r="F120">
        <v>200114362</v>
      </c>
      <c r="G120" t="s">
        <v>120</v>
      </c>
      <c r="H120">
        <v>91</v>
      </c>
      <c r="I120">
        <v>71104010</v>
      </c>
      <c r="J120">
        <v>21021040</v>
      </c>
      <c r="K120" t="s">
        <v>121</v>
      </c>
      <c r="L120">
        <v>152.13</v>
      </c>
      <c r="M120" t="s">
        <v>31</v>
      </c>
      <c r="N120">
        <v>152.13</v>
      </c>
      <c r="O120" t="s">
        <v>31</v>
      </c>
      <c r="R120" t="s">
        <v>272</v>
      </c>
      <c r="S120" t="s">
        <v>1131</v>
      </c>
      <c r="T120">
        <v>107211</v>
      </c>
      <c r="U120" t="s">
        <v>123</v>
      </c>
      <c r="X120" t="s">
        <v>35</v>
      </c>
      <c r="Y120" s="8">
        <v>4501229349</v>
      </c>
      <c r="Z120">
        <v>20200130</v>
      </c>
      <c r="AA120">
        <v>152.13</v>
      </c>
      <c r="AB120">
        <v>24.340800000000002</v>
      </c>
      <c r="AC120">
        <v>176.4708</v>
      </c>
      <c r="AD120">
        <v>200124384</v>
      </c>
      <c r="AE120" t="s">
        <v>295</v>
      </c>
      <c r="AF120" s="4">
        <v>176.4708</v>
      </c>
      <c r="AG120" t="s">
        <v>51</v>
      </c>
      <c r="AH120" t="s">
        <v>1123</v>
      </c>
      <c r="AI120">
        <v>200127161</v>
      </c>
      <c r="AJ120" t="s">
        <v>1148</v>
      </c>
      <c r="AK120" t="s">
        <v>1129</v>
      </c>
      <c r="AL120">
        <v>340218590</v>
      </c>
      <c r="AM120" t="s">
        <v>135</v>
      </c>
    </row>
    <row r="121" spans="1:39" x14ac:dyDescent="0.35">
      <c r="A121">
        <v>3402</v>
      </c>
      <c r="B121" t="s">
        <v>47</v>
      </c>
      <c r="C121">
        <v>2020</v>
      </c>
      <c r="D121" s="1">
        <v>43831</v>
      </c>
      <c r="E121">
        <v>1</v>
      </c>
      <c r="F121">
        <v>200114363</v>
      </c>
      <c r="G121" t="s">
        <v>120</v>
      </c>
      <c r="H121">
        <v>81</v>
      </c>
      <c r="I121">
        <v>71104010</v>
      </c>
      <c r="J121">
        <v>21021040</v>
      </c>
      <c r="K121" t="s">
        <v>121</v>
      </c>
      <c r="L121">
        <v>152129.60000000001</v>
      </c>
      <c r="M121" t="s">
        <v>31</v>
      </c>
      <c r="N121">
        <v>152129.60000000001</v>
      </c>
      <c r="O121" t="s">
        <v>31</v>
      </c>
      <c r="R121" t="s">
        <v>272</v>
      </c>
      <c r="S121" t="s">
        <v>1131</v>
      </c>
      <c r="T121">
        <v>107211</v>
      </c>
      <c r="U121" t="s">
        <v>123</v>
      </c>
      <c r="X121" t="s">
        <v>35</v>
      </c>
      <c r="Y121" s="8">
        <v>4501229349</v>
      </c>
      <c r="Z121">
        <v>20200130</v>
      </c>
      <c r="AA121">
        <v>152129.60000000001</v>
      </c>
      <c r="AB121">
        <v>24340.736000000001</v>
      </c>
      <c r="AC121">
        <v>176470.33600000001</v>
      </c>
      <c r="AD121">
        <v>200124384</v>
      </c>
      <c r="AE121" t="s">
        <v>295</v>
      </c>
      <c r="AF121" s="4">
        <v>176470.33600000001</v>
      </c>
      <c r="AG121" t="s">
        <v>51</v>
      </c>
      <c r="AH121" t="s">
        <v>1123</v>
      </c>
      <c r="AI121">
        <v>200127161</v>
      </c>
      <c r="AJ121" t="s">
        <v>1148</v>
      </c>
      <c r="AK121" t="s">
        <v>1129</v>
      </c>
      <c r="AL121">
        <v>340218590</v>
      </c>
      <c r="AM121" t="s">
        <v>135</v>
      </c>
    </row>
    <row r="122" spans="1:39" x14ac:dyDescent="0.35">
      <c r="A122">
        <v>3402</v>
      </c>
      <c r="B122" t="s">
        <v>47</v>
      </c>
      <c r="C122">
        <v>2020</v>
      </c>
      <c r="D122" s="1">
        <v>43831</v>
      </c>
      <c r="E122">
        <v>1</v>
      </c>
      <c r="F122">
        <v>200114364</v>
      </c>
      <c r="G122" t="s">
        <v>120</v>
      </c>
      <c r="H122">
        <v>91</v>
      </c>
      <c r="I122">
        <v>71104010</v>
      </c>
      <c r="J122">
        <v>21021040</v>
      </c>
      <c r="K122" t="s">
        <v>121</v>
      </c>
      <c r="L122">
        <v>139.52000000000001</v>
      </c>
      <c r="M122" t="s">
        <v>31</v>
      </c>
      <c r="N122">
        <v>139.52000000000001</v>
      </c>
      <c r="O122" t="s">
        <v>31</v>
      </c>
      <c r="R122" t="s">
        <v>272</v>
      </c>
      <c r="S122" t="s">
        <v>1131</v>
      </c>
      <c r="T122">
        <v>107211</v>
      </c>
      <c r="U122" t="s">
        <v>123</v>
      </c>
      <c r="X122" t="s">
        <v>35</v>
      </c>
      <c r="Y122" s="8">
        <v>4501229349</v>
      </c>
      <c r="Z122">
        <v>20200130</v>
      </c>
      <c r="AA122">
        <v>139.52000000000001</v>
      </c>
      <c r="AB122">
        <v>22.323200000000003</v>
      </c>
      <c r="AC122">
        <v>161.84320000000002</v>
      </c>
      <c r="AD122">
        <v>200124384</v>
      </c>
      <c r="AE122" t="s">
        <v>296</v>
      </c>
      <c r="AF122" s="4">
        <v>161.84320000000002</v>
      </c>
      <c r="AG122" t="s">
        <v>51</v>
      </c>
      <c r="AH122" t="s">
        <v>1123</v>
      </c>
      <c r="AI122">
        <v>200127161</v>
      </c>
      <c r="AJ122" t="s">
        <v>1148</v>
      </c>
      <c r="AK122" t="s">
        <v>1129</v>
      </c>
      <c r="AL122">
        <v>340218590</v>
      </c>
      <c r="AM122" t="s">
        <v>135</v>
      </c>
    </row>
    <row r="123" spans="1:39" x14ac:dyDescent="0.35">
      <c r="A123">
        <v>3402</v>
      </c>
      <c r="B123" t="s">
        <v>47</v>
      </c>
      <c r="C123">
        <v>2020</v>
      </c>
      <c r="D123" s="1">
        <v>43831</v>
      </c>
      <c r="E123">
        <v>1</v>
      </c>
      <c r="F123">
        <v>200114367</v>
      </c>
      <c r="G123" t="s">
        <v>120</v>
      </c>
      <c r="H123">
        <v>81</v>
      </c>
      <c r="I123">
        <v>71104010</v>
      </c>
      <c r="J123">
        <v>21021040</v>
      </c>
      <c r="K123" t="s">
        <v>121</v>
      </c>
      <c r="L123">
        <v>139516.32</v>
      </c>
      <c r="M123" t="s">
        <v>31</v>
      </c>
      <c r="N123">
        <v>139516.32</v>
      </c>
      <c r="O123" t="s">
        <v>31</v>
      </c>
      <c r="R123" t="s">
        <v>272</v>
      </c>
      <c r="S123" t="s">
        <v>1131</v>
      </c>
      <c r="T123">
        <v>107211</v>
      </c>
      <c r="U123" t="s">
        <v>123</v>
      </c>
      <c r="X123" t="s">
        <v>35</v>
      </c>
      <c r="Y123" s="8">
        <v>4501229349</v>
      </c>
      <c r="Z123">
        <v>20200130</v>
      </c>
      <c r="AA123">
        <v>139516.32</v>
      </c>
      <c r="AB123">
        <v>22322.611200000003</v>
      </c>
      <c r="AC123">
        <v>161838.93120000002</v>
      </c>
      <c r="AD123">
        <v>200124384</v>
      </c>
      <c r="AE123" t="s">
        <v>296</v>
      </c>
      <c r="AF123" s="4">
        <v>161838.93120000002</v>
      </c>
      <c r="AG123" t="s">
        <v>51</v>
      </c>
      <c r="AH123" t="s">
        <v>1123</v>
      </c>
      <c r="AI123">
        <v>200127161</v>
      </c>
      <c r="AJ123" t="s">
        <v>1148</v>
      </c>
      <c r="AK123" t="s">
        <v>1129</v>
      </c>
      <c r="AL123">
        <v>340218590</v>
      </c>
      <c r="AM123" t="s">
        <v>135</v>
      </c>
    </row>
    <row r="124" spans="1:39" x14ac:dyDescent="0.35">
      <c r="A124">
        <v>3402</v>
      </c>
      <c r="B124" t="s">
        <v>47</v>
      </c>
      <c r="C124">
        <v>2020</v>
      </c>
      <c r="D124" s="1">
        <v>43831</v>
      </c>
      <c r="E124">
        <v>1</v>
      </c>
      <c r="F124">
        <v>200114370</v>
      </c>
      <c r="G124" t="s">
        <v>120</v>
      </c>
      <c r="H124">
        <v>91</v>
      </c>
      <c r="I124">
        <v>71104010</v>
      </c>
      <c r="J124">
        <v>21021040</v>
      </c>
      <c r="K124" t="s">
        <v>121</v>
      </c>
      <c r="L124">
        <v>139.66</v>
      </c>
      <c r="M124" t="s">
        <v>31</v>
      </c>
      <c r="N124">
        <v>139.66</v>
      </c>
      <c r="O124" t="s">
        <v>31</v>
      </c>
      <c r="R124" t="s">
        <v>272</v>
      </c>
      <c r="S124" t="s">
        <v>1131</v>
      </c>
      <c r="T124">
        <v>107211</v>
      </c>
      <c r="U124" t="s">
        <v>123</v>
      </c>
      <c r="X124" t="s">
        <v>35</v>
      </c>
      <c r="Y124" s="8">
        <v>4501229349</v>
      </c>
      <c r="Z124">
        <v>20200130</v>
      </c>
      <c r="AA124">
        <v>139.66</v>
      </c>
      <c r="AB124">
        <v>22.345600000000001</v>
      </c>
      <c r="AC124">
        <v>162.00559999999999</v>
      </c>
      <c r="AD124">
        <v>200124384</v>
      </c>
      <c r="AE124" t="s">
        <v>297</v>
      </c>
      <c r="AF124" s="4">
        <v>162.00559999999999</v>
      </c>
      <c r="AG124" t="s">
        <v>51</v>
      </c>
      <c r="AH124" t="s">
        <v>1123</v>
      </c>
      <c r="AI124">
        <v>200127161</v>
      </c>
      <c r="AJ124" t="s">
        <v>1148</v>
      </c>
      <c r="AK124" t="s">
        <v>1129</v>
      </c>
      <c r="AL124">
        <v>340218590</v>
      </c>
      <c r="AM124" t="s">
        <v>135</v>
      </c>
    </row>
    <row r="125" spans="1:39" x14ac:dyDescent="0.35">
      <c r="A125">
        <v>3402</v>
      </c>
      <c r="B125" t="s">
        <v>47</v>
      </c>
      <c r="C125">
        <v>2020</v>
      </c>
      <c r="D125" s="1">
        <v>43831</v>
      </c>
      <c r="E125">
        <v>1</v>
      </c>
      <c r="F125">
        <v>200114373</v>
      </c>
      <c r="G125" t="s">
        <v>120</v>
      </c>
      <c r="H125">
        <v>81</v>
      </c>
      <c r="I125">
        <v>71104010</v>
      </c>
      <c r="J125">
        <v>21021040</v>
      </c>
      <c r="K125" t="s">
        <v>121</v>
      </c>
      <c r="L125">
        <v>139653.68</v>
      </c>
      <c r="M125" t="s">
        <v>31</v>
      </c>
      <c r="N125">
        <v>139653.68</v>
      </c>
      <c r="O125" t="s">
        <v>31</v>
      </c>
      <c r="R125" t="s">
        <v>272</v>
      </c>
      <c r="S125" t="s">
        <v>1131</v>
      </c>
      <c r="T125">
        <v>107211</v>
      </c>
      <c r="U125" t="s">
        <v>123</v>
      </c>
      <c r="X125" t="s">
        <v>35</v>
      </c>
      <c r="Y125" s="8">
        <v>4501229349</v>
      </c>
      <c r="Z125">
        <v>20200130</v>
      </c>
      <c r="AA125">
        <v>139653.68</v>
      </c>
      <c r="AB125">
        <v>22344.588799999998</v>
      </c>
      <c r="AC125">
        <v>161998.26879999999</v>
      </c>
      <c r="AD125">
        <v>200124384</v>
      </c>
      <c r="AE125" t="s">
        <v>297</v>
      </c>
      <c r="AF125" s="4">
        <v>161998.26879999999</v>
      </c>
      <c r="AG125" t="s">
        <v>51</v>
      </c>
      <c r="AH125" t="s">
        <v>1123</v>
      </c>
      <c r="AI125">
        <v>200127161</v>
      </c>
      <c r="AJ125" t="s">
        <v>1148</v>
      </c>
      <c r="AK125" t="s">
        <v>1129</v>
      </c>
      <c r="AL125">
        <v>340218590</v>
      </c>
      <c r="AM125" t="s">
        <v>135</v>
      </c>
    </row>
    <row r="126" spans="1:39" x14ac:dyDescent="0.35">
      <c r="A126">
        <v>3402</v>
      </c>
      <c r="B126" t="s">
        <v>47</v>
      </c>
      <c r="C126">
        <v>2020</v>
      </c>
      <c r="D126" s="1">
        <v>43831</v>
      </c>
      <c r="E126">
        <v>1</v>
      </c>
      <c r="F126">
        <v>200114385</v>
      </c>
      <c r="G126" t="s">
        <v>120</v>
      </c>
      <c r="H126">
        <v>81</v>
      </c>
      <c r="I126">
        <v>71104010</v>
      </c>
      <c r="J126">
        <v>21021040</v>
      </c>
      <c r="K126" t="s">
        <v>121</v>
      </c>
      <c r="L126">
        <v>131539.44</v>
      </c>
      <c r="M126" t="s">
        <v>31</v>
      </c>
      <c r="N126">
        <v>131539.44</v>
      </c>
      <c r="O126" t="s">
        <v>31</v>
      </c>
      <c r="R126" t="s">
        <v>272</v>
      </c>
      <c r="S126" t="s">
        <v>1131</v>
      </c>
      <c r="T126">
        <v>107211</v>
      </c>
      <c r="U126" t="s">
        <v>123</v>
      </c>
      <c r="X126" t="s">
        <v>35</v>
      </c>
      <c r="Y126" s="8">
        <v>4501229349</v>
      </c>
      <c r="Z126">
        <v>20200130</v>
      </c>
      <c r="AA126">
        <v>131539.44</v>
      </c>
      <c r="AB126">
        <v>21046.310400000002</v>
      </c>
      <c r="AC126">
        <v>152585.75040000002</v>
      </c>
      <c r="AD126">
        <v>200124384</v>
      </c>
      <c r="AE126" t="s">
        <v>278</v>
      </c>
      <c r="AF126" s="4">
        <v>152585.75040000002</v>
      </c>
      <c r="AG126" t="s">
        <v>51</v>
      </c>
      <c r="AH126" t="s">
        <v>1123</v>
      </c>
      <c r="AI126">
        <v>200127161</v>
      </c>
      <c r="AJ126" t="s">
        <v>1148</v>
      </c>
      <c r="AK126" t="s">
        <v>1129</v>
      </c>
      <c r="AL126">
        <v>340218590</v>
      </c>
      <c r="AM126" t="s">
        <v>135</v>
      </c>
    </row>
    <row r="127" spans="1:39" x14ac:dyDescent="0.35">
      <c r="A127">
        <v>3402</v>
      </c>
      <c r="B127" t="s">
        <v>47</v>
      </c>
      <c r="C127">
        <v>2020</v>
      </c>
      <c r="D127" s="1">
        <v>43831</v>
      </c>
      <c r="E127">
        <v>1</v>
      </c>
      <c r="F127">
        <v>200114386</v>
      </c>
      <c r="G127" t="s">
        <v>120</v>
      </c>
      <c r="H127">
        <v>91</v>
      </c>
      <c r="I127">
        <v>71104010</v>
      </c>
      <c r="J127">
        <v>21021040</v>
      </c>
      <c r="K127" t="s">
        <v>121</v>
      </c>
      <c r="L127">
        <v>135.1</v>
      </c>
      <c r="M127" t="s">
        <v>31</v>
      </c>
      <c r="N127">
        <v>135.1</v>
      </c>
      <c r="O127" t="s">
        <v>31</v>
      </c>
      <c r="R127" t="s">
        <v>272</v>
      </c>
      <c r="S127" t="s">
        <v>1131</v>
      </c>
      <c r="T127">
        <v>107211</v>
      </c>
      <c r="U127" t="s">
        <v>123</v>
      </c>
      <c r="X127" t="s">
        <v>35</v>
      </c>
      <c r="Y127" s="8">
        <v>4501229349</v>
      </c>
      <c r="Z127">
        <v>20200130</v>
      </c>
      <c r="AA127">
        <v>135.1</v>
      </c>
      <c r="AB127">
        <v>21.616</v>
      </c>
      <c r="AC127">
        <v>156.71600000000001</v>
      </c>
      <c r="AD127">
        <v>200124384</v>
      </c>
      <c r="AE127" t="s">
        <v>279</v>
      </c>
      <c r="AF127" s="4">
        <v>156.71600000000001</v>
      </c>
      <c r="AG127" t="s">
        <v>51</v>
      </c>
      <c r="AH127" t="s">
        <v>1123</v>
      </c>
      <c r="AI127">
        <v>200127161</v>
      </c>
      <c r="AJ127" t="s">
        <v>1148</v>
      </c>
      <c r="AK127" t="s">
        <v>1129</v>
      </c>
      <c r="AL127">
        <v>340218590</v>
      </c>
      <c r="AM127" t="s">
        <v>135</v>
      </c>
    </row>
    <row r="128" spans="1:39" x14ac:dyDescent="0.35">
      <c r="A128">
        <v>3402</v>
      </c>
      <c r="B128" t="s">
        <v>47</v>
      </c>
      <c r="C128">
        <v>2020</v>
      </c>
      <c r="D128" s="1">
        <v>43831</v>
      </c>
      <c r="E128">
        <v>1</v>
      </c>
      <c r="F128">
        <v>200114390</v>
      </c>
      <c r="G128" t="s">
        <v>120</v>
      </c>
      <c r="H128">
        <v>91</v>
      </c>
      <c r="I128">
        <v>71104010</v>
      </c>
      <c r="J128">
        <v>21021040</v>
      </c>
      <c r="K128" t="s">
        <v>121</v>
      </c>
      <c r="L128">
        <v>99.77</v>
      </c>
      <c r="M128" t="s">
        <v>31</v>
      </c>
      <c r="N128">
        <v>99.77</v>
      </c>
      <c r="O128" t="s">
        <v>31</v>
      </c>
      <c r="R128" t="s">
        <v>272</v>
      </c>
      <c r="S128" t="s">
        <v>1131</v>
      </c>
      <c r="T128">
        <v>107211</v>
      </c>
      <c r="U128" t="s">
        <v>123</v>
      </c>
      <c r="X128" t="s">
        <v>35</v>
      </c>
      <c r="Y128" s="8">
        <v>4501229349</v>
      </c>
      <c r="Z128">
        <v>20200130</v>
      </c>
      <c r="AA128">
        <v>99.77</v>
      </c>
      <c r="AB128">
        <v>15.963200000000001</v>
      </c>
      <c r="AC128">
        <v>115.7332</v>
      </c>
      <c r="AD128">
        <v>200124384</v>
      </c>
      <c r="AE128" t="s">
        <v>298</v>
      </c>
      <c r="AF128" s="4">
        <v>115.7332</v>
      </c>
      <c r="AG128" t="s">
        <v>51</v>
      </c>
      <c r="AH128" t="s">
        <v>1123</v>
      </c>
      <c r="AI128">
        <v>200127161</v>
      </c>
      <c r="AJ128" t="s">
        <v>1148</v>
      </c>
      <c r="AK128" t="s">
        <v>1129</v>
      </c>
      <c r="AL128">
        <v>340218590</v>
      </c>
      <c r="AM128" t="s">
        <v>135</v>
      </c>
    </row>
    <row r="129" spans="1:39" x14ac:dyDescent="0.35">
      <c r="A129">
        <v>3402</v>
      </c>
      <c r="B129" t="s">
        <v>47</v>
      </c>
      <c r="C129">
        <v>2020</v>
      </c>
      <c r="D129" s="1">
        <v>43831</v>
      </c>
      <c r="E129">
        <v>1</v>
      </c>
      <c r="F129">
        <v>200114391</v>
      </c>
      <c r="G129" t="s">
        <v>120</v>
      </c>
      <c r="H129">
        <v>81</v>
      </c>
      <c r="I129">
        <v>71104010</v>
      </c>
      <c r="J129">
        <v>21021040</v>
      </c>
      <c r="K129" t="s">
        <v>121</v>
      </c>
      <c r="L129">
        <v>99744.78</v>
      </c>
      <c r="M129" t="s">
        <v>31</v>
      </c>
      <c r="N129">
        <v>99744.78</v>
      </c>
      <c r="O129" t="s">
        <v>31</v>
      </c>
      <c r="R129" t="s">
        <v>272</v>
      </c>
      <c r="S129" t="s">
        <v>1131</v>
      </c>
      <c r="T129">
        <v>107211</v>
      </c>
      <c r="U129" t="s">
        <v>123</v>
      </c>
      <c r="X129" t="s">
        <v>35</v>
      </c>
      <c r="Y129" s="8">
        <v>4501229349</v>
      </c>
      <c r="Z129">
        <v>20200130</v>
      </c>
      <c r="AA129">
        <v>99744.78</v>
      </c>
      <c r="AB129">
        <v>15959.1648</v>
      </c>
      <c r="AC129">
        <v>115703.9448</v>
      </c>
      <c r="AD129">
        <v>200124384</v>
      </c>
      <c r="AE129" t="s">
        <v>298</v>
      </c>
      <c r="AF129" s="4">
        <v>115703.9448</v>
      </c>
      <c r="AG129" t="s">
        <v>51</v>
      </c>
      <c r="AH129" t="s">
        <v>1123</v>
      </c>
      <c r="AI129">
        <v>200127161</v>
      </c>
      <c r="AJ129" t="s">
        <v>1148</v>
      </c>
      <c r="AK129" t="s">
        <v>1129</v>
      </c>
      <c r="AL129">
        <v>340218590</v>
      </c>
      <c r="AM129" t="s">
        <v>135</v>
      </c>
    </row>
    <row r="130" spans="1:39" x14ac:dyDescent="0.35">
      <c r="A130">
        <v>3402</v>
      </c>
      <c r="B130" t="s">
        <v>47</v>
      </c>
      <c r="C130">
        <v>2020</v>
      </c>
      <c r="D130" s="1">
        <v>43831</v>
      </c>
      <c r="E130">
        <v>1</v>
      </c>
      <c r="F130">
        <v>200114394</v>
      </c>
      <c r="G130" t="s">
        <v>120</v>
      </c>
      <c r="H130">
        <v>91</v>
      </c>
      <c r="I130">
        <v>71104010</v>
      </c>
      <c r="J130">
        <v>21021040</v>
      </c>
      <c r="K130" t="s">
        <v>121</v>
      </c>
      <c r="L130">
        <v>114.32</v>
      </c>
      <c r="M130" t="s">
        <v>31</v>
      </c>
      <c r="N130">
        <v>114.32</v>
      </c>
      <c r="O130" t="s">
        <v>31</v>
      </c>
      <c r="R130" t="s">
        <v>272</v>
      </c>
      <c r="S130" t="s">
        <v>1131</v>
      </c>
      <c r="T130">
        <v>107211</v>
      </c>
      <c r="U130" t="s">
        <v>123</v>
      </c>
      <c r="X130" t="s">
        <v>35</v>
      </c>
      <c r="Y130" s="8">
        <v>4501229349</v>
      </c>
      <c r="Z130">
        <v>20200130</v>
      </c>
      <c r="AA130">
        <v>114.32</v>
      </c>
      <c r="AB130">
        <v>18.2912</v>
      </c>
      <c r="AC130">
        <v>132.6112</v>
      </c>
      <c r="AD130">
        <v>200124384</v>
      </c>
      <c r="AE130" t="s">
        <v>299</v>
      </c>
      <c r="AF130" s="4">
        <v>132.6112</v>
      </c>
      <c r="AG130" t="s">
        <v>51</v>
      </c>
      <c r="AH130" t="s">
        <v>1123</v>
      </c>
      <c r="AI130">
        <v>200127161</v>
      </c>
      <c r="AJ130" t="s">
        <v>1148</v>
      </c>
      <c r="AK130" t="s">
        <v>1129</v>
      </c>
      <c r="AL130">
        <v>340218590</v>
      </c>
      <c r="AM130" t="s">
        <v>135</v>
      </c>
    </row>
    <row r="131" spans="1:39" x14ac:dyDescent="0.35">
      <c r="A131">
        <v>3402</v>
      </c>
      <c r="B131" t="s">
        <v>47</v>
      </c>
      <c r="C131">
        <v>2020</v>
      </c>
      <c r="D131" s="1">
        <v>43831</v>
      </c>
      <c r="E131">
        <v>1</v>
      </c>
      <c r="F131">
        <v>200114395</v>
      </c>
      <c r="G131" t="s">
        <v>120</v>
      </c>
      <c r="H131">
        <v>81</v>
      </c>
      <c r="I131">
        <v>71104010</v>
      </c>
      <c r="J131">
        <v>21021040</v>
      </c>
      <c r="K131" t="s">
        <v>121</v>
      </c>
      <c r="L131">
        <v>114322.46</v>
      </c>
      <c r="M131" t="s">
        <v>31</v>
      </c>
      <c r="N131">
        <v>114322.46</v>
      </c>
      <c r="O131" t="s">
        <v>31</v>
      </c>
      <c r="R131" t="s">
        <v>272</v>
      </c>
      <c r="S131" t="s">
        <v>1131</v>
      </c>
      <c r="T131">
        <v>107211</v>
      </c>
      <c r="U131" t="s">
        <v>123</v>
      </c>
      <c r="X131" t="s">
        <v>35</v>
      </c>
      <c r="Y131" s="8">
        <v>4501229349</v>
      </c>
      <c r="Z131">
        <v>20200130</v>
      </c>
      <c r="AA131">
        <v>114322.46</v>
      </c>
      <c r="AB131">
        <v>18291.5936</v>
      </c>
      <c r="AC131">
        <v>132614.05360000001</v>
      </c>
      <c r="AD131">
        <v>200124384</v>
      </c>
      <c r="AE131" t="s">
        <v>299</v>
      </c>
      <c r="AF131" s="4">
        <v>132614.05360000001</v>
      </c>
      <c r="AG131" t="s">
        <v>51</v>
      </c>
      <c r="AH131" t="s">
        <v>1123</v>
      </c>
      <c r="AI131">
        <v>200127161</v>
      </c>
      <c r="AJ131" t="s">
        <v>1148</v>
      </c>
      <c r="AK131" t="s">
        <v>1129</v>
      </c>
      <c r="AL131">
        <v>340218590</v>
      </c>
      <c r="AM131" t="s">
        <v>135</v>
      </c>
    </row>
    <row r="132" spans="1:39" x14ac:dyDescent="0.35">
      <c r="A132">
        <v>3402</v>
      </c>
      <c r="B132" t="s">
        <v>47</v>
      </c>
      <c r="C132">
        <v>2020</v>
      </c>
      <c r="D132" s="1">
        <v>43831</v>
      </c>
      <c r="E132">
        <v>1</v>
      </c>
      <c r="F132">
        <v>200114396</v>
      </c>
      <c r="G132" t="s">
        <v>120</v>
      </c>
      <c r="H132">
        <v>91</v>
      </c>
      <c r="I132">
        <v>71104010</v>
      </c>
      <c r="J132">
        <v>21021040</v>
      </c>
      <c r="K132" t="s">
        <v>121</v>
      </c>
      <c r="L132">
        <v>103.05</v>
      </c>
      <c r="M132" t="s">
        <v>31</v>
      </c>
      <c r="N132">
        <v>103.05</v>
      </c>
      <c r="O132" t="s">
        <v>31</v>
      </c>
      <c r="R132" t="s">
        <v>272</v>
      </c>
      <c r="S132" t="s">
        <v>1131</v>
      </c>
      <c r="T132">
        <v>107211</v>
      </c>
      <c r="U132" t="s">
        <v>123</v>
      </c>
      <c r="X132" t="s">
        <v>35</v>
      </c>
      <c r="Y132" s="8">
        <v>4501229349</v>
      </c>
      <c r="Z132">
        <v>20200130</v>
      </c>
      <c r="AA132">
        <v>103.05</v>
      </c>
      <c r="AB132">
        <v>16.488</v>
      </c>
      <c r="AC132">
        <v>119.538</v>
      </c>
      <c r="AD132">
        <v>200124384</v>
      </c>
      <c r="AE132" t="s">
        <v>300</v>
      </c>
      <c r="AF132" s="4">
        <v>119.538</v>
      </c>
      <c r="AG132" t="s">
        <v>51</v>
      </c>
      <c r="AH132" t="s">
        <v>1123</v>
      </c>
      <c r="AI132">
        <v>200127161</v>
      </c>
      <c r="AJ132" t="s">
        <v>1148</v>
      </c>
      <c r="AK132" t="s">
        <v>1129</v>
      </c>
      <c r="AL132">
        <v>340218590</v>
      </c>
      <c r="AM132" t="s">
        <v>135</v>
      </c>
    </row>
    <row r="133" spans="1:39" x14ac:dyDescent="0.35">
      <c r="A133">
        <v>3402</v>
      </c>
      <c r="B133" t="s">
        <v>47</v>
      </c>
      <c r="C133">
        <v>2020</v>
      </c>
      <c r="D133" s="1">
        <v>43831</v>
      </c>
      <c r="E133">
        <v>1</v>
      </c>
      <c r="F133">
        <v>200114397</v>
      </c>
      <c r="G133" t="s">
        <v>120</v>
      </c>
      <c r="H133">
        <v>81</v>
      </c>
      <c r="I133">
        <v>71104010</v>
      </c>
      <c r="J133">
        <v>21021040</v>
      </c>
      <c r="K133" t="s">
        <v>121</v>
      </c>
      <c r="L133">
        <v>103053.84</v>
      </c>
      <c r="M133" t="s">
        <v>31</v>
      </c>
      <c r="N133">
        <v>103053.84</v>
      </c>
      <c r="O133" t="s">
        <v>31</v>
      </c>
      <c r="R133" t="s">
        <v>272</v>
      </c>
      <c r="S133" t="s">
        <v>1131</v>
      </c>
      <c r="T133">
        <v>107211</v>
      </c>
      <c r="U133" t="s">
        <v>123</v>
      </c>
      <c r="X133" t="s">
        <v>35</v>
      </c>
      <c r="Y133" s="8">
        <v>4501229349</v>
      </c>
      <c r="Z133">
        <v>20200130</v>
      </c>
      <c r="AA133">
        <v>103053.84</v>
      </c>
      <c r="AB133">
        <v>16488.614399999999</v>
      </c>
      <c r="AC133">
        <v>119542.45439999999</v>
      </c>
      <c r="AD133">
        <v>200124384</v>
      </c>
      <c r="AE133" t="s">
        <v>300</v>
      </c>
      <c r="AF133" s="4">
        <v>119542.45439999999</v>
      </c>
      <c r="AG133" t="s">
        <v>51</v>
      </c>
      <c r="AH133" t="s">
        <v>1123</v>
      </c>
      <c r="AI133">
        <v>200127161</v>
      </c>
      <c r="AJ133" t="s">
        <v>1148</v>
      </c>
      <c r="AK133" t="s">
        <v>1129</v>
      </c>
      <c r="AL133">
        <v>340218590</v>
      </c>
      <c r="AM133" t="s">
        <v>135</v>
      </c>
    </row>
    <row r="134" spans="1:39" x14ac:dyDescent="0.35">
      <c r="A134">
        <v>3402</v>
      </c>
      <c r="B134" t="s">
        <v>47</v>
      </c>
      <c r="C134">
        <v>2020</v>
      </c>
      <c r="D134" s="1">
        <v>43831</v>
      </c>
      <c r="E134">
        <v>1</v>
      </c>
      <c r="F134">
        <v>200114398</v>
      </c>
      <c r="G134" t="s">
        <v>120</v>
      </c>
      <c r="H134">
        <v>91</v>
      </c>
      <c r="I134">
        <v>71104010</v>
      </c>
      <c r="J134">
        <v>21021040</v>
      </c>
      <c r="K134" t="s">
        <v>121</v>
      </c>
      <c r="L134">
        <v>106.36</v>
      </c>
      <c r="M134" t="s">
        <v>31</v>
      </c>
      <c r="N134">
        <v>106.36</v>
      </c>
      <c r="O134" t="s">
        <v>31</v>
      </c>
      <c r="R134" t="s">
        <v>272</v>
      </c>
      <c r="S134" t="s">
        <v>1131</v>
      </c>
      <c r="T134">
        <v>107211</v>
      </c>
      <c r="U134" t="s">
        <v>123</v>
      </c>
      <c r="X134" t="s">
        <v>35</v>
      </c>
      <c r="Y134" s="8">
        <v>4501229349</v>
      </c>
      <c r="Z134">
        <v>20200130</v>
      </c>
      <c r="AA134">
        <v>106.36</v>
      </c>
      <c r="AB134">
        <v>17.017600000000002</v>
      </c>
      <c r="AC134">
        <v>123.3776</v>
      </c>
      <c r="AD134">
        <v>200124384</v>
      </c>
      <c r="AE134" t="s">
        <v>301</v>
      </c>
      <c r="AF134" s="4">
        <v>123.3776</v>
      </c>
      <c r="AG134" t="s">
        <v>51</v>
      </c>
      <c r="AH134" t="s">
        <v>1123</v>
      </c>
      <c r="AI134">
        <v>200127161</v>
      </c>
      <c r="AJ134" t="s">
        <v>1148</v>
      </c>
      <c r="AK134" t="s">
        <v>1129</v>
      </c>
      <c r="AL134">
        <v>340218590</v>
      </c>
      <c r="AM134" t="s">
        <v>135</v>
      </c>
    </row>
    <row r="135" spans="1:39" x14ac:dyDescent="0.35">
      <c r="A135">
        <v>3402</v>
      </c>
      <c r="B135" t="s">
        <v>47</v>
      </c>
      <c r="C135">
        <v>2020</v>
      </c>
      <c r="D135" s="1">
        <v>43831</v>
      </c>
      <c r="E135">
        <v>1</v>
      </c>
      <c r="F135">
        <v>200114399</v>
      </c>
      <c r="G135" t="s">
        <v>120</v>
      </c>
      <c r="H135">
        <v>81</v>
      </c>
      <c r="I135">
        <v>71104010</v>
      </c>
      <c r="J135">
        <v>21021040</v>
      </c>
      <c r="K135" t="s">
        <v>121</v>
      </c>
      <c r="L135">
        <v>106362.82</v>
      </c>
      <c r="M135" t="s">
        <v>31</v>
      </c>
      <c r="N135">
        <v>106362.82</v>
      </c>
      <c r="O135" t="s">
        <v>31</v>
      </c>
      <c r="R135" t="s">
        <v>272</v>
      </c>
      <c r="S135" t="s">
        <v>1131</v>
      </c>
      <c r="T135">
        <v>107211</v>
      </c>
      <c r="U135" t="s">
        <v>123</v>
      </c>
      <c r="X135" t="s">
        <v>35</v>
      </c>
      <c r="Y135" s="8">
        <v>4501229349</v>
      </c>
      <c r="Z135">
        <v>20200130</v>
      </c>
      <c r="AA135">
        <v>106362.82</v>
      </c>
      <c r="AB135">
        <v>17018.051200000002</v>
      </c>
      <c r="AC135">
        <v>123380.87120000001</v>
      </c>
      <c r="AD135">
        <v>200124384</v>
      </c>
      <c r="AE135" t="s">
        <v>301</v>
      </c>
      <c r="AF135" s="4">
        <v>123380.87120000001</v>
      </c>
      <c r="AG135" t="s">
        <v>51</v>
      </c>
      <c r="AH135" t="s">
        <v>1123</v>
      </c>
      <c r="AI135">
        <v>200127161</v>
      </c>
      <c r="AJ135" t="s">
        <v>1148</v>
      </c>
      <c r="AK135" t="s">
        <v>1129</v>
      </c>
      <c r="AL135">
        <v>340218590</v>
      </c>
      <c r="AM135" t="s">
        <v>135</v>
      </c>
    </row>
    <row r="136" spans="1:39" x14ac:dyDescent="0.35">
      <c r="A136">
        <v>3402</v>
      </c>
      <c r="B136" t="s">
        <v>47</v>
      </c>
      <c r="C136">
        <v>2020</v>
      </c>
      <c r="D136" s="1">
        <v>43831</v>
      </c>
      <c r="E136">
        <v>1</v>
      </c>
      <c r="F136">
        <v>200114401</v>
      </c>
      <c r="G136" t="s">
        <v>120</v>
      </c>
      <c r="H136">
        <v>81</v>
      </c>
      <c r="I136">
        <v>71104010</v>
      </c>
      <c r="J136">
        <v>21021040</v>
      </c>
      <c r="K136" t="s">
        <v>121</v>
      </c>
      <c r="L136">
        <v>112943.74</v>
      </c>
      <c r="M136" t="s">
        <v>31</v>
      </c>
      <c r="N136">
        <v>112943.74</v>
      </c>
      <c r="O136" t="s">
        <v>31</v>
      </c>
      <c r="R136" t="s">
        <v>272</v>
      </c>
      <c r="S136" t="s">
        <v>1131</v>
      </c>
      <c r="T136">
        <v>107211</v>
      </c>
      <c r="U136" t="s">
        <v>123</v>
      </c>
      <c r="X136" t="s">
        <v>35</v>
      </c>
      <c r="Y136" s="8">
        <v>4501229349</v>
      </c>
      <c r="Z136">
        <v>20200130</v>
      </c>
      <c r="AA136">
        <v>112943.74</v>
      </c>
      <c r="AB136">
        <v>18070.9984</v>
      </c>
      <c r="AC136">
        <v>131014.7384</v>
      </c>
      <c r="AD136">
        <v>200124384</v>
      </c>
      <c r="AE136" t="s">
        <v>282</v>
      </c>
      <c r="AF136" s="4">
        <v>131014.7384</v>
      </c>
      <c r="AG136" t="s">
        <v>51</v>
      </c>
      <c r="AH136" t="s">
        <v>1123</v>
      </c>
      <c r="AI136">
        <v>200127161</v>
      </c>
      <c r="AJ136" t="s">
        <v>1148</v>
      </c>
      <c r="AK136" t="s">
        <v>1129</v>
      </c>
      <c r="AL136">
        <v>340218590</v>
      </c>
      <c r="AM136" t="s">
        <v>135</v>
      </c>
    </row>
    <row r="137" spans="1:39" x14ac:dyDescent="0.35">
      <c r="A137">
        <v>3402</v>
      </c>
      <c r="B137" t="s">
        <v>47</v>
      </c>
      <c r="C137">
        <v>2020</v>
      </c>
      <c r="D137" s="1">
        <v>43831</v>
      </c>
      <c r="E137">
        <v>1</v>
      </c>
      <c r="F137">
        <v>200114404</v>
      </c>
      <c r="G137" t="s">
        <v>120</v>
      </c>
      <c r="H137">
        <v>81</v>
      </c>
      <c r="I137">
        <v>71104010</v>
      </c>
      <c r="J137">
        <v>21021040</v>
      </c>
      <c r="K137" t="s">
        <v>121</v>
      </c>
      <c r="L137">
        <v>113707.4</v>
      </c>
      <c r="M137" t="s">
        <v>31</v>
      </c>
      <c r="N137">
        <v>113707.4</v>
      </c>
      <c r="O137" t="s">
        <v>31</v>
      </c>
      <c r="R137" t="s">
        <v>272</v>
      </c>
      <c r="S137" t="s">
        <v>1131</v>
      </c>
      <c r="T137">
        <v>107211</v>
      </c>
      <c r="U137" t="s">
        <v>123</v>
      </c>
      <c r="X137" t="s">
        <v>35</v>
      </c>
      <c r="Y137" s="8">
        <v>4501229349</v>
      </c>
      <c r="Z137">
        <v>20200130</v>
      </c>
      <c r="AA137">
        <v>113707.4</v>
      </c>
      <c r="AB137">
        <v>18193.184000000001</v>
      </c>
      <c r="AC137">
        <v>131900.584</v>
      </c>
      <c r="AD137">
        <v>200124384</v>
      </c>
      <c r="AE137" t="s">
        <v>283</v>
      </c>
      <c r="AF137" s="4">
        <v>131900.584</v>
      </c>
      <c r="AG137" t="s">
        <v>51</v>
      </c>
      <c r="AH137" t="s">
        <v>1123</v>
      </c>
      <c r="AI137">
        <v>200127161</v>
      </c>
      <c r="AJ137" t="s">
        <v>1148</v>
      </c>
      <c r="AK137" t="s">
        <v>1129</v>
      </c>
      <c r="AL137">
        <v>340218590</v>
      </c>
      <c r="AM137" t="s">
        <v>135</v>
      </c>
    </row>
    <row r="138" spans="1:39" x14ac:dyDescent="0.35">
      <c r="A138">
        <v>3402</v>
      </c>
      <c r="B138" t="s">
        <v>47</v>
      </c>
      <c r="C138">
        <v>2020</v>
      </c>
      <c r="D138" s="1">
        <v>43831</v>
      </c>
      <c r="E138">
        <v>1</v>
      </c>
      <c r="F138">
        <v>200114405</v>
      </c>
      <c r="G138" t="s">
        <v>120</v>
      </c>
      <c r="H138">
        <v>91</v>
      </c>
      <c r="I138">
        <v>71104010</v>
      </c>
      <c r="J138">
        <v>21021040</v>
      </c>
      <c r="K138" t="s">
        <v>121</v>
      </c>
      <c r="L138">
        <v>92.39</v>
      </c>
      <c r="M138" t="s">
        <v>31</v>
      </c>
      <c r="N138">
        <v>92.39</v>
      </c>
      <c r="O138" t="s">
        <v>31</v>
      </c>
      <c r="R138" t="s">
        <v>272</v>
      </c>
      <c r="S138" t="s">
        <v>1131</v>
      </c>
      <c r="T138">
        <v>107211</v>
      </c>
      <c r="U138" t="s">
        <v>123</v>
      </c>
      <c r="X138" t="s">
        <v>35</v>
      </c>
      <c r="Y138" s="8">
        <v>4501229349</v>
      </c>
      <c r="Z138">
        <v>20200130</v>
      </c>
      <c r="AA138">
        <v>92.39</v>
      </c>
      <c r="AB138">
        <v>14.782400000000001</v>
      </c>
      <c r="AC138">
        <v>107.1724</v>
      </c>
      <c r="AD138">
        <v>200124384</v>
      </c>
      <c r="AE138" t="s">
        <v>302</v>
      </c>
      <c r="AF138" s="4">
        <v>107.1724</v>
      </c>
      <c r="AG138" t="s">
        <v>51</v>
      </c>
      <c r="AH138" t="s">
        <v>1123</v>
      </c>
      <c r="AI138">
        <v>200127161</v>
      </c>
      <c r="AJ138" t="s">
        <v>1148</v>
      </c>
      <c r="AK138" t="s">
        <v>1129</v>
      </c>
      <c r="AL138">
        <v>340218590</v>
      </c>
      <c r="AM138" t="s">
        <v>135</v>
      </c>
    </row>
    <row r="139" spans="1:39" x14ac:dyDescent="0.35">
      <c r="A139">
        <v>3402</v>
      </c>
      <c r="B139" t="s">
        <v>47</v>
      </c>
      <c r="C139">
        <v>2020</v>
      </c>
      <c r="D139" s="1">
        <v>43831</v>
      </c>
      <c r="E139">
        <v>1</v>
      </c>
      <c r="F139">
        <v>200114406</v>
      </c>
      <c r="G139" t="s">
        <v>120</v>
      </c>
      <c r="H139">
        <v>81</v>
      </c>
      <c r="I139">
        <v>71104010</v>
      </c>
      <c r="J139">
        <v>21021040</v>
      </c>
      <c r="K139" t="s">
        <v>121</v>
      </c>
      <c r="L139">
        <v>92364.68</v>
      </c>
      <c r="M139" t="s">
        <v>31</v>
      </c>
      <c r="N139">
        <v>92364.68</v>
      </c>
      <c r="O139" t="s">
        <v>31</v>
      </c>
      <c r="R139" t="s">
        <v>272</v>
      </c>
      <c r="S139" t="s">
        <v>1131</v>
      </c>
      <c r="T139">
        <v>107211</v>
      </c>
      <c r="U139" t="s">
        <v>123</v>
      </c>
      <c r="X139" t="s">
        <v>35</v>
      </c>
      <c r="Y139" s="8">
        <v>4501229349</v>
      </c>
      <c r="Z139">
        <v>20200130</v>
      </c>
      <c r="AA139">
        <v>92364.68</v>
      </c>
      <c r="AB139">
        <v>14778.3488</v>
      </c>
      <c r="AC139">
        <v>107143.0288</v>
      </c>
      <c r="AD139">
        <v>200124384</v>
      </c>
      <c r="AE139" t="s">
        <v>302</v>
      </c>
      <c r="AF139" s="4">
        <v>107143.0288</v>
      </c>
      <c r="AG139" t="s">
        <v>51</v>
      </c>
      <c r="AH139" t="s">
        <v>1123</v>
      </c>
      <c r="AI139">
        <v>200127161</v>
      </c>
      <c r="AJ139" t="s">
        <v>1148</v>
      </c>
      <c r="AK139" t="s">
        <v>1129</v>
      </c>
      <c r="AL139">
        <v>340218590</v>
      </c>
      <c r="AM139" t="s">
        <v>135</v>
      </c>
    </row>
    <row r="140" spans="1:39" x14ac:dyDescent="0.35">
      <c r="A140">
        <v>3402</v>
      </c>
      <c r="B140" t="s">
        <v>47</v>
      </c>
      <c r="C140">
        <v>2020</v>
      </c>
      <c r="D140" s="1">
        <v>43831</v>
      </c>
      <c r="E140">
        <v>1</v>
      </c>
      <c r="F140">
        <v>200114407</v>
      </c>
      <c r="G140" t="s">
        <v>120</v>
      </c>
      <c r="H140">
        <v>91</v>
      </c>
      <c r="I140">
        <v>71104010</v>
      </c>
      <c r="J140">
        <v>21021040</v>
      </c>
      <c r="K140" t="s">
        <v>121</v>
      </c>
      <c r="L140">
        <v>131.58000000000001</v>
      </c>
      <c r="M140" t="s">
        <v>31</v>
      </c>
      <c r="N140">
        <v>131.58000000000001</v>
      </c>
      <c r="O140" t="s">
        <v>31</v>
      </c>
      <c r="R140" t="s">
        <v>272</v>
      </c>
      <c r="S140" t="s">
        <v>1131</v>
      </c>
      <c r="T140">
        <v>107211</v>
      </c>
      <c r="U140" t="s">
        <v>123</v>
      </c>
      <c r="X140" t="s">
        <v>35</v>
      </c>
      <c r="Y140" s="8">
        <v>4501229349</v>
      </c>
      <c r="Z140">
        <v>20200130</v>
      </c>
      <c r="AA140">
        <v>131.58000000000001</v>
      </c>
      <c r="AB140">
        <v>21.052800000000001</v>
      </c>
      <c r="AC140">
        <v>152.6328</v>
      </c>
      <c r="AD140">
        <v>200124384</v>
      </c>
      <c r="AE140" t="s">
        <v>274</v>
      </c>
      <c r="AF140" s="4">
        <v>152.6328</v>
      </c>
      <c r="AG140" t="s">
        <v>51</v>
      </c>
      <c r="AH140" t="s">
        <v>1123</v>
      </c>
      <c r="AI140">
        <v>200127161</v>
      </c>
      <c r="AJ140" t="s">
        <v>1148</v>
      </c>
      <c r="AK140" t="s">
        <v>1129</v>
      </c>
      <c r="AL140">
        <v>340218590</v>
      </c>
      <c r="AM140" t="s">
        <v>135</v>
      </c>
    </row>
    <row r="141" spans="1:39" x14ac:dyDescent="0.35">
      <c r="A141">
        <v>3402</v>
      </c>
      <c r="B141" t="s">
        <v>47</v>
      </c>
      <c r="C141">
        <v>2020</v>
      </c>
      <c r="D141" s="1">
        <v>43831</v>
      </c>
      <c r="E141">
        <v>1</v>
      </c>
      <c r="F141">
        <v>200114409</v>
      </c>
      <c r="G141" t="s">
        <v>120</v>
      </c>
      <c r="H141">
        <v>91</v>
      </c>
      <c r="I141">
        <v>71104010</v>
      </c>
      <c r="J141">
        <v>21021040</v>
      </c>
      <c r="K141" t="s">
        <v>121</v>
      </c>
      <c r="L141">
        <v>134.05000000000001</v>
      </c>
      <c r="M141" t="s">
        <v>31</v>
      </c>
      <c r="N141">
        <v>134.05000000000001</v>
      </c>
      <c r="O141" t="s">
        <v>31</v>
      </c>
      <c r="R141" t="s">
        <v>272</v>
      </c>
      <c r="S141" t="s">
        <v>1131</v>
      </c>
      <c r="T141">
        <v>107211</v>
      </c>
      <c r="U141" t="s">
        <v>123</v>
      </c>
      <c r="X141" t="s">
        <v>35</v>
      </c>
      <c r="Y141" s="8">
        <v>4501229349</v>
      </c>
      <c r="Z141">
        <v>20200130</v>
      </c>
      <c r="AA141">
        <v>134.05000000000001</v>
      </c>
      <c r="AB141">
        <v>21.448000000000004</v>
      </c>
      <c r="AC141">
        <v>155.49800000000002</v>
      </c>
      <c r="AD141">
        <v>200124384</v>
      </c>
      <c r="AE141" t="s">
        <v>303</v>
      </c>
      <c r="AF141" s="4">
        <v>155.49800000000002</v>
      </c>
      <c r="AG141" t="s">
        <v>51</v>
      </c>
      <c r="AH141" t="s">
        <v>1123</v>
      </c>
      <c r="AI141">
        <v>200127161</v>
      </c>
      <c r="AJ141" t="s">
        <v>1148</v>
      </c>
      <c r="AK141" t="s">
        <v>1129</v>
      </c>
      <c r="AL141">
        <v>340218590</v>
      </c>
      <c r="AM141" t="s">
        <v>135</v>
      </c>
    </row>
    <row r="142" spans="1:39" x14ac:dyDescent="0.35">
      <c r="A142">
        <v>3402</v>
      </c>
      <c r="B142" t="s">
        <v>47</v>
      </c>
      <c r="C142">
        <v>2020</v>
      </c>
      <c r="D142" s="1">
        <v>43831</v>
      </c>
      <c r="E142">
        <v>1</v>
      </c>
      <c r="F142">
        <v>200114410</v>
      </c>
      <c r="G142" t="s">
        <v>120</v>
      </c>
      <c r="H142">
        <v>81</v>
      </c>
      <c r="I142">
        <v>71104010</v>
      </c>
      <c r="J142">
        <v>21021040</v>
      </c>
      <c r="K142" t="s">
        <v>121</v>
      </c>
      <c r="L142">
        <v>134060.46</v>
      </c>
      <c r="M142" t="s">
        <v>31</v>
      </c>
      <c r="N142">
        <v>134060.46</v>
      </c>
      <c r="O142" t="s">
        <v>31</v>
      </c>
      <c r="R142" t="s">
        <v>272</v>
      </c>
      <c r="S142" t="s">
        <v>1131</v>
      </c>
      <c r="T142">
        <v>107211</v>
      </c>
      <c r="U142" t="s">
        <v>123</v>
      </c>
      <c r="X142" t="s">
        <v>35</v>
      </c>
      <c r="Y142" s="8">
        <v>4501229349</v>
      </c>
      <c r="Z142">
        <v>20200130</v>
      </c>
      <c r="AA142">
        <v>134060.46</v>
      </c>
      <c r="AB142">
        <v>21449.673599999998</v>
      </c>
      <c r="AC142">
        <v>155510.1336</v>
      </c>
      <c r="AD142">
        <v>200124384</v>
      </c>
      <c r="AE142" t="s">
        <v>303</v>
      </c>
      <c r="AF142" s="4">
        <v>155510.1336</v>
      </c>
      <c r="AG142" t="s">
        <v>51</v>
      </c>
      <c r="AH142" t="s">
        <v>1123</v>
      </c>
      <c r="AI142">
        <v>200127161</v>
      </c>
      <c r="AJ142" t="s">
        <v>1148</v>
      </c>
      <c r="AK142" t="s">
        <v>1129</v>
      </c>
      <c r="AL142">
        <v>340218590</v>
      </c>
      <c r="AM142" t="s">
        <v>135</v>
      </c>
    </row>
    <row r="143" spans="1:39" x14ac:dyDescent="0.35">
      <c r="A143">
        <v>3402</v>
      </c>
      <c r="B143" t="s">
        <v>47</v>
      </c>
      <c r="C143">
        <v>2020</v>
      </c>
      <c r="D143" s="1">
        <v>43831</v>
      </c>
      <c r="E143">
        <v>1</v>
      </c>
      <c r="F143">
        <v>200114411</v>
      </c>
      <c r="G143" t="s">
        <v>120</v>
      </c>
      <c r="H143">
        <v>91</v>
      </c>
      <c r="I143">
        <v>71104010</v>
      </c>
      <c r="J143">
        <v>21021040</v>
      </c>
      <c r="K143" t="s">
        <v>121</v>
      </c>
      <c r="L143">
        <v>140.38999999999999</v>
      </c>
      <c r="M143" t="s">
        <v>31</v>
      </c>
      <c r="N143">
        <v>140.38999999999999</v>
      </c>
      <c r="O143" t="s">
        <v>31</v>
      </c>
      <c r="R143" t="s">
        <v>272</v>
      </c>
      <c r="S143" t="s">
        <v>1131</v>
      </c>
      <c r="T143">
        <v>107211</v>
      </c>
      <c r="U143" t="s">
        <v>123</v>
      </c>
      <c r="X143" t="s">
        <v>35</v>
      </c>
      <c r="Y143" s="8">
        <v>4501229349</v>
      </c>
      <c r="Z143">
        <v>20200130</v>
      </c>
      <c r="AA143">
        <v>140.38999999999999</v>
      </c>
      <c r="AB143">
        <v>22.462399999999999</v>
      </c>
      <c r="AC143">
        <v>162.85239999999999</v>
      </c>
      <c r="AD143">
        <v>200124384</v>
      </c>
      <c r="AE143" t="s">
        <v>304</v>
      </c>
      <c r="AF143" s="4">
        <v>162.85239999999999</v>
      </c>
      <c r="AG143" t="s">
        <v>51</v>
      </c>
      <c r="AH143" t="s">
        <v>1123</v>
      </c>
      <c r="AI143">
        <v>200127161</v>
      </c>
      <c r="AJ143" t="s">
        <v>1148</v>
      </c>
      <c r="AK143" t="s">
        <v>1129</v>
      </c>
      <c r="AL143">
        <v>340218590</v>
      </c>
      <c r="AM143" t="s">
        <v>135</v>
      </c>
    </row>
    <row r="144" spans="1:39" x14ac:dyDescent="0.35">
      <c r="A144">
        <v>3402</v>
      </c>
      <c r="B144" t="s">
        <v>47</v>
      </c>
      <c r="C144">
        <v>2020</v>
      </c>
      <c r="D144" s="1">
        <v>43831</v>
      </c>
      <c r="E144">
        <v>1</v>
      </c>
      <c r="F144">
        <v>200114412</v>
      </c>
      <c r="G144" t="s">
        <v>120</v>
      </c>
      <c r="H144">
        <v>81</v>
      </c>
      <c r="I144">
        <v>71104010</v>
      </c>
      <c r="J144">
        <v>21021040</v>
      </c>
      <c r="K144" t="s">
        <v>121</v>
      </c>
      <c r="L144">
        <v>140387.4</v>
      </c>
      <c r="M144" t="s">
        <v>31</v>
      </c>
      <c r="N144">
        <v>140387.4</v>
      </c>
      <c r="O144" t="s">
        <v>31</v>
      </c>
      <c r="R144" t="s">
        <v>272</v>
      </c>
      <c r="S144" t="s">
        <v>1131</v>
      </c>
      <c r="T144">
        <v>107211</v>
      </c>
      <c r="U144" t="s">
        <v>123</v>
      </c>
      <c r="X144" t="s">
        <v>35</v>
      </c>
      <c r="Y144" s="8">
        <v>4501229349</v>
      </c>
      <c r="Z144">
        <v>20200130</v>
      </c>
      <c r="AA144">
        <v>140387.4</v>
      </c>
      <c r="AB144">
        <v>22461.984</v>
      </c>
      <c r="AC144">
        <v>162849.38399999999</v>
      </c>
      <c r="AD144">
        <v>200124384</v>
      </c>
      <c r="AE144" t="s">
        <v>304</v>
      </c>
      <c r="AF144" s="4">
        <v>162849.38399999999</v>
      </c>
      <c r="AG144" t="s">
        <v>51</v>
      </c>
      <c r="AH144" t="s">
        <v>1123</v>
      </c>
      <c r="AI144">
        <v>200127161</v>
      </c>
      <c r="AJ144" t="s">
        <v>1148</v>
      </c>
      <c r="AK144" t="s">
        <v>1129</v>
      </c>
      <c r="AL144">
        <v>340218590</v>
      </c>
      <c r="AM144" t="s">
        <v>135</v>
      </c>
    </row>
    <row r="145" spans="1:39" x14ac:dyDescent="0.35">
      <c r="A145">
        <v>3409</v>
      </c>
      <c r="B145" t="s">
        <v>55</v>
      </c>
      <c r="C145">
        <v>2020</v>
      </c>
      <c r="D145" s="1">
        <v>43831</v>
      </c>
      <c r="E145">
        <v>1</v>
      </c>
      <c r="F145">
        <v>900006650</v>
      </c>
      <c r="G145" t="s">
        <v>120</v>
      </c>
      <c r="H145">
        <v>81</v>
      </c>
      <c r="I145">
        <v>71106150</v>
      </c>
      <c r="J145">
        <v>21021040</v>
      </c>
      <c r="K145" t="s">
        <v>102</v>
      </c>
      <c r="L145">
        <v>75744.33</v>
      </c>
      <c r="M145" t="s">
        <v>54</v>
      </c>
      <c r="N145">
        <v>1423463.19</v>
      </c>
      <c r="O145" t="s">
        <v>31</v>
      </c>
      <c r="R145" t="s">
        <v>1121</v>
      </c>
      <c r="S145">
        <v>270972527</v>
      </c>
      <c r="T145">
        <v>200497</v>
      </c>
      <c r="U145" t="s">
        <v>348</v>
      </c>
      <c r="X145" t="s">
        <v>55</v>
      </c>
      <c r="Y145" s="10" t="s">
        <v>1174</v>
      </c>
      <c r="Z145" t="s">
        <v>345</v>
      </c>
      <c r="AA145">
        <v>75744.33</v>
      </c>
      <c r="AB145">
        <v>0</v>
      </c>
      <c r="AC145">
        <v>75744.33</v>
      </c>
      <c r="AD145">
        <v>900006711</v>
      </c>
      <c r="AE145" t="s">
        <v>349</v>
      </c>
      <c r="AF145" s="4">
        <v>75744.33</v>
      </c>
      <c r="AG145" t="s">
        <v>1175</v>
      </c>
      <c r="AH145" t="s">
        <v>1123</v>
      </c>
      <c r="AI145">
        <v>900203553</v>
      </c>
      <c r="AJ145" t="s">
        <v>1125</v>
      </c>
      <c r="AK145" t="s">
        <v>1124</v>
      </c>
      <c r="AL145">
        <v>340921790</v>
      </c>
      <c r="AM145" t="s">
        <v>185</v>
      </c>
    </row>
    <row r="146" spans="1:39" x14ac:dyDescent="0.35">
      <c r="A146">
        <v>3401</v>
      </c>
      <c r="B146" t="s">
        <v>53</v>
      </c>
      <c r="C146">
        <v>2020</v>
      </c>
      <c r="D146" s="1">
        <v>43831</v>
      </c>
      <c r="E146">
        <v>1</v>
      </c>
      <c r="F146">
        <v>100016554</v>
      </c>
      <c r="G146" t="s">
        <v>120</v>
      </c>
      <c r="H146">
        <v>81</v>
      </c>
      <c r="I146">
        <v>71104010</v>
      </c>
      <c r="J146">
        <v>21021040</v>
      </c>
      <c r="K146" t="s">
        <v>121</v>
      </c>
      <c r="L146">
        <v>61152</v>
      </c>
      <c r="M146" t="s">
        <v>31</v>
      </c>
      <c r="N146">
        <v>61152</v>
      </c>
      <c r="O146" t="s">
        <v>31</v>
      </c>
      <c r="R146" t="s">
        <v>122</v>
      </c>
      <c r="S146" t="s">
        <v>1131</v>
      </c>
      <c r="T146">
        <v>107211</v>
      </c>
      <c r="U146" t="s">
        <v>123</v>
      </c>
      <c r="X146" t="s">
        <v>53</v>
      </c>
      <c r="Y146" s="8">
        <v>4501216248</v>
      </c>
      <c r="Z146" t="s">
        <v>1127</v>
      </c>
      <c r="AA146">
        <v>61152</v>
      </c>
      <c r="AD146">
        <v>100036889</v>
      </c>
      <c r="AE146" t="s">
        <v>1128</v>
      </c>
      <c r="AF146" s="4"/>
      <c r="AG146" t="s">
        <v>51</v>
      </c>
      <c r="AH146" t="s">
        <v>1123</v>
      </c>
      <c r="AJ146" t="s">
        <v>1148</v>
      </c>
      <c r="AK146" t="s">
        <v>1129</v>
      </c>
      <c r="AL146">
        <v>340118590</v>
      </c>
      <c r="AM146" t="s">
        <v>124</v>
      </c>
    </row>
    <row r="147" spans="1:39" x14ac:dyDescent="0.35">
      <c r="A147">
        <v>3402</v>
      </c>
      <c r="B147" t="s">
        <v>53</v>
      </c>
      <c r="C147">
        <v>2020</v>
      </c>
      <c r="D147" s="1">
        <v>43831</v>
      </c>
      <c r="E147">
        <v>1</v>
      </c>
      <c r="F147">
        <v>200044644</v>
      </c>
      <c r="G147" t="s">
        <v>120</v>
      </c>
      <c r="H147">
        <v>81</v>
      </c>
      <c r="I147">
        <v>71106040</v>
      </c>
      <c r="J147">
        <v>21021040</v>
      </c>
      <c r="K147" t="s">
        <v>125</v>
      </c>
      <c r="L147">
        <v>38730.230000000003</v>
      </c>
      <c r="M147" t="s">
        <v>31</v>
      </c>
      <c r="N147">
        <v>38730.230000000003</v>
      </c>
      <c r="O147" t="s">
        <v>31</v>
      </c>
      <c r="R147" t="s">
        <v>358</v>
      </c>
      <c r="S147" t="s">
        <v>1183</v>
      </c>
      <c r="T147">
        <v>801033</v>
      </c>
      <c r="U147" t="s">
        <v>359</v>
      </c>
      <c r="X147" t="s">
        <v>53</v>
      </c>
      <c r="Y147" s="8" t="s">
        <v>360</v>
      </c>
      <c r="Z147">
        <v>4501221659</v>
      </c>
      <c r="AA147">
        <v>38730.230000000003</v>
      </c>
      <c r="AB147">
        <v>6196.8368000000009</v>
      </c>
      <c r="AC147">
        <v>44927.066800000001</v>
      </c>
      <c r="AD147">
        <v>200057190</v>
      </c>
      <c r="AE147" t="s">
        <v>361</v>
      </c>
      <c r="AF147" s="4">
        <v>44927.066800000001</v>
      </c>
      <c r="AG147" t="s">
        <v>1184</v>
      </c>
      <c r="AH147" t="s">
        <v>1123</v>
      </c>
      <c r="AI147">
        <v>200153773</v>
      </c>
      <c r="AJ147" t="s">
        <v>1136</v>
      </c>
      <c r="AK147" t="s">
        <v>1135</v>
      </c>
      <c r="AL147">
        <v>340210190</v>
      </c>
      <c r="AM147" t="s">
        <v>362</v>
      </c>
    </row>
    <row r="148" spans="1:39" x14ac:dyDescent="0.35">
      <c r="A148">
        <v>3409</v>
      </c>
      <c r="B148" t="s">
        <v>53</v>
      </c>
      <c r="C148">
        <v>2020</v>
      </c>
      <c r="D148" s="1">
        <v>43831</v>
      </c>
      <c r="E148">
        <v>1</v>
      </c>
      <c r="F148">
        <v>900005944</v>
      </c>
      <c r="G148" t="s">
        <v>120</v>
      </c>
      <c r="H148">
        <v>81</v>
      </c>
      <c r="I148">
        <v>71106040</v>
      </c>
      <c r="J148">
        <v>21021040</v>
      </c>
      <c r="K148" t="s">
        <v>125</v>
      </c>
      <c r="L148">
        <v>252</v>
      </c>
      <c r="M148" t="s">
        <v>54</v>
      </c>
      <c r="N148">
        <v>4739.54</v>
      </c>
      <c r="O148" t="s">
        <v>31</v>
      </c>
      <c r="R148" t="s">
        <v>1121</v>
      </c>
      <c r="S148">
        <v>261534006</v>
      </c>
      <c r="T148">
        <v>801038</v>
      </c>
      <c r="U148" t="s">
        <v>363</v>
      </c>
      <c r="X148" t="s">
        <v>53</v>
      </c>
      <c r="Y148" s="8" t="s">
        <v>364</v>
      </c>
      <c r="Z148">
        <v>20200117</v>
      </c>
      <c r="AA148">
        <v>252</v>
      </c>
      <c r="AB148">
        <v>0</v>
      </c>
      <c r="AC148">
        <v>252</v>
      </c>
      <c r="AD148">
        <v>900006186</v>
      </c>
      <c r="AE148" t="s">
        <v>365</v>
      </c>
      <c r="AF148" s="4">
        <v>252</v>
      </c>
      <c r="AG148" t="s">
        <v>1144</v>
      </c>
      <c r="AH148" t="s">
        <v>1123</v>
      </c>
      <c r="AI148">
        <v>900022506</v>
      </c>
      <c r="AJ148" t="s">
        <v>1125</v>
      </c>
      <c r="AK148" t="s">
        <v>1124</v>
      </c>
      <c r="AL148">
        <v>340921790</v>
      </c>
      <c r="AM148" t="s">
        <v>185</v>
      </c>
    </row>
    <row r="149" spans="1:39" x14ac:dyDescent="0.35">
      <c r="A149">
        <v>3402</v>
      </c>
      <c r="B149" t="s">
        <v>39</v>
      </c>
      <c r="C149">
        <v>2020</v>
      </c>
      <c r="D149" s="1">
        <v>43831</v>
      </c>
      <c r="E149">
        <v>1</v>
      </c>
      <c r="F149">
        <v>200041145</v>
      </c>
      <c r="G149" t="s">
        <v>120</v>
      </c>
      <c r="H149">
        <v>81</v>
      </c>
      <c r="I149">
        <v>71105060</v>
      </c>
      <c r="J149">
        <v>21021040</v>
      </c>
      <c r="K149" t="s">
        <v>238</v>
      </c>
      <c r="L149">
        <v>49700</v>
      </c>
      <c r="M149" t="s">
        <v>31</v>
      </c>
      <c r="N149">
        <v>49700</v>
      </c>
      <c r="O149" t="s">
        <v>31</v>
      </c>
      <c r="R149" t="s">
        <v>392</v>
      </c>
      <c r="S149" t="s">
        <v>1154</v>
      </c>
      <c r="T149">
        <v>606552</v>
      </c>
      <c r="U149" t="s">
        <v>393</v>
      </c>
      <c r="X149" t="s">
        <v>39</v>
      </c>
      <c r="Y149" s="8" t="s">
        <v>394</v>
      </c>
      <c r="Z149">
        <v>20200115</v>
      </c>
      <c r="AA149">
        <v>49700</v>
      </c>
      <c r="AB149">
        <v>7952</v>
      </c>
      <c r="AC149">
        <v>57652</v>
      </c>
      <c r="AD149">
        <v>200041365</v>
      </c>
      <c r="AE149" t="s">
        <v>395</v>
      </c>
      <c r="AF149" s="4">
        <v>57652</v>
      </c>
      <c r="AG149" t="s">
        <v>1155</v>
      </c>
      <c r="AH149" t="s">
        <v>1123</v>
      </c>
      <c r="AJ149" t="s">
        <v>1130</v>
      </c>
      <c r="AK149" t="s">
        <v>1129</v>
      </c>
      <c r="AL149">
        <v>340225490</v>
      </c>
      <c r="AM149" t="s">
        <v>135</v>
      </c>
    </row>
    <row r="150" spans="1:39" x14ac:dyDescent="0.35">
      <c r="A150">
        <v>3401</v>
      </c>
      <c r="B150" t="s">
        <v>39</v>
      </c>
      <c r="C150">
        <v>2020</v>
      </c>
      <c r="D150" s="1">
        <v>43831</v>
      </c>
      <c r="E150">
        <v>1</v>
      </c>
      <c r="F150">
        <v>100014881</v>
      </c>
      <c r="G150" t="s">
        <v>120</v>
      </c>
      <c r="H150">
        <v>81</v>
      </c>
      <c r="I150">
        <v>71104010</v>
      </c>
      <c r="J150">
        <v>21021040</v>
      </c>
      <c r="K150" t="s">
        <v>121</v>
      </c>
      <c r="L150">
        <v>52892</v>
      </c>
      <c r="M150" t="s">
        <v>31</v>
      </c>
      <c r="N150">
        <v>52892</v>
      </c>
      <c r="O150" t="s">
        <v>31</v>
      </c>
      <c r="R150" t="s">
        <v>122</v>
      </c>
      <c r="S150" t="s">
        <v>1131</v>
      </c>
      <c r="T150">
        <v>107211</v>
      </c>
      <c r="U150" t="s">
        <v>123</v>
      </c>
      <c r="X150" t="s">
        <v>39</v>
      </c>
      <c r="Y150" s="8">
        <v>4501216248</v>
      </c>
      <c r="Z150" t="s">
        <v>1127</v>
      </c>
      <c r="AA150">
        <v>52892</v>
      </c>
      <c r="AD150">
        <v>100036889</v>
      </c>
      <c r="AE150" t="s">
        <v>1128</v>
      </c>
      <c r="AF150" s="4"/>
      <c r="AG150" t="s">
        <v>51</v>
      </c>
      <c r="AH150" t="s">
        <v>1123</v>
      </c>
      <c r="AJ150" t="s">
        <v>1148</v>
      </c>
      <c r="AK150" t="s">
        <v>1129</v>
      </c>
      <c r="AL150">
        <v>340118590</v>
      </c>
      <c r="AM150" t="s">
        <v>124</v>
      </c>
    </row>
    <row r="151" spans="1:39" x14ac:dyDescent="0.35">
      <c r="A151">
        <v>3400</v>
      </c>
      <c r="B151" t="s">
        <v>39</v>
      </c>
      <c r="C151">
        <v>2020</v>
      </c>
      <c r="D151" s="1">
        <v>43831</v>
      </c>
      <c r="E151">
        <v>1</v>
      </c>
      <c r="F151">
        <v>100004363</v>
      </c>
      <c r="G151" t="s">
        <v>120</v>
      </c>
      <c r="H151">
        <v>81</v>
      </c>
      <c r="I151">
        <v>71104010</v>
      </c>
      <c r="J151">
        <v>21021040</v>
      </c>
      <c r="K151" t="s">
        <v>121</v>
      </c>
      <c r="L151">
        <v>18276.38</v>
      </c>
      <c r="M151" t="s">
        <v>31</v>
      </c>
      <c r="N151">
        <v>18276.38</v>
      </c>
      <c r="O151" t="s">
        <v>31</v>
      </c>
      <c r="R151" t="s">
        <v>396</v>
      </c>
      <c r="S151" t="s">
        <v>1131</v>
      </c>
      <c r="T151">
        <v>107211</v>
      </c>
      <c r="U151" t="s">
        <v>123</v>
      </c>
      <c r="X151" t="s">
        <v>39</v>
      </c>
      <c r="Y151" s="11">
        <v>-780130403722</v>
      </c>
      <c r="Z151">
        <v>20200115</v>
      </c>
      <c r="AA151">
        <v>18276.38</v>
      </c>
      <c r="AB151">
        <v>2924.2208000000001</v>
      </c>
      <c r="AC151" s="4">
        <v>21200.6008</v>
      </c>
      <c r="AD151">
        <v>100004526</v>
      </c>
      <c r="AE151" t="s">
        <v>397</v>
      </c>
      <c r="AF151" s="4">
        <v>21200.6008</v>
      </c>
      <c r="AG151" t="s">
        <v>81</v>
      </c>
      <c r="AH151" t="s">
        <v>1123</v>
      </c>
      <c r="AJ151" t="s">
        <v>1148</v>
      </c>
      <c r="AK151" t="s">
        <v>1129</v>
      </c>
      <c r="AL151">
        <v>340041450</v>
      </c>
      <c r="AM151" t="s">
        <v>398</v>
      </c>
    </row>
    <row r="152" spans="1:39" x14ac:dyDescent="0.35">
      <c r="A152">
        <v>3400</v>
      </c>
      <c r="B152" t="s">
        <v>39</v>
      </c>
      <c r="C152">
        <v>2020</v>
      </c>
      <c r="D152" s="1">
        <v>43831</v>
      </c>
      <c r="E152">
        <v>1</v>
      </c>
      <c r="F152">
        <v>100004367</v>
      </c>
      <c r="G152" t="s">
        <v>120</v>
      </c>
      <c r="H152">
        <v>81</v>
      </c>
      <c r="I152">
        <v>71104010</v>
      </c>
      <c r="J152">
        <v>21021040</v>
      </c>
      <c r="K152" t="s">
        <v>121</v>
      </c>
      <c r="L152">
        <v>913.81</v>
      </c>
      <c r="M152" t="s">
        <v>31</v>
      </c>
      <c r="N152">
        <v>913.81</v>
      </c>
      <c r="O152" t="s">
        <v>31</v>
      </c>
      <c r="R152" t="s">
        <v>396</v>
      </c>
      <c r="S152" t="s">
        <v>1131</v>
      </c>
      <c r="T152">
        <v>107211</v>
      </c>
      <c r="U152" t="s">
        <v>123</v>
      </c>
      <c r="X152" t="s">
        <v>39</v>
      </c>
      <c r="Y152" s="11">
        <v>-780130403722</v>
      </c>
      <c r="Z152">
        <v>20200115</v>
      </c>
      <c r="AA152">
        <v>913.81</v>
      </c>
      <c r="AB152">
        <v>0</v>
      </c>
      <c r="AC152" s="4">
        <v>913.81</v>
      </c>
      <c r="AD152">
        <v>100004526</v>
      </c>
      <c r="AE152" t="s">
        <v>399</v>
      </c>
      <c r="AF152" s="4">
        <v>913.81</v>
      </c>
      <c r="AG152" t="s">
        <v>81</v>
      </c>
      <c r="AH152" t="s">
        <v>1123</v>
      </c>
      <c r="AJ152" t="s">
        <v>1148</v>
      </c>
      <c r="AK152" t="s">
        <v>1129</v>
      </c>
      <c r="AL152">
        <v>340041450</v>
      </c>
      <c r="AM152" t="s">
        <v>398</v>
      </c>
    </row>
    <row r="153" spans="1:39" x14ac:dyDescent="0.35">
      <c r="A153">
        <v>3400</v>
      </c>
      <c r="B153" t="s">
        <v>39</v>
      </c>
      <c r="C153">
        <v>2020</v>
      </c>
      <c r="D153" s="1">
        <v>43831</v>
      </c>
      <c r="E153">
        <v>1</v>
      </c>
      <c r="F153">
        <v>100004368</v>
      </c>
      <c r="G153" t="s">
        <v>120</v>
      </c>
      <c r="H153">
        <v>81</v>
      </c>
      <c r="I153">
        <v>71104010</v>
      </c>
      <c r="J153">
        <v>21021040</v>
      </c>
      <c r="K153" t="s">
        <v>121</v>
      </c>
      <c r="L153">
        <v>9811.6299999999992</v>
      </c>
      <c r="M153" t="s">
        <v>31</v>
      </c>
      <c r="N153">
        <v>9811.6299999999992</v>
      </c>
      <c r="O153" t="s">
        <v>31</v>
      </c>
      <c r="R153" t="s">
        <v>1160</v>
      </c>
      <c r="S153" t="s">
        <v>1131</v>
      </c>
      <c r="T153">
        <v>107211</v>
      </c>
      <c r="U153" t="s">
        <v>123</v>
      </c>
      <c r="X153" t="s">
        <v>39</v>
      </c>
      <c r="Y153" s="11">
        <v>-780180102898</v>
      </c>
      <c r="Z153">
        <v>20200115</v>
      </c>
      <c r="AA153">
        <v>9811.6299999999992</v>
      </c>
      <c r="AB153">
        <v>1569.8607999999999</v>
      </c>
      <c r="AC153" s="4">
        <v>11381.4908</v>
      </c>
      <c r="AD153">
        <v>100004524</v>
      </c>
      <c r="AE153" t="s">
        <v>400</v>
      </c>
      <c r="AF153" s="4">
        <v>11381.4908</v>
      </c>
      <c r="AG153" t="s">
        <v>81</v>
      </c>
      <c r="AH153" t="s">
        <v>1123</v>
      </c>
      <c r="AJ153" t="s">
        <v>1148</v>
      </c>
      <c r="AK153" t="s">
        <v>1129</v>
      </c>
      <c r="AL153">
        <v>340041450</v>
      </c>
      <c r="AM153" t="s">
        <v>398</v>
      </c>
    </row>
    <row r="154" spans="1:39" x14ac:dyDescent="0.35">
      <c r="A154">
        <v>3400</v>
      </c>
      <c r="B154" t="s">
        <v>39</v>
      </c>
      <c r="C154">
        <v>2020</v>
      </c>
      <c r="D154" s="1">
        <v>43831</v>
      </c>
      <c r="E154">
        <v>1</v>
      </c>
      <c r="F154">
        <v>100004369</v>
      </c>
      <c r="G154" t="s">
        <v>120</v>
      </c>
      <c r="H154">
        <v>81</v>
      </c>
      <c r="I154">
        <v>71104010</v>
      </c>
      <c r="J154">
        <v>21021040</v>
      </c>
      <c r="K154" t="s">
        <v>121</v>
      </c>
      <c r="L154">
        <v>490.58</v>
      </c>
      <c r="M154" t="s">
        <v>31</v>
      </c>
      <c r="N154">
        <v>490.58</v>
      </c>
      <c r="O154" t="s">
        <v>31</v>
      </c>
      <c r="R154" t="s">
        <v>1160</v>
      </c>
      <c r="S154" t="s">
        <v>1131</v>
      </c>
      <c r="T154">
        <v>107211</v>
      </c>
      <c r="U154" t="s">
        <v>123</v>
      </c>
      <c r="X154" t="s">
        <v>39</v>
      </c>
      <c r="Y154" s="11">
        <v>-780180102898</v>
      </c>
      <c r="Z154">
        <v>20200115</v>
      </c>
      <c r="AA154">
        <v>490.58</v>
      </c>
      <c r="AB154">
        <v>0</v>
      </c>
      <c r="AC154" s="4">
        <v>490.58</v>
      </c>
      <c r="AD154">
        <v>100004524</v>
      </c>
      <c r="AE154" t="s">
        <v>399</v>
      </c>
      <c r="AF154" s="4">
        <v>490.58</v>
      </c>
      <c r="AG154" t="s">
        <v>81</v>
      </c>
      <c r="AH154" t="s">
        <v>1123</v>
      </c>
      <c r="AJ154" t="s">
        <v>1148</v>
      </c>
      <c r="AK154" t="s">
        <v>1129</v>
      </c>
      <c r="AL154">
        <v>340041450</v>
      </c>
      <c r="AM154" t="s">
        <v>398</v>
      </c>
    </row>
    <row r="155" spans="1:39" x14ac:dyDescent="0.35">
      <c r="A155">
        <v>3400</v>
      </c>
      <c r="B155" t="s">
        <v>39</v>
      </c>
      <c r="C155">
        <v>2020</v>
      </c>
      <c r="D155" s="1">
        <v>43831</v>
      </c>
      <c r="E155">
        <v>1</v>
      </c>
      <c r="F155">
        <v>100004370</v>
      </c>
      <c r="G155" t="s">
        <v>120</v>
      </c>
      <c r="H155">
        <v>81</v>
      </c>
      <c r="I155">
        <v>71104010</v>
      </c>
      <c r="J155">
        <v>21021040</v>
      </c>
      <c r="K155" t="s">
        <v>121</v>
      </c>
      <c r="L155">
        <v>9507.9500000000007</v>
      </c>
      <c r="M155" t="s">
        <v>31</v>
      </c>
      <c r="N155">
        <v>9507.9500000000007</v>
      </c>
      <c r="O155" t="s">
        <v>31</v>
      </c>
      <c r="R155" t="s">
        <v>1161</v>
      </c>
      <c r="S155" t="s">
        <v>1131</v>
      </c>
      <c r="T155">
        <v>107211</v>
      </c>
      <c r="U155" t="s">
        <v>123</v>
      </c>
      <c r="X155" t="s">
        <v>39</v>
      </c>
      <c r="Y155" s="11">
        <v>-780180102880</v>
      </c>
      <c r="Z155">
        <v>20200115</v>
      </c>
      <c r="AA155">
        <v>9507.9500000000007</v>
      </c>
      <c r="AB155">
        <v>1521.2720000000002</v>
      </c>
      <c r="AC155" s="4">
        <v>11029.222000000002</v>
      </c>
      <c r="AD155">
        <v>100004525</v>
      </c>
      <c r="AE155" t="s">
        <v>401</v>
      </c>
      <c r="AF155" s="4">
        <v>11029.222000000002</v>
      </c>
      <c r="AG155" t="s">
        <v>81</v>
      </c>
      <c r="AH155" t="s">
        <v>1123</v>
      </c>
      <c r="AJ155" t="s">
        <v>1148</v>
      </c>
      <c r="AK155" t="s">
        <v>1129</v>
      </c>
      <c r="AL155">
        <v>340041450</v>
      </c>
      <c r="AM155" t="s">
        <v>398</v>
      </c>
    </row>
    <row r="156" spans="1:39" x14ac:dyDescent="0.35">
      <c r="A156">
        <v>3400</v>
      </c>
      <c r="B156" t="s">
        <v>39</v>
      </c>
      <c r="C156">
        <v>2020</v>
      </c>
      <c r="D156" s="1">
        <v>43831</v>
      </c>
      <c r="E156">
        <v>1</v>
      </c>
      <c r="F156">
        <v>100004374</v>
      </c>
      <c r="G156" t="s">
        <v>120</v>
      </c>
      <c r="H156">
        <v>81</v>
      </c>
      <c r="I156">
        <v>71104010</v>
      </c>
      <c r="J156">
        <v>21021040</v>
      </c>
      <c r="K156" t="s">
        <v>121</v>
      </c>
      <c r="L156">
        <v>475.39</v>
      </c>
      <c r="M156" t="s">
        <v>31</v>
      </c>
      <c r="N156">
        <v>475.39</v>
      </c>
      <c r="O156" t="s">
        <v>31</v>
      </c>
      <c r="R156" t="s">
        <v>1161</v>
      </c>
      <c r="S156" t="s">
        <v>1131</v>
      </c>
      <c r="T156">
        <v>107211</v>
      </c>
      <c r="U156" t="s">
        <v>123</v>
      </c>
      <c r="X156" t="s">
        <v>39</v>
      </c>
      <c r="Y156" s="11">
        <v>-780180102880</v>
      </c>
      <c r="Z156">
        <v>20200115</v>
      </c>
      <c r="AA156">
        <v>475.39</v>
      </c>
      <c r="AB156">
        <v>0</v>
      </c>
      <c r="AC156" s="4">
        <v>475.39</v>
      </c>
      <c r="AD156">
        <v>100004525</v>
      </c>
      <c r="AE156" t="s">
        <v>399</v>
      </c>
      <c r="AF156" s="4">
        <v>475.39</v>
      </c>
      <c r="AG156" t="s">
        <v>81</v>
      </c>
      <c r="AH156" t="s">
        <v>1123</v>
      </c>
      <c r="AJ156" t="s">
        <v>1148</v>
      </c>
      <c r="AK156" t="s">
        <v>1129</v>
      </c>
      <c r="AL156">
        <v>340041450</v>
      </c>
      <c r="AM156" t="s">
        <v>398</v>
      </c>
    </row>
    <row r="157" spans="1:39" x14ac:dyDescent="0.35">
      <c r="A157">
        <v>3400</v>
      </c>
      <c r="B157" t="s">
        <v>39</v>
      </c>
      <c r="C157">
        <v>2020</v>
      </c>
      <c r="D157" s="1">
        <v>43831</v>
      </c>
      <c r="E157">
        <v>1</v>
      </c>
      <c r="F157">
        <v>100004390</v>
      </c>
      <c r="G157" t="s">
        <v>120</v>
      </c>
      <c r="H157">
        <v>81</v>
      </c>
      <c r="I157">
        <v>71104010</v>
      </c>
      <c r="J157">
        <v>21021040</v>
      </c>
      <c r="K157" t="s">
        <v>121</v>
      </c>
      <c r="L157">
        <v>5698.94</v>
      </c>
      <c r="M157" t="s">
        <v>31</v>
      </c>
      <c r="N157">
        <v>5698.94</v>
      </c>
      <c r="O157" t="s">
        <v>31</v>
      </c>
      <c r="R157" t="s">
        <v>1158</v>
      </c>
      <c r="S157" t="s">
        <v>1131</v>
      </c>
      <c r="T157">
        <v>107211</v>
      </c>
      <c r="U157" t="s">
        <v>123</v>
      </c>
      <c r="X157" t="s">
        <v>39</v>
      </c>
      <c r="Y157" s="11">
        <v>-780180102863</v>
      </c>
      <c r="Z157">
        <v>20200115</v>
      </c>
      <c r="AA157">
        <v>5698.94</v>
      </c>
      <c r="AB157">
        <v>911.83039999999994</v>
      </c>
      <c r="AC157" s="4">
        <v>6610.7703999999994</v>
      </c>
      <c r="AD157">
        <v>100004526</v>
      </c>
      <c r="AE157" t="s">
        <v>402</v>
      </c>
      <c r="AF157" s="4">
        <v>6610.7703999999994</v>
      </c>
      <c r="AG157" t="s">
        <v>81</v>
      </c>
      <c r="AH157" t="s">
        <v>1123</v>
      </c>
      <c r="AJ157" t="s">
        <v>1148</v>
      </c>
      <c r="AK157" t="s">
        <v>1129</v>
      </c>
      <c r="AL157">
        <v>340041450</v>
      </c>
      <c r="AM157" t="s">
        <v>398</v>
      </c>
    </row>
    <row r="158" spans="1:39" x14ac:dyDescent="0.35">
      <c r="A158">
        <v>3400</v>
      </c>
      <c r="B158" t="s">
        <v>39</v>
      </c>
      <c r="C158">
        <v>2020</v>
      </c>
      <c r="D158" s="1">
        <v>43831</v>
      </c>
      <c r="E158">
        <v>1</v>
      </c>
      <c r="F158">
        <v>100004396</v>
      </c>
      <c r="G158" t="s">
        <v>120</v>
      </c>
      <c r="H158">
        <v>81</v>
      </c>
      <c r="I158">
        <v>71104010</v>
      </c>
      <c r="J158">
        <v>21021040</v>
      </c>
      <c r="K158" t="s">
        <v>121</v>
      </c>
      <c r="L158">
        <v>284.94</v>
      </c>
      <c r="M158" t="s">
        <v>31</v>
      </c>
      <c r="N158">
        <v>284.94</v>
      </c>
      <c r="O158" t="s">
        <v>31</v>
      </c>
      <c r="R158" t="s">
        <v>1158</v>
      </c>
      <c r="S158" t="s">
        <v>1131</v>
      </c>
      <c r="T158">
        <v>107211</v>
      </c>
      <c r="U158" t="s">
        <v>123</v>
      </c>
      <c r="X158" t="s">
        <v>39</v>
      </c>
      <c r="Y158" s="11">
        <v>-780180102863</v>
      </c>
      <c r="Z158">
        <v>20200115</v>
      </c>
      <c r="AA158">
        <v>284.94</v>
      </c>
      <c r="AB158">
        <v>0</v>
      </c>
      <c r="AC158" s="4">
        <v>284.94</v>
      </c>
      <c r="AD158">
        <v>100004526</v>
      </c>
      <c r="AE158" t="s">
        <v>399</v>
      </c>
      <c r="AF158" s="4">
        <v>284.94</v>
      </c>
      <c r="AG158" t="s">
        <v>81</v>
      </c>
      <c r="AH158" t="s">
        <v>1123</v>
      </c>
      <c r="AJ158" t="s">
        <v>1148</v>
      </c>
      <c r="AK158" t="s">
        <v>1129</v>
      </c>
      <c r="AL158">
        <v>340041450</v>
      </c>
      <c r="AM158" t="s">
        <v>398</v>
      </c>
    </row>
    <row r="159" spans="1:39" x14ac:dyDescent="0.35">
      <c r="A159">
        <v>3400</v>
      </c>
      <c r="B159" t="s">
        <v>39</v>
      </c>
      <c r="C159">
        <v>2020</v>
      </c>
      <c r="D159" s="1">
        <v>43831</v>
      </c>
      <c r="E159">
        <v>1</v>
      </c>
      <c r="F159">
        <v>100004513</v>
      </c>
      <c r="G159" t="s">
        <v>120</v>
      </c>
      <c r="H159">
        <v>81</v>
      </c>
      <c r="I159">
        <v>71104010</v>
      </c>
      <c r="J159">
        <v>21021040</v>
      </c>
      <c r="K159" t="s">
        <v>121</v>
      </c>
      <c r="L159">
        <v>9858.7999999999993</v>
      </c>
      <c r="M159" t="s">
        <v>31</v>
      </c>
      <c r="N159">
        <v>9858.7999999999993</v>
      </c>
      <c r="O159" t="s">
        <v>31</v>
      </c>
      <c r="R159" t="s">
        <v>1159</v>
      </c>
      <c r="S159" t="s">
        <v>1131</v>
      </c>
      <c r="T159">
        <v>107211</v>
      </c>
      <c r="U159" t="s">
        <v>123</v>
      </c>
      <c r="X159" t="s">
        <v>39</v>
      </c>
      <c r="Y159" s="11">
        <v>-780120800944</v>
      </c>
      <c r="Z159">
        <v>20200115</v>
      </c>
      <c r="AA159">
        <v>9858.7999999999993</v>
      </c>
      <c r="AB159">
        <v>1577.4079999999999</v>
      </c>
      <c r="AC159" s="4">
        <v>11436.207999999999</v>
      </c>
      <c r="AD159">
        <v>100004523</v>
      </c>
      <c r="AE159" t="s">
        <v>403</v>
      </c>
      <c r="AF159" s="4">
        <v>11436.207999999999</v>
      </c>
      <c r="AG159" t="s">
        <v>81</v>
      </c>
      <c r="AH159" t="s">
        <v>1123</v>
      </c>
      <c r="AJ159" t="s">
        <v>1148</v>
      </c>
      <c r="AK159" t="s">
        <v>1129</v>
      </c>
      <c r="AL159">
        <v>340041450</v>
      </c>
      <c r="AM159" t="s">
        <v>398</v>
      </c>
    </row>
    <row r="160" spans="1:39" x14ac:dyDescent="0.35">
      <c r="A160">
        <v>3400</v>
      </c>
      <c r="B160" t="s">
        <v>39</v>
      </c>
      <c r="C160">
        <v>2020</v>
      </c>
      <c r="D160" s="1">
        <v>43831</v>
      </c>
      <c r="E160">
        <v>1</v>
      </c>
      <c r="F160">
        <v>100004519</v>
      </c>
      <c r="G160" t="s">
        <v>120</v>
      </c>
      <c r="H160">
        <v>81</v>
      </c>
      <c r="I160">
        <v>71104010</v>
      </c>
      <c r="J160">
        <v>21021040</v>
      </c>
      <c r="K160" t="s">
        <v>121</v>
      </c>
      <c r="L160">
        <v>492.94</v>
      </c>
      <c r="M160" t="s">
        <v>31</v>
      </c>
      <c r="N160">
        <v>492.94</v>
      </c>
      <c r="O160" t="s">
        <v>31</v>
      </c>
      <c r="R160" t="s">
        <v>1159</v>
      </c>
      <c r="S160" t="s">
        <v>1131</v>
      </c>
      <c r="T160">
        <v>107211</v>
      </c>
      <c r="U160" t="s">
        <v>123</v>
      </c>
      <c r="X160" t="s">
        <v>39</v>
      </c>
      <c r="Y160" s="11">
        <v>-780120800944</v>
      </c>
      <c r="Z160">
        <v>20200115</v>
      </c>
      <c r="AA160">
        <v>492.94</v>
      </c>
      <c r="AB160">
        <v>0</v>
      </c>
      <c r="AC160" s="4">
        <v>492.94</v>
      </c>
      <c r="AD160">
        <v>100004523</v>
      </c>
      <c r="AE160" t="s">
        <v>399</v>
      </c>
      <c r="AF160" s="4">
        <v>492.94</v>
      </c>
      <c r="AG160" t="s">
        <v>81</v>
      </c>
      <c r="AH160" t="s">
        <v>1123</v>
      </c>
      <c r="AJ160" t="s">
        <v>1148</v>
      </c>
      <c r="AK160" t="s">
        <v>1129</v>
      </c>
      <c r="AL160">
        <v>340041450</v>
      </c>
      <c r="AM160" t="s">
        <v>398</v>
      </c>
    </row>
    <row r="161" spans="1:39" x14ac:dyDescent="0.35">
      <c r="A161">
        <v>3407</v>
      </c>
      <c r="B161" t="s">
        <v>258</v>
      </c>
      <c r="C161">
        <v>2020</v>
      </c>
      <c r="D161" s="1">
        <v>43831</v>
      </c>
      <c r="E161">
        <v>1</v>
      </c>
      <c r="F161">
        <v>700025779</v>
      </c>
      <c r="G161" t="s">
        <v>120</v>
      </c>
      <c r="H161">
        <v>81</v>
      </c>
      <c r="I161">
        <v>71106040</v>
      </c>
      <c r="J161">
        <v>21021040</v>
      </c>
      <c r="K161" t="s">
        <v>125</v>
      </c>
      <c r="L161">
        <v>9260.5499999999993</v>
      </c>
      <c r="M161" t="s">
        <v>54</v>
      </c>
      <c r="N161">
        <v>173178.77</v>
      </c>
      <c r="O161" t="s">
        <v>31</v>
      </c>
      <c r="R161" t="s">
        <v>1121</v>
      </c>
      <c r="S161">
        <v>752738581</v>
      </c>
      <c r="T161">
        <v>602358</v>
      </c>
      <c r="U161" t="s">
        <v>130</v>
      </c>
      <c r="X161" t="s">
        <v>258</v>
      </c>
      <c r="Y161" s="8">
        <v>2282584</v>
      </c>
      <c r="Z161">
        <v>20200123</v>
      </c>
      <c r="AA161">
        <v>9260.5499999999993</v>
      </c>
      <c r="AB161">
        <v>0</v>
      </c>
      <c r="AC161">
        <v>9260.5499999999993</v>
      </c>
      <c r="AD161">
        <v>700025941</v>
      </c>
      <c r="AE161" t="s">
        <v>404</v>
      </c>
      <c r="AF161" s="4">
        <v>9260.5499999999993</v>
      </c>
      <c r="AG161" t="s">
        <v>62</v>
      </c>
      <c r="AH161" t="s">
        <v>1123</v>
      </c>
      <c r="AI161">
        <v>700034623</v>
      </c>
      <c r="AJ161" t="s">
        <v>1125</v>
      </c>
      <c r="AK161" t="s">
        <v>1124</v>
      </c>
      <c r="AL161">
        <v>340721790</v>
      </c>
      <c r="AM161" t="s">
        <v>244</v>
      </c>
    </row>
    <row r="162" spans="1:39" x14ac:dyDescent="0.35">
      <c r="A162">
        <v>3402</v>
      </c>
      <c r="B162" t="s">
        <v>93</v>
      </c>
      <c r="C162">
        <v>2020</v>
      </c>
      <c r="D162" s="1">
        <v>43831</v>
      </c>
      <c r="E162">
        <v>1</v>
      </c>
      <c r="F162">
        <v>200071729</v>
      </c>
      <c r="G162" t="s">
        <v>120</v>
      </c>
      <c r="H162">
        <v>81</v>
      </c>
      <c r="I162">
        <v>71105060</v>
      </c>
      <c r="J162">
        <v>21021040</v>
      </c>
      <c r="K162" t="s">
        <v>238</v>
      </c>
      <c r="L162">
        <v>317800</v>
      </c>
      <c r="M162" t="s">
        <v>31</v>
      </c>
      <c r="N162">
        <v>317800</v>
      </c>
      <c r="O162" t="s">
        <v>31</v>
      </c>
      <c r="S162" t="s">
        <v>1151</v>
      </c>
      <c r="T162">
        <v>109766</v>
      </c>
      <c r="U162" t="s">
        <v>406</v>
      </c>
      <c r="X162" t="s">
        <v>93</v>
      </c>
      <c r="Y162" s="8">
        <v>5227</v>
      </c>
      <c r="Z162">
        <v>20200124</v>
      </c>
      <c r="AA162">
        <v>317800</v>
      </c>
      <c r="AB162">
        <v>50848</v>
      </c>
      <c r="AC162">
        <v>368648</v>
      </c>
      <c r="AD162">
        <v>200071850</v>
      </c>
      <c r="AE162" t="s">
        <v>407</v>
      </c>
      <c r="AF162" s="4">
        <v>368648</v>
      </c>
      <c r="AG162" t="s">
        <v>28</v>
      </c>
      <c r="AH162" t="s">
        <v>1123</v>
      </c>
      <c r="AJ162" t="s">
        <v>1136</v>
      </c>
      <c r="AK162" t="s">
        <v>1135</v>
      </c>
      <c r="AL162">
        <v>340225290</v>
      </c>
      <c r="AM162" t="s">
        <v>135</v>
      </c>
    </row>
    <row r="163" spans="1:39" x14ac:dyDescent="0.35">
      <c r="A163">
        <v>3402</v>
      </c>
      <c r="B163" t="s">
        <v>93</v>
      </c>
      <c r="C163">
        <v>2020</v>
      </c>
      <c r="D163" s="1">
        <v>43831</v>
      </c>
      <c r="E163">
        <v>1</v>
      </c>
      <c r="F163">
        <v>200071875</v>
      </c>
      <c r="G163" t="s">
        <v>120</v>
      </c>
      <c r="H163">
        <v>81</v>
      </c>
      <c r="I163">
        <v>71106040</v>
      </c>
      <c r="J163">
        <v>21021040</v>
      </c>
      <c r="K163" t="s">
        <v>125</v>
      </c>
      <c r="L163">
        <v>14743.58</v>
      </c>
      <c r="M163" t="s">
        <v>54</v>
      </c>
      <c r="N163">
        <v>275532.45</v>
      </c>
      <c r="O163" t="s">
        <v>31</v>
      </c>
      <c r="R163" t="s">
        <v>1121</v>
      </c>
      <c r="S163">
        <v>593383972</v>
      </c>
      <c r="T163">
        <v>600226</v>
      </c>
      <c r="U163" t="s">
        <v>126</v>
      </c>
      <c r="X163" t="s">
        <v>93</v>
      </c>
      <c r="Y163" s="8" t="s">
        <v>408</v>
      </c>
      <c r="Z163">
        <v>20200124</v>
      </c>
      <c r="AA163">
        <v>14743.58</v>
      </c>
      <c r="AB163">
        <v>0</v>
      </c>
      <c r="AC163">
        <v>14743.58</v>
      </c>
      <c r="AD163">
        <v>200071893</v>
      </c>
      <c r="AE163" t="s">
        <v>409</v>
      </c>
      <c r="AF163" s="4">
        <v>13403.254545454543</v>
      </c>
      <c r="AG163" t="s">
        <v>212</v>
      </c>
      <c r="AH163" t="s">
        <v>1123</v>
      </c>
      <c r="AI163">
        <v>200126182</v>
      </c>
      <c r="AJ163" t="s">
        <v>1125</v>
      </c>
      <c r="AK163" t="s">
        <v>1124</v>
      </c>
      <c r="AL163">
        <v>340210190</v>
      </c>
      <c r="AM163" t="s">
        <v>362</v>
      </c>
    </row>
    <row r="164" spans="1:39" x14ac:dyDescent="0.35">
      <c r="A164">
        <v>3401</v>
      </c>
      <c r="B164" t="s">
        <v>93</v>
      </c>
      <c r="C164">
        <v>2020</v>
      </c>
      <c r="D164" s="1">
        <v>43831</v>
      </c>
      <c r="E164">
        <v>1</v>
      </c>
      <c r="F164">
        <v>100024208</v>
      </c>
      <c r="G164" t="s">
        <v>120</v>
      </c>
      <c r="H164">
        <v>81</v>
      </c>
      <c r="I164">
        <v>71104010</v>
      </c>
      <c r="J164">
        <v>21021040</v>
      </c>
      <c r="K164" t="s">
        <v>121</v>
      </c>
      <c r="L164">
        <v>44856</v>
      </c>
      <c r="M164" t="s">
        <v>31</v>
      </c>
      <c r="N164">
        <v>44856</v>
      </c>
      <c r="O164" t="s">
        <v>31</v>
      </c>
      <c r="R164" t="s">
        <v>122</v>
      </c>
      <c r="S164" t="s">
        <v>1131</v>
      </c>
      <c r="T164">
        <v>107211</v>
      </c>
      <c r="U164" t="s">
        <v>123</v>
      </c>
      <c r="X164" t="s">
        <v>93</v>
      </c>
      <c r="Y164" s="8">
        <v>4501216248</v>
      </c>
      <c r="Z164" t="s">
        <v>1127</v>
      </c>
      <c r="AA164">
        <v>44856</v>
      </c>
      <c r="AD164">
        <v>100036889</v>
      </c>
      <c r="AE164" t="s">
        <v>1128</v>
      </c>
      <c r="AF164" s="4"/>
      <c r="AG164" t="s">
        <v>51</v>
      </c>
      <c r="AH164" t="s">
        <v>1123</v>
      </c>
      <c r="AJ164" t="s">
        <v>1148</v>
      </c>
      <c r="AK164" t="s">
        <v>1129</v>
      </c>
      <c r="AL164">
        <v>340118590</v>
      </c>
      <c r="AM164" t="s">
        <v>124</v>
      </c>
    </row>
    <row r="165" spans="1:39" x14ac:dyDescent="0.35">
      <c r="A165">
        <v>3401</v>
      </c>
      <c r="B165" t="s">
        <v>93</v>
      </c>
      <c r="C165">
        <v>2020</v>
      </c>
      <c r="D165" s="1">
        <v>43831</v>
      </c>
      <c r="E165">
        <v>1</v>
      </c>
      <c r="F165">
        <v>100024209</v>
      </c>
      <c r="G165" t="s">
        <v>120</v>
      </c>
      <c r="H165">
        <v>81</v>
      </c>
      <c r="I165">
        <v>71104010</v>
      </c>
      <c r="J165">
        <v>21021040</v>
      </c>
      <c r="K165" t="s">
        <v>121</v>
      </c>
      <c r="L165">
        <v>50484</v>
      </c>
      <c r="M165" t="s">
        <v>31</v>
      </c>
      <c r="N165">
        <v>50484</v>
      </c>
      <c r="O165" t="s">
        <v>31</v>
      </c>
      <c r="R165" t="s">
        <v>122</v>
      </c>
      <c r="S165" t="s">
        <v>1131</v>
      </c>
      <c r="T165">
        <v>107211</v>
      </c>
      <c r="U165" t="s">
        <v>123</v>
      </c>
      <c r="X165" t="s">
        <v>93</v>
      </c>
      <c r="Y165" s="8">
        <v>4501216248</v>
      </c>
      <c r="Z165" t="s">
        <v>1127</v>
      </c>
      <c r="AA165">
        <v>50484</v>
      </c>
      <c r="AD165">
        <v>100036889</v>
      </c>
      <c r="AE165" t="s">
        <v>1128</v>
      </c>
      <c r="AF165" s="4"/>
      <c r="AG165" t="s">
        <v>51</v>
      </c>
      <c r="AH165" t="s">
        <v>1123</v>
      </c>
      <c r="AJ165" t="s">
        <v>1148</v>
      </c>
      <c r="AK165" t="s">
        <v>1129</v>
      </c>
      <c r="AL165">
        <v>340118590</v>
      </c>
      <c r="AM165" t="s">
        <v>124</v>
      </c>
    </row>
    <row r="166" spans="1:39" x14ac:dyDescent="0.35">
      <c r="A166">
        <v>3407</v>
      </c>
      <c r="B166" t="s">
        <v>93</v>
      </c>
      <c r="C166">
        <v>2020</v>
      </c>
      <c r="D166" s="1">
        <v>43831</v>
      </c>
      <c r="E166">
        <v>1</v>
      </c>
      <c r="F166">
        <v>700027500</v>
      </c>
      <c r="G166" t="s">
        <v>120</v>
      </c>
      <c r="H166">
        <v>81</v>
      </c>
      <c r="I166">
        <v>71105060</v>
      </c>
      <c r="J166">
        <v>21021040</v>
      </c>
      <c r="K166" t="s">
        <v>238</v>
      </c>
      <c r="L166">
        <v>2430</v>
      </c>
      <c r="M166" t="s">
        <v>54</v>
      </c>
      <c r="N166">
        <v>45412.57</v>
      </c>
      <c r="O166" t="s">
        <v>31</v>
      </c>
      <c r="R166" t="s">
        <v>1121</v>
      </c>
      <c r="S166" t="s">
        <v>1122</v>
      </c>
      <c r="T166">
        <v>101128</v>
      </c>
      <c r="U166" t="s">
        <v>410</v>
      </c>
      <c r="X166" t="s">
        <v>93</v>
      </c>
      <c r="Y166" s="8" t="s">
        <v>411</v>
      </c>
      <c r="Z166">
        <v>20200124</v>
      </c>
      <c r="AA166">
        <v>2430</v>
      </c>
      <c r="AB166">
        <v>0</v>
      </c>
      <c r="AC166">
        <v>2430</v>
      </c>
      <c r="AD166">
        <v>700028121</v>
      </c>
      <c r="AE166" t="s">
        <v>412</v>
      </c>
      <c r="AF166" s="4">
        <v>2430</v>
      </c>
      <c r="AG166" t="s">
        <v>212</v>
      </c>
      <c r="AH166" t="s">
        <v>1123</v>
      </c>
      <c r="AJ166" t="s">
        <v>1125</v>
      </c>
      <c r="AK166" t="s">
        <v>1124</v>
      </c>
      <c r="AL166">
        <v>340712290</v>
      </c>
      <c r="AM166" t="s">
        <v>217</v>
      </c>
    </row>
    <row r="167" spans="1:39" x14ac:dyDescent="0.35">
      <c r="A167">
        <v>3401</v>
      </c>
      <c r="B167" t="s">
        <v>81</v>
      </c>
      <c r="C167">
        <v>2020</v>
      </c>
      <c r="D167" s="1">
        <v>43831</v>
      </c>
      <c r="E167">
        <v>1</v>
      </c>
      <c r="F167">
        <v>100020665</v>
      </c>
      <c r="G167" t="s">
        <v>120</v>
      </c>
      <c r="H167">
        <v>81</v>
      </c>
      <c r="I167">
        <v>71106150</v>
      </c>
      <c r="J167">
        <v>21021040</v>
      </c>
      <c r="K167" t="s">
        <v>102</v>
      </c>
      <c r="L167">
        <v>168589.96</v>
      </c>
      <c r="M167" t="s">
        <v>54</v>
      </c>
      <c r="N167">
        <v>3159173.54</v>
      </c>
      <c r="O167" t="s">
        <v>31</v>
      </c>
      <c r="R167" t="s">
        <v>1121</v>
      </c>
      <c r="S167" t="s">
        <v>1122</v>
      </c>
      <c r="T167">
        <v>101128</v>
      </c>
      <c r="U167" t="s">
        <v>410</v>
      </c>
      <c r="X167" t="s">
        <v>43</v>
      </c>
      <c r="Y167" s="8" t="s">
        <v>1050</v>
      </c>
      <c r="Z167" t="s">
        <v>1050</v>
      </c>
      <c r="AA167">
        <v>168589.96</v>
      </c>
      <c r="AB167">
        <v>0</v>
      </c>
      <c r="AC167">
        <v>168589.96</v>
      </c>
      <c r="AD167">
        <v>100020671</v>
      </c>
      <c r="AE167" t="s">
        <v>413</v>
      </c>
      <c r="AF167" s="4">
        <v>134871.96799999999</v>
      </c>
      <c r="AG167" t="s">
        <v>212</v>
      </c>
      <c r="AH167" t="s">
        <v>1123</v>
      </c>
      <c r="AJ167" t="s">
        <v>1125</v>
      </c>
      <c r="AK167" t="s">
        <v>1124</v>
      </c>
      <c r="AL167">
        <v>340121790</v>
      </c>
      <c r="AM167" t="s">
        <v>414</v>
      </c>
    </row>
    <row r="168" spans="1:39" x14ac:dyDescent="0.35">
      <c r="A168">
        <v>3401</v>
      </c>
      <c r="B168" t="s">
        <v>81</v>
      </c>
      <c r="C168">
        <v>2020</v>
      </c>
      <c r="D168" s="1">
        <v>43831</v>
      </c>
      <c r="E168">
        <v>1</v>
      </c>
      <c r="F168">
        <v>100020666</v>
      </c>
      <c r="G168" t="s">
        <v>120</v>
      </c>
      <c r="H168">
        <v>81</v>
      </c>
      <c r="I168">
        <v>71106150</v>
      </c>
      <c r="J168">
        <v>21021040</v>
      </c>
      <c r="K168" t="s">
        <v>102</v>
      </c>
      <c r="L168">
        <v>8295.15</v>
      </c>
      <c r="M168" t="s">
        <v>54</v>
      </c>
      <c r="N168">
        <v>155441.16</v>
      </c>
      <c r="O168" t="s">
        <v>31</v>
      </c>
      <c r="R168" t="s">
        <v>1121</v>
      </c>
      <c r="S168" t="s">
        <v>1122</v>
      </c>
      <c r="T168">
        <v>101128</v>
      </c>
      <c r="U168" t="s">
        <v>410</v>
      </c>
      <c r="X168" t="s">
        <v>43</v>
      </c>
      <c r="Y168" s="8" t="s">
        <v>1050</v>
      </c>
      <c r="Z168" t="s">
        <v>1050</v>
      </c>
      <c r="AA168">
        <v>8295.15</v>
      </c>
      <c r="AB168">
        <v>0</v>
      </c>
      <c r="AC168">
        <v>8295.15</v>
      </c>
      <c r="AD168">
        <v>100020671</v>
      </c>
      <c r="AE168" t="s">
        <v>415</v>
      </c>
      <c r="AF168" s="4">
        <v>6636.12</v>
      </c>
      <c r="AG168" t="s">
        <v>212</v>
      </c>
      <c r="AH168" t="s">
        <v>1123</v>
      </c>
      <c r="AJ168" t="s">
        <v>1125</v>
      </c>
      <c r="AK168" t="s">
        <v>1124</v>
      </c>
      <c r="AL168">
        <v>340170123</v>
      </c>
      <c r="AM168" t="s">
        <v>414</v>
      </c>
    </row>
    <row r="169" spans="1:39" x14ac:dyDescent="0.35">
      <c r="A169">
        <v>3401</v>
      </c>
      <c r="B169" t="s">
        <v>81</v>
      </c>
      <c r="C169">
        <v>2020</v>
      </c>
      <c r="D169" s="1">
        <v>43831</v>
      </c>
      <c r="E169">
        <v>1</v>
      </c>
      <c r="F169">
        <v>100020854</v>
      </c>
      <c r="G169" t="s">
        <v>120</v>
      </c>
      <c r="H169">
        <v>81</v>
      </c>
      <c r="I169">
        <v>71104010</v>
      </c>
      <c r="J169">
        <v>21021040</v>
      </c>
      <c r="K169" t="s">
        <v>121</v>
      </c>
      <c r="L169">
        <v>50484</v>
      </c>
      <c r="M169" t="s">
        <v>31</v>
      </c>
      <c r="N169">
        <v>50484</v>
      </c>
      <c r="O169" t="s">
        <v>31</v>
      </c>
      <c r="R169" t="s">
        <v>122</v>
      </c>
      <c r="S169" t="s">
        <v>1131</v>
      </c>
      <c r="T169">
        <v>107211</v>
      </c>
      <c r="U169" t="s">
        <v>123</v>
      </c>
      <c r="X169" t="s">
        <v>81</v>
      </c>
      <c r="Y169" s="8">
        <v>4501216248</v>
      </c>
      <c r="Z169" t="s">
        <v>1127</v>
      </c>
      <c r="AA169">
        <v>50484</v>
      </c>
      <c r="AD169">
        <v>100036889</v>
      </c>
      <c r="AE169" t="s">
        <v>1128</v>
      </c>
      <c r="AF169" s="4"/>
      <c r="AG169" t="s">
        <v>51</v>
      </c>
      <c r="AH169" t="s">
        <v>1123</v>
      </c>
      <c r="AJ169" t="s">
        <v>1148</v>
      </c>
      <c r="AK169" t="s">
        <v>1129</v>
      </c>
      <c r="AL169">
        <v>340118590</v>
      </c>
      <c r="AM169" t="s">
        <v>124</v>
      </c>
    </row>
    <row r="170" spans="1:39" x14ac:dyDescent="0.35">
      <c r="A170">
        <v>3409</v>
      </c>
      <c r="B170" t="s">
        <v>81</v>
      </c>
      <c r="C170">
        <v>2020</v>
      </c>
      <c r="D170" s="1">
        <v>43831</v>
      </c>
      <c r="E170">
        <v>1</v>
      </c>
      <c r="F170">
        <v>900007290</v>
      </c>
      <c r="G170" t="s">
        <v>120</v>
      </c>
      <c r="H170">
        <v>81</v>
      </c>
      <c r="I170">
        <v>71106040</v>
      </c>
      <c r="J170">
        <v>21021040</v>
      </c>
      <c r="K170" t="s">
        <v>125</v>
      </c>
      <c r="L170">
        <v>1952.64</v>
      </c>
      <c r="M170" t="s">
        <v>31</v>
      </c>
      <c r="N170">
        <v>1952.64</v>
      </c>
      <c r="O170" t="s">
        <v>31</v>
      </c>
      <c r="R170" t="s">
        <v>416</v>
      </c>
      <c r="S170" t="s">
        <v>1185</v>
      </c>
      <c r="T170">
        <v>801037</v>
      </c>
      <c r="U170" t="s">
        <v>417</v>
      </c>
      <c r="X170" t="s">
        <v>81</v>
      </c>
      <c r="Y170" s="8" t="s">
        <v>418</v>
      </c>
      <c r="Z170">
        <v>20200121</v>
      </c>
      <c r="AA170">
        <v>1952.64</v>
      </c>
      <c r="AB170">
        <v>312.42240000000004</v>
      </c>
      <c r="AC170">
        <v>2265.0624000000003</v>
      </c>
      <c r="AD170">
        <v>900008158</v>
      </c>
      <c r="AE170" t="s">
        <v>419</v>
      </c>
      <c r="AF170" s="4">
        <v>2265.0624000000003</v>
      </c>
      <c r="AG170" t="s">
        <v>62</v>
      </c>
      <c r="AH170" t="s">
        <v>1123</v>
      </c>
      <c r="AI170">
        <v>900009857</v>
      </c>
      <c r="AJ170" t="s">
        <v>1136</v>
      </c>
      <c r="AK170" t="s">
        <v>1135</v>
      </c>
      <c r="AL170">
        <v>340921790</v>
      </c>
      <c r="AM170" t="s">
        <v>185</v>
      </c>
    </row>
    <row r="171" spans="1:39" x14ac:dyDescent="0.35">
      <c r="A171">
        <v>3401</v>
      </c>
      <c r="B171" t="s">
        <v>83</v>
      </c>
      <c r="C171">
        <v>2020</v>
      </c>
      <c r="D171" s="1">
        <v>43831</v>
      </c>
      <c r="E171">
        <v>1</v>
      </c>
      <c r="F171">
        <v>100027969</v>
      </c>
      <c r="G171" t="s">
        <v>120</v>
      </c>
      <c r="H171">
        <v>81</v>
      </c>
      <c r="I171">
        <v>71104010</v>
      </c>
      <c r="J171">
        <v>21021040</v>
      </c>
      <c r="K171" t="s">
        <v>121</v>
      </c>
      <c r="L171">
        <v>50484</v>
      </c>
      <c r="M171" t="s">
        <v>31</v>
      </c>
      <c r="N171">
        <v>50484</v>
      </c>
      <c r="O171" t="s">
        <v>31</v>
      </c>
      <c r="R171" t="s">
        <v>122</v>
      </c>
      <c r="S171" t="s">
        <v>1131</v>
      </c>
      <c r="T171">
        <v>107211</v>
      </c>
      <c r="U171" t="s">
        <v>123</v>
      </c>
      <c r="X171" t="s">
        <v>83</v>
      </c>
      <c r="Y171" s="8">
        <v>4501216248</v>
      </c>
      <c r="Z171" t="s">
        <v>1127</v>
      </c>
      <c r="AA171">
        <v>50484</v>
      </c>
      <c r="AD171">
        <v>100036889</v>
      </c>
      <c r="AE171" t="s">
        <v>1128</v>
      </c>
      <c r="AF171" s="4">
        <v>0</v>
      </c>
      <c r="AG171" t="s">
        <v>1197</v>
      </c>
      <c r="AH171" t="s">
        <v>1123</v>
      </c>
      <c r="AJ171" t="s">
        <v>1148</v>
      </c>
      <c r="AK171" t="s">
        <v>1129</v>
      </c>
      <c r="AL171">
        <v>340118590</v>
      </c>
      <c r="AM171" t="s">
        <v>124</v>
      </c>
    </row>
    <row r="172" spans="1:39" x14ac:dyDescent="0.35">
      <c r="A172">
        <v>3403</v>
      </c>
      <c r="B172" t="s">
        <v>83</v>
      </c>
      <c r="C172">
        <v>2020</v>
      </c>
      <c r="D172" s="1">
        <v>43831</v>
      </c>
      <c r="E172">
        <v>1</v>
      </c>
      <c r="F172">
        <v>300015540</v>
      </c>
      <c r="G172" t="s">
        <v>120</v>
      </c>
      <c r="H172">
        <v>81</v>
      </c>
      <c r="I172">
        <v>71101060</v>
      </c>
      <c r="J172">
        <v>21021040</v>
      </c>
      <c r="K172" t="s">
        <v>30</v>
      </c>
      <c r="L172">
        <v>6100.02</v>
      </c>
      <c r="M172" t="s">
        <v>31</v>
      </c>
      <c r="N172">
        <v>6100.02</v>
      </c>
      <c r="O172" t="s">
        <v>31</v>
      </c>
      <c r="R172" t="s">
        <v>513</v>
      </c>
      <c r="S172" t="s">
        <v>1172</v>
      </c>
      <c r="T172">
        <v>109624</v>
      </c>
      <c r="U172" t="s">
        <v>514</v>
      </c>
      <c r="X172" t="s">
        <v>83</v>
      </c>
      <c r="Y172" s="8">
        <v>476</v>
      </c>
      <c r="Z172">
        <v>4501226973</v>
      </c>
      <c r="AA172">
        <v>6100.02</v>
      </c>
      <c r="AB172">
        <v>976.00320000000011</v>
      </c>
      <c r="AC172">
        <v>7076.0232000000005</v>
      </c>
      <c r="AD172">
        <v>300016348</v>
      </c>
      <c r="AE172" t="s">
        <v>515</v>
      </c>
      <c r="AF172" s="4">
        <v>7076.0232000000005</v>
      </c>
      <c r="AG172" t="s">
        <v>1171</v>
      </c>
      <c r="AH172" t="s">
        <v>1123</v>
      </c>
      <c r="AJ172" t="s">
        <v>1148</v>
      </c>
      <c r="AK172" t="s">
        <v>1129</v>
      </c>
      <c r="AL172">
        <v>340312890</v>
      </c>
      <c r="AM172" t="s">
        <v>222</v>
      </c>
    </row>
    <row r="173" spans="1:39" x14ac:dyDescent="0.35">
      <c r="A173">
        <v>3402</v>
      </c>
      <c r="B173" t="s">
        <v>83</v>
      </c>
      <c r="C173">
        <v>2020</v>
      </c>
      <c r="D173" s="1">
        <v>43831</v>
      </c>
      <c r="E173">
        <v>1</v>
      </c>
      <c r="F173">
        <v>200091776</v>
      </c>
      <c r="G173" t="s">
        <v>120</v>
      </c>
      <c r="H173">
        <v>81</v>
      </c>
      <c r="I173">
        <v>71105060</v>
      </c>
      <c r="J173">
        <v>21021040</v>
      </c>
      <c r="K173" t="s">
        <v>238</v>
      </c>
      <c r="L173">
        <v>30524.48</v>
      </c>
      <c r="M173" t="s">
        <v>31</v>
      </c>
      <c r="N173">
        <v>30524.48</v>
      </c>
      <c r="O173" t="s">
        <v>31</v>
      </c>
      <c r="R173" t="s">
        <v>239</v>
      </c>
      <c r="S173" t="s">
        <v>1153</v>
      </c>
      <c r="T173">
        <v>606476</v>
      </c>
      <c r="U173" t="s">
        <v>240</v>
      </c>
      <c r="X173" t="s">
        <v>83</v>
      </c>
      <c r="Y173" s="8" t="s">
        <v>241</v>
      </c>
      <c r="Z173">
        <v>20200128</v>
      </c>
      <c r="AA173">
        <v>30524.48</v>
      </c>
      <c r="AB173">
        <v>4883.9168</v>
      </c>
      <c r="AC173">
        <v>35408.396800000002</v>
      </c>
      <c r="AD173">
        <v>200124279</v>
      </c>
      <c r="AE173" t="s">
        <v>516</v>
      </c>
      <c r="AF173" s="4">
        <v>35408.396800000002</v>
      </c>
      <c r="AG173" t="s">
        <v>1147</v>
      </c>
      <c r="AH173" t="s">
        <v>1123</v>
      </c>
      <c r="AJ173" t="s">
        <v>1136</v>
      </c>
      <c r="AK173" t="s">
        <v>1135</v>
      </c>
      <c r="AL173">
        <v>340225490</v>
      </c>
      <c r="AM173" t="s">
        <v>135</v>
      </c>
    </row>
    <row r="174" spans="1:39" x14ac:dyDescent="0.35">
      <c r="A174">
        <v>3407</v>
      </c>
      <c r="B174" t="s">
        <v>83</v>
      </c>
      <c r="C174">
        <v>2020</v>
      </c>
      <c r="D174" s="1">
        <v>43831</v>
      </c>
      <c r="E174">
        <v>1</v>
      </c>
      <c r="F174">
        <v>700032933</v>
      </c>
      <c r="G174" t="s">
        <v>120</v>
      </c>
      <c r="H174">
        <v>81</v>
      </c>
      <c r="I174">
        <v>71104010</v>
      </c>
      <c r="J174">
        <v>21021040</v>
      </c>
      <c r="K174" t="s">
        <v>121</v>
      </c>
      <c r="L174">
        <v>3557319.57</v>
      </c>
      <c r="M174" t="s">
        <v>31</v>
      </c>
      <c r="N174">
        <v>3557319.57</v>
      </c>
      <c r="O174" t="s">
        <v>31</v>
      </c>
      <c r="R174" t="s">
        <v>537</v>
      </c>
      <c r="S174" t="s">
        <v>1131</v>
      </c>
      <c r="T174">
        <v>107211</v>
      </c>
      <c r="U174" t="s">
        <v>123</v>
      </c>
      <c r="X174" t="s">
        <v>83</v>
      </c>
      <c r="Y174" s="8" t="s">
        <v>1162</v>
      </c>
      <c r="Z174">
        <v>20200128</v>
      </c>
      <c r="AA174">
        <v>3557319.57</v>
      </c>
      <c r="AB174">
        <v>569171.13119999995</v>
      </c>
      <c r="AC174" s="3">
        <v>4082382</v>
      </c>
      <c r="AD174">
        <v>700042411</v>
      </c>
      <c r="AE174" t="s">
        <v>538</v>
      </c>
      <c r="AF174" s="4">
        <v>4082382</v>
      </c>
      <c r="AG174" t="s">
        <v>51</v>
      </c>
      <c r="AH174" t="s">
        <v>1123</v>
      </c>
      <c r="AJ174" t="s">
        <v>1148</v>
      </c>
      <c r="AK174" t="s">
        <v>1129</v>
      </c>
      <c r="AL174">
        <v>340718590</v>
      </c>
      <c r="AM174" t="s">
        <v>244</v>
      </c>
    </row>
    <row r="175" spans="1:39" x14ac:dyDescent="0.35">
      <c r="A175">
        <v>3403</v>
      </c>
      <c r="B175" t="s">
        <v>352</v>
      </c>
      <c r="C175">
        <v>2020</v>
      </c>
      <c r="D175" s="1">
        <v>43831</v>
      </c>
      <c r="E175">
        <v>1</v>
      </c>
      <c r="F175">
        <v>300017003</v>
      </c>
      <c r="G175" t="s">
        <v>120</v>
      </c>
      <c r="H175">
        <v>81</v>
      </c>
      <c r="I175">
        <v>71104010</v>
      </c>
      <c r="J175">
        <v>21021040</v>
      </c>
      <c r="K175" t="s">
        <v>121</v>
      </c>
      <c r="L175">
        <v>38384.019999999997</v>
      </c>
      <c r="M175" t="s">
        <v>31</v>
      </c>
      <c r="N175">
        <v>38384.019999999997</v>
      </c>
      <c r="O175" t="s">
        <v>31</v>
      </c>
      <c r="R175" t="s">
        <v>542</v>
      </c>
      <c r="S175" t="s">
        <v>1131</v>
      </c>
      <c r="T175">
        <v>107211</v>
      </c>
      <c r="U175" t="s">
        <v>123</v>
      </c>
      <c r="X175" t="s">
        <v>47</v>
      </c>
      <c r="Y175" s="8">
        <v>4501228713</v>
      </c>
      <c r="Z175">
        <v>20200102</v>
      </c>
      <c r="AA175">
        <v>38384.019999999997</v>
      </c>
      <c r="AB175">
        <v>6141.4431999999997</v>
      </c>
      <c r="AC175">
        <v>44525.463199999998</v>
      </c>
      <c r="AD175">
        <v>300021003</v>
      </c>
      <c r="AE175" t="s">
        <v>543</v>
      </c>
      <c r="AF175" s="4">
        <v>44525.463199999998</v>
      </c>
      <c r="AG175" t="s">
        <v>51</v>
      </c>
      <c r="AH175" t="s">
        <v>1123</v>
      </c>
      <c r="AJ175" t="s">
        <v>1148</v>
      </c>
      <c r="AK175" t="s">
        <v>1129</v>
      </c>
      <c r="AL175">
        <v>340318590</v>
      </c>
      <c r="AM175" t="s">
        <v>222</v>
      </c>
    </row>
    <row r="176" spans="1:39" x14ac:dyDescent="0.35">
      <c r="A176">
        <v>3403</v>
      </c>
      <c r="B176" t="s">
        <v>352</v>
      </c>
      <c r="C176">
        <v>2020</v>
      </c>
      <c r="D176" s="1">
        <v>43831</v>
      </c>
      <c r="E176">
        <v>3</v>
      </c>
      <c r="F176">
        <v>300017003</v>
      </c>
      <c r="G176" t="s">
        <v>120</v>
      </c>
      <c r="H176">
        <v>81</v>
      </c>
      <c r="I176">
        <v>71104010</v>
      </c>
      <c r="J176">
        <v>21021040</v>
      </c>
      <c r="K176" t="s">
        <v>121</v>
      </c>
      <c r="L176">
        <v>45342</v>
      </c>
      <c r="M176" t="s">
        <v>31</v>
      </c>
      <c r="N176">
        <v>45342</v>
      </c>
      <c r="O176" t="s">
        <v>31</v>
      </c>
      <c r="R176" t="s">
        <v>542</v>
      </c>
      <c r="S176" t="s">
        <v>1131</v>
      </c>
      <c r="T176">
        <v>107211</v>
      </c>
      <c r="U176" t="s">
        <v>123</v>
      </c>
      <c r="X176" t="s">
        <v>47</v>
      </c>
      <c r="Y176" s="8">
        <v>4501228713</v>
      </c>
      <c r="Z176">
        <v>20200102</v>
      </c>
      <c r="AA176">
        <v>45342</v>
      </c>
      <c r="AB176">
        <v>7254.72</v>
      </c>
      <c r="AC176">
        <v>52596.72</v>
      </c>
      <c r="AD176">
        <v>300021003</v>
      </c>
      <c r="AE176" t="s">
        <v>544</v>
      </c>
      <c r="AF176" s="4">
        <v>52596.72</v>
      </c>
      <c r="AG176" t="s">
        <v>51</v>
      </c>
      <c r="AH176" t="s">
        <v>1123</v>
      </c>
      <c r="AJ176" t="s">
        <v>1148</v>
      </c>
      <c r="AK176" t="s">
        <v>1129</v>
      </c>
      <c r="AL176">
        <v>340318590</v>
      </c>
      <c r="AM176" t="s">
        <v>222</v>
      </c>
    </row>
    <row r="177" spans="1:39" x14ac:dyDescent="0.35">
      <c r="A177">
        <v>3403</v>
      </c>
      <c r="B177" t="s">
        <v>352</v>
      </c>
      <c r="C177">
        <v>2020</v>
      </c>
      <c r="D177" s="1">
        <v>43831</v>
      </c>
      <c r="E177">
        <v>5</v>
      </c>
      <c r="F177">
        <v>300017003</v>
      </c>
      <c r="G177" t="s">
        <v>120</v>
      </c>
      <c r="H177">
        <v>81</v>
      </c>
      <c r="I177">
        <v>71104010</v>
      </c>
      <c r="J177">
        <v>21021040</v>
      </c>
      <c r="K177" t="s">
        <v>121</v>
      </c>
      <c r="L177">
        <v>44719</v>
      </c>
      <c r="M177" t="s">
        <v>31</v>
      </c>
      <c r="N177">
        <v>44719</v>
      </c>
      <c r="O177" t="s">
        <v>31</v>
      </c>
      <c r="R177" t="s">
        <v>542</v>
      </c>
      <c r="S177" t="s">
        <v>1131</v>
      </c>
      <c r="T177">
        <v>107211</v>
      </c>
      <c r="U177" t="s">
        <v>123</v>
      </c>
      <c r="X177" t="s">
        <v>47</v>
      </c>
      <c r="Y177" s="8">
        <v>4501228713</v>
      </c>
      <c r="Z177">
        <v>20200102</v>
      </c>
      <c r="AA177">
        <v>44719</v>
      </c>
      <c r="AB177">
        <v>7155.04</v>
      </c>
      <c r="AC177">
        <v>51874.04</v>
      </c>
      <c r="AD177">
        <v>300021003</v>
      </c>
      <c r="AE177" t="s">
        <v>545</v>
      </c>
      <c r="AF177" s="4">
        <v>51874.04</v>
      </c>
      <c r="AG177" t="s">
        <v>51</v>
      </c>
      <c r="AH177" t="s">
        <v>1123</v>
      </c>
      <c r="AJ177" t="s">
        <v>1148</v>
      </c>
      <c r="AK177" t="s">
        <v>1129</v>
      </c>
      <c r="AL177">
        <v>340318590</v>
      </c>
      <c r="AM177" t="s">
        <v>222</v>
      </c>
    </row>
    <row r="178" spans="1:39" x14ac:dyDescent="0.35">
      <c r="A178">
        <v>3403</v>
      </c>
      <c r="B178" t="s">
        <v>352</v>
      </c>
      <c r="C178">
        <v>2020</v>
      </c>
      <c r="D178" s="1">
        <v>43831</v>
      </c>
      <c r="E178">
        <v>7</v>
      </c>
      <c r="F178">
        <v>300017003</v>
      </c>
      <c r="G178" t="s">
        <v>120</v>
      </c>
      <c r="H178">
        <v>81</v>
      </c>
      <c r="I178">
        <v>71104010</v>
      </c>
      <c r="J178">
        <v>21021040</v>
      </c>
      <c r="K178" t="s">
        <v>121</v>
      </c>
      <c r="L178">
        <v>43732</v>
      </c>
      <c r="M178" t="s">
        <v>31</v>
      </c>
      <c r="N178">
        <v>43732</v>
      </c>
      <c r="O178" t="s">
        <v>31</v>
      </c>
      <c r="R178" t="s">
        <v>542</v>
      </c>
      <c r="S178" t="s">
        <v>1131</v>
      </c>
      <c r="T178">
        <v>107211</v>
      </c>
      <c r="U178" t="s">
        <v>123</v>
      </c>
      <c r="X178" t="s">
        <v>47</v>
      </c>
      <c r="Y178" s="8">
        <v>4501228713</v>
      </c>
      <c r="Z178">
        <v>20200102</v>
      </c>
      <c r="AA178">
        <v>43732</v>
      </c>
      <c r="AB178">
        <v>6997.12</v>
      </c>
      <c r="AC178">
        <v>50729.120000000003</v>
      </c>
      <c r="AD178">
        <v>300021003</v>
      </c>
      <c r="AE178" t="s">
        <v>546</v>
      </c>
      <c r="AF178" s="4">
        <v>50729.120000000003</v>
      </c>
      <c r="AG178" t="s">
        <v>51</v>
      </c>
      <c r="AH178" t="s">
        <v>1123</v>
      </c>
      <c r="AJ178" t="s">
        <v>1148</v>
      </c>
      <c r="AK178" t="s">
        <v>1129</v>
      </c>
      <c r="AL178">
        <v>340318590</v>
      </c>
      <c r="AM178" t="s">
        <v>222</v>
      </c>
    </row>
    <row r="179" spans="1:39" x14ac:dyDescent="0.35">
      <c r="A179">
        <v>3403</v>
      </c>
      <c r="B179" t="s">
        <v>352</v>
      </c>
      <c r="C179">
        <v>2020</v>
      </c>
      <c r="D179" s="1">
        <v>43831</v>
      </c>
      <c r="E179">
        <v>9</v>
      </c>
      <c r="F179">
        <v>300017003</v>
      </c>
      <c r="G179" t="s">
        <v>120</v>
      </c>
      <c r="H179">
        <v>81</v>
      </c>
      <c r="I179">
        <v>71104010</v>
      </c>
      <c r="J179">
        <v>21021040</v>
      </c>
      <c r="K179" t="s">
        <v>121</v>
      </c>
      <c r="L179">
        <v>37985.019999999997</v>
      </c>
      <c r="M179" t="s">
        <v>31</v>
      </c>
      <c r="N179">
        <v>37985.019999999997</v>
      </c>
      <c r="O179" t="s">
        <v>31</v>
      </c>
      <c r="R179" t="s">
        <v>542</v>
      </c>
      <c r="S179" t="s">
        <v>1131</v>
      </c>
      <c r="T179">
        <v>107211</v>
      </c>
      <c r="U179" t="s">
        <v>123</v>
      </c>
      <c r="X179" t="s">
        <v>47</v>
      </c>
      <c r="Y179" s="8">
        <v>4501228713</v>
      </c>
      <c r="Z179">
        <v>20200102</v>
      </c>
      <c r="AA179">
        <v>37985.019999999997</v>
      </c>
      <c r="AB179">
        <v>6077.6031999999996</v>
      </c>
      <c r="AC179">
        <v>44062.623199999995</v>
      </c>
      <c r="AD179">
        <v>300021003</v>
      </c>
      <c r="AE179" t="s">
        <v>547</v>
      </c>
      <c r="AF179" s="4">
        <v>44062.623199999995</v>
      </c>
      <c r="AG179" t="s">
        <v>51</v>
      </c>
      <c r="AH179" t="s">
        <v>1123</v>
      </c>
      <c r="AJ179" t="s">
        <v>1148</v>
      </c>
      <c r="AK179" t="s">
        <v>1129</v>
      </c>
      <c r="AL179">
        <v>340318590</v>
      </c>
      <c r="AM179" t="s">
        <v>222</v>
      </c>
    </row>
    <row r="180" spans="1:39" x14ac:dyDescent="0.35">
      <c r="A180">
        <v>3403</v>
      </c>
      <c r="B180" t="s">
        <v>352</v>
      </c>
      <c r="C180">
        <v>2020</v>
      </c>
      <c r="D180" s="1">
        <v>43831</v>
      </c>
      <c r="E180">
        <v>11</v>
      </c>
      <c r="F180">
        <v>300017003</v>
      </c>
      <c r="G180" t="s">
        <v>120</v>
      </c>
      <c r="H180">
        <v>81</v>
      </c>
      <c r="I180">
        <v>71104010</v>
      </c>
      <c r="J180">
        <v>21021040</v>
      </c>
      <c r="K180" t="s">
        <v>121</v>
      </c>
      <c r="L180">
        <v>45013</v>
      </c>
      <c r="M180" t="s">
        <v>31</v>
      </c>
      <c r="N180">
        <v>45013</v>
      </c>
      <c r="O180" t="s">
        <v>31</v>
      </c>
      <c r="R180" t="s">
        <v>542</v>
      </c>
      <c r="S180" t="s">
        <v>1131</v>
      </c>
      <c r="T180">
        <v>107211</v>
      </c>
      <c r="U180" t="s">
        <v>123</v>
      </c>
      <c r="X180" t="s">
        <v>47</v>
      </c>
      <c r="Y180" s="8">
        <v>4501228713</v>
      </c>
      <c r="Z180">
        <v>20200102</v>
      </c>
      <c r="AA180">
        <v>45013</v>
      </c>
      <c r="AB180">
        <v>7202.08</v>
      </c>
      <c r="AC180">
        <v>52215.08</v>
      </c>
      <c r="AD180">
        <v>300021003</v>
      </c>
      <c r="AE180" t="s">
        <v>548</v>
      </c>
      <c r="AF180" s="4">
        <v>52215.08</v>
      </c>
      <c r="AG180" t="s">
        <v>51</v>
      </c>
      <c r="AH180" t="s">
        <v>1123</v>
      </c>
      <c r="AJ180" t="s">
        <v>1148</v>
      </c>
      <c r="AK180" t="s">
        <v>1129</v>
      </c>
      <c r="AL180">
        <v>340318590</v>
      </c>
      <c r="AM180" t="s">
        <v>222</v>
      </c>
    </row>
    <row r="181" spans="1:39" x14ac:dyDescent="0.35">
      <c r="A181">
        <v>3403</v>
      </c>
      <c r="B181" t="s">
        <v>352</v>
      </c>
      <c r="C181">
        <v>2020</v>
      </c>
      <c r="D181" s="1">
        <v>43831</v>
      </c>
      <c r="E181">
        <v>13</v>
      </c>
      <c r="F181">
        <v>300017003</v>
      </c>
      <c r="G181" t="s">
        <v>120</v>
      </c>
      <c r="H181">
        <v>81</v>
      </c>
      <c r="I181">
        <v>71104010</v>
      </c>
      <c r="J181">
        <v>21021040</v>
      </c>
      <c r="K181" t="s">
        <v>121</v>
      </c>
      <c r="L181">
        <v>46504</v>
      </c>
      <c r="M181" t="s">
        <v>31</v>
      </c>
      <c r="N181">
        <v>46504</v>
      </c>
      <c r="O181" t="s">
        <v>31</v>
      </c>
      <c r="R181" t="s">
        <v>542</v>
      </c>
      <c r="S181" t="s">
        <v>1131</v>
      </c>
      <c r="T181">
        <v>107211</v>
      </c>
      <c r="U181" t="s">
        <v>123</v>
      </c>
      <c r="X181" t="s">
        <v>47</v>
      </c>
      <c r="Y181" s="8">
        <v>4501228713</v>
      </c>
      <c r="Z181">
        <v>20200102</v>
      </c>
      <c r="AA181">
        <v>46504</v>
      </c>
      <c r="AB181">
        <v>7440.64</v>
      </c>
      <c r="AC181">
        <v>53944.639999999999</v>
      </c>
      <c r="AD181">
        <v>300021003</v>
      </c>
      <c r="AE181" t="s">
        <v>549</v>
      </c>
      <c r="AF181" s="4">
        <v>53944.639999999999</v>
      </c>
      <c r="AG181" t="s">
        <v>51</v>
      </c>
      <c r="AH181" t="s">
        <v>1123</v>
      </c>
      <c r="AJ181" t="s">
        <v>1148</v>
      </c>
      <c r="AK181" t="s">
        <v>1129</v>
      </c>
      <c r="AL181">
        <v>340318590</v>
      </c>
      <c r="AM181" t="s">
        <v>222</v>
      </c>
    </row>
    <row r="182" spans="1:39" x14ac:dyDescent="0.35">
      <c r="A182">
        <v>3403</v>
      </c>
      <c r="B182" t="s">
        <v>352</v>
      </c>
      <c r="C182">
        <v>2020</v>
      </c>
      <c r="D182" s="1">
        <v>43831</v>
      </c>
      <c r="E182">
        <v>15</v>
      </c>
      <c r="F182">
        <v>300017003</v>
      </c>
      <c r="G182" t="s">
        <v>120</v>
      </c>
      <c r="H182">
        <v>81</v>
      </c>
      <c r="I182">
        <v>71104010</v>
      </c>
      <c r="J182">
        <v>21021040</v>
      </c>
      <c r="K182" t="s">
        <v>121</v>
      </c>
      <c r="L182">
        <v>47358</v>
      </c>
      <c r="M182" t="s">
        <v>31</v>
      </c>
      <c r="N182">
        <v>47358</v>
      </c>
      <c r="O182" t="s">
        <v>31</v>
      </c>
      <c r="R182" t="s">
        <v>542</v>
      </c>
      <c r="S182" t="s">
        <v>1131</v>
      </c>
      <c r="T182">
        <v>107211</v>
      </c>
      <c r="U182" t="s">
        <v>123</v>
      </c>
      <c r="X182" t="s">
        <v>47</v>
      </c>
      <c r="Y182" s="8">
        <v>4501228713</v>
      </c>
      <c r="Z182">
        <v>20200102</v>
      </c>
      <c r="AA182">
        <v>47358</v>
      </c>
      <c r="AB182">
        <v>7577.28</v>
      </c>
      <c r="AC182">
        <v>54935.28</v>
      </c>
      <c r="AD182">
        <v>300021003</v>
      </c>
      <c r="AE182" t="s">
        <v>550</v>
      </c>
      <c r="AF182" s="4">
        <v>54935.28</v>
      </c>
      <c r="AG182" t="s">
        <v>51</v>
      </c>
      <c r="AH182" t="s">
        <v>1123</v>
      </c>
      <c r="AJ182" t="s">
        <v>1148</v>
      </c>
      <c r="AK182" t="s">
        <v>1129</v>
      </c>
      <c r="AL182">
        <v>340318590</v>
      </c>
      <c r="AM182" t="s">
        <v>222</v>
      </c>
    </row>
    <row r="183" spans="1:39" x14ac:dyDescent="0.35">
      <c r="A183">
        <v>3403</v>
      </c>
      <c r="B183" t="s">
        <v>352</v>
      </c>
      <c r="C183">
        <v>2020</v>
      </c>
      <c r="D183" s="1">
        <v>43831</v>
      </c>
      <c r="E183">
        <v>17</v>
      </c>
      <c r="F183">
        <v>300017003</v>
      </c>
      <c r="G183" t="s">
        <v>120</v>
      </c>
      <c r="H183">
        <v>81</v>
      </c>
      <c r="I183">
        <v>71104010</v>
      </c>
      <c r="J183">
        <v>21021040</v>
      </c>
      <c r="K183" t="s">
        <v>121</v>
      </c>
      <c r="L183">
        <v>47372</v>
      </c>
      <c r="M183" t="s">
        <v>31</v>
      </c>
      <c r="N183">
        <v>47372</v>
      </c>
      <c r="O183" t="s">
        <v>31</v>
      </c>
      <c r="R183" t="s">
        <v>542</v>
      </c>
      <c r="S183" t="s">
        <v>1131</v>
      </c>
      <c r="T183">
        <v>107211</v>
      </c>
      <c r="U183" t="s">
        <v>123</v>
      </c>
      <c r="X183" t="s">
        <v>47</v>
      </c>
      <c r="Y183" s="8">
        <v>4501228713</v>
      </c>
      <c r="Z183">
        <v>20200102</v>
      </c>
      <c r="AA183">
        <v>47372</v>
      </c>
      <c r="AB183">
        <v>7579.52</v>
      </c>
      <c r="AC183">
        <v>54951.520000000004</v>
      </c>
      <c r="AD183">
        <v>300021003</v>
      </c>
      <c r="AE183" t="s">
        <v>551</v>
      </c>
      <c r="AF183" s="4">
        <v>54951.520000000004</v>
      </c>
      <c r="AG183" t="s">
        <v>51</v>
      </c>
      <c r="AH183" t="s">
        <v>1123</v>
      </c>
      <c r="AJ183" t="s">
        <v>1148</v>
      </c>
      <c r="AK183" t="s">
        <v>1129</v>
      </c>
      <c r="AL183">
        <v>340318590</v>
      </c>
      <c r="AM183" t="s">
        <v>222</v>
      </c>
    </row>
    <row r="184" spans="1:39" x14ac:dyDescent="0.35">
      <c r="A184">
        <v>3403</v>
      </c>
      <c r="B184" t="s">
        <v>352</v>
      </c>
      <c r="C184">
        <v>2020</v>
      </c>
      <c r="D184" s="1">
        <v>43831</v>
      </c>
      <c r="E184">
        <v>19</v>
      </c>
      <c r="F184">
        <v>300017003</v>
      </c>
      <c r="G184" t="s">
        <v>120</v>
      </c>
      <c r="H184">
        <v>81</v>
      </c>
      <c r="I184">
        <v>71104010</v>
      </c>
      <c r="J184">
        <v>21021040</v>
      </c>
      <c r="K184" t="s">
        <v>121</v>
      </c>
      <c r="L184">
        <v>47421</v>
      </c>
      <c r="M184" t="s">
        <v>31</v>
      </c>
      <c r="N184">
        <v>47421</v>
      </c>
      <c r="O184" t="s">
        <v>31</v>
      </c>
      <c r="R184" t="s">
        <v>542</v>
      </c>
      <c r="S184" t="s">
        <v>1131</v>
      </c>
      <c r="T184">
        <v>107211</v>
      </c>
      <c r="U184" t="s">
        <v>123</v>
      </c>
      <c r="X184" t="s">
        <v>47</v>
      </c>
      <c r="Y184" s="8">
        <v>4501228713</v>
      </c>
      <c r="Z184">
        <v>20200102</v>
      </c>
      <c r="AA184">
        <v>47421</v>
      </c>
      <c r="AB184">
        <v>7587.3600000000006</v>
      </c>
      <c r="AC184">
        <v>55008.36</v>
      </c>
      <c r="AD184">
        <v>300021003</v>
      </c>
      <c r="AE184" t="s">
        <v>552</v>
      </c>
      <c r="AF184" s="4">
        <v>55008.36</v>
      </c>
      <c r="AG184" t="s">
        <v>51</v>
      </c>
      <c r="AH184" t="s">
        <v>1123</v>
      </c>
      <c r="AJ184" t="s">
        <v>1148</v>
      </c>
      <c r="AK184" t="s">
        <v>1129</v>
      </c>
      <c r="AL184">
        <v>340318590</v>
      </c>
      <c r="AM184" t="s">
        <v>222</v>
      </c>
    </row>
    <row r="185" spans="1:39" x14ac:dyDescent="0.35">
      <c r="A185">
        <v>3403</v>
      </c>
      <c r="B185" t="s">
        <v>352</v>
      </c>
      <c r="C185">
        <v>2020</v>
      </c>
      <c r="D185" s="1">
        <v>43831</v>
      </c>
      <c r="E185">
        <v>21</v>
      </c>
      <c r="F185">
        <v>300017003</v>
      </c>
      <c r="G185" t="s">
        <v>120</v>
      </c>
      <c r="H185">
        <v>81</v>
      </c>
      <c r="I185">
        <v>71104010</v>
      </c>
      <c r="J185">
        <v>21021040</v>
      </c>
      <c r="K185" t="s">
        <v>121</v>
      </c>
      <c r="L185">
        <v>49864</v>
      </c>
      <c r="M185" t="s">
        <v>31</v>
      </c>
      <c r="N185">
        <v>49864</v>
      </c>
      <c r="O185" t="s">
        <v>31</v>
      </c>
      <c r="R185" t="s">
        <v>542</v>
      </c>
      <c r="S185" t="s">
        <v>1131</v>
      </c>
      <c r="T185">
        <v>107211</v>
      </c>
      <c r="U185" t="s">
        <v>123</v>
      </c>
      <c r="X185" t="s">
        <v>47</v>
      </c>
      <c r="Y185" s="8">
        <v>4501228713</v>
      </c>
      <c r="Z185">
        <v>20200102</v>
      </c>
      <c r="AA185">
        <v>49864</v>
      </c>
      <c r="AB185">
        <v>7978.24</v>
      </c>
      <c r="AC185">
        <v>57842.239999999998</v>
      </c>
      <c r="AD185">
        <v>300021003</v>
      </c>
      <c r="AE185" t="s">
        <v>553</v>
      </c>
      <c r="AF185" s="4">
        <v>57842.239999999998</v>
      </c>
      <c r="AG185" t="s">
        <v>51</v>
      </c>
      <c r="AH185" t="s">
        <v>1123</v>
      </c>
      <c r="AJ185" t="s">
        <v>1148</v>
      </c>
      <c r="AK185" t="s">
        <v>1129</v>
      </c>
      <c r="AL185">
        <v>340318590</v>
      </c>
      <c r="AM185" t="s">
        <v>222</v>
      </c>
    </row>
    <row r="186" spans="1:39" x14ac:dyDescent="0.35">
      <c r="A186">
        <v>3403</v>
      </c>
      <c r="B186" t="s">
        <v>352</v>
      </c>
      <c r="C186">
        <v>2020</v>
      </c>
      <c r="D186" s="1">
        <v>43831</v>
      </c>
      <c r="E186">
        <v>23</v>
      </c>
      <c r="F186">
        <v>300017003</v>
      </c>
      <c r="G186" t="s">
        <v>120</v>
      </c>
      <c r="H186">
        <v>81</v>
      </c>
      <c r="I186">
        <v>71104010</v>
      </c>
      <c r="J186">
        <v>21021040</v>
      </c>
      <c r="K186" t="s">
        <v>121</v>
      </c>
      <c r="L186">
        <v>35549.019999999997</v>
      </c>
      <c r="M186" t="s">
        <v>31</v>
      </c>
      <c r="N186">
        <v>35549.019999999997</v>
      </c>
      <c r="O186" t="s">
        <v>31</v>
      </c>
      <c r="R186" t="s">
        <v>542</v>
      </c>
      <c r="S186" t="s">
        <v>1131</v>
      </c>
      <c r="T186">
        <v>107211</v>
      </c>
      <c r="U186" t="s">
        <v>123</v>
      </c>
      <c r="X186" t="s">
        <v>47</v>
      </c>
      <c r="Y186" s="8">
        <v>4501228713</v>
      </c>
      <c r="Z186">
        <v>20200102</v>
      </c>
      <c r="AA186">
        <v>35549.019999999997</v>
      </c>
      <c r="AB186">
        <v>5687.8431999999993</v>
      </c>
      <c r="AC186">
        <v>41236.863199999993</v>
      </c>
      <c r="AD186">
        <v>300021003</v>
      </c>
      <c r="AE186" t="s">
        <v>554</v>
      </c>
      <c r="AF186" s="4">
        <v>41236.863199999993</v>
      </c>
      <c r="AG186" t="s">
        <v>51</v>
      </c>
      <c r="AH186" t="s">
        <v>1123</v>
      </c>
      <c r="AJ186" t="s">
        <v>1148</v>
      </c>
      <c r="AK186" t="s">
        <v>1129</v>
      </c>
      <c r="AL186">
        <v>340318590</v>
      </c>
      <c r="AM186" t="s">
        <v>222</v>
      </c>
    </row>
    <row r="187" spans="1:39" x14ac:dyDescent="0.35">
      <c r="A187">
        <v>3403</v>
      </c>
      <c r="B187" t="s">
        <v>352</v>
      </c>
      <c r="C187">
        <v>2020</v>
      </c>
      <c r="D187" s="1">
        <v>43831</v>
      </c>
      <c r="E187">
        <v>25</v>
      </c>
      <c r="F187">
        <v>300017003</v>
      </c>
      <c r="G187" t="s">
        <v>120</v>
      </c>
      <c r="H187">
        <v>81</v>
      </c>
      <c r="I187">
        <v>71104010</v>
      </c>
      <c r="J187">
        <v>21021040</v>
      </c>
      <c r="K187" t="s">
        <v>121</v>
      </c>
      <c r="L187">
        <v>48471</v>
      </c>
      <c r="M187" t="s">
        <v>31</v>
      </c>
      <c r="N187">
        <v>48471</v>
      </c>
      <c r="O187" t="s">
        <v>31</v>
      </c>
      <c r="R187" t="s">
        <v>542</v>
      </c>
      <c r="S187" t="s">
        <v>1131</v>
      </c>
      <c r="T187">
        <v>107211</v>
      </c>
      <c r="U187" t="s">
        <v>123</v>
      </c>
      <c r="X187" t="s">
        <v>47</v>
      </c>
      <c r="Y187" s="8">
        <v>4501228713</v>
      </c>
      <c r="Z187">
        <v>20200102</v>
      </c>
      <c r="AA187">
        <v>48471</v>
      </c>
      <c r="AB187">
        <v>7755.3600000000006</v>
      </c>
      <c r="AC187">
        <v>56226.36</v>
      </c>
      <c r="AD187">
        <v>300021003</v>
      </c>
      <c r="AE187" t="s">
        <v>555</v>
      </c>
      <c r="AF187" s="4">
        <v>56226.36</v>
      </c>
      <c r="AG187" t="s">
        <v>51</v>
      </c>
      <c r="AH187" t="s">
        <v>1123</v>
      </c>
      <c r="AJ187" t="s">
        <v>1148</v>
      </c>
      <c r="AK187" t="s">
        <v>1129</v>
      </c>
      <c r="AL187">
        <v>340318590</v>
      </c>
      <c r="AM187" t="s">
        <v>222</v>
      </c>
    </row>
    <row r="188" spans="1:39" x14ac:dyDescent="0.35">
      <c r="A188">
        <v>3403</v>
      </c>
      <c r="B188" t="s">
        <v>352</v>
      </c>
      <c r="C188">
        <v>2020</v>
      </c>
      <c r="D188" s="1">
        <v>43831</v>
      </c>
      <c r="E188">
        <v>27</v>
      </c>
      <c r="F188">
        <v>300017003</v>
      </c>
      <c r="G188" t="s">
        <v>120</v>
      </c>
      <c r="H188">
        <v>81</v>
      </c>
      <c r="I188">
        <v>71104010</v>
      </c>
      <c r="J188">
        <v>21021040</v>
      </c>
      <c r="K188" t="s">
        <v>121</v>
      </c>
      <c r="L188">
        <v>47799</v>
      </c>
      <c r="M188" t="s">
        <v>31</v>
      </c>
      <c r="N188">
        <v>47799</v>
      </c>
      <c r="O188" t="s">
        <v>31</v>
      </c>
      <c r="R188" t="s">
        <v>542</v>
      </c>
      <c r="S188" t="s">
        <v>1131</v>
      </c>
      <c r="T188">
        <v>107211</v>
      </c>
      <c r="U188" t="s">
        <v>123</v>
      </c>
      <c r="X188" t="s">
        <v>47</v>
      </c>
      <c r="Y188" s="8">
        <v>4501228713</v>
      </c>
      <c r="Z188">
        <v>20200102</v>
      </c>
      <c r="AA188">
        <v>47799</v>
      </c>
      <c r="AB188">
        <v>7647.84</v>
      </c>
      <c r="AC188">
        <v>55446.84</v>
      </c>
      <c r="AD188">
        <v>300021003</v>
      </c>
      <c r="AE188" t="s">
        <v>556</v>
      </c>
      <c r="AF188" s="4">
        <v>55446.84</v>
      </c>
      <c r="AG188" t="s">
        <v>51</v>
      </c>
      <c r="AH188" t="s">
        <v>1123</v>
      </c>
      <c r="AJ188" t="s">
        <v>1148</v>
      </c>
      <c r="AK188" t="s">
        <v>1129</v>
      </c>
      <c r="AL188">
        <v>340318590</v>
      </c>
      <c r="AM188" t="s">
        <v>222</v>
      </c>
    </row>
    <row r="189" spans="1:39" x14ac:dyDescent="0.35">
      <c r="A189">
        <v>3403</v>
      </c>
      <c r="B189" t="s">
        <v>352</v>
      </c>
      <c r="C189">
        <v>2020</v>
      </c>
      <c r="D189" s="1">
        <v>43831</v>
      </c>
      <c r="E189">
        <v>29</v>
      </c>
      <c r="F189">
        <v>300017003</v>
      </c>
      <c r="G189" t="s">
        <v>120</v>
      </c>
      <c r="H189">
        <v>81</v>
      </c>
      <c r="I189">
        <v>71104010</v>
      </c>
      <c r="J189">
        <v>21021040</v>
      </c>
      <c r="K189" t="s">
        <v>121</v>
      </c>
      <c r="L189">
        <v>49528</v>
      </c>
      <c r="M189" t="s">
        <v>31</v>
      </c>
      <c r="N189">
        <v>49528</v>
      </c>
      <c r="O189" t="s">
        <v>31</v>
      </c>
      <c r="R189" t="s">
        <v>542</v>
      </c>
      <c r="S189" t="s">
        <v>1131</v>
      </c>
      <c r="T189">
        <v>107211</v>
      </c>
      <c r="U189" t="s">
        <v>123</v>
      </c>
      <c r="X189" t="s">
        <v>47</v>
      </c>
      <c r="Y189" s="8">
        <v>4501228713</v>
      </c>
      <c r="Z189">
        <v>20200102</v>
      </c>
      <c r="AA189">
        <v>49528</v>
      </c>
      <c r="AB189">
        <v>7924.4800000000005</v>
      </c>
      <c r="AC189">
        <v>57452.480000000003</v>
      </c>
      <c r="AD189">
        <v>300021003</v>
      </c>
      <c r="AE189" t="s">
        <v>557</v>
      </c>
      <c r="AF189" s="4">
        <v>57452.480000000003</v>
      </c>
      <c r="AG189" t="s">
        <v>51</v>
      </c>
      <c r="AH189" t="s">
        <v>1123</v>
      </c>
      <c r="AJ189" t="s">
        <v>1148</v>
      </c>
      <c r="AK189" t="s">
        <v>1129</v>
      </c>
      <c r="AL189">
        <v>340318590</v>
      </c>
      <c r="AM189" t="s">
        <v>222</v>
      </c>
    </row>
    <row r="190" spans="1:39" x14ac:dyDescent="0.35">
      <c r="A190">
        <v>3403</v>
      </c>
      <c r="B190" t="s">
        <v>352</v>
      </c>
      <c r="C190">
        <v>2020</v>
      </c>
      <c r="D190" s="1">
        <v>43831</v>
      </c>
      <c r="E190">
        <v>31</v>
      </c>
      <c r="F190">
        <v>300017003</v>
      </c>
      <c r="G190" t="s">
        <v>120</v>
      </c>
      <c r="H190">
        <v>81</v>
      </c>
      <c r="I190">
        <v>71104010</v>
      </c>
      <c r="J190">
        <v>21021040</v>
      </c>
      <c r="K190" t="s">
        <v>121</v>
      </c>
      <c r="L190">
        <v>48478</v>
      </c>
      <c r="M190" t="s">
        <v>31</v>
      </c>
      <c r="N190">
        <v>48478</v>
      </c>
      <c r="O190" t="s">
        <v>31</v>
      </c>
      <c r="R190" t="s">
        <v>542</v>
      </c>
      <c r="S190" t="s">
        <v>1131</v>
      </c>
      <c r="T190">
        <v>107211</v>
      </c>
      <c r="U190" t="s">
        <v>123</v>
      </c>
      <c r="X190" t="s">
        <v>47</v>
      </c>
      <c r="Y190" s="8">
        <v>4501228713</v>
      </c>
      <c r="Z190">
        <v>20200102</v>
      </c>
      <c r="AA190">
        <v>48478</v>
      </c>
      <c r="AB190">
        <v>7756.4800000000005</v>
      </c>
      <c r="AC190">
        <v>56234.48</v>
      </c>
      <c r="AD190">
        <v>300021003</v>
      </c>
      <c r="AE190" t="s">
        <v>558</v>
      </c>
      <c r="AF190" s="4">
        <v>56234.48</v>
      </c>
      <c r="AG190" t="s">
        <v>51</v>
      </c>
      <c r="AH190" t="s">
        <v>1123</v>
      </c>
      <c r="AJ190" t="s">
        <v>1148</v>
      </c>
      <c r="AK190" t="s">
        <v>1129</v>
      </c>
      <c r="AL190">
        <v>340318590</v>
      </c>
      <c r="AM190" t="s">
        <v>222</v>
      </c>
    </row>
    <row r="191" spans="1:39" x14ac:dyDescent="0.35">
      <c r="A191">
        <v>3403</v>
      </c>
      <c r="B191" t="s">
        <v>352</v>
      </c>
      <c r="C191">
        <v>2020</v>
      </c>
      <c r="D191" s="1">
        <v>43831</v>
      </c>
      <c r="E191">
        <v>33</v>
      </c>
      <c r="F191">
        <v>300017003</v>
      </c>
      <c r="G191" t="s">
        <v>120</v>
      </c>
      <c r="H191">
        <v>81</v>
      </c>
      <c r="I191">
        <v>71104010</v>
      </c>
      <c r="J191">
        <v>21021040</v>
      </c>
      <c r="K191" t="s">
        <v>121</v>
      </c>
      <c r="L191">
        <v>50529</v>
      </c>
      <c r="M191" t="s">
        <v>31</v>
      </c>
      <c r="N191">
        <v>50529</v>
      </c>
      <c r="O191" t="s">
        <v>31</v>
      </c>
      <c r="R191" t="s">
        <v>542</v>
      </c>
      <c r="S191" t="s">
        <v>1131</v>
      </c>
      <c r="T191">
        <v>107211</v>
      </c>
      <c r="U191" t="s">
        <v>123</v>
      </c>
      <c r="X191" t="s">
        <v>47</v>
      </c>
      <c r="Y191" s="8">
        <v>4501228713</v>
      </c>
      <c r="Z191">
        <v>20200102</v>
      </c>
      <c r="AA191">
        <v>50529</v>
      </c>
      <c r="AB191">
        <v>8084.64</v>
      </c>
      <c r="AC191">
        <v>58613.64</v>
      </c>
      <c r="AD191">
        <v>300021003</v>
      </c>
      <c r="AE191" t="s">
        <v>559</v>
      </c>
      <c r="AF191" s="4">
        <v>58613.64</v>
      </c>
      <c r="AG191" t="s">
        <v>51</v>
      </c>
      <c r="AH191" t="s">
        <v>1123</v>
      </c>
      <c r="AJ191" t="s">
        <v>1148</v>
      </c>
      <c r="AK191" t="s">
        <v>1129</v>
      </c>
      <c r="AL191">
        <v>340318590</v>
      </c>
      <c r="AM191" t="s">
        <v>222</v>
      </c>
    </row>
    <row r="192" spans="1:39" x14ac:dyDescent="0.35">
      <c r="A192">
        <v>3403</v>
      </c>
      <c r="B192" t="s">
        <v>352</v>
      </c>
      <c r="C192">
        <v>2020</v>
      </c>
      <c r="D192" s="1">
        <v>43831</v>
      </c>
      <c r="E192">
        <v>35</v>
      </c>
      <c r="F192">
        <v>300017003</v>
      </c>
      <c r="G192" t="s">
        <v>120</v>
      </c>
      <c r="H192">
        <v>81</v>
      </c>
      <c r="I192">
        <v>71104010</v>
      </c>
      <c r="J192">
        <v>21021040</v>
      </c>
      <c r="K192" t="s">
        <v>121</v>
      </c>
      <c r="L192">
        <v>48639</v>
      </c>
      <c r="M192" t="s">
        <v>31</v>
      </c>
      <c r="N192">
        <v>48639</v>
      </c>
      <c r="O192" t="s">
        <v>31</v>
      </c>
      <c r="R192" t="s">
        <v>542</v>
      </c>
      <c r="S192" t="s">
        <v>1131</v>
      </c>
      <c r="T192">
        <v>107211</v>
      </c>
      <c r="U192" t="s">
        <v>123</v>
      </c>
      <c r="X192" t="s">
        <v>47</v>
      </c>
      <c r="Y192" s="8">
        <v>4501228713</v>
      </c>
      <c r="Z192">
        <v>20200102</v>
      </c>
      <c r="AA192">
        <v>48639</v>
      </c>
      <c r="AB192">
        <v>7782.24</v>
      </c>
      <c r="AC192">
        <v>56421.24</v>
      </c>
      <c r="AD192">
        <v>300021003</v>
      </c>
      <c r="AE192" t="s">
        <v>560</v>
      </c>
      <c r="AF192" s="4">
        <v>56421.24</v>
      </c>
      <c r="AG192" t="s">
        <v>51</v>
      </c>
      <c r="AH192" t="s">
        <v>1123</v>
      </c>
      <c r="AJ192" t="s">
        <v>1148</v>
      </c>
      <c r="AK192" t="s">
        <v>1129</v>
      </c>
      <c r="AL192">
        <v>340318590</v>
      </c>
      <c r="AM192" t="s">
        <v>222</v>
      </c>
    </row>
    <row r="193" spans="1:39" x14ac:dyDescent="0.35">
      <c r="A193">
        <v>3403</v>
      </c>
      <c r="B193" t="s">
        <v>352</v>
      </c>
      <c r="C193">
        <v>2020</v>
      </c>
      <c r="D193" s="1">
        <v>43831</v>
      </c>
      <c r="E193">
        <v>37</v>
      </c>
      <c r="F193">
        <v>300017003</v>
      </c>
      <c r="G193" t="s">
        <v>120</v>
      </c>
      <c r="H193">
        <v>81</v>
      </c>
      <c r="I193">
        <v>71104010</v>
      </c>
      <c r="J193">
        <v>21021040</v>
      </c>
      <c r="K193" t="s">
        <v>121</v>
      </c>
      <c r="L193">
        <v>41415.18</v>
      </c>
      <c r="M193" t="s">
        <v>31</v>
      </c>
      <c r="N193">
        <v>41415.18</v>
      </c>
      <c r="O193" t="s">
        <v>31</v>
      </c>
      <c r="R193" t="s">
        <v>542</v>
      </c>
      <c r="S193" t="s">
        <v>1131</v>
      </c>
      <c r="T193">
        <v>107211</v>
      </c>
      <c r="U193" t="s">
        <v>123</v>
      </c>
      <c r="X193" t="s">
        <v>47</v>
      </c>
      <c r="Y193" s="8">
        <v>4501228713</v>
      </c>
      <c r="Z193">
        <v>20200102</v>
      </c>
      <c r="AA193">
        <v>41415.18</v>
      </c>
      <c r="AB193">
        <v>6626.4288000000006</v>
      </c>
      <c r="AC193">
        <v>48041.608800000002</v>
      </c>
      <c r="AD193">
        <v>300021003</v>
      </c>
      <c r="AE193" t="s">
        <v>561</v>
      </c>
      <c r="AF193" s="4">
        <v>48041.608800000002</v>
      </c>
      <c r="AG193" t="s">
        <v>51</v>
      </c>
      <c r="AH193" t="s">
        <v>1123</v>
      </c>
      <c r="AJ193" t="s">
        <v>1148</v>
      </c>
      <c r="AK193" t="s">
        <v>1129</v>
      </c>
      <c r="AL193">
        <v>340318590</v>
      </c>
      <c r="AM193" t="s">
        <v>222</v>
      </c>
    </row>
    <row r="194" spans="1:39" x14ac:dyDescent="0.35">
      <c r="A194">
        <v>3403</v>
      </c>
      <c r="B194" t="s">
        <v>352</v>
      </c>
      <c r="C194">
        <v>2020</v>
      </c>
      <c r="D194" s="1">
        <v>43831</v>
      </c>
      <c r="E194">
        <v>39</v>
      </c>
      <c r="F194">
        <v>300017003</v>
      </c>
      <c r="G194" t="s">
        <v>120</v>
      </c>
      <c r="H194">
        <v>81</v>
      </c>
      <c r="I194">
        <v>71104010</v>
      </c>
      <c r="J194">
        <v>21021040</v>
      </c>
      <c r="K194" t="s">
        <v>121</v>
      </c>
      <c r="L194">
        <v>51467</v>
      </c>
      <c r="M194" t="s">
        <v>31</v>
      </c>
      <c r="N194">
        <v>51467</v>
      </c>
      <c r="O194" t="s">
        <v>31</v>
      </c>
      <c r="R194" t="s">
        <v>542</v>
      </c>
      <c r="S194" t="s">
        <v>1131</v>
      </c>
      <c r="T194">
        <v>107211</v>
      </c>
      <c r="U194" t="s">
        <v>123</v>
      </c>
      <c r="X194" t="s">
        <v>47</v>
      </c>
      <c r="Y194" s="8">
        <v>4501228713</v>
      </c>
      <c r="Z194">
        <v>20200102</v>
      </c>
      <c r="AA194">
        <v>51467</v>
      </c>
      <c r="AB194">
        <v>8234.7199999999993</v>
      </c>
      <c r="AC194">
        <v>59701.72</v>
      </c>
      <c r="AD194">
        <v>300021003</v>
      </c>
      <c r="AE194" t="s">
        <v>562</v>
      </c>
      <c r="AF194" s="4">
        <v>59701.72</v>
      </c>
      <c r="AG194" t="s">
        <v>51</v>
      </c>
      <c r="AH194" t="s">
        <v>1123</v>
      </c>
      <c r="AJ194" t="s">
        <v>1148</v>
      </c>
      <c r="AK194" t="s">
        <v>1129</v>
      </c>
      <c r="AL194">
        <v>340318590</v>
      </c>
      <c r="AM194" t="s">
        <v>222</v>
      </c>
    </row>
    <row r="195" spans="1:39" x14ac:dyDescent="0.35">
      <c r="A195">
        <v>3403</v>
      </c>
      <c r="B195" t="s">
        <v>352</v>
      </c>
      <c r="C195">
        <v>2020</v>
      </c>
      <c r="D195" s="1">
        <v>43831</v>
      </c>
      <c r="E195">
        <v>41</v>
      </c>
      <c r="F195">
        <v>300017003</v>
      </c>
      <c r="G195" t="s">
        <v>120</v>
      </c>
      <c r="H195">
        <v>81</v>
      </c>
      <c r="I195">
        <v>71104010</v>
      </c>
      <c r="J195">
        <v>21021040</v>
      </c>
      <c r="K195" t="s">
        <v>121</v>
      </c>
      <c r="L195">
        <v>50536</v>
      </c>
      <c r="M195" t="s">
        <v>31</v>
      </c>
      <c r="N195">
        <v>50536</v>
      </c>
      <c r="O195" t="s">
        <v>31</v>
      </c>
      <c r="R195" t="s">
        <v>542</v>
      </c>
      <c r="S195" t="s">
        <v>1131</v>
      </c>
      <c r="T195">
        <v>107211</v>
      </c>
      <c r="U195" t="s">
        <v>123</v>
      </c>
      <c r="X195" t="s">
        <v>47</v>
      </c>
      <c r="Y195" s="8">
        <v>4501228713</v>
      </c>
      <c r="Z195">
        <v>20200102</v>
      </c>
      <c r="AA195">
        <v>50536</v>
      </c>
      <c r="AB195">
        <v>8085.76</v>
      </c>
      <c r="AC195">
        <v>58621.760000000002</v>
      </c>
      <c r="AD195">
        <v>300021003</v>
      </c>
      <c r="AE195" t="s">
        <v>563</v>
      </c>
      <c r="AF195" s="4">
        <v>58621.760000000002</v>
      </c>
      <c r="AG195" t="s">
        <v>51</v>
      </c>
      <c r="AH195" t="s">
        <v>1123</v>
      </c>
      <c r="AJ195" t="s">
        <v>1148</v>
      </c>
      <c r="AK195" t="s">
        <v>1129</v>
      </c>
      <c r="AL195">
        <v>340318590</v>
      </c>
      <c r="AM195" t="s">
        <v>222</v>
      </c>
    </row>
    <row r="196" spans="1:39" x14ac:dyDescent="0.35">
      <c r="A196">
        <v>3403</v>
      </c>
      <c r="B196" t="s">
        <v>352</v>
      </c>
      <c r="C196">
        <v>2020</v>
      </c>
      <c r="D196" s="1">
        <v>43831</v>
      </c>
      <c r="E196">
        <v>43</v>
      </c>
      <c r="F196">
        <v>300017003</v>
      </c>
      <c r="G196" t="s">
        <v>120</v>
      </c>
      <c r="H196">
        <v>81</v>
      </c>
      <c r="I196">
        <v>71104010</v>
      </c>
      <c r="J196">
        <v>21021040</v>
      </c>
      <c r="K196" t="s">
        <v>121</v>
      </c>
      <c r="L196">
        <v>52013</v>
      </c>
      <c r="M196" t="s">
        <v>31</v>
      </c>
      <c r="N196">
        <v>52013</v>
      </c>
      <c r="O196" t="s">
        <v>31</v>
      </c>
      <c r="R196" t="s">
        <v>542</v>
      </c>
      <c r="S196" t="s">
        <v>1131</v>
      </c>
      <c r="T196">
        <v>107211</v>
      </c>
      <c r="U196" t="s">
        <v>123</v>
      </c>
      <c r="X196" t="s">
        <v>47</v>
      </c>
      <c r="Y196" s="8">
        <v>4501228713</v>
      </c>
      <c r="Z196">
        <v>20200102</v>
      </c>
      <c r="AA196">
        <v>52013</v>
      </c>
      <c r="AB196">
        <v>8322.08</v>
      </c>
      <c r="AC196">
        <v>60335.08</v>
      </c>
      <c r="AD196">
        <v>300021003</v>
      </c>
      <c r="AE196" t="s">
        <v>564</v>
      </c>
      <c r="AF196" s="4">
        <v>60335.08</v>
      </c>
      <c r="AG196" t="s">
        <v>51</v>
      </c>
      <c r="AH196" t="s">
        <v>1123</v>
      </c>
      <c r="AJ196" t="s">
        <v>1148</v>
      </c>
      <c r="AK196" t="s">
        <v>1129</v>
      </c>
      <c r="AL196">
        <v>340318590</v>
      </c>
      <c r="AM196" t="s">
        <v>222</v>
      </c>
    </row>
    <row r="197" spans="1:39" x14ac:dyDescent="0.35">
      <c r="A197">
        <v>3403</v>
      </c>
      <c r="B197" t="s">
        <v>352</v>
      </c>
      <c r="C197">
        <v>2020</v>
      </c>
      <c r="D197" s="1">
        <v>43831</v>
      </c>
      <c r="E197">
        <v>45</v>
      </c>
      <c r="F197">
        <v>300017003</v>
      </c>
      <c r="G197" t="s">
        <v>120</v>
      </c>
      <c r="H197">
        <v>81</v>
      </c>
      <c r="I197">
        <v>71104010</v>
      </c>
      <c r="J197">
        <v>21021040</v>
      </c>
      <c r="K197" t="s">
        <v>121</v>
      </c>
      <c r="L197">
        <v>50907</v>
      </c>
      <c r="M197" t="s">
        <v>31</v>
      </c>
      <c r="N197">
        <v>50907</v>
      </c>
      <c r="O197" t="s">
        <v>31</v>
      </c>
      <c r="R197" t="s">
        <v>542</v>
      </c>
      <c r="S197" t="s">
        <v>1131</v>
      </c>
      <c r="T197">
        <v>107211</v>
      </c>
      <c r="U197" t="s">
        <v>123</v>
      </c>
      <c r="X197" t="s">
        <v>47</v>
      </c>
      <c r="Y197" s="8">
        <v>4501228713</v>
      </c>
      <c r="Z197">
        <v>20200102</v>
      </c>
      <c r="AA197">
        <v>50907</v>
      </c>
      <c r="AB197">
        <v>8145.12</v>
      </c>
      <c r="AC197">
        <v>59052.12</v>
      </c>
      <c r="AD197">
        <v>300021003</v>
      </c>
      <c r="AE197" t="s">
        <v>565</v>
      </c>
      <c r="AF197" s="4">
        <v>59052.12</v>
      </c>
      <c r="AG197" t="s">
        <v>51</v>
      </c>
      <c r="AH197" t="s">
        <v>1123</v>
      </c>
      <c r="AJ197" t="s">
        <v>1148</v>
      </c>
      <c r="AK197" t="s">
        <v>1129</v>
      </c>
      <c r="AL197">
        <v>340318590</v>
      </c>
      <c r="AM197" t="s">
        <v>222</v>
      </c>
    </row>
    <row r="198" spans="1:39" x14ac:dyDescent="0.35">
      <c r="A198">
        <v>3403</v>
      </c>
      <c r="B198" t="s">
        <v>352</v>
      </c>
      <c r="C198">
        <v>2020</v>
      </c>
      <c r="D198" s="1">
        <v>43831</v>
      </c>
      <c r="E198">
        <v>47</v>
      </c>
      <c r="F198">
        <v>300017003</v>
      </c>
      <c r="G198" t="s">
        <v>120</v>
      </c>
      <c r="H198">
        <v>81</v>
      </c>
      <c r="I198">
        <v>71104010</v>
      </c>
      <c r="J198">
        <v>21021040</v>
      </c>
      <c r="K198" t="s">
        <v>121</v>
      </c>
      <c r="L198">
        <v>49682</v>
      </c>
      <c r="M198" t="s">
        <v>31</v>
      </c>
      <c r="N198">
        <v>49682</v>
      </c>
      <c r="O198" t="s">
        <v>31</v>
      </c>
      <c r="R198" t="s">
        <v>542</v>
      </c>
      <c r="S198" t="s">
        <v>1131</v>
      </c>
      <c r="T198">
        <v>107211</v>
      </c>
      <c r="U198" t="s">
        <v>123</v>
      </c>
      <c r="X198" t="s">
        <v>47</v>
      </c>
      <c r="Y198" s="8">
        <v>4501228713</v>
      </c>
      <c r="Z198">
        <v>20200102</v>
      </c>
      <c r="AA198">
        <v>49682</v>
      </c>
      <c r="AB198">
        <v>7949.12</v>
      </c>
      <c r="AC198">
        <v>57631.12</v>
      </c>
      <c r="AD198">
        <v>300021003</v>
      </c>
      <c r="AE198" t="s">
        <v>566</v>
      </c>
      <c r="AF198" s="4">
        <v>57631.12</v>
      </c>
      <c r="AG198" t="s">
        <v>51</v>
      </c>
      <c r="AH198" t="s">
        <v>1123</v>
      </c>
      <c r="AJ198" t="s">
        <v>1148</v>
      </c>
      <c r="AK198" t="s">
        <v>1129</v>
      </c>
      <c r="AL198">
        <v>340318590</v>
      </c>
      <c r="AM198" t="s">
        <v>222</v>
      </c>
    </row>
    <row r="199" spans="1:39" x14ac:dyDescent="0.35">
      <c r="A199">
        <v>3403</v>
      </c>
      <c r="B199" t="s">
        <v>352</v>
      </c>
      <c r="C199">
        <v>2020</v>
      </c>
      <c r="D199" s="1">
        <v>43831</v>
      </c>
      <c r="E199">
        <v>49</v>
      </c>
      <c r="F199">
        <v>300017003</v>
      </c>
      <c r="G199" t="s">
        <v>120</v>
      </c>
      <c r="H199">
        <v>81</v>
      </c>
      <c r="I199">
        <v>71104010</v>
      </c>
      <c r="J199">
        <v>21021040</v>
      </c>
      <c r="K199" t="s">
        <v>121</v>
      </c>
      <c r="L199">
        <v>48859</v>
      </c>
      <c r="M199" t="s">
        <v>31</v>
      </c>
      <c r="N199">
        <v>48859</v>
      </c>
      <c r="O199" t="s">
        <v>31</v>
      </c>
      <c r="R199" t="s">
        <v>542</v>
      </c>
      <c r="S199" t="s">
        <v>1131</v>
      </c>
      <c r="T199">
        <v>107211</v>
      </c>
      <c r="U199" t="s">
        <v>123</v>
      </c>
      <c r="X199" t="s">
        <v>47</v>
      </c>
      <c r="Y199" s="8">
        <v>4501228713</v>
      </c>
      <c r="Z199">
        <v>20200102</v>
      </c>
      <c r="AA199">
        <v>48859</v>
      </c>
      <c r="AB199">
        <v>7817.4400000000005</v>
      </c>
      <c r="AC199">
        <v>56676.44</v>
      </c>
      <c r="AD199">
        <v>300021003</v>
      </c>
      <c r="AE199" t="s">
        <v>567</v>
      </c>
      <c r="AF199" s="4">
        <v>56676.44</v>
      </c>
      <c r="AG199" t="s">
        <v>51</v>
      </c>
      <c r="AH199" t="s">
        <v>1123</v>
      </c>
      <c r="AJ199" t="s">
        <v>1148</v>
      </c>
      <c r="AK199" t="s">
        <v>1129</v>
      </c>
      <c r="AL199">
        <v>340318590</v>
      </c>
      <c r="AM199" t="s">
        <v>222</v>
      </c>
    </row>
    <row r="200" spans="1:39" x14ac:dyDescent="0.35">
      <c r="A200">
        <v>3403</v>
      </c>
      <c r="B200" t="s">
        <v>352</v>
      </c>
      <c r="C200">
        <v>2020</v>
      </c>
      <c r="D200" s="1">
        <v>43831</v>
      </c>
      <c r="E200">
        <v>51</v>
      </c>
      <c r="F200">
        <v>300017003</v>
      </c>
      <c r="G200" t="s">
        <v>120</v>
      </c>
      <c r="H200">
        <v>81</v>
      </c>
      <c r="I200">
        <v>71104010</v>
      </c>
      <c r="J200">
        <v>21021040</v>
      </c>
      <c r="K200" t="s">
        <v>121</v>
      </c>
      <c r="L200">
        <v>47477</v>
      </c>
      <c r="M200" t="s">
        <v>31</v>
      </c>
      <c r="N200">
        <v>47477</v>
      </c>
      <c r="O200" t="s">
        <v>31</v>
      </c>
      <c r="R200" t="s">
        <v>542</v>
      </c>
      <c r="S200" t="s">
        <v>1131</v>
      </c>
      <c r="T200">
        <v>107211</v>
      </c>
      <c r="U200" t="s">
        <v>123</v>
      </c>
      <c r="X200" t="s">
        <v>47</v>
      </c>
      <c r="Y200" s="8">
        <v>4501228713</v>
      </c>
      <c r="Z200">
        <v>20200102</v>
      </c>
      <c r="AA200">
        <v>47477</v>
      </c>
      <c r="AB200">
        <v>7596.32</v>
      </c>
      <c r="AC200">
        <v>55073.32</v>
      </c>
      <c r="AD200">
        <v>300021003</v>
      </c>
      <c r="AE200" t="s">
        <v>568</v>
      </c>
      <c r="AF200" s="4">
        <v>55073.32</v>
      </c>
      <c r="AG200" t="s">
        <v>51</v>
      </c>
      <c r="AH200" t="s">
        <v>1123</v>
      </c>
      <c r="AJ200" t="s">
        <v>1148</v>
      </c>
      <c r="AK200" t="s">
        <v>1129</v>
      </c>
      <c r="AL200">
        <v>340318590</v>
      </c>
      <c r="AM200" t="s">
        <v>222</v>
      </c>
    </row>
    <row r="201" spans="1:39" x14ac:dyDescent="0.35">
      <c r="A201">
        <v>3403</v>
      </c>
      <c r="B201" t="s">
        <v>352</v>
      </c>
      <c r="C201">
        <v>2020</v>
      </c>
      <c r="D201" s="1">
        <v>43831</v>
      </c>
      <c r="E201">
        <v>53</v>
      </c>
      <c r="F201">
        <v>300017003</v>
      </c>
      <c r="G201" t="s">
        <v>120</v>
      </c>
      <c r="H201">
        <v>81</v>
      </c>
      <c r="I201">
        <v>71104010</v>
      </c>
      <c r="J201">
        <v>21021040</v>
      </c>
      <c r="K201" t="s">
        <v>121</v>
      </c>
      <c r="L201">
        <v>44789</v>
      </c>
      <c r="M201" t="s">
        <v>31</v>
      </c>
      <c r="N201">
        <v>44789</v>
      </c>
      <c r="O201" t="s">
        <v>31</v>
      </c>
      <c r="R201" t="s">
        <v>542</v>
      </c>
      <c r="S201" t="s">
        <v>1131</v>
      </c>
      <c r="T201">
        <v>107211</v>
      </c>
      <c r="U201" t="s">
        <v>123</v>
      </c>
      <c r="X201" t="s">
        <v>47</v>
      </c>
      <c r="Y201" s="8">
        <v>4501228713</v>
      </c>
      <c r="Z201">
        <v>20200102</v>
      </c>
      <c r="AA201">
        <v>44789</v>
      </c>
      <c r="AB201">
        <v>7166.24</v>
      </c>
      <c r="AC201">
        <v>51955.24</v>
      </c>
      <c r="AD201">
        <v>300021003</v>
      </c>
      <c r="AE201" t="s">
        <v>569</v>
      </c>
      <c r="AF201" s="4">
        <v>51955.24</v>
      </c>
      <c r="AG201" t="s">
        <v>51</v>
      </c>
      <c r="AH201" t="s">
        <v>1123</v>
      </c>
      <c r="AJ201" t="s">
        <v>1148</v>
      </c>
      <c r="AK201" t="s">
        <v>1129</v>
      </c>
      <c r="AL201">
        <v>340318590</v>
      </c>
      <c r="AM201" t="s">
        <v>222</v>
      </c>
    </row>
    <row r="202" spans="1:39" x14ac:dyDescent="0.35">
      <c r="A202">
        <v>3403</v>
      </c>
      <c r="B202" t="s">
        <v>352</v>
      </c>
      <c r="C202">
        <v>2020</v>
      </c>
      <c r="D202" s="1">
        <v>43831</v>
      </c>
      <c r="E202">
        <v>55</v>
      </c>
      <c r="F202">
        <v>300017003</v>
      </c>
      <c r="G202" t="s">
        <v>120</v>
      </c>
      <c r="H202">
        <v>81</v>
      </c>
      <c r="I202">
        <v>71104010</v>
      </c>
      <c r="J202">
        <v>21021040</v>
      </c>
      <c r="K202" t="s">
        <v>121</v>
      </c>
      <c r="L202">
        <v>50207</v>
      </c>
      <c r="M202" t="s">
        <v>31</v>
      </c>
      <c r="N202">
        <v>50207</v>
      </c>
      <c r="O202" t="s">
        <v>31</v>
      </c>
      <c r="R202" t="s">
        <v>542</v>
      </c>
      <c r="S202" t="s">
        <v>1131</v>
      </c>
      <c r="T202">
        <v>107211</v>
      </c>
      <c r="U202" t="s">
        <v>123</v>
      </c>
      <c r="X202" t="s">
        <v>47</v>
      </c>
      <c r="Y202" s="8">
        <v>4501228713</v>
      </c>
      <c r="Z202">
        <v>20200102</v>
      </c>
      <c r="AA202">
        <v>50207</v>
      </c>
      <c r="AB202">
        <v>8033.12</v>
      </c>
      <c r="AC202">
        <v>58240.12</v>
      </c>
      <c r="AD202">
        <v>300021003</v>
      </c>
      <c r="AE202" t="s">
        <v>570</v>
      </c>
      <c r="AF202" s="4">
        <v>58240.12</v>
      </c>
      <c r="AG202" t="s">
        <v>51</v>
      </c>
      <c r="AH202" t="s">
        <v>1123</v>
      </c>
      <c r="AJ202" t="s">
        <v>1148</v>
      </c>
      <c r="AK202" t="s">
        <v>1129</v>
      </c>
      <c r="AL202">
        <v>340318590</v>
      </c>
      <c r="AM202" t="s">
        <v>222</v>
      </c>
    </row>
    <row r="203" spans="1:39" x14ac:dyDescent="0.35">
      <c r="A203">
        <v>3403</v>
      </c>
      <c r="B203" t="s">
        <v>352</v>
      </c>
      <c r="C203">
        <v>2020</v>
      </c>
      <c r="D203" s="1">
        <v>43831</v>
      </c>
      <c r="E203">
        <v>57</v>
      </c>
      <c r="F203">
        <v>300017003</v>
      </c>
      <c r="G203" t="s">
        <v>120</v>
      </c>
      <c r="H203">
        <v>81</v>
      </c>
      <c r="I203">
        <v>71104010</v>
      </c>
      <c r="J203">
        <v>21021040</v>
      </c>
      <c r="K203" t="s">
        <v>121</v>
      </c>
      <c r="L203">
        <v>47148</v>
      </c>
      <c r="M203" t="s">
        <v>31</v>
      </c>
      <c r="N203">
        <v>47148</v>
      </c>
      <c r="O203" t="s">
        <v>31</v>
      </c>
      <c r="R203" t="s">
        <v>542</v>
      </c>
      <c r="S203" t="s">
        <v>1131</v>
      </c>
      <c r="T203">
        <v>107211</v>
      </c>
      <c r="U203" t="s">
        <v>123</v>
      </c>
      <c r="X203" t="s">
        <v>47</v>
      </c>
      <c r="Y203" s="8">
        <v>4501228713</v>
      </c>
      <c r="Z203">
        <v>20200102</v>
      </c>
      <c r="AA203">
        <v>47148</v>
      </c>
      <c r="AB203">
        <v>7543.68</v>
      </c>
      <c r="AC203">
        <v>54691.68</v>
      </c>
      <c r="AD203">
        <v>300021003</v>
      </c>
      <c r="AE203" t="s">
        <v>571</v>
      </c>
      <c r="AF203" s="4">
        <v>54691.68</v>
      </c>
      <c r="AG203" t="s">
        <v>51</v>
      </c>
      <c r="AH203" t="s">
        <v>1123</v>
      </c>
      <c r="AJ203" t="s">
        <v>1148</v>
      </c>
      <c r="AK203" t="s">
        <v>1129</v>
      </c>
      <c r="AL203">
        <v>340318590</v>
      </c>
      <c r="AM203" t="s">
        <v>222</v>
      </c>
    </row>
    <row r="204" spans="1:39" x14ac:dyDescent="0.35">
      <c r="A204">
        <v>3409</v>
      </c>
      <c r="B204" t="s">
        <v>28</v>
      </c>
      <c r="C204">
        <v>2020</v>
      </c>
      <c r="D204" s="1">
        <v>43831</v>
      </c>
      <c r="E204">
        <v>1</v>
      </c>
      <c r="F204">
        <v>900012074</v>
      </c>
      <c r="G204" t="s">
        <v>120</v>
      </c>
      <c r="H204">
        <v>81</v>
      </c>
      <c r="I204">
        <v>71106100</v>
      </c>
      <c r="J204">
        <v>21021040</v>
      </c>
      <c r="K204" t="s">
        <v>97</v>
      </c>
      <c r="L204">
        <v>11263.92</v>
      </c>
      <c r="M204" t="s">
        <v>31</v>
      </c>
      <c r="N204">
        <v>11263.92</v>
      </c>
      <c r="O204" t="s">
        <v>31</v>
      </c>
      <c r="R204" t="s">
        <v>599</v>
      </c>
      <c r="S204" t="s">
        <v>1167</v>
      </c>
      <c r="T204">
        <v>108911</v>
      </c>
      <c r="U204" t="s">
        <v>600</v>
      </c>
      <c r="X204" t="s">
        <v>65</v>
      </c>
      <c r="Y204" s="8" t="s">
        <v>601</v>
      </c>
      <c r="Z204">
        <v>4501222440</v>
      </c>
      <c r="AA204">
        <v>11263.92</v>
      </c>
      <c r="AB204">
        <v>1802.2272</v>
      </c>
      <c r="AC204" s="4">
        <v>13066.147199999999</v>
      </c>
      <c r="AD204">
        <v>900012504</v>
      </c>
      <c r="AE204" t="s">
        <v>602</v>
      </c>
      <c r="AF204" s="4">
        <v>13066.147199999999</v>
      </c>
      <c r="AG204" t="s">
        <v>1146</v>
      </c>
      <c r="AH204">
        <v>900013573</v>
      </c>
      <c r="AJ204" t="s">
        <v>1148</v>
      </c>
      <c r="AK204" t="s">
        <v>1129</v>
      </c>
      <c r="AL204">
        <v>340921790</v>
      </c>
      <c r="AM204" t="s">
        <v>208</v>
      </c>
    </row>
    <row r="205" spans="1:39" x14ac:dyDescent="0.35">
      <c r="A205">
        <v>3409</v>
      </c>
      <c r="B205" t="s">
        <v>43</v>
      </c>
      <c r="C205">
        <v>2020</v>
      </c>
      <c r="D205" s="1">
        <v>43831</v>
      </c>
      <c r="E205">
        <v>1</v>
      </c>
      <c r="F205">
        <v>900005466</v>
      </c>
      <c r="G205" t="s">
        <v>120</v>
      </c>
      <c r="H205">
        <v>81</v>
      </c>
      <c r="I205">
        <v>71106100</v>
      </c>
      <c r="J205">
        <v>21021040</v>
      </c>
      <c r="K205" t="s">
        <v>97</v>
      </c>
      <c r="L205">
        <v>4000</v>
      </c>
      <c r="M205" t="s">
        <v>31</v>
      </c>
      <c r="N205">
        <v>4000</v>
      </c>
      <c r="O205" t="s">
        <v>31</v>
      </c>
      <c r="R205" t="s">
        <v>603</v>
      </c>
      <c r="S205" t="s">
        <v>1165</v>
      </c>
      <c r="T205">
        <v>108892</v>
      </c>
      <c r="U205" t="s">
        <v>604</v>
      </c>
      <c r="X205" t="s">
        <v>43</v>
      </c>
      <c r="Y205" s="8">
        <v>26</v>
      </c>
      <c r="Z205">
        <v>4501217009</v>
      </c>
      <c r="AA205">
        <v>4000</v>
      </c>
      <c r="AB205">
        <v>640</v>
      </c>
      <c r="AC205">
        <v>4640</v>
      </c>
      <c r="AD205">
        <v>900005477</v>
      </c>
      <c r="AE205" t="s">
        <v>605</v>
      </c>
      <c r="AF205" s="4">
        <v>4640</v>
      </c>
      <c r="AG205" t="s">
        <v>1166</v>
      </c>
      <c r="AH205" t="s">
        <v>1123</v>
      </c>
      <c r="AJ205" t="s">
        <v>1148</v>
      </c>
      <c r="AK205" t="s">
        <v>1129</v>
      </c>
      <c r="AL205">
        <v>340921790</v>
      </c>
      <c r="AM205" t="s">
        <v>185</v>
      </c>
    </row>
    <row r="206" spans="1:39" x14ac:dyDescent="0.35">
      <c r="A206">
        <v>3409</v>
      </c>
      <c r="B206" t="s">
        <v>318</v>
      </c>
      <c r="C206">
        <v>2020</v>
      </c>
      <c r="D206" s="1">
        <v>43831</v>
      </c>
      <c r="E206">
        <v>1</v>
      </c>
      <c r="F206">
        <v>900007648</v>
      </c>
      <c r="G206" t="s">
        <v>120</v>
      </c>
      <c r="H206">
        <v>81</v>
      </c>
      <c r="I206">
        <v>71106100</v>
      </c>
      <c r="J206">
        <v>21021040</v>
      </c>
      <c r="K206" t="s">
        <v>97</v>
      </c>
      <c r="L206">
        <v>24437.5</v>
      </c>
      <c r="M206" t="s">
        <v>31</v>
      </c>
      <c r="N206">
        <v>24437.5</v>
      </c>
      <c r="O206" t="s">
        <v>31</v>
      </c>
      <c r="R206" t="s">
        <v>606</v>
      </c>
      <c r="S206" t="s">
        <v>1182</v>
      </c>
      <c r="T206">
        <v>801012</v>
      </c>
      <c r="U206" t="s">
        <v>607</v>
      </c>
      <c r="W206" t="s">
        <v>1182</v>
      </c>
      <c r="X206" t="s">
        <v>318</v>
      </c>
      <c r="Y206" s="8">
        <v>3105</v>
      </c>
      <c r="AA206">
        <v>24437.5</v>
      </c>
      <c r="AB206">
        <v>3910</v>
      </c>
      <c r="AC206">
        <v>28347.5</v>
      </c>
      <c r="AD206">
        <v>900008080</v>
      </c>
      <c r="AE206" t="s">
        <v>608</v>
      </c>
      <c r="AF206" s="4">
        <v>28347.5</v>
      </c>
      <c r="AG206" t="s">
        <v>1146</v>
      </c>
      <c r="AH206" t="s">
        <v>1123</v>
      </c>
      <c r="AI206">
        <v>900013610</v>
      </c>
      <c r="AJ206" t="s">
        <v>1136</v>
      </c>
      <c r="AK206" t="s">
        <v>1135</v>
      </c>
      <c r="AL206">
        <v>340921790</v>
      </c>
      <c r="AM206" t="s">
        <v>185</v>
      </c>
    </row>
    <row r="207" spans="1:39" x14ac:dyDescent="0.35">
      <c r="A207">
        <v>3407</v>
      </c>
      <c r="B207" t="s">
        <v>258</v>
      </c>
      <c r="C207">
        <v>2020</v>
      </c>
      <c r="D207" s="1">
        <v>43831</v>
      </c>
      <c r="E207">
        <v>1</v>
      </c>
      <c r="F207">
        <v>700025857</v>
      </c>
      <c r="G207" t="s">
        <v>120</v>
      </c>
      <c r="H207">
        <v>81</v>
      </c>
      <c r="I207">
        <v>71106100</v>
      </c>
      <c r="J207">
        <v>21021040</v>
      </c>
      <c r="K207" t="s">
        <v>97</v>
      </c>
      <c r="L207">
        <v>35988.22</v>
      </c>
      <c r="M207" t="s">
        <v>31</v>
      </c>
      <c r="N207">
        <v>35988.22</v>
      </c>
      <c r="O207" t="s">
        <v>31</v>
      </c>
      <c r="R207" t="s">
        <v>609</v>
      </c>
      <c r="S207" t="s">
        <v>1167</v>
      </c>
      <c r="T207">
        <v>108911</v>
      </c>
      <c r="U207" t="s">
        <v>600</v>
      </c>
      <c r="X207" t="s">
        <v>258</v>
      </c>
      <c r="Y207" s="8" t="s">
        <v>1168</v>
      </c>
      <c r="Z207">
        <v>4501225955</v>
      </c>
      <c r="AA207">
        <v>35988.22</v>
      </c>
      <c r="AB207">
        <v>5758.1152000000002</v>
      </c>
      <c r="AC207" s="4">
        <v>41746.335200000001</v>
      </c>
      <c r="AD207">
        <v>700025953</v>
      </c>
      <c r="AE207" t="s">
        <v>610</v>
      </c>
      <c r="AF207" s="4">
        <v>41746.335200000001</v>
      </c>
      <c r="AG207" t="s">
        <v>1144</v>
      </c>
      <c r="AH207">
        <v>700074889</v>
      </c>
      <c r="AJ207" t="s">
        <v>1148</v>
      </c>
      <c r="AK207" t="s">
        <v>1129</v>
      </c>
      <c r="AL207">
        <v>340746390</v>
      </c>
      <c r="AM207" t="s">
        <v>244</v>
      </c>
    </row>
    <row r="208" spans="1:39" x14ac:dyDescent="0.35">
      <c r="A208">
        <v>3401</v>
      </c>
      <c r="B208" t="s">
        <v>318</v>
      </c>
      <c r="C208">
        <v>2020</v>
      </c>
      <c r="D208" s="1">
        <v>43831</v>
      </c>
      <c r="E208">
        <v>1</v>
      </c>
      <c r="F208">
        <v>100020878</v>
      </c>
      <c r="G208" t="s">
        <v>120</v>
      </c>
      <c r="H208">
        <v>81</v>
      </c>
      <c r="I208">
        <v>71104010</v>
      </c>
      <c r="J208">
        <v>21021040</v>
      </c>
      <c r="K208" t="s">
        <v>121</v>
      </c>
      <c r="L208">
        <v>50484</v>
      </c>
      <c r="M208" t="s">
        <v>31</v>
      </c>
      <c r="N208">
        <v>50484</v>
      </c>
      <c r="O208" t="s">
        <v>31</v>
      </c>
      <c r="R208" t="s">
        <v>122</v>
      </c>
      <c r="S208" t="s">
        <v>1131</v>
      </c>
      <c r="T208">
        <v>107211</v>
      </c>
      <c r="U208" t="s">
        <v>123</v>
      </c>
      <c r="X208" t="s">
        <v>318</v>
      </c>
      <c r="Y208" s="8">
        <v>4501216248</v>
      </c>
      <c r="Z208" t="s">
        <v>1127</v>
      </c>
      <c r="AA208">
        <v>50484</v>
      </c>
      <c r="AD208">
        <v>100036889</v>
      </c>
      <c r="AE208" t="s">
        <v>1128</v>
      </c>
      <c r="AF208" s="4"/>
      <c r="AG208" t="s">
        <v>51</v>
      </c>
      <c r="AH208" t="s">
        <v>1123</v>
      </c>
      <c r="AJ208" t="s">
        <v>1148</v>
      </c>
      <c r="AK208" t="s">
        <v>1129</v>
      </c>
      <c r="AL208">
        <v>340118590</v>
      </c>
      <c r="AM208" t="s">
        <v>124</v>
      </c>
    </row>
    <row r="209" spans="1:39" x14ac:dyDescent="0.35">
      <c r="A209">
        <v>3407</v>
      </c>
      <c r="B209" t="s">
        <v>318</v>
      </c>
      <c r="C209">
        <v>2020</v>
      </c>
      <c r="D209" s="1">
        <v>43831</v>
      </c>
      <c r="E209">
        <v>1</v>
      </c>
      <c r="F209">
        <v>700024313</v>
      </c>
      <c r="G209" t="s">
        <v>120</v>
      </c>
      <c r="H209">
        <v>81</v>
      </c>
      <c r="I209">
        <v>71106150</v>
      </c>
      <c r="J209">
        <v>21021040</v>
      </c>
      <c r="K209" t="s">
        <v>102</v>
      </c>
      <c r="L209">
        <v>4392.03</v>
      </c>
      <c r="M209" t="s">
        <v>54</v>
      </c>
      <c r="N209">
        <v>82010.179999999993</v>
      </c>
      <c r="O209" t="s">
        <v>31</v>
      </c>
      <c r="R209" t="s">
        <v>1121</v>
      </c>
      <c r="S209">
        <v>593383972</v>
      </c>
      <c r="T209">
        <v>600226</v>
      </c>
      <c r="U209" t="s">
        <v>126</v>
      </c>
      <c r="X209" t="s">
        <v>318</v>
      </c>
      <c r="Y209" s="8" t="s">
        <v>615</v>
      </c>
      <c r="Z209">
        <v>20200122</v>
      </c>
      <c r="AA209">
        <v>4392.03</v>
      </c>
      <c r="AB209">
        <v>0</v>
      </c>
      <c r="AC209">
        <v>4392.03</v>
      </c>
      <c r="AD209">
        <v>700025998</v>
      </c>
      <c r="AE209" t="s">
        <v>616</v>
      </c>
      <c r="AF209" s="4">
        <v>3513.6239999999998</v>
      </c>
      <c r="AG209" t="s">
        <v>1152</v>
      </c>
      <c r="AH209" t="s">
        <v>1123</v>
      </c>
      <c r="AI209">
        <v>700367854</v>
      </c>
      <c r="AJ209" t="s">
        <v>1125</v>
      </c>
      <c r="AK209" t="s">
        <v>1124</v>
      </c>
      <c r="AL209">
        <v>340721790</v>
      </c>
      <c r="AM209" t="s">
        <v>217</v>
      </c>
    </row>
    <row r="210" spans="1:39" x14ac:dyDescent="0.35">
      <c r="A210">
        <v>3406</v>
      </c>
      <c r="B210" t="s">
        <v>318</v>
      </c>
      <c r="C210">
        <v>2020</v>
      </c>
      <c r="D210" s="1">
        <v>43831</v>
      </c>
      <c r="E210">
        <v>1</v>
      </c>
      <c r="F210">
        <v>600021195</v>
      </c>
      <c r="G210" t="s">
        <v>120</v>
      </c>
      <c r="H210">
        <v>81</v>
      </c>
      <c r="I210">
        <v>71105060</v>
      </c>
      <c r="J210">
        <v>21021040</v>
      </c>
      <c r="K210" t="s">
        <v>238</v>
      </c>
      <c r="L210">
        <v>40000</v>
      </c>
      <c r="M210" t="s">
        <v>31</v>
      </c>
      <c r="N210">
        <v>40000</v>
      </c>
      <c r="O210" t="s">
        <v>31</v>
      </c>
      <c r="R210" t="s">
        <v>617</v>
      </c>
      <c r="S210" t="s">
        <v>1164</v>
      </c>
      <c r="T210">
        <v>108547</v>
      </c>
      <c r="U210" t="s">
        <v>618</v>
      </c>
      <c r="X210" t="s">
        <v>318</v>
      </c>
      <c r="Y210" s="8">
        <v>172</v>
      </c>
      <c r="Z210">
        <v>4501224385</v>
      </c>
      <c r="AA210">
        <v>40000</v>
      </c>
      <c r="AB210">
        <v>6400</v>
      </c>
      <c r="AC210">
        <v>46400</v>
      </c>
      <c r="AD210">
        <v>600025816</v>
      </c>
      <c r="AE210" t="s">
        <v>619</v>
      </c>
      <c r="AF210" s="4">
        <v>46400</v>
      </c>
      <c r="AG210" t="s">
        <v>28</v>
      </c>
      <c r="AH210" t="s">
        <v>1123</v>
      </c>
      <c r="AJ210" t="s">
        <v>1148</v>
      </c>
      <c r="AK210" t="s">
        <v>1129</v>
      </c>
      <c r="AL210">
        <v>340612490</v>
      </c>
      <c r="AM210" t="s">
        <v>149</v>
      </c>
    </row>
    <row r="211" spans="1:39" x14ac:dyDescent="0.35">
      <c r="A211">
        <v>3402</v>
      </c>
      <c r="B211" t="s">
        <v>259</v>
      </c>
      <c r="C211">
        <v>2020</v>
      </c>
      <c r="D211" s="1">
        <v>43831</v>
      </c>
      <c r="E211">
        <v>1</v>
      </c>
      <c r="F211">
        <v>200076710</v>
      </c>
      <c r="G211" t="s">
        <v>120</v>
      </c>
      <c r="H211">
        <v>81</v>
      </c>
      <c r="I211">
        <v>71106150</v>
      </c>
      <c r="J211">
        <v>21021040</v>
      </c>
      <c r="K211" t="s">
        <v>102</v>
      </c>
      <c r="L211">
        <v>160576.13</v>
      </c>
      <c r="M211" t="s">
        <v>54</v>
      </c>
      <c r="N211">
        <v>3019120.28</v>
      </c>
      <c r="O211" t="s">
        <v>31</v>
      </c>
      <c r="R211" t="s">
        <v>1121</v>
      </c>
      <c r="S211" t="s">
        <v>1122</v>
      </c>
      <c r="T211">
        <v>101128</v>
      </c>
      <c r="U211" t="s">
        <v>410</v>
      </c>
      <c r="X211" t="s">
        <v>259</v>
      </c>
      <c r="Y211" s="8" t="s">
        <v>620</v>
      </c>
      <c r="Z211">
        <v>20200125</v>
      </c>
      <c r="AA211">
        <v>160576.13</v>
      </c>
      <c r="AB211">
        <v>0</v>
      </c>
      <c r="AC211">
        <v>160576.13</v>
      </c>
      <c r="AD211">
        <v>200076714</v>
      </c>
      <c r="AE211" t="s">
        <v>621</v>
      </c>
      <c r="AF211" s="4">
        <v>145978.29999999999</v>
      </c>
      <c r="AG211" t="s">
        <v>212</v>
      </c>
      <c r="AH211" t="s">
        <v>1123</v>
      </c>
      <c r="AJ211" t="s">
        <v>1125</v>
      </c>
      <c r="AK211" t="s">
        <v>1124</v>
      </c>
      <c r="AL211">
        <v>340221790</v>
      </c>
      <c r="AM211" t="s">
        <v>622</v>
      </c>
    </row>
    <row r="212" spans="1:39" x14ac:dyDescent="0.35">
      <c r="A212">
        <v>3402</v>
      </c>
      <c r="B212" t="s">
        <v>259</v>
      </c>
      <c r="C212">
        <v>2020</v>
      </c>
      <c r="D212" s="1">
        <v>43831</v>
      </c>
      <c r="E212">
        <v>1</v>
      </c>
      <c r="F212">
        <v>200076711</v>
      </c>
      <c r="G212" t="s">
        <v>120</v>
      </c>
      <c r="H212">
        <v>81</v>
      </c>
      <c r="I212">
        <v>71106150</v>
      </c>
      <c r="J212">
        <v>21021040</v>
      </c>
      <c r="K212" t="s">
        <v>102</v>
      </c>
      <c r="L212">
        <v>12021.37</v>
      </c>
      <c r="M212" t="s">
        <v>54</v>
      </c>
      <c r="N212">
        <v>226023.39</v>
      </c>
      <c r="O212" t="s">
        <v>31</v>
      </c>
      <c r="R212" t="s">
        <v>1121</v>
      </c>
      <c r="S212" t="s">
        <v>1122</v>
      </c>
      <c r="T212">
        <v>101128</v>
      </c>
      <c r="U212" t="s">
        <v>410</v>
      </c>
      <c r="X212" t="s">
        <v>259</v>
      </c>
      <c r="Y212" s="8" t="s">
        <v>620</v>
      </c>
      <c r="Z212">
        <v>20200125</v>
      </c>
      <c r="AA212">
        <v>12021.37</v>
      </c>
      <c r="AB212">
        <v>0</v>
      </c>
      <c r="AC212">
        <v>12021.37</v>
      </c>
      <c r="AD212">
        <v>200076714</v>
      </c>
      <c r="AE212" t="s">
        <v>623</v>
      </c>
      <c r="AF212" s="4">
        <v>10928.518181818181</v>
      </c>
      <c r="AG212" t="s">
        <v>212</v>
      </c>
      <c r="AH212" t="s">
        <v>1123</v>
      </c>
      <c r="AJ212" t="s">
        <v>1125</v>
      </c>
      <c r="AK212" t="s">
        <v>1124</v>
      </c>
      <c r="AL212">
        <v>340268190</v>
      </c>
      <c r="AM212" t="s">
        <v>622</v>
      </c>
    </row>
    <row r="213" spans="1:39" x14ac:dyDescent="0.35">
      <c r="A213">
        <v>3402</v>
      </c>
      <c r="B213" t="s">
        <v>259</v>
      </c>
      <c r="C213">
        <v>2020</v>
      </c>
      <c r="D213" s="1">
        <v>43831</v>
      </c>
      <c r="E213">
        <v>1</v>
      </c>
      <c r="F213">
        <v>200076712</v>
      </c>
      <c r="G213" t="s">
        <v>120</v>
      </c>
      <c r="H213">
        <v>81</v>
      </c>
      <c r="I213">
        <v>71106150</v>
      </c>
      <c r="J213">
        <v>21021040</v>
      </c>
      <c r="K213" t="s">
        <v>102</v>
      </c>
      <c r="L213">
        <v>51255.14</v>
      </c>
      <c r="M213" t="s">
        <v>54</v>
      </c>
      <c r="N213">
        <v>963688.89</v>
      </c>
      <c r="O213" t="s">
        <v>31</v>
      </c>
      <c r="R213" t="s">
        <v>1121</v>
      </c>
      <c r="S213" t="s">
        <v>1122</v>
      </c>
      <c r="T213">
        <v>101128</v>
      </c>
      <c r="U213" t="s">
        <v>410</v>
      </c>
      <c r="X213" t="s">
        <v>259</v>
      </c>
      <c r="Y213" s="8" t="s">
        <v>620</v>
      </c>
      <c r="Z213">
        <v>20200125</v>
      </c>
      <c r="AA213">
        <v>51255.14</v>
      </c>
      <c r="AB213">
        <v>0</v>
      </c>
      <c r="AC213">
        <v>51255.14</v>
      </c>
      <c r="AD213">
        <v>200076714</v>
      </c>
      <c r="AE213" t="s">
        <v>624</v>
      </c>
      <c r="AF213" s="4">
        <v>46595.58181818181</v>
      </c>
      <c r="AG213" t="s">
        <v>212</v>
      </c>
      <c r="AH213" t="s">
        <v>1123</v>
      </c>
      <c r="AJ213" t="s">
        <v>1125</v>
      </c>
      <c r="AK213" t="s">
        <v>1124</v>
      </c>
      <c r="AL213">
        <v>340221790</v>
      </c>
      <c r="AM213" t="s">
        <v>622</v>
      </c>
    </row>
    <row r="214" spans="1:39" x14ac:dyDescent="0.35">
      <c r="A214">
        <v>3401</v>
      </c>
      <c r="B214" t="s">
        <v>259</v>
      </c>
      <c r="C214">
        <v>2020</v>
      </c>
      <c r="D214" s="1">
        <v>43831</v>
      </c>
      <c r="E214">
        <v>1</v>
      </c>
      <c r="F214">
        <v>100024953</v>
      </c>
      <c r="G214" t="s">
        <v>120</v>
      </c>
      <c r="H214">
        <v>81</v>
      </c>
      <c r="I214">
        <v>71104010</v>
      </c>
      <c r="J214">
        <v>21021040</v>
      </c>
      <c r="K214" t="s">
        <v>121</v>
      </c>
      <c r="L214">
        <v>40950</v>
      </c>
      <c r="M214" t="s">
        <v>31</v>
      </c>
      <c r="N214">
        <v>40950</v>
      </c>
      <c r="O214" t="s">
        <v>31</v>
      </c>
      <c r="R214" t="s">
        <v>122</v>
      </c>
      <c r="S214" t="s">
        <v>1131</v>
      </c>
      <c r="T214">
        <v>107211</v>
      </c>
      <c r="U214" t="s">
        <v>123</v>
      </c>
      <c r="X214" t="s">
        <v>259</v>
      </c>
      <c r="Y214" s="8">
        <v>4501216248</v>
      </c>
      <c r="Z214" t="s">
        <v>1127</v>
      </c>
      <c r="AA214">
        <v>40950</v>
      </c>
      <c r="AD214">
        <v>100036889</v>
      </c>
      <c r="AE214" t="s">
        <v>1128</v>
      </c>
      <c r="AF214" s="4"/>
      <c r="AG214" t="s">
        <v>51</v>
      </c>
      <c r="AH214" t="s">
        <v>1123</v>
      </c>
      <c r="AJ214" t="s">
        <v>1148</v>
      </c>
      <c r="AK214" t="s">
        <v>1129</v>
      </c>
      <c r="AL214">
        <v>340118590</v>
      </c>
      <c r="AM214" t="s">
        <v>124</v>
      </c>
    </row>
    <row r="215" spans="1:39" x14ac:dyDescent="0.35">
      <c r="A215">
        <v>3401</v>
      </c>
      <c r="B215" t="s">
        <v>259</v>
      </c>
      <c r="C215">
        <v>2020</v>
      </c>
      <c r="D215" s="1">
        <v>43831</v>
      </c>
      <c r="E215">
        <v>1</v>
      </c>
      <c r="F215">
        <v>100025051</v>
      </c>
      <c r="G215" t="s">
        <v>120</v>
      </c>
      <c r="H215">
        <v>81</v>
      </c>
      <c r="I215">
        <v>71105130</v>
      </c>
      <c r="J215">
        <v>21021040</v>
      </c>
      <c r="K215" t="s">
        <v>305</v>
      </c>
      <c r="L215">
        <v>1421.09</v>
      </c>
      <c r="M215" t="s">
        <v>54</v>
      </c>
      <c r="N215">
        <v>26719.05</v>
      </c>
      <c r="O215" t="s">
        <v>31</v>
      </c>
      <c r="R215" t="s">
        <v>1121</v>
      </c>
      <c r="S215">
        <v>593416526</v>
      </c>
      <c r="T215">
        <v>602304</v>
      </c>
      <c r="U215" t="s">
        <v>628</v>
      </c>
      <c r="X215" t="s">
        <v>259</v>
      </c>
      <c r="Y215" s="8" t="s">
        <v>629</v>
      </c>
      <c r="Z215">
        <v>20200125</v>
      </c>
      <c r="AA215">
        <v>1421.09</v>
      </c>
      <c r="AB215">
        <v>0</v>
      </c>
      <c r="AC215">
        <v>1421.09</v>
      </c>
      <c r="AD215">
        <v>100026717</v>
      </c>
      <c r="AE215" t="s">
        <v>1145</v>
      </c>
      <c r="AF215" s="4">
        <v>1421.09</v>
      </c>
      <c r="AG215" t="s">
        <v>1144</v>
      </c>
      <c r="AH215" t="s">
        <v>1123</v>
      </c>
      <c r="AI215">
        <v>100063849</v>
      </c>
      <c r="AJ215" t="s">
        <v>1125</v>
      </c>
      <c r="AK215" t="s">
        <v>1124</v>
      </c>
      <c r="AL215">
        <v>340121790</v>
      </c>
      <c r="AM215" t="s">
        <v>129</v>
      </c>
    </row>
    <row r="216" spans="1:39" x14ac:dyDescent="0.35">
      <c r="A216">
        <v>3402</v>
      </c>
      <c r="B216" t="s">
        <v>259</v>
      </c>
      <c r="C216">
        <v>2020</v>
      </c>
      <c r="D216" s="1">
        <v>43831</v>
      </c>
      <c r="E216">
        <v>1</v>
      </c>
      <c r="F216">
        <v>200076900</v>
      </c>
      <c r="G216" t="s">
        <v>120</v>
      </c>
      <c r="H216">
        <v>81</v>
      </c>
      <c r="I216">
        <v>71104010</v>
      </c>
      <c r="J216">
        <v>21021040</v>
      </c>
      <c r="K216" t="s">
        <v>121</v>
      </c>
      <c r="L216">
        <v>1715.03</v>
      </c>
      <c r="M216" t="s">
        <v>31</v>
      </c>
      <c r="N216">
        <v>1715.03</v>
      </c>
      <c r="O216" t="s">
        <v>31</v>
      </c>
      <c r="R216" t="s">
        <v>133</v>
      </c>
      <c r="S216" t="s">
        <v>1131</v>
      </c>
      <c r="T216">
        <v>107211</v>
      </c>
      <c r="U216" t="s">
        <v>123</v>
      </c>
      <c r="X216" t="s">
        <v>259</v>
      </c>
      <c r="Y216" s="8">
        <v>4501226797</v>
      </c>
      <c r="Z216">
        <v>20200125</v>
      </c>
      <c r="AA216">
        <v>1715.03</v>
      </c>
      <c r="AB216">
        <v>274.40480000000002</v>
      </c>
      <c r="AC216">
        <v>1989.4348</v>
      </c>
      <c r="AD216">
        <v>200127172</v>
      </c>
      <c r="AE216" t="s">
        <v>630</v>
      </c>
      <c r="AF216" s="4">
        <v>1989.4348</v>
      </c>
      <c r="AG216" t="s">
        <v>1146</v>
      </c>
      <c r="AH216" t="s">
        <v>1123</v>
      </c>
      <c r="AJ216" t="s">
        <v>1148</v>
      </c>
      <c r="AK216" t="s">
        <v>1129</v>
      </c>
      <c r="AL216">
        <v>340255290</v>
      </c>
      <c r="AM216" t="s">
        <v>135</v>
      </c>
    </row>
    <row r="217" spans="1:39" x14ac:dyDescent="0.35">
      <c r="A217">
        <v>3402</v>
      </c>
      <c r="B217" t="s">
        <v>259</v>
      </c>
      <c r="C217">
        <v>2020</v>
      </c>
      <c r="D217" s="1">
        <v>43831</v>
      </c>
      <c r="E217">
        <v>3</v>
      </c>
      <c r="F217">
        <v>200076900</v>
      </c>
      <c r="G217" t="s">
        <v>120</v>
      </c>
      <c r="H217">
        <v>81</v>
      </c>
      <c r="I217">
        <v>71104010</v>
      </c>
      <c r="J217">
        <v>21021040</v>
      </c>
      <c r="K217" t="s">
        <v>121</v>
      </c>
      <c r="L217">
        <v>1365.06</v>
      </c>
      <c r="M217" t="s">
        <v>31</v>
      </c>
      <c r="N217">
        <v>1365.06</v>
      </c>
      <c r="O217" t="s">
        <v>31</v>
      </c>
      <c r="R217" t="s">
        <v>133</v>
      </c>
      <c r="S217" t="s">
        <v>1131</v>
      </c>
      <c r="T217">
        <v>107211</v>
      </c>
      <c r="U217" t="s">
        <v>123</v>
      </c>
      <c r="X217" t="s">
        <v>259</v>
      </c>
      <c r="Y217" s="8">
        <v>4501226797</v>
      </c>
      <c r="Z217">
        <v>20200125</v>
      </c>
      <c r="AA217">
        <v>1365.06</v>
      </c>
      <c r="AB217">
        <v>218.40959999999998</v>
      </c>
      <c r="AC217">
        <v>1583.4695999999999</v>
      </c>
      <c r="AD217">
        <v>200127172</v>
      </c>
      <c r="AE217" t="s">
        <v>631</v>
      </c>
      <c r="AF217" s="4">
        <v>1583.4695999999999</v>
      </c>
      <c r="AG217" t="s">
        <v>1146</v>
      </c>
      <c r="AH217" t="s">
        <v>1123</v>
      </c>
      <c r="AJ217" t="s">
        <v>1148</v>
      </c>
      <c r="AK217" t="s">
        <v>1129</v>
      </c>
      <c r="AL217">
        <v>340255290</v>
      </c>
      <c r="AM217" t="s">
        <v>135</v>
      </c>
    </row>
    <row r="218" spans="1:39" x14ac:dyDescent="0.35">
      <c r="A218">
        <v>3402</v>
      </c>
      <c r="B218" t="s">
        <v>259</v>
      </c>
      <c r="C218">
        <v>2020</v>
      </c>
      <c r="D218" s="1">
        <v>43831</v>
      </c>
      <c r="E218">
        <v>5</v>
      </c>
      <c r="F218">
        <v>200076900</v>
      </c>
      <c r="G218" t="s">
        <v>120</v>
      </c>
      <c r="H218">
        <v>81</v>
      </c>
      <c r="I218">
        <v>71104010</v>
      </c>
      <c r="J218">
        <v>21021040</v>
      </c>
      <c r="K218" t="s">
        <v>121</v>
      </c>
      <c r="L218">
        <v>1715.03</v>
      </c>
      <c r="M218" t="s">
        <v>31</v>
      </c>
      <c r="N218">
        <v>1715.03</v>
      </c>
      <c r="O218" t="s">
        <v>31</v>
      </c>
      <c r="R218" t="s">
        <v>133</v>
      </c>
      <c r="S218" t="s">
        <v>1131</v>
      </c>
      <c r="T218">
        <v>107211</v>
      </c>
      <c r="U218" t="s">
        <v>123</v>
      </c>
      <c r="X218" t="s">
        <v>259</v>
      </c>
      <c r="Y218" s="8">
        <v>4501226797</v>
      </c>
      <c r="Z218">
        <v>20200125</v>
      </c>
      <c r="AA218">
        <v>1715.03</v>
      </c>
      <c r="AB218">
        <v>274.40480000000002</v>
      </c>
      <c r="AC218">
        <v>1989.4348</v>
      </c>
      <c r="AD218">
        <v>200127172</v>
      </c>
      <c r="AE218" t="s">
        <v>632</v>
      </c>
      <c r="AF218" s="4">
        <v>1989.4348</v>
      </c>
      <c r="AG218" t="s">
        <v>1146</v>
      </c>
      <c r="AH218" t="s">
        <v>1123</v>
      </c>
      <c r="AJ218" t="s">
        <v>1148</v>
      </c>
      <c r="AK218" t="s">
        <v>1129</v>
      </c>
      <c r="AL218">
        <v>340255290</v>
      </c>
      <c r="AM218" t="s">
        <v>135</v>
      </c>
    </row>
    <row r="219" spans="1:39" x14ac:dyDescent="0.35">
      <c r="A219">
        <v>3402</v>
      </c>
      <c r="B219" t="s">
        <v>259</v>
      </c>
      <c r="C219">
        <v>2020</v>
      </c>
      <c r="D219" s="1">
        <v>43831</v>
      </c>
      <c r="E219">
        <v>7</v>
      </c>
      <c r="F219">
        <v>200076900</v>
      </c>
      <c r="G219" t="s">
        <v>120</v>
      </c>
      <c r="H219">
        <v>81</v>
      </c>
      <c r="I219">
        <v>71104010</v>
      </c>
      <c r="J219">
        <v>21021040</v>
      </c>
      <c r="K219" t="s">
        <v>121</v>
      </c>
      <c r="L219">
        <v>2310.02</v>
      </c>
      <c r="M219" t="s">
        <v>31</v>
      </c>
      <c r="N219">
        <v>2310.02</v>
      </c>
      <c r="O219" t="s">
        <v>31</v>
      </c>
      <c r="R219" t="s">
        <v>133</v>
      </c>
      <c r="S219" t="s">
        <v>1131</v>
      </c>
      <c r="T219">
        <v>107211</v>
      </c>
      <c r="U219" t="s">
        <v>123</v>
      </c>
      <c r="X219" t="s">
        <v>259</v>
      </c>
      <c r="Y219" s="8">
        <v>4501226797</v>
      </c>
      <c r="Z219">
        <v>20200125</v>
      </c>
      <c r="AA219">
        <v>2310.02</v>
      </c>
      <c r="AB219">
        <v>369.60320000000002</v>
      </c>
      <c r="AC219">
        <v>2679.6232</v>
      </c>
      <c r="AD219">
        <v>200127172</v>
      </c>
      <c r="AE219" t="s">
        <v>633</v>
      </c>
      <c r="AF219" s="4">
        <v>2679.6232</v>
      </c>
      <c r="AG219" t="s">
        <v>1146</v>
      </c>
      <c r="AH219" t="s">
        <v>1123</v>
      </c>
      <c r="AJ219" t="s">
        <v>1148</v>
      </c>
      <c r="AK219" t="s">
        <v>1129</v>
      </c>
      <c r="AL219">
        <v>340255290</v>
      </c>
      <c r="AM219" t="s">
        <v>135</v>
      </c>
    </row>
    <row r="220" spans="1:39" x14ac:dyDescent="0.35">
      <c r="A220">
        <v>3402</v>
      </c>
      <c r="B220" t="s">
        <v>259</v>
      </c>
      <c r="C220">
        <v>2020</v>
      </c>
      <c r="D220" s="1">
        <v>43831</v>
      </c>
      <c r="E220">
        <v>9</v>
      </c>
      <c r="F220">
        <v>200076900</v>
      </c>
      <c r="G220" t="s">
        <v>120</v>
      </c>
      <c r="H220">
        <v>81</v>
      </c>
      <c r="I220">
        <v>71104010</v>
      </c>
      <c r="J220">
        <v>21021040</v>
      </c>
      <c r="K220" t="s">
        <v>121</v>
      </c>
      <c r="L220">
        <v>350.05</v>
      </c>
      <c r="M220" t="s">
        <v>31</v>
      </c>
      <c r="N220">
        <v>350.05</v>
      </c>
      <c r="O220" t="s">
        <v>31</v>
      </c>
      <c r="R220" t="s">
        <v>133</v>
      </c>
      <c r="S220" t="s">
        <v>1131</v>
      </c>
      <c r="T220">
        <v>107211</v>
      </c>
      <c r="U220" t="s">
        <v>123</v>
      </c>
      <c r="X220" t="s">
        <v>259</v>
      </c>
      <c r="Y220" s="8">
        <v>4501226797</v>
      </c>
      <c r="Z220">
        <v>20200125</v>
      </c>
      <c r="AA220">
        <v>350.05</v>
      </c>
      <c r="AB220">
        <v>56.008000000000003</v>
      </c>
      <c r="AC220">
        <v>406.05799999999999</v>
      </c>
      <c r="AD220">
        <v>200127172</v>
      </c>
      <c r="AE220" t="s">
        <v>634</v>
      </c>
      <c r="AF220" s="4">
        <v>406.05799999999999</v>
      </c>
      <c r="AG220" t="s">
        <v>1146</v>
      </c>
      <c r="AH220" t="s">
        <v>1123</v>
      </c>
      <c r="AJ220" t="s">
        <v>1148</v>
      </c>
      <c r="AK220" t="s">
        <v>1129</v>
      </c>
      <c r="AL220">
        <v>340255290</v>
      </c>
      <c r="AM220" t="s">
        <v>135</v>
      </c>
    </row>
    <row r="221" spans="1:39" x14ac:dyDescent="0.35">
      <c r="A221">
        <v>3402</v>
      </c>
      <c r="B221" t="s">
        <v>259</v>
      </c>
      <c r="C221">
        <v>2020</v>
      </c>
      <c r="D221" s="1">
        <v>43831</v>
      </c>
      <c r="E221">
        <v>11</v>
      </c>
      <c r="F221">
        <v>200076900</v>
      </c>
      <c r="G221" t="s">
        <v>120</v>
      </c>
      <c r="H221">
        <v>81</v>
      </c>
      <c r="I221">
        <v>71104010</v>
      </c>
      <c r="J221">
        <v>21021040</v>
      </c>
      <c r="K221" t="s">
        <v>121</v>
      </c>
      <c r="L221">
        <v>2730.06</v>
      </c>
      <c r="M221" t="s">
        <v>31</v>
      </c>
      <c r="N221">
        <v>2730.06</v>
      </c>
      <c r="O221" t="s">
        <v>31</v>
      </c>
      <c r="R221" t="s">
        <v>133</v>
      </c>
      <c r="S221" t="s">
        <v>1131</v>
      </c>
      <c r="T221">
        <v>107211</v>
      </c>
      <c r="U221" t="s">
        <v>123</v>
      </c>
      <c r="X221" t="s">
        <v>259</v>
      </c>
      <c r="Y221" s="8">
        <v>4501226797</v>
      </c>
      <c r="Z221">
        <v>20200125</v>
      </c>
      <c r="AA221">
        <v>2730.06</v>
      </c>
      <c r="AB221">
        <v>436.80959999999999</v>
      </c>
      <c r="AC221">
        <v>3166.8696</v>
      </c>
      <c r="AD221">
        <v>200127172</v>
      </c>
      <c r="AE221" t="s">
        <v>635</v>
      </c>
      <c r="AF221" s="4">
        <v>3166.8696</v>
      </c>
      <c r="AG221" t="s">
        <v>1146</v>
      </c>
      <c r="AH221" t="s">
        <v>1123</v>
      </c>
      <c r="AJ221" t="s">
        <v>1148</v>
      </c>
      <c r="AK221" t="s">
        <v>1129</v>
      </c>
      <c r="AL221">
        <v>340255290</v>
      </c>
      <c r="AM221" t="s">
        <v>135</v>
      </c>
    </row>
    <row r="222" spans="1:39" x14ac:dyDescent="0.35">
      <c r="A222">
        <v>3402</v>
      </c>
      <c r="B222" t="s">
        <v>259</v>
      </c>
      <c r="C222">
        <v>2020</v>
      </c>
      <c r="D222" s="1">
        <v>43831</v>
      </c>
      <c r="E222">
        <v>13</v>
      </c>
      <c r="F222">
        <v>200076900</v>
      </c>
      <c r="G222" t="s">
        <v>120</v>
      </c>
      <c r="H222">
        <v>81</v>
      </c>
      <c r="I222">
        <v>71104010</v>
      </c>
      <c r="J222">
        <v>21021040</v>
      </c>
      <c r="K222" t="s">
        <v>121</v>
      </c>
      <c r="L222">
        <v>175.05</v>
      </c>
      <c r="M222" t="s">
        <v>31</v>
      </c>
      <c r="N222">
        <v>175.05</v>
      </c>
      <c r="O222" t="s">
        <v>31</v>
      </c>
      <c r="R222" t="s">
        <v>133</v>
      </c>
      <c r="S222" t="s">
        <v>1131</v>
      </c>
      <c r="T222">
        <v>107211</v>
      </c>
      <c r="U222" t="s">
        <v>123</v>
      </c>
      <c r="X222" t="s">
        <v>259</v>
      </c>
      <c r="Y222" s="8">
        <v>4501226797</v>
      </c>
      <c r="Z222">
        <v>20200125</v>
      </c>
      <c r="AA222">
        <v>175.05</v>
      </c>
      <c r="AB222">
        <v>28.008000000000003</v>
      </c>
      <c r="AC222">
        <v>203.05800000000002</v>
      </c>
      <c r="AD222">
        <v>200127172</v>
      </c>
      <c r="AE222" t="s">
        <v>636</v>
      </c>
      <c r="AF222" s="4">
        <v>203.05800000000002</v>
      </c>
      <c r="AG222" t="s">
        <v>1146</v>
      </c>
      <c r="AH222" t="s">
        <v>1123</v>
      </c>
      <c r="AJ222" t="s">
        <v>1148</v>
      </c>
      <c r="AK222" t="s">
        <v>1129</v>
      </c>
      <c r="AL222">
        <v>340255290</v>
      </c>
      <c r="AM222" t="s">
        <v>135</v>
      </c>
    </row>
    <row r="223" spans="1:39" x14ac:dyDescent="0.35">
      <c r="A223">
        <v>3402</v>
      </c>
      <c r="B223" t="s">
        <v>259</v>
      </c>
      <c r="C223">
        <v>2020</v>
      </c>
      <c r="D223" s="1">
        <v>43831</v>
      </c>
      <c r="E223">
        <v>15</v>
      </c>
      <c r="F223">
        <v>200076900</v>
      </c>
      <c r="G223" t="s">
        <v>120</v>
      </c>
      <c r="H223">
        <v>81</v>
      </c>
      <c r="I223">
        <v>71104010</v>
      </c>
      <c r="J223">
        <v>21021040</v>
      </c>
      <c r="K223" t="s">
        <v>121</v>
      </c>
      <c r="L223">
        <v>350.05</v>
      </c>
      <c r="M223" t="s">
        <v>31</v>
      </c>
      <c r="N223">
        <v>350.05</v>
      </c>
      <c r="O223" t="s">
        <v>31</v>
      </c>
      <c r="R223" t="s">
        <v>133</v>
      </c>
      <c r="S223" t="s">
        <v>1131</v>
      </c>
      <c r="T223">
        <v>107211</v>
      </c>
      <c r="U223" t="s">
        <v>123</v>
      </c>
      <c r="X223" t="s">
        <v>259</v>
      </c>
      <c r="Y223" s="8">
        <v>4501226797</v>
      </c>
      <c r="Z223">
        <v>20200125</v>
      </c>
      <c r="AA223">
        <v>350.05</v>
      </c>
      <c r="AB223">
        <v>56.008000000000003</v>
      </c>
      <c r="AC223">
        <v>406.05799999999999</v>
      </c>
      <c r="AD223">
        <v>200127172</v>
      </c>
      <c r="AE223" t="s">
        <v>637</v>
      </c>
      <c r="AF223" s="4">
        <v>406.05799999999999</v>
      </c>
      <c r="AG223" t="s">
        <v>1146</v>
      </c>
      <c r="AH223" t="s">
        <v>1123</v>
      </c>
      <c r="AJ223" t="s">
        <v>1148</v>
      </c>
      <c r="AK223" t="s">
        <v>1129</v>
      </c>
      <c r="AL223">
        <v>340255290</v>
      </c>
      <c r="AM223" t="s">
        <v>135</v>
      </c>
    </row>
    <row r="224" spans="1:39" x14ac:dyDescent="0.35">
      <c r="A224">
        <v>3402</v>
      </c>
      <c r="B224" t="s">
        <v>259</v>
      </c>
      <c r="C224">
        <v>2020</v>
      </c>
      <c r="D224" s="1">
        <v>43831</v>
      </c>
      <c r="E224">
        <v>17</v>
      </c>
      <c r="F224">
        <v>200076900</v>
      </c>
      <c r="G224" t="s">
        <v>120</v>
      </c>
      <c r="H224">
        <v>81</v>
      </c>
      <c r="I224">
        <v>71104010</v>
      </c>
      <c r="J224">
        <v>21021040</v>
      </c>
      <c r="K224" t="s">
        <v>121</v>
      </c>
      <c r="L224">
        <v>3500</v>
      </c>
      <c r="M224" t="s">
        <v>31</v>
      </c>
      <c r="N224">
        <v>3500</v>
      </c>
      <c r="O224" t="s">
        <v>31</v>
      </c>
      <c r="R224" t="s">
        <v>133</v>
      </c>
      <c r="S224" t="s">
        <v>1131</v>
      </c>
      <c r="T224">
        <v>107211</v>
      </c>
      <c r="U224" t="s">
        <v>123</v>
      </c>
      <c r="X224" t="s">
        <v>259</v>
      </c>
      <c r="Y224" s="8">
        <v>4501226797</v>
      </c>
      <c r="Z224">
        <v>20200125</v>
      </c>
      <c r="AA224">
        <v>3500</v>
      </c>
      <c r="AB224">
        <v>560</v>
      </c>
      <c r="AC224">
        <v>4060</v>
      </c>
      <c r="AD224">
        <v>200127172</v>
      </c>
      <c r="AE224" t="s">
        <v>638</v>
      </c>
      <c r="AF224" s="4">
        <v>4060</v>
      </c>
      <c r="AG224" t="s">
        <v>1146</v>
      </c>
      <c r="AH224" t="s">
        <v>1123</v>
      </c>
      <c r="AJ224" t="s">
        <v>1148</v>
      </c>
      <c r="AK224" t="s">
        <v>1129</v>
      </c>
      <c r="AL224">
        <v>340255290</v>
      </c>
      <c r="AM224" t="s">
        <v>135</v>
      </c>
    </row>
    <row r="225" spans="1:39" x14ac:dyDescent="0.35">
      <c r="A225">
        <v>3402</v>
      </c>
      <c r="B225" t="s">
        <v>259</v>
      </c>
      <c r="C225">
        <v>2020</v>
      </c>
      <c r="D225" s="1">
        <v>43831</v>
      </c>
      <c r="E225">
        <v>19</v>
      </c>
      <c r="F225">
        <v>200076900</v>
      </c>
      <c r="G225" t="s">
        <v>120</v>
      </c>
      <c r="H225">
        <v>81</v>
      </c>
      <c r="I225">
        <v>71104010</v>
      </c>
      <c r="J225">
        <v>21021040</v>
      </c>
      <c r="K225" t="s">
        <v>121</v>
      </c>
      <c r="L225">
        <v>350.05</v>
      </c>
      <c r="M225" t="s">
        <v>31</v>
      </c>
      <c r="N225">
        <v>350.05</v>
      </c>
      <c r="O225" t="s">
        <v>31</v>
      </c>
      <c r="R225" t="s">
        <v>133</v>
      </c>
      <c r="S225" t="s">
        <v>1131</v>
      </c>
      <c r="T225">
        <v>107211</v>
      </c>
      <c r="U225" t="s">
        <v>123</v>
      </c>
      <c r="X225" t="s">
        <v>259</v>
      </c>
      <c r="Y225" s="8">
        <v>4501226797</v>
      </c>
      <c r="Z225">
        <v>20200125</v>
      </c>
      <c r="AA225">
        <v>350.05</v>
      </c>
      <c r="AB225">
        <v>56.008000000000003</v>
      </c>
      <c r="AC225">
        <v>406.05799999999999</v>
      </c>
      <c r="AD225">
        <v>200127172</v>
      </c>
      <c r="AE225" t="s">
        <v>639</v>
      </c>
      <c r="AF225" s="4">
        <v>406.05799999999999</v>
      </c>
      <c r="AG225" t="s">
        <v>1146</v>
      </c>
      <c r="AH225" t="s">
        <v>1123</v>
      </c>
      <c r="AJ225" t="s">
        <v>1148</v>
      </c>
      <c r="AK225" t="s">
        <v>1129</v>
      </c>
      <c r="AL225">
        <v>340255290</v>
      </c>
      <c r="AM225" t="s">
        <v>135</v>
      </c>
    </row>
    <row r="226" spans="1:39" x14ac:dyDescent="0.35">
      <c r="A226">
        <v>3402</v>
      </c>
      <c r="B226" t="s">
        <v>259</v>
      </c>
      <c r="C226">
        <v>2020</v>
      </c>
      <c r="D226" s="1">
        <v>43831</v>
      </c>
      <c r="E226">
        <v>21</v>
      </c>
      <c r="F226">
        <v>200076900</v>
      </c>
      <c r="G226" t="s">
        <v>120</v>
      </c>
      <c r="H226">
        <v>81</v>
      </c>
      <c r="I226">
        <v>71104010</v>
      </c>
      <c r="J226">
        <v>21021040</v>
      </c>
      <c r="K226" t="s">
        <v>121</v>
      </c>
      <c r="L226">
        <v>350.05</v>
      </c>
      <c r="M226" t="s">
        <v>31</v>
      </c>
      <c r="N226">
        <v>350.05</v>
      </c>
      <c r="O226" t="s">
        <v>31</v>
      </c>
      <c r="R226" t="s">
        <v>133</v>
      </c>
      <c r="S226" t="s">
        <v>1131</v>
      </c>
      <c r="T226">
        <v>107211</v>
      </c>
      <c r="U226" t="s">
        <v>123</v>
      </c>
      <c r="X226" t="s">
        <v>259</v>
      </c>
      <c r="Y226" s="8">
        <v>4501226797</v>
      </c>
      <c r="Z226">
        <v>20200125</v>
      </c>
      <c r="AA226">
        <v>350.05</v>
      </c>
      <c r="AB226">
        <v>56.008000000000003</v>
      </c>
      <c r="AC226">
        <v>406.05799999999999</v>
      </c>
      <c r="AD226">
        <v>200127172</v>
      </c>
      <c r="AE226" t="s">
        <v>640</v>
      </c>
      <c r="AF226" s="4">
        <v>406.05799999999999</v>
      </c>
      <c r="AG226" t="s">
        <v>1146</v>
      </c>
      <c r="AH226" t="s">
        <v>1123</v>
      </c>
      <c r="AJ226" t="s">
        <v>1148</v>
      </c>
      <c r="AK226" t="s">
        <v>1129</v>
      </c>
      <c r="AL226">
        <v>340255290</v>
      </c>
      <c r="AM226" t="s">
        <v>135</v>
      </c>
    </row>
    <row r="227" spans="1:39" x14ac:dyDescent="0.35">
      <c r="A227">
        <v>3402</v>
      </c>
      <c r="B227" t="s">
        <v>259</v>
      </c>
      <c r="C227">
        <v>2020</v>
      </c>
      <c r="D227" s="1">
        <v>43831</v>
      </c>
      <c r="E227">
        <v>23</v>
      </c>
      <c r="F227">
        <v>200076900</v>
      </c>
      <c r="G227" t="s">
        <v>120</v>
      </c>
      <c r="H227">
        <v>81</v>
      </c>
      <c r="I227">
        <v>71104010</v>
      </c>
      <c r="J227">
        <v>21021040</v>
      </c>
      <c r="K227" t="s">
        <v>121</v>
      </c>
      <c r="L227">
        <v>1540.03</v>
      </c>
      <c r="M227" t="s">
        <v>31</v>
      </c>
      <c r="N227">
        <v>1540.03</v>
      </c>
      <c r="O227" t="s">
        <v>31</v>
      </c>
      <c r="R227" t="s">
        <v>133</v>
      </c>
      <c r="S227" t="s">
        <v>1131</v>
      </c>
      <c r="T227">
        <v>107211</v>
      </c>
      <c r="U227" t="s">
        <v>123</v>
      </c>
      <c r="X227" t="s">
        <v>259</v>
      </c>
      <c r="Y227" s="8">
        <v>4501226797</v>
      </c>
      <c r="Z227">
        <v>20200125</v>
      </c>
      <c r="AA227">
        <v>1540.03</v>
      </c>
      <c r="AB227">
        <v>246.40479999999999</v>
      </c>
      <c r="AC227">
        <v>1786.4348</v>
      </c>
      <c r="AD227">
        <v>200127172</v>
      </c>
      <c r="AE227" t="s">
        <v>641</v>
      </c>
      <c r="AF227" s="4">
        <v>1786.4348</v>
      </c>
      <c r="AG227" t="s">
        <v>1146</v>
      </c>
      <c r="AH227" t="s">
        <v>1123</v>
      </c>
      <c r="AJ227" t="s">
        <v>1148</v>
      </c>
      <c r="AK227" t="s">
        <v>1129</v>
      </c>
      <c r="AL227">
        <v>340255290</v>
      </c>
      <c r="AM227" t="s">
        <v>135</v>
      </c>
    </row>
    <row r="228" spans="1:39" x14ac:dyDescent="0.35">
      <c r="A228">
        <v>3402</v>
      </c>
      <c r="B228" t="s">
        <v>259</v>
      </c>
      <c r="C228">
        <v>2020</v>
      </c>
      <c r="D228" s="1">
        <v>43831</v>
      </c>
      <c r="E228">
        <v>25</v>
      </c>
      <c r="F228">
        <v>200076900</v>
      </c>
      <c r="G228" t="s">
        <v>120</v>
      </c>
      <c r="H228">
        <v>81</v>
      </c>
      <c r="I228">
        <v>71104010</v>
      </c>
      <c r="J228">
        <v>21021040</v>
      </c>
      <c r="K228" t="s">
        <v>121</v>
      </c>
      <c r="L228">
        <v>2905.03</v>
      </c>
      <c r="M228" t="s">
        <v>31</v>
      </c>
      <c r="N228">
        <v>2905.03</v>
      </c>
      <c r="O228" t="s">
        <v>31</v>
      </c>
      <c r="R228" t="s">
        <v>133</v>
      </c>
      <c r="S228" t="s">
        <v>1131</v>
      </c>
      <c r="T228">
        <v>107211</v>
      </c>
      <c r="U228" t="s">
        <v>123</v>
      </c>
      <c r="X228" t="s">
        <v>259</v>
      </c>
      <c r="Y228" s="8">
        <v>4501226797</v>
      </c>
      <c r="Z228">
        <v>20200125</v>
      </c>
      <c r="AA228">
        <v>2905.03</v>
      </c>
      <c r="AB228">
        <v>464.80480000000006</v>
      </c>
      <c r="AC228">
        <v>3369.8348000000001</v>
      </c>
      <c r="AD228">
        <v>200127172</v>
      </c>
      <c r="AE228" t="s">
        <v>642</v>
      </c>
      <c r="AF228" s="4">
        <v>3369.8348000000001</v>
      </c>
      <c r="AG228" t="s">
        <v>1146</v>
      </c>
      <c r="AH228" t="s">
        <v>1123</v>
      </c>
      <c r="AJ228" t="s">
        <v>1148</v>
      </c>
      <c r="AK228" t="s">
        <v>1129</v>
      </c>
      <c r="AL228">
        <v>340255290</v>
      </c>
      <c r="AM228" t="s">
        <v>135</v>
      </c>
    </row>
    <row r="229" spans="1:39" x14ac:dyDescent="0.35">
      <c r="A229">
        <v>3402</v>
      </c>
      <c r="B229" t="s">
        <v>259</v>
      </c>
      <c r="C229">
        <v>2020</v>
      </c>
      <c r="D229" s="1">
        <v>43831</v>
      </c>
      <c r="E229">
        <v>27</v>
      </c>
      <c r="F229">
        <v>200076900</v>
      </c>
      <c r="G229" t="s">
        <v>120</v>
      </c>
      <c r="H229">
        <v>81</v>
      </c>
      <c r="I229">
        <v>71104010</v>
      </c>
      <c r="J229">
        <v>21021040</v>
      </c>
      <c r="K229" t="s">
        <v>121</v>
      </c>
      <c r="L229">
        <v>2310.02</v>
      </c>
      <c r="M229" t="s">
        <v>31</v>
      </c>
      <c r="N229">
        <v>2310.02</v>
      </c>
      <c r="O229" t="s">
        <v>31</v>
      </c>
      <c r="R229" t="s">
        <v>133</v>
      </c>
      <c r="S229" t="s">
        <v>1131</v>
      </c>
      <c r="T229">
        <v>107211</v>
      </c>
      <c r="U229" t="s">
        <v>123</v>
      </c>
      <c r="X229" t="s">
        <v>259</v>
      </c>
      <c r="Y229" s="8">
        <v>4501226797</v>
      </c>
      <c r="Z229">
        <v>20200125</v>
      </c>
      <c r="AA229">
        <v>2310.02</v>
      </c>
      <c r="AB229">
        <v>369.60320000000002</v>
      </c>
      <c r="AC229">
        <v>2679.6232</v>
      </c>
      <c r="AD229">
        <v>200127172</v>
      </c>
      <c r="AE229" t="s">
        <v>643</v>
      </c>
      <c r="AF229" s="4">
        <v>2679.6232</v>
      </c>
      <c r="AG229" t="s">
        <v>1146</v>
      </c>
      <c r="AH229" t="s">
        <v>1123</v>
      </c>
      <c r="AJ229" t="s">
        <v>1148</v>
      </c>
      <c r="AK229" t="s">
        <v>1129</v>
      </c>
      <c r="AL229">
        <v>340255290</v>
      </c>
      <c r="AM229" t="s">
        <v>135</v>
      </c>
    </row>
    <row r="230" spans="1:39" x14ac:dyDescent="0.35">
      <c r="A230">
        <v>3402</v>
      </c>
      <c r="B230" t="s">
        <v>259</v>
      </c>
      <c r="C230">
        <v>2020</v>
      </c>
      <c r="D230" s="1">
        <v>43831</v>
      </c>
      <c r="E230">
        <v>29</v>
      </c>
      <c r="F230">
        <v>200076900</v>
      </c>
      <c r="G230" t="s">
        <v>120</v>
      </c>
      <c r="H230">
        <v>81</v>
      </c>
      <c r="I230">
        <v>71104010</v>
      </c>
      <c r="J230">
        <v>21021040</v>
      </c>
      <c r="K230" t="s">
        <v>121</v>
      </c>
      <c r="L230">
        <v>1715.03</v>
      </c>
      <c r="M230" t="s">
        <v>31</v>
      </c>
      <c r="N230">
        <v>1715.03</v>
      </c>
      <c r="O230" t="s">
        <v>31</v>
      </c>
      <c r="R230" t="s">
        <v>133</v>
      </c>
      <c r="S230" t="s">
        <v>1131</v>
      </c>
      <c r="T230">
        <v>107211</v>
      </c>
      <c r="U230" t="s">
        <v>123</v>
      </c>
      <c r="X230" t="s">
        <v>259</v>
      </c>
      <c r="Y230" s="8">
        <v>4501226797</v>
      </c>
      <c r="Z230">
        <v>20200125</v>
      </c>
      <c r="AA230">
        <v>1715.03</v>
      </c>
      <c r="AB230">
        <v>274.40480000000002</v>
      </c>
      <c r="AC230">
        <v>1989.4348</v>
      </c>
      <c r="AD230">
        <v>200127172</v>
      </c>
      <c r="AE230" t="s">
        <v>644</v>
      </c>
      <c r="AF230" s="4">
        <v>1989.4348</v>
      </c>
      <c r="AG230" t="s">
        <v>1146</v>
      </c>
      <c r="AH230" t="s">
        <v>1123</v>
      </c>
      <c r="AJ230" t="s">
        <v>1148</v>
      </c>
      <c r="AK230" t="s">
        <v>1129</v>
      </c>
      <c r="AL230">
        <v>340255290</v>
      </c>
      <c r="AM230" t="s">
        <v>135</v>
      </c>
    </row>
    <row r="231" spans="1:39" x14ac:dyDescent="0.35">
      <c r="A231">
        <v>3402</v>
      </c>
      <c r="B231" t="s">
        <v>259</v>
      </c>
      <c r="C231">
        <v>2020</v>
      </c>
      <c r="D231" s="1">
        <v>43831</v>
      </c>
      <c r="E231">
        <v>31</v>
      </c>
      <c r="F231">
        <v>200076900</v>
      </c>
      <c r="G231" t="s">
        <v>120</v>
      </c>
      <c r="H231">
        <v>81</v>
      </c>
      <c r="I231">
        <v>71104010</v>
      </c>
      <c r="J231">
        <v>21021040</v>
      </c>
      <c r="K231" t="s">
        <v>121</v>
      </c>
      <c r="L231">
        <v>350.05</v>
      </c>
      <c r="M231" t="s">
        <v>31</v>
      </c>
      <c r="N231">
        <v>350.05</v>
      </c>
      <c r="O231" t="s">
        <v>31</v>
      </c>
      <c r="R231" t="s">
        <v>133</v>
      </c>
      <c r="S231" t="s">
        <v>1131</v>
      </c>
      <c r="T231">
        <v>107211</v>
      </c>
      <c r="U231" t="s">
        <v>123</v>
      </c>
      <c r="X231" t="s">
        <v>259</v>
      </c>
      <c r="Y231" s="8">
        <v>4501226797</v>
      </c>
      <c r="Z231">
        <v>20200125</v>
      </c>
      <c r="AA231">
        <v>350.05</v>
      </c>
      <c r="AB231">
        <v>56.008000000000003</v>
      </c>
      <c r="AC231">
        <v>406.05799999999999</v>
      </c>
      <c r="AD231">
        <v>200127172</v>
      </c>
      <c r="AE231" t="s">
        <v>645</v>
      </c>
      <c r="AF231" s="4">
        <v>406.05799999999999</v>
      </c>
      <c r="AG231" t="s">
        <v>1146</v>
      </c>
      <c r="AH231" t="s">
        <v>1123</v>
      </c>
      <c r="AJ231" t="s">
        <v>1148</v>
      </c>
      <c r="AK231" t="s">
        <v>1129</v>
      </c>
      <c r="AL231">
        <v>340255290</v>
      </c>
      <c r="AM231" t="s">
        <v>135</v>
      </c>
    </row>
    <row r="232" spans="1:39" x14ac:dyDescent="0.35">
      <c r="A232">
        <v>3402</v>
      </c>
      <c r="B232" t="s">
        <v>259</v>
      </c>
      <c r="C232">
        <v>2020</v>
      </c>
      <c r="D232" s="1">
        <v>43831</v>
      </c>
      <c r="E232">
        <v>33</v>
      </c>
      <c r="F232">
        <v>200076900</v>
      </c>
      <c r="G232" t="s">
        <v>120</v>
      </c>
      <c r="H232">
        <v>81</v>
      </c>
      <c r="I232">
        <v>71104010</v>
      </c>
      <c r="J232">
        <v>21021040</v>
      </c>
      <c r="K232" t="s">
        <v>121</v>
      </c>
      <c r="L232">
        <v>2135.02</v>
      </c>
      <c r="M232" t="s">
        <v>31</v>
      </c>
      <c r="N232">
        <v>2135.02</v>
      </c>
      <c r="O232" t="s">
        <v>31</v>
      </c>
      <c r="R232" t="s">
        <v>133</v>
      </c>
      <c r="S232" t="s">
        <v>1131</v>
      </c>
      <c r="T232">
        <v>107211</v>
      </c>
      <c r="U232" t="s">
        <v>123</v>
      </c>
      <c r="X232" t="s">
        <v>259</v>
      </c>
      <c r="Y232" s="8">
        <v>4501226797</v>
      </c>
      <c r="Z232">
        <v>20200125</v>
      </c>
      <c r="AA232">
        <v>2135.02</v>
      </c>
      <c r="AB232">
        <v>341.60320000000002</v>
      </c>
      <c r="AC232">
        <v>2476.6232</v>
      </c>
      <c r="AD232">
        <v>200127172</v>
      </c>
      <c r="AE232" t="s">
        <v>646</v>
      </c>
      <c r="AF232" s="4">
        <v>2476.6232</v>
      </c>
      <c r="AG232" t="s">
        <v>1146</v>
      </c>
      <c r="AH232" t="s">
        <v>1123</v>
      </c>
      <c r="AJ232" t="s">
        <v>1148</v>
      </c>
      <c r="AK232" t="s">
        <v>1129</v>
      </c>
      <c r="AL232">
        <v>340255290</v>
      </c>
      <c r="AM232" t="s">
        <v>135</v>
      </c>
    </row>
    <row r="233" spans="1:39" x14ac:dyDescent="0.35">
      <c r="A233">
        <v>3402</v>
      </c>
      <c r="B233" t="s">
        <v>259</v>
      </c>
      <c r="C233">
        <v>2020</v>
      </c>
      <c r="D233" s="1">
        <v>43831</v>
      </c>
      <c r="E233">
        <v>35</v>
      </c>
      <c r="F233">
        <v>200076900</v>
      </c>
      <c r="G233" t="s">
        <v>120</v>
      </c>
      <c r="H233">
        <v>81</v>
      </c>
      <c r="I233">
        <v>71104010</v>
      </c>
      <c r="J233">
        <v>21021040</v>
      </c>
      <c r="K233" t="s">
        <v>121</v>
      </c>
      <c r="L233">
        <v>1715.03</v>
      </c>
      <c r="M233" t="s">
        <v>31</v>
      </c>
      <c r="N233">
        <v>1715.03</v>
      </c>
      <c r="O233" t="s">
        <v>31</v>
      </c>
      <c r="R233" t="s">
        <v>133</v>
      </c>
      <c r="S233" t="s">
        <v>1131</v>
      </c>
      <c r="T233">
        <v>107211</v>
      </c>
      <c r="U233" t="s">
        <v>123</v>
      </c>
      <c r="X233" t="s">
        <v>259</v>
      </c>
      <c r="Y233" s="8">
        <v>4501226797</v>
      </c>
      <c r="Z233">
        <v>20200125</v>
      </c>
      <c r="AA233">
        <v>1715.03</v>
      </c>
      <c r="AB233">
        <v>274.40480000000002</v>
      </c>
      <c r="AC233">
        <v>1989.4348</v>
      </c>
      <c r="AD233">
        <v>200127172</v>
      </c>
      <c r="AE233" t="s">
        <v>647</v>
      </c>
      <c r="AF233" s="4">
        <v>1989.4348</v>
      </c>
      <c r="AG233" t="s">
        <v>1146</v>
      </c>
      <c r="AH233" t="s">
        <v>1123</v>
      </c>
      <c r="AJ233" t="s">
        <v>1148</v>
      </c>
      <c r="AK233" t="s">
        <v>1129</v>
      </c>
      <c r="AL233">
        <v>340255290</v>
      </c>
      <c r="AM233" t="s">
        <v>135</v>
      </c>
    </row>
    <row r="234" spans="1:39" x14ac:dyDescent="0.35">
      <c r="A234">
        <v>3402</v>
      </c>
      <c r="B234" t="s">
        <v>259</v>
      </c>
      <c r="C234">
        <v>2020</v>
      </c>
      <c r="D234" s="1">
        <v>43831</v>
      </c>
      <c r="E234">
        <v>37</v>
      </c>
      <c r="F234">
        <v>200076900</v>
      </c>
      <c r="G234" t="s">
        <v>120</v>
      </c>
      <c r="H234">
        <v>81</v>
      </c>
      <c r="I234">
        <v>71104010</v>
      </c>
      <c r="J234">
        <v>21021040</v>
      </c>
      <c r="K234" t="s">
        <v>121</v>
      </c>
      <c r="L234">
        <v>350.05</v>
      </c>
      <c r="M234" t="s">
        <v>31</v>
      </c>
      <c r="N234">
        <v>350.05</v>
      </c>
      <c r="O234" t="s">
        <v>31</v>
      </c>
      <c r="R234" t="s">
        <v>133</v>
      </c>
      <c r="S234" t="s">
        <v>1131</v>
      </c>
      <c r="T234">
        <v>107211</v>
      </c>
      <c r="U234" t="s">
        <v>123</v>
      </c>
      <c r="X234" t="s">
        <v>259</v>
      </c>
      <c r="Y234" s="8">
        <v>4501226797</v>
      </c>
      <c r="Z234">
        <v>20200125</v>
      </c>
      <c r="AA234">
        <v>350.05</v>
      </c>
      <c r="AB234">
        <v>56.008000000000003</v>
      </c>
      <c r="AC234">
        <v>406.05799999999999</v>
      </c>
      <c r="AD234">
        <v>200127172</v>
      </c>
      <c r="AE234" t="s">
        <v>648</v>
      </c>
      <c r="AF234" s="4">
        <v>406.05799999999999</v>
      </c>
      <c r="AG234" t="s">
        <v>1146</v>
      </c>
      <c r="AH234" t="s">
        <v>1123</v>
      </c>
      <c r="AJ234" t="s">
        <v>1148</v>
      </c>
      <c r="AK234" t="s">
        <v>1129</v>
      </c>
      <c r="AL234">
        <v>340255290</v>
      </c>
      <c r="AM234" t="s">
        <v>135</v>
      </c>
    </row>
    <row r="235" spans="1:39" x14ac:dyDescent="0.35">
      <c r="A235">
        <v>3402</v>
      </c>
      <c r="B235" t="s">
        <v>259</v>
      </c>
      <c r="C235">
        <v>2020</v>
      </c>
      <c r="D235" s="1">
        <v>43831</v>
      </c>
      <c r="E235">
        <v>39</v>
      </c>
      <c r="F235">
        <v>200076900</v>
      </c>
      <c r="G235" t="s">
        <v>120</v>
      </c>
      <c r="H235">
        <v>81</v>
      </c>
      <c r="I235">
        <v>71104010</v>
      </c>
      <c r="J235">
        <v>21021040</v>
      </c>
      <c r="K235" t="s">
        <v>121</v>
      </c>
      <c r="L235">
        <v>2730.06</v>
      </c>
      <c r="M235" t="s">
        <v>31</v>
      </c>
      <c r="N235">
        <v>2730.06</v>
      </c>
      <c r="O235" t="s">
        <v>31</v>
      </c>
      <c r="R235" t="s">
        <v>133</v>
      </c>
      <c r="S235" t="s">
        <v>1131</v>
      </c>
      <c r="T235">
        <v>107211</v>
      </c>
      <c r="U235" t="s">
        <v>123</v>
      </c>
      <c r="X235" t="s">
        <v>259</v>
      </c>
      <c r="Y235" s="8">
        <v>4501226797</v>
      </c>
      <c r="Z235">
        <v>20200125</v>
      </c>
      <c r="AA235">
        <v>2730.06</v>
      </c>
      <c r="AB235">
        <v>436.80959999999999</v>
      </c>
      <c r="AC235">
        <v>3166.8696</v>
      </c>
      <c r="AD235">
        <v>200127172</v>
      </c>
      <c r="AE235" t="s">
        <v>649</v>
      </c>
      <c r="AF235" s="4">
        <v>3166.8696</v>
      </c>
      <c r="AG235" t="s">
        <v>1146</v>
      </c>
      <c r="AH235" t="s">
        <v>1123</v>
      </c>
      <c r="AJ235" t="s">
        <v>1148</v>
      </c>
      <c r="AK235" t="s">
        <v>1129</v>
      </c>
      <c r="AL235">
        <v>340255290</v>
      </c>
      <c r="AM235" t="s">
        <v>135</v>
      </c>
    </row>
    <row r="236" spans="1:39" x14ac:dyDescent="0.35">
      <c r="A236">
        <v>3402</v>
      </c>
      <c r="B236" t="s">
        <v>259</v>
      </c>
      <c r="C236">
        <v>2020</v>
      </c>
      <c r="D236" s="1">
        <v>43831</v>
      </c>
      <c r="E236">
        <v>41</v>
      </c>
      <c r="F236">
        <v>200076900</v>
      </c>
      <c r="G236" t="s">
        <v>120</v>
      </c>
      <c r="H236">
        <v>81</v>
      </c>
      <c r="I236">
        <v>71104010</v>
      </c>
      <c r="J236">
        <v>21021040</v>
      </c>
      <c r="K236" t="s">
        <v>121</v>
      </c>
      <c r="L236">
        <v>2310.02</v>
      </c>
      <c r="M236" t="s">
        <v>31</v>
      </c>
      <c r="N236">
        <v>2310.02</v>
      </c>
      <c r="O236" t="s">
        <v>31</v>
      </c>
      <c r="R236" t="s">
        <v>133</v>
      </c>
      <c r="S236" t="s">
        <v>1131</v>
      </c>
      <c r="T236">
        <v>107211</v>
      </c>
      <c r="U236" t="s">
        <v>123</v>
      </c>
      <c r="X236" t="s">
        <v>259</v>
      </c>
      <c r="Y236" s="8">
        <v>4501226797</v>
      </c>
      <c r="Z236">
        <v>20200125</v>
      </c>
      <c r="AA236">
        <v>2310.02</v>
      </c>
      <c r="AB236">
        <v>369.60320000000002</v>
      </c>
      <c r="AC236">
        <v>2679.6232</v>
      </c>
      <c r="AD236">
        <v>200127172</v>
      </c>
      <c r="AE236" t="s">
        <v>650</v>
      </c>
      <c r="AF236" s="4">
        <v>2679.6232</v>
      </c>
      <c r="AG236" t="s">
        <v>1146</v>
      </c>
      <c r="AH236" t="s">
        <v>1123</v>
      </c>
      <c r="AJ236" t="s">
        <v>1148</v>
      </c>
      <c r="AK236" t="s">
        <v>1129</v>
      </c>
      <c r="AL236">
        <v>340255290</v>
      </c>
      <c r="AM236" t="s">
        <v>135</v>
      </c>
    </row>
    <row r="237" spans="1:39" x14ac:dyDescent="0.35">
      <c r="A237">
        <v>3402</v>
      </c>
      <c r="B237" t="s">
        <v>259</v>
      </c>
      <c r="C237">
        <v>2020</v>
      </c>
      <c r="D237" s="1">
        <v>43831</v>
      </c>
      <c r="E237">
        <v>43</v>
      </c>
      <c r="F237">
        <v>200076900</v>
      </c>
      <c r="G237" t="s">
        <v>120</v>
      </c>
      <c r="H237">
        <v>81</v>
      </c>
      <c r="I237">
        <v>71104010</v>
      </c>
      <c r="J237">
        <v>21021040</v>
      </c>
      <c r="K237" t="s">
        <v>121</v>
      </c>
      <c r="L237">
        <v>175.05</v>
      </c>
      <c r="M237" t="s">
        <v>31</v>
      </c>
      <c r="N237">
        <v>175.05</v>
      </c>
      <c r="O237" t="s">
        <v>31</v>
      </c>
      <c r="R237" t="s">
        <v>133</v>
      </c>
      <c r="S237" t="s">
        <v>1131</v>
      </c>
      <c r="T237">
        <v>107211</v>
      </c>
      <c r="U237" t="s">
        <v>123</v>
      </c>
      <c r="X237" t="s">
        <v>259</v>
      </c>
      <c r="Y237" s="8">
        <v>4501226797</v>
      </c>
      <c r="Z237">
        <v>20200125</v>
      </c>
      <c r="AA237">
        <v>175.05</v>
      </c>
      <c r="AB237">
        <v>28.008000000000003</v>
      </c>
      <c r="AC237">
        <v>203.05800000000002</v>
      </c>
      <c r="AD237">
        <v>200127172</v>
      </c>
      <c r="AE237" t="s">
        <v>651</v>
      </c>
      <c r="AF237" s="4">
        <v>203.05800000000002</v>
      </c>
      <c r="AG237" t="s">
        <v>1146</v>
      </c>
      <c r="AH237" t="s">
        <v>1123</v>
      </c>
      <c r="AJ237" t="s">
        <v>1148</v>
      </c>
      <c r="AK237" t="s">
        <v>1129</v>
      </c>
      <c r="AL237">
        <v>340255290</v>
      </c>
      <c r="AM237" t="s">
        <v>135</v>
      </c>
    </row>
    <row r="238" spans="1:39" x14ac:dyDescent="0.35">
      <c r="A238">
        <v>3402</v>
      </c>
      <c r="B238" t="s">
        <v>259</v>
      </c>
      <c r="C238">
        <v>2020</v>
      </c>
      <c r="D238" s="1">
        <v>43831</v>
      </c>
      <c r="E238">
        <v>45</v>
      </c>
      <c r="F238">
        <v>200076900</v>
      </c>
      <c r="G238" t="s">
        <v>120</v>
      </c>
      <c r="H238">
        <v>81</v>
      </c>
      <c r="I238">
        <v>71104010</v>
      </c>
      <c r="J238">
        <v>21021040</v>
      </c>
      <c r="K238" t="s">
        <v>121</v>
      </c>
      <c r="L238">
        <v>350.05</v>
      </c>
      <c r="M238" t="s">
        <v>31</v>
      </c>
      <c r="N238">
        <v>350.05</v>
      </c>
      <c r="O238" t="s">
        <v>31</v>
      </c>
      <c r="R238" t="s">
        <v>133</v>
      </c>
      <c r="S238" t="s">
        <v>1131</v>
      </c>
      <c r="T238">
        <v>107211</v>
      </c>
      <c r="U238" t="s">
        <v>123</v>
      </c>
      <c r="X238" t="s">
        <v>259</v>
      </c>
      <c r="Y238" s="8">
        <v>4501226797</v>
      </c>
      <c r="Z238">
        <v>20200125</v>
      </c>
      <c r="AA238">
        <v>350.05</v>
      </c>
      <c r="AB238">
        <v>56.008000000000003</v>
      </c>
      <c r="AC238">
        <v>406.05799999999999</v>
      </c>
      <c r="AD238">
        <v>200127172</v>
      </c>
      <c r="AE238" t="s">
        <v>652</v>
      </c>
      <c r="AF238" s="4">
        <v>406.05799999999999</v>
      </c>
      <c r="AG238" t="s">
        <v>1146</v>
      </c>
      <c r="AH238" t="s">
        <v>1123</v>
      </c>
      <c r="AJ238" t="s">
        <v>1148</v>
      </c>
      <c r="AK238" t="s">
        <v>1129</v>
      </c>
      <c r="AL238">
        <v>340255290</v>
      </c>
      <c r="AM238" t="s">
        <v>135</v>
      </c>
    </row>
    <row r="239" spans="1:39" x14ac:dyDescent="0.35">
      <c r="A239">
        <v>3402</v>
      </c>
      <c r="B239" t="s">
        <v>259</v>
      </c>
      <c r="C239">
        <v>2020</v>
      </c>
      <c r="D239" s="1">
        <v>43831</v>
      </c>
      <c r="E239">
        <v>47</v>
      </c>
      <c r="F239">
        <v>200076900</v>
      </c>
      <c r="G239" t="s">
        <v>120</v>
      </c>
      <c r="H239">
        <v>81</v>
      </c>
      <c r="I239">
        <v>71104010</v>
      </c>
      <c r="J239">
        <v>21021040</v>
      </c>
      <c r="K239" t="s">
        <v>121</v>
      </c>
      <c r="L239">
        <v>1540.03</v>
      </c>
      <c r="M239" t="s">
        <v>31</v>
      </c>
      <c r="N239">
        <v>1540.03</v>
      </c>
      <c r="O239" t="s">
        <v>31</v>
      </c>
      <c r="R239" t="s">
        <v>133</v>
      </c>
      <c r="S239" t="s">
        <v>1131</v>
      </c>
      <c r="T239">
        <v>107211</v>
      </c>
      <c r="U239" t="s">
        <v>123</v>
      </c>
      <c r="X239" t="s">
        <v>259</v>
      </c>
      <c r="Y239" s="8">
        <v>4501226797</v>
      </c>
      <c r="Z239">
        <v>20200125</v>
      </c>
      <c r="AA239">
        <v>1540.03</v>
      </c>
      <c r="AB239">
        <v>246.40479999999999</v>
      </c>
      <c r="AC239">
        <v>1786.4348</v>
      </c>
      <c r="AD239">
        <v>200127172</v>
      </c>
      <c r="AE239" t="s">
        <v>653</v>
      </c>
      <c r="AF239" s="4">
        <v>1786.4348</v>
      </c>
      <c r="AG239" t="s">
        <v>1146</v>
      </c>
      <c r="AH239" t="s">
        <v>1123</v>
      </c>
      <c r="AJ239" t="s">
        <v>1148</v>
      </c>
      <c r="AK239" t="s">
        <v>1129</v>
      </c>
      <c r="AL239">
        <v>340255290</v>
      </c>
      <c r="AM239" t="s">
        <v>135</v>
      </c>
    </row>
    <row r="240" spans="1:39" x14ac:dyDescent="0.35">
      <c r="A240">
        <v>3402</v>
      </c>
      <c r="B240" t="s">
        <v>259</v>
      </c>
      <c r="C240">
        <v>2020</v>
      </c>
      <c r="D240" s="1">
        <v>43831</v>
      </c>
      <c r="E240">
        <v>49</v>
      </c>
      <c r="F240">
        <v>200076900</v>
      </c>
      <c r="G240" t="s">
        <v>120</v>
      </c>
      <c r="H240">
        <v>81</v>
      </c>
      <c r="I240">
        <v>71104010</v>
      </c>
      <c r="J240">
        <v>21021040</v>
      </c>
      <c r="K240" t="s">
        <v>121</v>
      </c>
      <c r="L240">
        <v>2310.02</v>
      </c>
      <c r="M240" t="s">
        <v>31</v>
      </c>
      <c r="N240">
        <v>2310.02</v>
      </c>
      <c r="O240" t="s">
        <v>31</v>
      </c>
      <c r="R240" t="s">
        <v>133</v>
      </c>
      <c r="S240" t="s">
        <v>1131</v>
      </c>
      <c r="T240">
        <v>107211</v>
      </c>
      <c r="U240" t="s">
        <v>123</v>
      </c>
      <c r="X240" t="s">
        <v>259</v>
      </c>
      <c r="Y240" s="8">
        <v>4501226797</v>
      </c>
      <c r="Z240">
        <v>20200125</v>
      </c>
      <c r="AA240">
        <v>2310.02</v>
      </c>
      <c r="AB240">
        <v>369.60320000000002</v>
      </c>
      <c r="AC240">
        <v>2679.6232</v>
      </c>
      <c r="AD240">
        <v>200127172</v>
      </c>
      <c r="AE240" t="s">
        <v>654</v>
      </c>
      <c r="AF240" s="4">
        <v>2679.6232</v>
      </c>
      <c r="AG240" t="s">
        <v>1146</v>
      </c>
      <c r="AH240" t="s">
        <v>1123</v>
      </c>
      <c r="AJ240" t="s">
        <v>1148</v>
      </c>
      <c r="AK240" t="s">
        <v>1129</v>
      </c>
      <c r="AL240">
        <v>340255290</v>
      </c>
      <c r="AM240" t="s">
        <v>135</v>
      </c>
    </row>
    <row r="241" spans="1:39" x14ac:dyDescent="0.35">
      <c r="A241">
        <v>3402</v>
      </c>
      <c r="B241" t="s">
        <v>259</v>
      </c>
      <c r="C241">
        <v>2020</v>
      </c>
      <c r="D241" s="1">
        <v>43831</v>
      </c>
      <c r="E241">
        <v>1</v>
      </c>
      <c r="F241">
        <v>200076904</v>
      </c>
      <c r="G241" t="s">
        <v>120</v>
      </c>
      <c r="H241">
        <v>81</v>
      </c>
      <c r="I241">
        <v>71104010</v>
      </c>
      <c r="J241">
        <v>21021040</v>
      </c>
      <c r="K241" t="s">
        <v>121</v>
      </c>
      <c r="L241">
        <v>800.05</v>
      </c>
      <c r="M241" t="s">
        <v>31</v>
      </c>
      <c r="N241">
        <v>800.05</v>
      </c>
      <c r="O241" t="s">
        <v>31</v>
      </c>
      <c r="R241" t="s">
        <v>133</v>
      </c>
      <c r="S241" t="s">
        <v>1131</v>
      </c>
      <c r="T241">
        <v>107211</v>
      </c>
      <c r="U241" t="s">
        <v>123</v>
      </c>
      <c r="X241" t="s">
        <v>259</v>
      </c>
      <c r="Y241" s="8">
        <v>4501226797</v>
      </c>
      <c r="Z241">
        <v>20200125</v>
      </c>
      <c r="AA241">
        <v>800.05</v>
      </c>
      <c r="AB241">
        <v>128.00799999999998</v>
      </c>
      <c r="AC241">
        <v>928.05799999999999</v>
      </c>
      <c r="AD241">
        <v>200127172</v>
      </c>
      <c r="AE241" t="s">
        <v>655</v>
      </c>
      <c r="AF241" s="4">
        <v>928.05799999999999</v>
      </c>
      <c r="AG241" t="s">
        <v>1146</v>
      </c>
      <c r="AH241" t="s">
        <v>1123</v>
      </c>
      <c r="AJ241" t="s">
        <v>1148</v>
      </c>
      <c r="AK241" t="s">
        <v>1129</v>
      </c>
      <c r="AL241">
        <v>340255290</v>
      </c>
      <c r="AM241" t="s">
        <v>135</v>
      </c>
    </row>
    <row r="242" spans="1:39" x14ac:dyDescent="0.35">
      <c r="A242">
        <v>3402</v>
      </c>
      <c r="B242" t="s">
        <v>259</v>
      </c>
      <c r="C242">
        <v>2020</v>
      </c>
      <c r="D242" s="1">
        <v>43831</v>
      </c>
      <c r="E242">
        <v>3</v>
      </c>
      <c r="F242">
        <v>200076904</v>
      </c>
      <c r="G242" t="s">
        <v>120</v>
      </c>
      <c r="H242">
        <v>81</v>
      </c>
      <c r="I242">
        <v>71104010</v>
      </c>
      <c r="J242">
        <v>21021040</v>
      </c>
      <c r="K242" t="s">
        <v>121</v>
      </c>
      <c r="L242">
        <v>312.06</v>
      </c>
      <c r="M242" t="s">
        <v>31</v>
      </c>
      <c r="N242">
        <v>312.06</v>
      </c>
      <c r="O242" t="s">
        <v>31</v>
      </c>
      <c r="R242" t="s">
        <v>133</v>
      </c>
      <c r="S242" t="s">
        <v>1131</v>
      </c>
      <c r="T242">
        <v>107211</v>
      </c>
      <c r="U242" t="s">
        <v>123</v>
      </c>
      <c r="X242" t="s">
        <v>259</v>
      </c>
      <c r="Y242" s="8">
        <v>4501226797</v>
      </c>
      <c r="Z242">
        <v>20200125</v>
      </c>
      <c r="AA242">
        <v>312.06</v>
      </c>
      <c r="AB242">
        <v>49.929600000000001</v>
      </c>
      <c r="AC242">
        <v>361.9896</v>
      </c>
      <c r="AD242">
        <v>200127172</v>
      </c>
      <c r="AE242" t="s">
        <v>656</v>
      </c>
      <c r="AF242" s="4">
        <v>361.9896</v>
      </c>
      <c r="AG242" t="s">
        <v>1146</v>
      </c>
      <c r="AH242" t="s">
        <v>1123</v>
      </c>
      <c r="AJ242" t="s">
        <v>1148</v>
      </c>
      <c r="AK242" t="s">
        <v>1129</v>
      </c>
      <c r="AL242">
        <v>340255290</v>
      </c>
      <c r="AM242" t="s">
        <v>135</v>
      </c>
    </row>
    <row r="243" spans="1:39" x14ac:dyDescent="0.35">
      <c r="A243">
        <v>3402</v>
      </c>
      <c r="B243" t="s">
        <v>259</v>
      </c>
      <c r="C243">
        <v>2020</v>
      </c>
      <c r="D243" s="1">
        <v>43831</v>
      </c>
      <c r="E243">
        <v>5</v>
      </c>
      <c r="F243">
        <v>200076904</v>
      </c>
      <c r="G243" t="s">
        <v>120</v>
      </c>
      <c r="H243">
        <v>81</v>
      </c>
      <c r="I243">
        <v>71104010</v>
      </c>
      <c r="J243">
        <v>21021040</v>
      </c>
      <c r="K243" t="s">
        <v>121</v>
      </c>
      <c r="L243">
        <v>2896.02</v>
      </c>
      <c r="M243" t="s">
        <v>31</v>
      </c>
      <c r="N243">
        <v>2896.02</v>
      </c>
      <c r="O243" t="s">
        <v>31</v>
      </c>
      <c r="R243" t="s">
        <v>133</v>
      </c>
      <c r="S243" t="s">
        <v>1131</v>
      </c>
      <c r="T243">
        <v>107211</v>
      </c>
      <c r="U243" t="s">
        <v>123</v>
      </c>
      <c r="X243" t="s">
        <v>259</v>
      </c>
      <c r="Y243" s="8">
        <v>4501226797</v>
      </c>
      <c r="Z243">
        <v>20200125</v>
      </c>
      <c r="AA243">
        <v>2896.02</v>
      </c>
      <c r="AB243">
        <v>463.36320000000001</v>
      </c>
      <c r="AC243">
        <v>3359.3832000000002</v>
      </c>
      <c r="AD243">
        <v>200127172</v>
      </c>
      <c r="AE243" t="s">
        <v>657</v>
      </c>
      <c r="AF243" s="4">
        <v>3359.3832000000002</v>
      </c>
      <c r="AG243" t="s">
        <v>1146</v>
      </c>
      <c r="AH243" t="s">
        <v>1123</v>
      </c>
      <c r="AJ243" t="s">
        <v>1148</v>
      </c>
      <c r="AK243" t="s">
        <v>1129</v>
      </c>
      <c r="AL243">
        <v>340255290</v>
      </c>
      <c r="AM243" t="s">
        <v>135</v>
      </c>
    </row>
    <row r="244" spans="1:39" x14ac:dyDescent="0.35">
      <c r="A244">
        <v>3402</v>
      </c>
      <c r="B244" t="s">
        <v>259</v>
      </c>
      <c r="C244">
        <v>2020</v>
      </c>
      <c r="D244" s="1">
        <v>43831</v>
      </c>
      <c r="E244">
        <v>7</v>
      </c>
      <c r="F244">
        <v>200076904</v>
      </c>
      <c r="G244" t="s">
        <v>120</v>
      </c>
      <c r="H244">
        <v>81</v>
      </c>
      <c r="I244">
        <v>71104010</v>
      </c>
      <c r="J244">
        <v>21021040</v>
      </c>
      <c r="K244" t="s">
        <v>121</v>
      </c>
      <c r="L244">
        <v>1648.02</v>
      </c>
      <c r="M244" t="s">
        <v>31</v>
      </c>
      <c r="N244">
        <v>1648.02</v>
      </c>
      <c r="O244" t="s">
        <v>31</v>
      </c>
      <c r="R244" t="s">
        <v>133</v>
      </c>
      <c r="S244" t="s">
        <v>1131</v>
      </c>
      <c r="T244">
        <v>107211</v>
      </c>
      <c r="U244" t="s">
        <v>123</v>
      </c>
      <c r="X244" t="s">
        <v>259</v>
      </c>
      <c r="Y244" s="8">
        <v>4501226797</v>
      </c>
      <c r="Z244">
        <v>20200125</v>
      </c>
      <c r="AA244">
        <v>1648.02</v>
      </c>
      <c r="AB244">
        <v>263.6832</v>
      </c>
      <c r="AC244">
        <v>1911.7031999999999</v>
      </c>
      <c r="AD244">
        <v>200127172</v>
      </c>
      <c r="AE244" t="s">
        <v>658</v>
      </c>
      <c r="AF244" s="4">
        <v>1911.7031999999999</v>
      </c>
      <c r="AG244" t="s">
        <v>1146</v>
      </c>
      <c r="AH244" t="s">
        <v>1123</v>
      </c>
      <c r="AJ244" t="s">
        <v>1148</v>
      </c>
      <c r="AK244" t="s">
        <v>1129</v>
      </c>
      <c r="AL244">
        <v>340255290</v>
      </c>
      <c r="AM244" t="s">
        <v>135</v>
      </c>
    </row>
    <row r="245" spans="1:39" x14ac:dyDescent="0.35">
      <c r="A245">
        <v>3402</v>
      </c>
      <c r="B245" t="s">
        <v>259</v>
      </c>
      <c r="C245">
        <v>2020</v>
      </c>
      <c r="D245" s="1">
        <v>43831</v>
      </c>
      <c r="E245">
        <v>9</v>
      </c>
      <c r="F245">
        <v>200076904</v>
      </c>
      <c r="G245" t="s">
        <v>120</v>
      </c>
      <c r="H245">
        <v>81</v>
      </c>
      <c r="I245">
        <v>71104010</v>
      </c>
      <c r="J245">
        <v>21021040</v>
      </c>
      <c r="K245" t="s">
        <v>121</v>
      </c>
      <c r="L245">
        <v>712.03</v>
      </c>
      <c r="M245" t="s">
        <v>31</v>
      </c>
      <c r="N245">
        <v>712.03</v>
      </c>
      <c r="O245" t="s">
        <v>31</v>
      </c>
      <c r="R245" t="s">
        <v>133</v>
      </c>
      <c r="S245" t="s">
        <v>1131</v>
      </c>
      <c r="T245">
        <v>107211</v>
      </c>
      <c r="U245" t="s">
        <v>123</v>
      </c>
      <c r="X245" t="s">
        <v>259</v>
      </c>
      <c r="Y245" s="8">
        <v>4501226797</v>
      </c>
      <c r="Z245">
        <v>20200125</v>
      </c>
      <c r="AA245">
        <v>712.03</v>
      </c>
      <c r="AB245">
        <v>113.9248</v>
      </c>
      <c r="AC245">
        <v>825.95479999999998</v>
      </c>
      <c r="AD245">
        <v>200127172</v>
      </c>
      <c r="AE245" t="s">
        <v>659</v>
      </c>
      <c r="AF245" s="4">
        <v>825.95479999999998</v>
      </c>
      <c r="AG245" t="s">
        <v>1146</v>
      </c>
      <c r="AH245" t="s">
        <v>1123</v>
      </c>
      <c r="AJ245" t="s">
        <v>1148</v>
      </c>
      <c r="AK245" t="s">
        <v>1129</v>
      </c>
      <c r="AL245">
        <v>340255290</v>
      </c>
      <c r="AM245" t="s">
        <v>135</v>
      </c>
    </row>
    <row r="246" spans="1:39" x14ac:dyDescent="0.35">
      <c r="A246">
        <v>3402</v>
      </c>
      <c r="B246" t="s">
        <v>259</v>
      </c>
      <c r="C246">
        <v>2020</v>
      </c>
      <c r="D246" s="1">
        <v>43831</v>
      </c>
      <c r="E246">
        <v>11</v>
      </c>
      <c r="F246">
        <v>200076904</v>
      </c>
      <c r="G246" t="s">
        <v>120</v>
      </c>
      <c r="H246">
        <v>81</v>
      </c>
      <c r="I246">
        <v>71104010</v>
      </c>
      <c r="J246">
        <v>21021040</v>
      </c>
      <c r="K246" t="s">
        <v>121</v>
      </c>
      <c r="L246">
        <v>1024.03</v>
      </c>
      <c r="M246" t="s">
        <v>31</v>
      </c>
      <c r="N246">
        <v>1024.03</v>
      </c>
      <c r="O246" t="s">
        <v>31</v>
      </c>
      <c r="R246" t="s">
        <v>133</v>
      </c>
      <c r="S246" t="s">
        <v>1131</v>
      </c>
      <c r="T246">
        <v>107211</v>
      </c>
      <c r="U246" t="s">
        <v>123</v>
      </c>
      <c r="X246" t="s">
        <v>259</v>
      </c>
      <c r="Y246" s="8">
        <v>4501226797</v>
      </c>
      <c r="Z246">
        <v>20200125</v>
      </c>
      <c r="AA246">
        <v>1024.03</v>
      </c>
      <c r="AB246">
        <v>163.84479999999999</v>
      </c>
      <c r="AC246">
        <v>1187.8748000000001</v>
      </c>
      <c r="AD246">
        <v>200127172</v>
      </c>
      <c r="AE246" t="s">
        <v>660</v>
      </c>
      <c r="AF246" s="4">
        <v>1187.8748000000001</v>
      </c>
      <c r="AG246" t="s">
        <v>1146</v>
      </c>
      <c r="AH246" t="s">
        <v>1123</v>
      </c>
      <c r="AJ246" t="s">
        <v>1148</v>
      </c>
      <c r="AK246" t="s">
        <v>1129</v>
      </c>
      <c r="AL246">
        <v>340255290</v>
      </c>
      <c r="AM246" t="s">
        <v>135</v>
      </c>
    </row>
    <row r="247" spans="1:39" x14ac:dyDescent="0.35">
      <c r="A247">
        <v>3402</v>
      </c>
      <c r="B247" t="s">
        <v>259</v>
      </c>
      <c r="C247">
        <v>2020</v>
      </c>
      <c r="D247" s="1">
        <v>43831</v>
      </c>
      <c r="E247">
        <v>13</v>
      </c>
      <c r="F247">
        <v>200076904</v>
      </c>
      <c r="G247" t="s">
        <v>120</v>
      </c>
      <c r="H247">
        <v>81</v>
      </c>
      <c r="I247">
        <v>71104010</v>
      </c>
      <c r="J247">
        <v>21021040</v>
      </c>
      <c r="K247" t="s">
        <v>121</v>
      </c>
      <c r="L247">
        <v>1600.05</v>
      </c>
      <c r="M247" t="s">
        <v>31</v>
      </c>
      <c r="N247">
        <v>1600.05</v>
      </c>
      <c r="O247" t="s">
        <v>31</v>
      </c>
      <c r="R247" t="s">
        <v>133</v>
      </c>
      <c r="S247" t="s">
        <v>1131</v>
      </c>
      <c r="T247">
        <v>107211</v>
      </c>
      <c r="U247" t="s">
        <v>123</v>
      </c>
      <c r="X247" t="s">
        <v>259</v>
      </c>
      <c r="Y247" s="8">
        <v>4501226797</v>
      </c>
      <c r="Z247">
        <v>20200125</v>
      </c>
      <c r="AA247">
        <v>1600.05</v>
      </c>
      <c r="AB247">
        <v>256.00799999999998</v>
      </c>
      <c r="AC247">
        <v>1856.058</v>
      </c>
      <c r="AD247">
        <v>200127172</v>
      </c>
      <c r="AE247" t="s">
        <v>661</v>
      </c>
      <c r="AF247" s="4">
        <v>1856.058</v>
      </c>
      <c r="AG247" t="s">
        <v>1146</v>
      </c>
      <c r="AH247" t="s">
        <v>1123</v>
      </c>
      <c r="AJ247" t="s">
        <v>1148</v>
      </c>
      <c r="AK247" t="s">
        <v>1129</v>
      </c>
      <c r="AL247">
        <v>340255290</v>
      </c>
      <c r="AM247" t="s">
        <v>135</v>
      </c>
    </row>
    <row r="248" spans="1:39" x14ac:dyDescent="0.35">
      <c r="A248">
        <v>3402</v>
      </c>
      <c r="B248" t="s">
        <v>259</v>
      </c>
      <c r="C248">
        <v>2020</v>
      </c>
      <c r="D248" s="1">
        <v>43831</v>
      </c>
      <c r="E248">
        <v>15</v>
      </c>
      <c r="F248">
        <v>200076904</v>
      </c>
      <c r="G248" t="s">
        <v>120</v>
      </c>
      <c r="H248">
        <v>81</v>
      </c>
      <c r="I248">
        <v>71104010</v>
      </c>
      <c r="J248">
        <v>21021040</v>
      </c>
      <c r="K248" t="s">
        <v>121</v>
      </c>
      <c r="L248">
        <v>1248.02</v>
      </c>
      <c r="M248" t="s">
        <v>31</v>
      </c>
      <c r="N248">
        <v>1248.02</v>
      </c>
      <c r="O248" t="s">
        <v>31</v>
      </c>
      <c r="R248" t="s">
        <v>133</v>
      </c>
      <c r="S248" t="s">
        <v>1131</v>
      </c>
      <c r="T248">
        <v>107211</v>
      </c>
      <c r="U248" t="s">
        <v>123</v>
      </c>
      <c r="X248" t="s">
        <v>259</v>
      </c>
      <c r="Y248" s="8">
        <v>4501226797</v>
      </c>
      <c r="Z248">
        <v>20200125</v>
      </c>
      <c r="AA248">
        <v>1248.02</v>
      </c>
      <c r="AB248">
        <v>199.6832</v>
      </c>
      <c r="AC248">
        <v>1447.7031999999999</v>
      </c>
      <c r="AD248">
        <v>200127172</v>
      </c>
      <c r="AE248" t="s">
        <v>662</v>
      </c>
      <c r="AF248" s="4">
        <v>1447.7031999999999</v>
      </c>
      <c r="AG248" t="s">
        <v>1146</v>
      </c>
      <c r="AH248" t="s">
        <v>1123</v>
      </c>
      <c r="AJ248" t="s">
        <v>1148</v>
      </c>
      <c r="AK248" t="s">
        <v>1129</v>
      </c>
      <c r="AL248">
        <v>340255290</v>
      </c>
      <c r="AM248" t="s">
        <v>135</v>
      </c>
    </row>
    <row r="249" spans="1:39" x14ac:dyDescent="0.35">
      <c r="A249">
        <v>3402</v>
      </c>
      <c r="B249" t="s">
        <v>259</v>
      </c>
      <c r="C249">
        <v>2020</v>
      </c>
      <c r="D249" s="1">
        <v>43831</v>
      </c>
      <c r="E249">
        <v>17</v>
      </c>
      <c r="F249">
        <v>200076904</v>
      </c>
      <c r="G249" t="s">
        <v>120</v>
      </c>
      <c r="H249">
        <v>81</v>
      </c>
      <c r="I249">
        <v>71104010</v>
      </c>
      <c r="J249">
        <v>21021040</v>
      </c>
      <c r="K249" t="s">
        <v>121</v>
      </c>
      <c r="L249">
        <v>2360</v>
      </c>
      <c r="M249" t="s">
        <v>31</v>
      </c>
      <c r="N249">
        <v>2360</v>
      </c>
      <c r="O249" t="s">
        <v>31</v>
      </c>
      <c r="R249" t="s">
        <v>133</v>
      </c>
      <c r="S249" t="s">
        <v>1131</v>
      </c>
      <c r="T249">
        <v>107211</v>
      </c>
      <c r="U249" t="s">
        <v>123</v>
      </c>
      <c r="X249" t="s">
        <v>259</v>
      </c>
      <c r="Y249" s="8">
        <v>4501226797</v>
      </c>
      <c r="Z249">
        <v>20200125</v>
      </c>
      <c r="AA249">
        <v>2360</v>
      </c>
      <c r="AB249">
        <v>377.6</v>
      </c>
      <c r="AC249">
        <v>2737.6</v>
      </c>
      <c r="AD249">
        <v>200127172</v>
      </c>
      <c r="AE249" t="s">
        <v>663</v>
      </c>
      <c r="AF249" s="4">
        <v>2737.6</v>
      </c>
      <c r="AG249" t="s">
        <v>1146</v>
      </c>
      <c r="AH249" t="s">
        <v>1123</v>
      </c>
      <c r="AJ249" t="s">
        <v>1148</v>
      </c>
      <c r="AK249" t="s">
        <v>1129</v>
      </c>
      <c r="AL249">
        <v>340255290</v>
      </c>
      <c r="AM249" t="s">
        <v>135</v>
      </c>
    </row>
    <row r="250" spans="1:39" x14ac:dyDescent="0.35">
      <c r="A250">
        <v>3402</v>
      </c>
      <c r="B250" t="s">
        <v>259</v>
      </c>
      <c r="C250">
        <v>2020</v>
      </c>
      <c r="D250" s="1">
        <v>43831</v>
      </c>
      <c r="E250">
        <v>19</v>
      </c>
      <c r="F250">
        <v>200076904</v>
      </c>
      <c r="G250" t="s">
        <v>120</v>
      </c>
      <c r="H250">
        <v>81</v>
      </c>
      <c r="I250">
        <v>71104010</v>
      </c>
      <c r="J250">
        <v>21021040</v>
      </c>
      <c r="K250" t="s">
        <v>121</v>
      </c>
      <c r="L250">
        <v>1648.02</v>
      </c>
      <c r="M250" t="s">
        <v>31</v>
      </c>
      <c r="N250">
        <v>1648.02</v>
      </c>
      <c r="O250" t="s">
        <v>31</v>
      </c>
      <c r="R250" t="s">
        <v>133</v>
      </c>
      <c r="S250" t="s">
        <v>1131</v>
      </c>
      <c r="T250">
        <v>107211</v>
      </c>
      <c r="U250" t="s">
        <v>123</v>
      </c>
      <c r="X250" t="s">
        <v>259</v>
      </c>
      <c r="Y250" s="8">
        <v>4501226797</v>
      </c>
      <c r="Z250">
        <v>20200125</v>
      </c>
      <c r="AA250">
        <v>1648.02</v>
      </c>
      <c r="AB250">
        <v>263.6832</v>
      </c>
      <c r="AC250">
        <v>1911.7031999999999</v>
      </c>
      <c r="AD250">
        <v>200127172</v>
      </c>
      <c r="AE250" t="s">
        <v>664</v>
      </c>
      <c r="AF250" s="4">
        <v>1911.7031999999999</v>
      </c>
      <c r="AG250" t="s">
        <v>1146</v>
      </c>
      <c r="AH250" t="s">
        <v>1123</v>
      </c>
      <c r="AJ250" t="s">
        <v>1148</v>
      </c>
      <c r="AK250" t="s">
        <v>1129</v>
      </c>
      <c r="AL250">
        <v>340255290</v>
      </c>
      <c r="AM250" t="s">
        <v>135</v>
      </c>
    </row>
    <row r="251" spans="1:39" x14ac:dyDescent="0.35">
      <c r="A251">
        <v>3402</v>
      </c>
      <c r="B251" t="s">
        <v>259</v>
      </c>
      <c r="C251">
        <v>2020</v>
      </c>
      <c r="D251" s="1">
        <v>43831</v>
      </c>
      <c r="E251">
        <v>21</v>
      </c>
      <c r="F251">
        <v>200076904</v>
      </c>
      <c r="G251" t="s">
        <v>120</v>
      </c>
      <c r="H251">
        <v>81</v>
      </c>
      <c r="I251">
        <v>71104010</v>
      </c>
      <c r="J251">
        <v>21021040</v>
      </c>
      <c r="K251" t="s">
        <v>121</v>
      </c>
      <c r="L251">
        <v>1200.05</v>
      </c>
      <c r="M251" t="s">
        <v>31</v>
      </c>
      <c r="N251">
        <v>1200.05</v>
      </c>
      <c r="O251" t="s">
        <v>31</v>
      </c>
      <c r="R251" t="s">
        <v>133</v>
      </c>
      <c r="S251" t="s">
        <v>1131</v>
      </c>
      <c r="T251">
        <v>107211</v>
      </c>
      <c r="U251" t="s">
        <v>123</v>
      </c>
      <c r="X251" t="s">
        <v>259</v>
      </c>
      <c r="Y251" s="8">
        <v>4501226797</v>
      </c>
      <c r="Z251">
        <v>20200125</v>
      </c>
      <c r="AA251">
        <v>1200.05</v>
      </c>
      <c r="AB251">
        <v>192.00800000000001</v>
      </c>
      <c r="AC251">
        <v>1392.058</v>
      </c>
      <c r="AD251">
        <v>200127172</v>
      </c>
      <c r="AE251" t="s">
        <v>665</v>
      </c>
      <c r="AF251" s="4">
        <v>1392.058</v>
      </c>
      <c r="AG251" t="s">
        <v>1146</v>
      </c>
      <c r="AH251" t="s">
        <v>1123</v>
      </c>
      <c r="AJ251" t="s">
        <v>1148</v>
      </c>
      <c r="AK251" t="s">
        <v>1129</v>
      </c>
      <c r="AL251">
        <v>340255290</v>
      </c>
      <c r="AM251" t="s">
        <v>135</v>
      </c>
    </row>
    <row r="252" spans="1:39" x14ac:dyDescent="0.35">
      <c r="A252">
        <v>3402</v>
      </c>
      <c r="B252" t="s">
        <v>259</v>
      </c>
      <c r="C252">
        <v>2020</v>
      </c>
      <c r="D252" s="1">
        <v>43831</v>
      </c>
      <c r="E252">
        <v>23</v>
      </c>
      <c r="F252">
        <v>200076904</v>
      </c>
      <c r="G252" t="s">
        <v>120</v>
      </c>
      <c r="H252">
        <v>81</v>
      </c>
      <c r="I252">
        <v>71104010</v>
      </c>
      <c r="J252">
        <v>21021040</v>
      </c>
      <c r="K252" t="s">
        <v>121</v>
      </c>
      <c r="L252">
        <v>1112.03</v>
      </c>
      <c r="M252" t="s">
        <v>31</v>
      </c>
      <c r="N252">
        <v>1112.03</v>
      </c>
      <c r="O252" t="s">
        <v>31</v>
      </c>
      <c r="R252" t="s">
        <v>133</v>
      </c>
      <c r="S252" t="s">
        <v>1131</v>
      </c>
      <c r="T252">
        <v>107211</v>
      </c>
      <c r="U252" t="s">
        <v>123</v>
      </c>
      <c r="X252" t="s">
        <v>259</v>
      </c>
      <c r="Y252" s="8">
        <v>4501226797</v>
      </c>
      <c r="Z252">
        <v>20200125</v>
      </c>
      <c r="AA252">
        <v>1112.03</v>
      </c>
      <c r="AB252">
        <v>177.9248</v>
      </c>
      <c r="AC252">
        <v>1289.9548</v>
      </c>
      <c r="AD252">
        <v>200127172</v>
      </c>
      <c r="AE252" t="s">
        <v>666</v>
      </c>
      <c r="AF252" s="4">
        <v>1289.9548</v>
      </c>
      <c r="AG252" t="s">
        <v>1146</v>
      </c>
      <c r="AH252" t="s">
        <v>1123</v>
      </c>
      <c r="AJ252" t="s">
        <v>1148</v>
      </c>
      <c r="AK252" t="s">
        <v>1129</v>
      </c>
      <c r="AL252">
        <v>340255290</v>
      </c>
      <c r="AM252" t="s">
        <v>135</v>
      </c>
    </row>
    <row r="253" spans="1:39" x14ac:dyDescent="0.35">
      <c r="A253">
        <v>3402</v>
      </c>
      <c r="B253" t="s">
        <v>259</v>
      </c>
      <c r="C253">
        <v>2020</v>
      </c>
      <c r="D253" s="1">
        <v>43831</v>
      </c>
      <c r="E253">
        <v>25</v>
      </c>
      <c r="F253">
        <v>200076904</v>
      </c>
      <c r="G253" t="s">
        <v>120</v>
      </c>
      <c r="H253">
        <v>81</v>
      </c>
      <c r="I253">
        <v>71104010</v>
      </c>
      <c r="J253">
        <v>21021040</v>
      </c>
      <c r="K253" t="s">
        <v>121</v>
      </c>
      <c r="L253">
        <v>1024.03</v>
      </c>
      <c r="M253" t="s">
        <v>31</v>
      </c>
      <c r="N253">
        <v>1024.03</v>
      </c>
      <c r="O253" t="s">
        <v>31</v>
      </c>
      <c r="R253" t="s">
        <v>133</v>
      </c>
      <c r="S253" t="s">
        <v>1131</v>
      </c>
      <c r="T253">
        <v>107211</v>
      </c>
      <c r="U253" t="s">
        <v>123</v>
      </c>
      <c r="X253" t="s">
        <v>259</v>
      </c>
      <c r="Y253" s="8">
        <v>4501226797</v>
      </c>
      <c r="Z253">
        <v>20200125</v>
      </c>
      <c r="AA253">
        <v>1024.03</v>
      </c>
      <c r="AB253">
        <v>163.84479999999999</v>
      </c>
      <c r="AC253">
        <v>1187.8748000000001</v>
      </c>
      <c r="AD253">
        <v>200127172</v>
      </c>
      <c r="AE253" t="s">
        <v>667</v>
      </c>
      <c r="AF253" s="4">
        <v>1187.8748000000001</v>
      </c>
      <c r="AG253" t="s">
        <v>1146</v>
      </c>
      <c r="AH253" t="s">
        <v>1123</v>
      </c>
      <c r="AJ253" t="s">
        <v>1148</v>
      </c>
      <c r="AK253" t="s">
        <v>1129</v>
      </c>
      <c r="AL253">
        <v>340255290</v>
      </c>
      <c r="AM253" t="s">
        <v>135</v>
      </c>
    </row>
    <row r="254" spans="1:39" x14ac:dyDescent="0.35">
      <c r="A254">
        <v>3402</v>
      </c>
      <c r="B254" t="s">
        <v>259</v>
      </c>
      <c r="C254">
        <v>2020</v>
      </c>
      <c r="D254" s="1">
        <v>43831</v>
      </c>
      <c r="E254">
        <v>27</v>
      </c>
      <c r="F254">
        <v>200076904</v>
      </c>
      <c r="G254" t="s">
        <v>120</v>
      </c>
      <c r="H254">
        <v>81</v>
      </c>
      <c r="I254">
        <v>71104010</v>
      </c>
      <c r="J254">
        <v>21021040</v>
      </c>
      <c r="K254" t="s">
        <v>121</v>
      </c>
      <c r="L254">
        <v>2360</v>
      </c>
      <c r="M254" t="s">
        <v>31</v>
      </c>
      <c r="N254">
        <v>2360</v>
      </c>
      <c r="O254" t="s">
        <v>31</v>
      </c>
      <c r="R254" t="s">
        <v>133</v>
      </c>
      <c r="S254" t="s">
        <v>1131</v>
      </c>
      <c r="T254">
        <v>107211</v>
      </c>
      <c r="U254" t="s">
        <v>123</v>
      </c>
      <c r="X254" t="s">
        <v>259</v>
      </c>
      <c r="Y254" s="8">
        <v>4501226797</v>
      </c>
      <c r="Z254">
        <v>20200125</v>
      </c>
      <c r="AA254">
        <v>2360</v>
      </c>
      <c r="AB254">
        <v>377.6</v>
      </c>
      <c r="AC254">
        <v>2737.6</v>
      </c>
      <c r="AD254">
        <v>200127172</v>
      </c>
      <c r="AE254" t="s">
        <v>668</v>
      </c>
      <c r="AF254" s="4">
        <v>2737.6</v>
      </c>
      <c r="AG254" t="s">
        <v>1146</v>
      </c>
      <c r="AH254" t="s">
        <v>1123</v>
      </c>
      <c r="AJ254" t="s">
        <v>1148</v>
      </c>
      <c r="AK254" t="s">
        <v>1129</v>
      </c>
      <c r="AL254">
        <v>340255290</v>
      </c>
      <c r="AM254" t="s">
        <v>135</v>
      </c>
    </row>
    <row r="255" spans="1:39" x14ac:dyDescent="0.35">
      <c r="A255">
        <v>3402</v>
      </c>
      <c r="B255" t="s">
        <v>259</v>
      </c>
      <c r="C255">
        <v>2020</v>
      </c>
      <c r="D255" s="1">
        <v>43831</v>
      </c>
      <c r="E255">
        <v>29</v>
      </c>
      <c r="F255">
        <v>200076904</v>
      </c>
      <c r="G255" t="s">
        <v>120</v>
      </c>
      <c r="H255">
        <v>81</v>
      </c>
      <c r="I255">
        <v>71104010</v>
      </c>
      <c r="J255">
        <v>21021040</v>
      </c>
      <c r="K255" t="s">
        <v>121</v>
      </c>
      <c r="L255">
        <v>2896.02</v>
      </c>
      <c r="M255" t="s">
        <v>31</v>
      </c>
      <c r="N255">
        <v>2896.02</v>
      </c>
      <c r="O255" t="s">
        <v>31</v>
      </c>
      <c r="R255" t="s">
        <v>133</v>
      </c>
      <c r="S255" t="s">
        <v>1131</v>
      </c>
      <c r="T255">
        <v>107211</v>
      </c>
      <c r="U255" t="s">
        <v>123</v>
      </c>
      <c r="X255" t="s">
        <v>259</v>
      </c>
      <c r="Y255" s="8">
        <v>4501226797</v>
      </c>
      <c r="Z255">
        <v>20200125</v>
      </c>
      <c r="AA255">
        <v>2896.02</v>
      </c>
      <c r="AB255">
        <v>463.36320000000001</v>
      </c>
      <c r="AC255">
        <v>3359.3832000000002</v>
      </c>
      <c r="AD255">
        <v>200127172</v>
      </c>
      <c r="AE255" t="s">
        <v>669</v>
      </c>
      <c r="AF255" s="4">
        <v>3359.3832000000002</v>
      </c>
      <c r="AG255" t="s">
        <v>1146</v>
      </c>
      <c r="AH255" t="s">
        <v>1123</v>
      </c>
      <c r="AJ255" t="s">
        <v>1148</v>
      </c>
      <c r="AK255" t="s">
        <v>1129</v>
      </c>
      <c r="AL255">
        <v>340255290</v>
      </c>
      <c r="AM255" t="s">
        <v>135</v>
      </c>
    </row>
    <row r="256" spans="1:39" x14ac:dyDescent="0.35">
      <c r="A256">
        <v>3402</v>
      </c>
      <c r="B256" t="s">
        <v>259</v>
      </c>
      <c r="C256">
        <v>2020</v>
      </c>
      <c r="D256" s="1">
        <v>43831</v>
      </c>
      <c r="E256">
        <v>31</v>
      </c>
      <c r="F256">
        <v>200076904</v>
      </c>
      <c r="G256" t="s">
        <v>120</v>
      </c>
      <c r="H256">
        <v>81</v>
      </c>
      <c r="I256">
        <v>71104010</v>
      </c>
      <c r="J256">
        <v>21021040</v>
      </c>
      <c r="K256" t="s">
        <v>121</v>
      </c>
      <c r="L256">
        <v>1648.02</v>
      </c>
      <c r="M256" t="s">
        <v>31</v>
      </c>
      <c r="N256">
        <v>1648.02</v>
      </c>
      <c r="O256" t="s">
        <v>31</v>
      </c>
      <c r="R256" t="s">
        <v>133</v>
      </c>
      <c r="S256" t="s">
        <v>1131</v>
      </c>
      <c r="T256">
        <v>107211</v>
      </c>
      <c r="U256" t="s">
        <v>123</v>
      </c>
      <c r="X256" t="s">
        <v>259</v>
      </c>
      <c r="Y256" s="8">
        <v>4501226797</v>
      </c>
      <c r="Z256">
        <v>20200125</v>
      </c>
      <c r="AA256">
        <v>1648.02</v>
      </c>
      <c r="AB256">
        <v>263.6832</v>
      </c>
      <c r="AC256">
        <v>1911.7031999999999</v>
      </c>
      <c r="AD256">
        <v>200127172</v>
      </c>
      <c r="AE256" t="s">
        <v>670</v>
      </c>
      <c r="AF256" s="4">
        <v>1911.7031999999999</v>
      </c>
      <c r="AG256" t="s">
        <v>1146</v>
      </c>
      <c r="AH256" t="s">
        <v>1123</v>
      </c>
      <c r="AJ256" t="s">
        <v>1148</v>
      </c>
      <c r="AK256" t="s">
        <v>1129</v>
      </c>
      <c r="AL256">
        <v>340255290</v>
      </c>
      <c r="AM256" t="s">
        <v>135</v>
      </c>
    </row>
    <row r="257" spans="1:39" x14ac:dyDescent="0.35">
      <c r="A257">
        <v>3402</v>
      </c>
      <c r="B257" t="s">
        <v>259</v>
      </c>
      <c r="C257">
        <v>2020</v>
      </c>
      <c r="D257" s="1">
        <v>43831</v>
      </c>
      <c r="E257">
        <v>33</v>
      </c>
      <c r="F257">
        <v>200076904</v>
      </c>
      <c r="G257" t="s">
        <v>120</v>
      </c>
      <c r="H257">
        <v>81</v>
      </c>
      <c r="I257">
        <v>71104010</v>
      </c>
      <c r="J257">
        <v>21021040</v>
      </c>
      <c r="K257" t="s">
        <v>121</v>
      </c>
      <c r="L257">
        <v>2760</v>
      </c>
      <c r="M257" t="s">
        <v>31</v>
      </c>
      <c r="N257">
        <v>2760</v>
      </c>
      <c r="O257" t="s">
        <v>31</v>
      </c>
      <c r="R257" t="s">
        <v>133</v>
      </c>
      <c r="S257" t="s">
        <v>1131</v>
      </c>
      <c r="T257">
        <v>107211</v>
      </c>
      <c r="U257" t="s">
        <v>123</v>
      </c>
      <c r="X257" t="s">
        <v>259</v>
      </c>
      <c r="Y257" s="8">
        <v>4501226797</v>
      </c>
      <c r="Z257">
        <v>20200125</v>
      </c>
      <c r="AA257">
        <v>2760</v>
      </c>
      <c r="AB257">
        <v>441.6</v>
      </c>
      <c r="AC257">
        <v>3201.6</v>
      </c>
      <c r="AD257">
        <v>200127172</v>
      </c>
      <c r="AE257" t="s">
        <v>671</v>
      </c>
      <c r="AF257" s="4">
        <v>3201.6</v>
      </c>
      <c r="AG257" t="s">
        <v>1146</v>
      </c>
      <c r="AH257" t="s">
        <v>1123</v>
      </c>
      <c r="AJ257" t="s">
        <v>1148</v>
      </c>
      <c r="AK257" t="s">
        <v>1129</v>
      </c>
      <c r="AL257">
        <v>340255290</v>
      </c>
      <c r="AM257" t="s">
        <v>135</v>
      </c>
    </row>
    <row r="258" spans="1:39" x14ac:dyDescent="0.35">
      <c r="A258">
        <v>3402</v>
      </c>
      <c r="B258" t="s">
        <v>259</v>
      </c>
      <c r="C258">
        <v>2020</v>
      </c>
      <c r="D258" s="1">
        <v>43831</v>
      </c>
      <c r="E258">
        <v>35</v>
      </c>
      <c r="F258">
        <v>200076904</v>
      </c>
      <c r="G258" t="s">
        <v>120</v>
      </c>
      <c r="H258">
        <v>81</v>
      </c>
      <c r="I258">
        <v>71104010</v>
      </c>
      <c r="J258">
        <v>21021040</v>
      </c>
      <c r="K258" t="s">
        <v>121</v>
      </c>
      <c r="L258">
        <v>2048.02</v>
      </c>
      <c r="M258" t="s">
        <v>31</v>
      </c>
      <c r="N258">
        <v>2048.02</v>
      </c>
      <c r="O258" t="s">
        <v>31</v>
      </c>
      <c r="R258" t="s">
        <v>133</v>
      </c>
      <c r="S258" t="s">
        <v>1131</v>
      </c>
      <c r="T258">
        <v>107211</v>
      </c>
      <c r="U258" t="s">
        <v>123</v>
      </c>
      <c r="X258" t="s">
        <v>259</v>
      </c>
      <c r="Y258" s="8">
        <v>4501226797</v>
      </c>
      <c r="Z258">
        <v>20200125</v>
      </c>
      <c r="AA258">
        <v>2048.02</v>
      </c>
      <c r="AB258">
        <v>327.6832</v>
      </c>
      <c r="AC258">
        <v>2375.7031999999999</v>
      </c>
      <c r="AD258">
        <v>200127172</v>
      </c>
      <c r="AE258" t="s">
        <v>672</v>
      </c>
      <c r="AF258" s="4">
        <v>2375.7031999999999</v>
      </c>
      <c r="AG258" t="s">
        <v>1146</v>
      </c>
      <c r="AH258" t="s">
        <v>1123</v>
      </c>
      <c r="AJ258" t="s">
        <v>1148</v>
      </c>
      <c r="AK258" t="s">
        <v>1129</v>
      </c>
      <c r="AL258">
        <v>340255290</v>
      </c>
      <c r="AM258" t="s">
        <v>135</v>
      </c>
    </row>
    <row r="259" spans="1:39" x14ac:dyDescent="0.35">
      <c r="A259">
        <v>3402</v>
      </c>
      <c r="B259" t="s">
        <v>259</v>
      </c>
      <c r="C259">
        <v>2020</v>
      </c>
      <c r="D259" s="1">
        <v>43831</v>
      </c>
      <c r="E259">
        <v>37</v>
      </c>
      <c r="F259">
        <v>200076904</v>
      </c>
      <c r="G259" t="s">
        <v>120</v>
      </c>
      <c r="H259">
        <v>81</v>
      </c>
      <c r="I259">
        <v>71104010</v>
      </c>
      <c r="J259">
        <v>21021040</v>
      </c>
      <c r="K259" t="s">
        <v>121</v>
      </c>
      <c r="L259">
        <v>712.03</v>
      </c>
      <c r="M259" t="s">
        <v>31</v>
      </c>
      <c r="N259">
        <v>712.03</v>
      </c>
      <c r="O259" t="s">
        <v>31</v>
      </c>
      <c r="R259" t="s">
        <v>133</v>
      </c>
      <c r="S259" t="s">
        <v>1131</v>
      </c>
      <c r="T259">
        <v>107211</v>
      </c>
      <c r="U259" t="s">
        <v>123</v>
      </c>
      <c r="X259" t="s">
        <v>259</v>
      </c>
      <c r="Y259" s="8">
        <v>4501226797</v>
      </c>
      <c r="Z259">
        <v>20200125</v>
      </c>
      <c r="AA259">
        <v>712.03</v>
      </c>
      <c r="AB259">
        <v>113.9248</v>
      </c>
      <c r="AC259">
        <v>825.95479999999998</v>
      </c>
      <c r="AD259">
        <v>200127172</v>
      </c>
      <c r="AE259" t="s">
        <v>673</v>
      </c>
      <c r="AF259" s="4">
        <v>825.95479999999998</v>
      </c>
      <c r="AG259" t="s">
        <v>1146</v>
      </c>
      <c r="AH259" t="s">
        <v>1123</v>
      </c>
      <c r="AJ259" t="s">
        <v>1148</v>
      </c>
      <c r="AK259" t="s">
        <v>1129</v>
      </c>
      <c r="AL259">
        <v>340255290</v>
      </c>
      <c r="AM259" t="s">
        <v>135</v>
      </c>
    </row>
    <row r="260" spans="1:39" x14ac:dyDescent="0.35">
      <c r="A260">
        <v>3402</v>
      </c>
      <c r="B260" t="s">
        <v>259</v>
      </c>
      <c r="C260">
        <v>2020</v>
      </c>
      <c r="D260" s="1">
        <v>43831</v>
      </c>
      <c r="E260">
        <v>39</v>
      </c>
      <c r="F260">
        <v>200076904</v>
      </c>
      <c r="G260" t="s">
        <v>120</v>
      </c>
      <c r="H260">
        <v>81</v>
      </c>
      <c r="I260">
        <v>71104010</v>
      </c>
      <c r="J260">
        <v>21021040</v>
      </c>
      <c r="K260" t="s">
        <v>121</v>
      </c>
      <c r="L260">
        <v>1024.03</v>
      </c>
      <c r="M260" t="s">
        <v>31</v>
      </c>
      <c r="N260">
        <v>1024.03</v>
      </c>
      <c r="O260" t="s">
        <v>31</v>
      </c>
      <c r="R260" t="s">
        <v>133</v>
      </c>
      <c r="S260" t="s">
        <v>1131</v>
      </c>
      <c r="T260">
        <v>107211</v>
      </c>
      <c r="U260" t="s">
        <v>123</v>
      </c>
      <c r="X260" t="s">
        <v>259</v>
      </c>
      <c r="Y260" s="8">
        <v>4501226797</v>
      </c>
      <c r="Z260">
        <v>20200125</v>
      </c>
      <c r="AA260">
        <v>1024.03</v>
      </c>
      <c r="AB260">
        <v>163.84479999999999</v>
      </c>
      <c r="AC260">
        <v>1187.8748000000001</v>
      </c>
      <c r="AD260">
        <v>200127172</v>
      </c>
      <c r="AE260" t="s">
        <v>674</v>
      </c>
      <c r="AF260" s="4">
        <v>1187.8748000000001</v>
      </c>
      <c r="AG260" t="s">
        <v>1146</v>
      </c>
      <c r="AH260" t="s">
        <v>1123</v>
      </c>
      <c r="AJ260" t="s">
        <v>1148</v>
      </c>
      <c r="AK260" t="s">
        <v>1129</v>
      </c>
      <c r="AL260">
        <v>340255290</v>
      </c>
      <c r="AM260" t="s">
        <v>135</v>
      </c>
    </row>
    <row r="261" spans="1:39" x14ac:dyDescent="0.35">
      <c r="A261">
        <v>3402</v>
      </c>
      <c r="B261" t="s">
        <v>259</v>
      </c>
      <c r="C261">
        <v>2020</v>
      </c>
      <c r="D261" s="1">
        <v>43831</v>
      </c>
      <c r="E261">
        <v>41</v>
      </c>
      <c r="F261">
        <v>200076904</v>
      </c>
      <c r="G261" t="s">
        <v>120</v>
      </c>
      <c r="H261">
        <v>81</v>
      </c>
      <c r="I261">
        <v>71104010</v>
      </c>
      <c r="J261">
        <v>21021040</v>
      </c>
      <c r="K261" t="s">
        <v>121</v>
      </c>
      <c r="L261">
        <v>2048.02</v>
      </c>
      <c r="M261" t="s">
        <v>31</v>
      </c>
      <c r="N261">
        <v>2048.02</v>
      </c>
      <c r="O261" t="s">
        <v>31</v>
      </c>
      <c r="R261" t="s">
        <v>133</v>
      </c>
      <c r="S261" t="s">
        <v>1131</v>
      </c>
      <c r="T261">
        <v>107211</v>
      </c>
      <c r="U261" t="s">
        <v>123</v>
      </c>
      <c r="X261" t="s">
        <v>259</v>
      </c>
      <c r="Y261" s="8">
        <v>4501226797</v>
      </c>
      <c r="Z261">
        <v>20200125</v>
      </c>
      <c r="AA261">
        <v>2048.02</v>
      </c>
      <c r="AB261">
        <v>327.6832</v>
      </c>
      <c r="AC261">
        <v>2375.7031999999999</v>
      </c>
      <c r="AD261">
        <v>200127172</v>
      </c>
      <c r="AE261" t="s">
        <v>675</v>
      </c>
      <c r="AF261" s="4">
        <v>2375.7031999999999</v>
      </c>
      <c r="AG261" t="s">
        <v>1146</v>
      </c>
      <c r="AH261" t="s">
        <v>1123</v>
      </c>
      <c r="AJ261" t="s">
        <v>1148</v>
      </c>
      <c r="AK261" t="s">
        <v>1129</v>
      </c>
      <c r="AL261">
        <v>340255290</v>
      </c>
      <c r="AM261" t="s">
        <v>135</v>
      </c>
    </row>
    <row r="262" spans="1:39" x14ac:dyDescent="0.35">
      <c r="A262">
        <v>3402</v>
      </c>
      <c r="B262" t="s">
        <v>259</v>
      </c>
      <c r="C262">
        <v>2020</v>
      </c>
      <c r="D262" s="1">
        <v>43831</v>
      </c>
      <c r="E262">
        <v>43</v>
      </c>
      <c r="F262">
        <v>200076904</v>
      </c>
      <c r="G262" t="s">
        <v>120</v>
      </c>
      <c r="H262">
        <v>81</v>
      </c>
      <c r="I262">
        <v>71104010</v>
      </c>
      <c r="J262">
        <v>21021040</v>
      </c>
      <c r="K262" t="s">
        <v>121</v>
      </c>
      <c r="L262">
        <v>1960</v>
      </c>
      <c r="M262" t="s">
        <v>31</v>
      </c>
      <c r="N262">
        <v>1960</v>
      </c>
      <c r="O262" t="s">
        <v>31</v>
      </c>
      <c r="R262" t="s">
        <v>133</v>
      </c>
      <c r="S262" t="s">
        <v>1131</v>
      </c>
      <c r="T262">
        <v>107211</v>
      </c>
      <c r="U262" t="s">
        <v>123</v>
      </c>
      <c r="X262" t="s">
        <v>259</v>
      </c>
      <c r="Y262" s="8">
        <v>4501226797</v>
      </c>
      <c r="Z262">
        <v>20200125</v>
      </c>
      <c r="AA262">
        <v>1960</v>
      </c>
      <c r="AB262">
        <v>313.60000000000002</v>
      </c>
      <c r="AC262">
        <v>2273.6</v>
      </c>
      <c r="AD262">
        <v>200127172</v>
      </c>
      <c r="AE262" t="s">
        <v>676</v>
      </c>
      <c r="AF262" s="4">
        <v>2273.6</v>
      </c>
      <c r="AG262" t="s">
        <v>1146</v>
      </c>
      <c r="AH262" t="s">
        <v>1123</v>
      </c>
      <c r="AJ262" t="s">
        <v>1148</v>
      </c>
      <c r="AK262" t="s">
        <v>1129</v>
      </c>
      <c r="AL262">
        <v>340255290</v>
      </c>
      <c r="AM262" t="s">
        <v>135</v>
      </c>
    </row>
    <row r="263" spans="1:39" x14ac:dyDescent="0.35">
      <c r="A263">
        <v>3402</v>
      </c>
      <c r="B263" t="s">
        <v>259</v>
      </c>
      <c r="C263">
        <v>2020</v>
      </c>
      <c r="D263" s="1">
        <v>43831</v>
      </c>
      <c r="E263">
        <v>45</v>
      </c>
      <c r="F263">
        <v>200076904</v>
      </c>
      <c r="G263" t="s">
        <v>120</v>
      </c>
      <c r="H263">
        <v>81</v>
      </c>
      <c r="I263">
        <v>71104010</v>
      </c>
      <c r="J263">
        <v>21021040</v>
      </c>
      <c r="K263" t="s">
        <v>121</v>
      </c>
      <c r="L263">
        <v>3248.02</v>
      </c>
      <c r="M263" t="s">
        <v>31</v>
      </c>
      <c r="N263">
        <v>3248.02</v>
      </c>
      <c r="O263" t="s">
        <v>31</v>
      </c>
      <c r="R263" t="s">
        <v>133</v>
      </c>
      <c r="S263" t="s">
        <v>1131</v>
      </c>
      <c r="T263">
        <v>107211</v>
      </c>
      <c r="U263" t="s">
        <v>123</v>
      </c>
      <c r="X263" t="s">
        <v>259</v>
      </c>
      <c r="Y263" s="8">
        <v>4501226797</v>
      </c>
      <c r="Z263">
        <v>20200125</v>
      </c>
      <c r="AA263">
        <v>3248.02</v>
      </c>
      <c r="AB263">
        <v>519.68320000000006</v>
      </c>
      <c r="AC263">
        <v>3767.7031999999999</v>
      </c>
      <c r="AD263">
        <v>200127172</v>
      </c>
      <c r="AE263" t="s">
        <v>677</v>
      </c>
      <c r="AF263" s="4">
        <v>3767.7031999999999</v>
      </c>
      <c r="AG263" t="s">
        <v>1146</v>
      </c>
      <c r="AH263" t="s">
        <v>1123</v>
      </c>
      <c r="AJ263" t="s">
        <v>1148</v>
      </c>
      <c r="AK263" t="s">
        <v>1129</v>
      </c>
      <c r="AL263">
        <v>340255290</v>
      </c>
      <c r="AM263" t="s">
        <v>135</v>
      </c>
    </row>
    <row r="264" spans="1:39" x14ac:dyDescent="0.35">
      <c r="A264">
        <v>3402</v>
      </c>
      <c r="B264" t="s">
        <v>259</v>
      </c>
      <c r="C264">
        <v>2020</v>
      </c>
      <c r="D264" s="1">
        <v>43831</v>
      </c>
      <c r="E264">
        <v>47</v>
      </c>
      <c r="F264">
        <v>200076904</v>
      </c>
      <c r="G264" t="s">
        <v>120</v>
      </c>
      <c r="H264">
        <v>81</v>
      </c>
      <c r="I264">
        <v>71104010</v>
      </c>
      <c r="J264">
        <v>21021040</v>
      </c>
      <c r="K264" t="s">
        <v>121</v>
      </c>
      <c r="L264">
        <v>2048.02</v>
      </c>
      <c r="M264" t="s">
        <v>31</v>
      </c>
      <c r="N264">
        <v>2048.02</v>
      </c>
      <c r="O264" t="s">
        <v>31</v>
      </c>
      <c r="R264" t="s">
        <v>133</v>
      </c>
      <c r="S264" t="s">
        <v>1131</v>
      </c>
      <c r="T264">
        <v>107211</v>
      </c>
      <c r="U264" t="s">
        <v>123</v>
      </c>
      <c r="X264" t="s">
        <v>259</v>
      </c>
      <c r="Y264" s="8">
        <v>4501226797</v>
      </c>
      <c r="Z264">
        <v>20200125</v>
      </c>
      <c r="AA264">
        <v>2048.02</v>
      </c>
      <c r="AB264">
        <v>327.6832</v>
      </c>
      <c r="AC264">
        <v>2375.7031999999999</v>
      </c>
      <c r="AD264">
        <v>200127172</v>
      </c>
      <c r="AE264" t="s">
        <v>678</v>
      </c>
      <c r="AF264" s="4">
        <v>2375.7031999999999</v>
      </c>
      <c r="AG264" t="s">
        <v>1146</v>
      </c>
      <c r="AH264" t="s">
        <v>1123</v>
      </c>
      <c r="AJ264" t="s">
        <v>1148</v>
      </c>
      <c r="AK264" t="s">
        <v>1129</v>
      </c>
      <c r="AL264">
        <v>340255290</v>
      </c>
      <c r="AM264" t="s">
        <v>135</v>
      </c>
    </row>
    <row r="265" spans="1:39" x14ac:dyDescent="0.35">
      <c r="A265">
        <v>3402</v>
      </c>
      <c r="B265" t="s">
        <v>259</v>
      </c>
      <c r="C265">
        <v>2020</v>
      </c>
      <c r="D265" s="1">
        <v>43831</v>
      </c>
      <c r="E265">
        <v>49</v>
      </c>
      <c r="F265">
        <v>200076904</v>
      </c>
      <c r="G265" t="s">
        <v>120</v>
      </c>
      <c r="H265">
        <v>81</v>
      </c>
      <c r="I265">
        <v>71104010</v>
      </c>
      <c r="J265">
        <v>21021040</v>
      </c>
      <c r="K265" t="s">
        <v>121</v>
      </c>
      <c r="L265">
        <v>2760</v>
      </c>
      <c r="M265" t="s">
        <v>31</v>
      </c>
      <c r="N265">
        <v>2760</v>
      </c>
      <c r="O265" t="s">
        <v>31</v>
      </c>
      <c r="R265" t="s">
        <v>133</v>
      </c>
      <c r="S265" t="s">
        <v>1131</v>
      </c>
      <c r="T265">
        <v>107211</v>
      </c>
      <c r="U265" t="s">
        <v>123</v>
      </c>
      <c r="X265" t="s">
        <v>259</v>
      </c>
      <c r="Y265" s="8">
        <v>4501226797</v>
      </c>
      <c r="Z265">
        <v>20200125</v>
      </c>
      <c r="AA265">
        <v>2760</v>
      </c>
      <c r="AB265">
        <v>441.6</v>
      </c>
      <c r="AC265">
        <v>3201.6</v>
      </c>
      <c r="AD265">
        <v>200127172</v>
      </c>
      <c r="AE265" t="s">
        <v>679</v>
      </c>
      <c r="AF265" s="4">
        <v>3201.6</v>
      </c>
      <c r="AG265" t="s">
        <v>1146</v>
      </c>
      <c r="AH265" t="s">
        <v>1123</v>
      </c>
      <c r="AJ265" t="s">
        <v>1148</v>
      </c>
      <c r="AK265" t="s">
        <v>1129</v>
      </c>
      <c r="AL265">
        <v>340255290</v>
      </c>
      <c r="AM265" t="s">
        <v>135</v>
      </c>
    </row>
    <row r="266" spans="1:39" x14ac:dyDescent="0.35">
      <c r="A266">
        <v>3402</v>
      </c>
      <c r="B266" t="s">
        <v>259</v>
      </c>
      <c r="C266">
        <v>2020</v>
      </c>
      <c r="D266" s="1">
        <v>43831</v>
      </c>
      <c r="E266">
        <v>1</v>
      </c>
      <c r="F266">
        <v>200076905</v>
      </c>
      <c r="G266" t="s">
        <v>120</v>
      </c>
      <c r="H266">
        <v>81</v>
      </c>
      <c r="I266">
        <v>71104010</v>
      </c>
      <c r="J266">
        <v>21021040</v>
      </c>
      <c r="K266" t="s">
        <v>121</v>
      </c>
      <c r="L266">
        <v>304</v>
      </c>
      <c r="M266" t="s">
        <v>31</v>
      </c>
      <c r="N266">
        <v>304</v>
      </c>
      <c r="O266" t="s">
        <v>31</v>
      </c>
      <c r="R266" t="s">
        <v>133</v>
      </c>
      <c r="S266" t="s">
        <v>1131</v>
      </c>
      <c r="T266">
        <v>107211</v>
      </c>
      <c r="U266" t="s">
        <v>123</v>
      </c>
      <c r="X266" t="s">
        <v>259</v>
      </c>
      <c r="Y266" s="8">
        <v>4501226797</v>
      </c>
      <c r="Z266">
        <v>20200125</v>
      </c>
      <c r="AA266">
        <v>304</v>
      </c>
      <c r="AB266">
        <v>48.64</v>
      </c>
      <c r="AC266">
        <v>352.64</v>
      </c>
      <c r="AD266">
        <v>200127172</v>
      </c>
      <c r="AE266" t="s">
        <v>680</v>
      </c>
      <c r="AF266" s="4">
        <v>352.64</v>
      </c>
      <c r="AG266" t="s">
        <v>1146</v>
      </c>
      <c r="AH266" t="s">
        <v>1123</v>
      </c>
      <c r="AJ266" t="s">
        <v>1148</v>
      </c>
      <c r="AK266" t="s">
        <v>1129</v>
      </c>
      <c r="AL266">
        <v>340255290</v>
      </c>
      <c r="AM266" t="s">
        <v>135</v>
      </c>
    </row>
    <row r="267" spans="1:39" x14ac:dyDescent="0.35">
      <c r="A267">
        <v>3402</v>
      </c>
      <c r="B267" t="s">
        <v>259</v>
      </c>
      <c r="C267">
        <v>2020</v>
      </c>
      <c r="D267" s="1">
        <v>43831</v>
      </c>
      <c r="E267">
        <v>3</v>
      </c>
      <c r="F267">
        <v>200076905</v>
      </c>
      <c r="G267" t="s">
        <v>120</v>
      </c>
      <c r="H267">
        <v>81</v>
      </c>
      <c r="I267">
        <v>71104010</v>
      </c>
      <c r="J267">
        <v>21021040</v>
      </c>
      <c r="K267" t="s">
        <v>121</v>
      </c>
      <c r="L267">
        <v>0.04</v>
      </c>
      <c r="M267" t="s">
        <v>31</v>
      </c>
      <c r="N267">
        <v>0.04</v>
      </c>
      <c r="O267" t="s">
        <v>31</v>
      </c>
      <c r="R267" t="s">
        <v>133</v>
      </c>
      <c r="S267" t="s">
        <v>1131</v>
      </c>
      <c r="T267">
        <v>107211</v>
      </c>
      <c r="U267" t="s">
        <v>123</v>
      </c>
      <c r="X267" t="s">
        <v>259</v>
      </c>
      <c r="Y267" s="8">
        <v>4501226797</v>
      </c>
      <c r="Z267">
        <v>20200125</v>
      </c>
      <c r="AA267">
        <v>0.04</v>
      </c>
      <c r="AB267">
        <v>6.4000000000000003E-3</v>
      </c>
      <c r="AC267">
        <v>4.6400000000000004E-2</v>
      </c>
      <c r="AD267">
        <v>200127172</v>
      </c>
      <c r="AE267" t="s">
        <v>681</v>
      </c>
      <c r="AF267" s="4">
        <v>4.6400000000000004E-2</v>
      </c>
      <c r="AG267" t="s">
        <v>1146</v>
      </c>
      <c r="AH267" t="s">
        <v>1123</v>
      </c>
      <c r="AJ267" t="s">
        <v>1148</v>
      </c>
      <c r="AK267" t="s">
        <v>1129</v>
      </c>
      <c r="AL267">
        <v>340255290</v>
      </c>
      <c r="AM267" t="s">
        <v>135</v>
      </c>
    </row>
    <row r="268" spans="1:39" x14ac:dyDescent="0.35">
      <c r="A268">
        <v>3402</v>
      </c>
      <c r="B268" t="s">
        <v>259</v>
      </c>
      <c r="C268">
        <v>2020</v>
      </c>
      <c r="D268" s="1">
        <v>43831</v>
      </c>
      <c r="E268">
        <v>5</v>
      </c>
      <c r="F268">
        <v>200076905</v>
      </c>
      <c r="G268" t="s">
        <v>120</v>
      </c>
      <c r="H268">
        <v>81</v>
      </c>
      <c r="I268">
        <v>71104010</v>
      </c>
      <c r="J268">
        <v>21021040</v>
      </c>
      <c r="K268" t="s">
        <v>121</v>
      </c>
      <c r="L268">
        <v>0.04</v>
      </c>
      <c r="M268" t="s">
        <v>31</v>
      </c>
      <c r="N268">
        <v>0.04</v>
      </c>
      <c r="O268" t="s">
        <v>31</v>
      </c>
      <c r="R268" t="s">
        <v>133</v>
      </c>
      <c r="S268" t="s">
        <v>1131</v>
      </c>
      <c r="T268">
        <v>107211</v>
      </c>
      <c r="U268" t="s">
        <v>123</v>
      </c>
      <c r="X268" t="s">
        <v>259</v>
      </c>
      <c r="Y268" s="8">
        <v>4501226797</v>
      </c>
      <c r="Z268">
        <v>20200125</v>
      </c>
      <c r="AA268">
        <v>0.04</v>
      </c>
      <c r="AB268">
        <v>6.4000000000000003E-3</v>
      </c>
      <c r="AC268">
        <v>4.6400000000000004E-2</v>
      </c>
      <c r="AD268">
        <v>200127172</v>
      </c>
      <c r="AE268" t="s">
        <v>682</v>
      </c>
      <c r="AF268" s="4">
        <v>4.6400000000000004E-2</v>
      </c>
      <c r="AG268" t="s">
        <v>1146</v>
      </c>
      <c r="AH268" t="s">
        <v>1123</v>
      </c>
      <c r="AJ268" t="s">
        <v>1148</v>
      </c>
      <c r="AK268" t="s">
        <v>1129</v>
      </c>
      <c r="AL268">
        <v>340255290</v>
      </c>
      <c r="AM268" t="s">
        <v>135</v>
      </c>
    </row>
    <row r="269" spans="1:39" x14ac:dyDescent="0.35">
      <c r="A269">
        <v>3402</v>
      </c>
      <c r="B269" t="s">
        <v>259</v>
      </c>
      <c r="C269">
        <v>2020</v>
      </c>
      <c r="D269" s="1">
        <v>43831</v>
      </c>
      <c r="E269">
        <v>7</v>
      </c>
      <c r="F269">
        <v>200076905</v>
      </c>
      <c r="G269" t="s">
        <v>120</v>
      </c>
      <c r="H269">
        <v>81</v>
      </c>
      <c r="I269">
        <v>71104010</v>
      </c>
      <c r="J269">
        <v>21021040</v>
      </c>
      <c r="K269" t="s">
        <v>121</v>
      </c>
      <c r="L269">
        <v>304</v>
      </c>
      <c r="M269" t="s">
        <v>31</v>
      </c>
      <c r="N269">
        <v>304</v>
      </c>
      <c r="O269" t="s">
        <v>31</v>
      </c>
      <c r="R269" t="s">
        <v>133</v>
      </c>
      <c r="S269" t="s">
        <v>1131</v>
      </c>
      <c r="T269">
        <v>107211</v>
      </c>
      <c r="U269" t="s">
        <v>123</v>
      </c>
      <c r="X269" t="s">
        <v>259</v>
      </c>
      <c r="Y269" s="8">
        <v>4501226797</v>
      </c>
      <c r="Z269">
        <v>20200125</v>
      </c>
      <c r="AA269">
        <v>304</v>
      </c>
      <c r="AB269">
        <v>48.64</v>
      </c>
      <c r="AC269">
        <v>352.64</v>
      </c>
      <c r="AD269">
        <v>200127172</v>
      </c>
      <c r="AE269" t="s">
        <v>683</v>
      </c>
      <c r="AF269" s="4">
        <v>352.64</v>
      </c>
      <c r="AG269" t="s">
        <v>1146</v>
      </c>
      <c r="AH269" t="s">
        <v>1123</v>
      </c>
      <c r="AJ269" t="s">
        <v>1148</v>
      </c>
      <c r="AK269" t="s">
        <v>1129</v>
      </c>
      <c r="AL269">
        <v>340255290</v>
      </c>
      <c r="AM269" t="s">
        <v>135</v>
      </c>
    </row>
    <row r="270" spans="1:39" x14ac:dyDescent="0.35">
      <c r="A270">
        <v>3402</v>
      </c>
      <c r="B270" t="s">
        <v>259</v>
      </c>
      <c r="C270">
        <v>2020</v>
      </c>
      <c r="D270" s="1">
        <v>43831</v>
      </c>
      <c r="E270">
        <v>9</v>
      </c>
      <c r="F270">
        <v>200076905</v>
      </c>
      <c r="G270" t="s">
        <v>120</v>
      </c>
      <c r="H270">
        <v>81</v>
      </c>
      <c r="I270">
        <v>71104010</v>
      </c>
      <c r="J270">
        <v>21021040</v>
      </c>
      <c r="K270" t="s">
        <v>121</v>
      </c>
      <c r="L270">
        <v>0.04</v>
      </c>
      <c r="M270" t="s">
        <v>31</v>
      </c>
      <c r="N270">
        <v>0.04</v>
      </c>
      <c r="O270" t="s">
        <v>31</v>
      </c>
      <c r="R270" t="s">
        <v>133</v>
      </c>
      <c r="S270" t="s">
        <v>1131</v>
      </c>
      <c r="T270">
        <v>107211</v>
      </c>
      <c r="U270" t="s">
        <v>123</v>
      </c>
      <c r="X270" t="s">
        <v>259</v>
      </c>
      <c r="Y270" s="8">
        <v>4501226797</v>
      </c>
      <c r="Z270">
        <v>20200125</v>
      </c>
      <c r="AA270">
        <v>0.04</v>
      </c>
      <c r="AB270">
        <v>6.4000000000000003E-3</v>
      </c>
      <c r="AC270">
        <v>4.6400000000000004E-2</v>
      </c>
      <c r="AD270">
        <v>200127172</v>
      </c>
      <c r="AE270" t="s">
        <v>684</v>
      </c>
      <c r="AF270" s="4">
        <v>4.6400000000000004E-2</v>
      </c>
      <c r="AG270" t="s">
        <v>1146</v>
      </c>
      <c r="AH270" t="s">
        <v>1123</v>
      </c>
      <c r="AJ270" t="s">
        <v>1148</v>
      </c>
      <c r="AK270" t="s">
        <v>1129</v>
      </c>
      <c r="AL270">
        <v>340255290</v>
      </c>
      <c r="AM270" t="s">
        <v>135</v>
      </c>
    </row>
    <row r="271" spans="1:39" x14ac:dyDescent="0.35">
      <c r="A271">
        <v>3402</v>
      </c>
      <c r="B271" t="s">
        <v>259</v>
      </c>
      <c r="C271">
        <v>2020</v>
      </c>
      <c r="D271" s="1">
        <v>43831</v>
      </c>
      <c r="E271">
        <v>11</v>
      </c>
      <c r="F271">
        <v>200076905</v>
      </c>
      <c r="G271" t="s">
        <v>120</v>
      </c>
      <c r="H271">
        <v>81</v>
      </c>
      <c r="I271">
        <v>71104010</v>
      </c>
      <c r="J271">
        <v>21021040</v>
      </c>
      <c r="K271" t="s">
        <v>121</v>
      </c>
      <c r="L271">
        <v>0.04</v>
      </c>
      <c r="M271" t="s">
        <v>31</v>
      </c>
      <c r="N271">
        <v>0.04</v>
      </c>
      <c r="O271" t="s">
        <v>31</v>
      </c>
      <c r="R271" t="s">
        <v>133</v>
      </c>
      <c r="S271" t="s">
        <v>1131</v>
      </c>
      <c r="T271">
        <v>107211</v>
      </c>
      <c r="U271" t="s">
        <v>123</v>
      </c>
      <c r="X271" t="s">
        <v>259</v>
      </c>
      <c r="Y271" s="8">
        <v>4501226797</v>
      </c>
      <c r="Z271">
        <v>20200125</v>
      </c>
      <c r="AA271">
        <v>0.04</v>
      </c>
      <c r="AB271">
        <v>6.4000000000000003E-3</v>
      </c>
      <c r="AC271">
        <v>4.6400000000000004E-2</v>
      </c>
      <c r="AD271">
        <v>200127172</v>
      </c>
      <c r="AE271" t="s">
        <v>685</v>
      </c>
      <c r="AF271" s="4">
        <v>4.6400000000000004E-2</v>
      </c>
      <c r="AG271" t="s">
        <v>1146</v>
      </c>
      <c r="AH271" t="s">
        <v>1123</v>
      </c>
      <c r="AJ271" t="s">
        <v>1148</v>
      </c>
      <c r="AK271" t="s">
        <v>1129</v>
      </c>
      <c r="AL271">
        <v>340255290</v>
      </c>
      <c r="AM271" t="s">
        <v>135</v>
      </c>
    </row>
    <row r="272" spans="1:39" x14ac:dyDescent="0.35">
      <c r="A272">
        <v>3402</v>
      </c>
      <c r="B272" t="s">
        <v>259</v>
      </c>
      <c r="C272">
        <v>2020</v>
      </c>
      <c r="D272" s="1">
        <v>43831</v>
      </c>
      <c r="E272">
        <v>13</v>
      </c>
      <c r="F272">
        <v>200076905</v>
      </c>
      <c r="G272" t="s">
        <v>120</v>
      </c>
      <c r="H272">
        <v>81</v>
      </c>
      <c r="I272">
        <v>71104010</v>
      </c>
      <c r="J272">
        <v>21021040</v>
      </c>
      <c r="K272" t="s">
        <v>121</v>
      </c>
      <c r="L272">
        <v>304</v>
      </c>
      <c r="M272" t="s">
        <v>31</v>
      </c>
      <c r="N272">
        <v>304</v>
      </c>
      <c r="O272" t="s">
        <v>31</v>
      </c>
      <c r="R272" t="s">
        <v>133</v>
      </c>
      <c r="S272" t="s">
        <v>1131</v>
      </c>
      <c r="T272">
        <v>107211</v>
      </c>
      <c r="U272" t="s">
        <v>123</v>
      </c>
      <c r="X272" t="s">
        <v>259</v>
      </c>
      <c r="Y272" s="8">
        <v>4501226797</v>
      </c>
      <c r="Z272">
        <v>20200125</v>
      </c>
      <c r="AA272">
        <v>304</v>
      </c>
      <c r="AB272">
        <v>48.64</v>
      </c>
      <c r="AC272">
        <v>352.64</v>
      </c>
      <c r="AD272">
        <v>200127172</v>
      </c>
      <c r="AE272" t="s">
        <v>686</v>
      </c>
      <c r="AF272" s="4">
        <v>352.64</v>
      </c>
      <c r="AG272" t="s">
        <v>1146</v>
      </c>
      <c r="AH272" t="s">
        <v>1123</v>
      </c>
      <c r="AJ272" t="s">
        <v>1148</v>
      </c>
      <c r="AK272" t="s">
        <v>1129</v>
      </c>
      <c r="AL272">
        <v>340255290</v>
      </c>
      <c r="AM272" t="s">
        <v>135</v>
      </c>
    </row>
    <row r="273" spans="1:39" x14ac:dyDescent="0.35">
      <c r="A273">
        <v>3402</v>
      </c>
      <c r="B273" t="s">
        <v>259</v>
      </c>
      <c r="C273">
        <v>2020</v>
      </c>
      <c r="D273" s="1">
        <v>43831</v>
      </c>
      <c r="E273">
        <v>15</v>
      </c>
      <c r="F273">
        <v>200076905</v>
      </c>
      <c r="G273" t="s">
        <v>120</v>
      </c>
      <c r="H273">
        <v>81</v>
      </c>
      <c r="I273">
        <v>71104010</v>
      </c>
      <c r="J273">
        <v>21021040</v>
      </c>
      <c r="K273" t="s">
        <v>121</v>
      </c>
      <c r="L273">
        <v>0.04</v>
      </c>
      <c r="M273" t="s">
        <v>31</v>
      </c>
      <c r="N273">
        <v>0.04</v>
      </c>
      <c r="O273" t="s">
        <v>31</v>
      </c>
      <c r="R273" t="s">
        <v>133</v>
      </c>
      <c r="S273" t="s">
        <v>1131</v>
      </c>
      <c r="T273">
        <v>107211</v>
      </c>
      <c r="U273" t="s">
        <v>123</v>
      </c>
      <c r="X273" t="s">
        <v>259</v>
      </c>
      <c r="Y273" s="8">
        <v>4501226797</v>
      </c>
      <c r="Z273">
        <v>20200125</v>
      </c>
      <c r="AA273">
        <v>0.04</v>
      </c>
      <c r="AB273">
        <v>6.4000000000000003E-3</v>
      </c>
      <c r="AC273">
        <v>4.6400000000000004E-2</v>
      </c>
      <c r="AD273">
        <v>200127172</v>
      </c>
      <c r="AE273" t="s">
        <v>687</v>
      </c>
      <c r="AF273" s="4">
        <v>4.6400000000000004E-2</v>
      </c>
      <c r="AG273" t="s">
        <v>1146</v>
      </c>
      <c r="AH273" t="s">
        <v>1123</v>
      </c>
      <c r="AJ273" t="s">
        <v>1148</v>
      </c>
      <c r="AK273" t="s">
        <v>1129</v>
      </c>
      <c r="AL273">
        <v>340255290</v>
      </c>
      <c r="AM273" t="s">
        <v>135</v>
      </c>
    </row>
    <row r="274" spans="1:39" x14ac:dyDescent="0.35">
      <c r="A274">
        <v>3402</v>
      </c>
      <c r="B274" t="s">
        <v>259</v>
      </c>
      <c r="C274">
        <v>2020</v>
      </c>
      <c r="D274" s="1">
        <v>43831</v>
      </c>
      <c r="E274">
        <v>17</v>
      </c>
      <c r="F274">
        <v>200076905</v>
      </c>
      <c r="G274" t="s">
        <v>120</v>
      </c>
      <c r="H274">
        <v>81</v>
      </c>
      <c r="I274">
        <v>71104010</v>
      </c>
      <c r="J274">
        <v>21021040</v>
      </c>
      <c r="K274" t="s">
        <v>121</v>
      </c>
      <c r="L274">
        <v>0.04</v>
      </c>
      <c r="M274" t="s">
        <v>31</v>
      </c>
      <c r="N274">
        <v>0.04</v>
      </c>
      <c r="O274" t="s">
        <v>31</v>
      </c>
      <c r="R274" t="s">
        <v>133</v>
      </c>
      <c r="S274" t="s">
        <v>1131</v>
      </c>
      <c r="T274">
        <v>107211</v>
      </c>
      <c r="U274" t="s">
        <v>123</v>
      </c>
      <c r="X274" t="s">
        <v>259</v>
      </c>
      <c r="Y274" s="8">
        <v>4501226797</v>
      </c>
      <c r="Z274">
        <v>20200125</v>
      </c>
      <c r="AA274">
        <v>0.04</v>
      </c>
      <c r="AB274">
        <v>6.4000000000000003E-3</v>
      </c>
      <c r="AC274">
        <v>4.6400000000000004E-2</v>
      </c>
      <c r="AD274">
        <v>200127172</v>
      </c>
      <c r="AE274" t="s">
        <v>688</v>
      </c>
      <c r="AF274" s="4">
        <v>4.6400000000000004E-2</v>
      </c>
      <c r="AG274" t="s">
        <v>1146</v>
      </c>
      <c r="AH274" t="s">
        <v>1123</v>
      </c>
      <c r="AJ274" t="s">
        <v>1148</v>
      </c>
      <c r="AK274" t="s">
        <v>1129</v>
      </c>
      <c r="AL274">
        <v>340255290</v>
      </c>
      <c r="AM274" t="s">
        <v>135</v>
      </c>
    </row>
    <row r="275" spans="1:39" x14ac:dyDescent="0.35">
      <c r="A275">
        <v>3402</v>
      </c>
      <c r="B275" t="s">
        <v>259</v>
      </c>
      <c r="C275">
        <v>2020</v>
      </c>
      <c r="D275" s="1">
        <v>43831</v>
      </c>
      <c r="E275">
        <v>19</v>
      </c>
      <c r="F275">
        <v>200076905</v>
      </c>
      <c r="G275" t="s">
        <v>120</v>
      </c>
      <c r="H275">
        <v>81</v>
      </c>
      <c r="I275">
        <v>71104010</v>
      </c>
      <c r="J275">
        <v>21021040</v>
      </c>
      <c r="K275" t="s">
        <v>121</v>
      </c>
      <c r="L275">
        <v>304</v>
      </c>
      <c r="M275" t="s">
        <v>31</v>
      </c>
      <c r="N275">
        <v>304</v>
      </c>
      <c r="O275" t="s">
        <v>31</v>
      </c>
      <c r="R275" t="s">
        <v>133</v>
      </c>
      <c r="S275" t="s">
        <v>1131</v>
      </c>
      <c r="T275">
        <v>107211</v>
      </c>
      <c r="U275" t="s">
        <v>123</v>
      </c>
      <c r="X275" t="s">
        <v>259</v>
      </c>
      <c r="Y275" s="8">
        <v>4501226797</v>
      </c>
      <c r="Z275">
        <v>20200125</v>
      </c>
      <c r="AA275">
        <v>304</v>
      </c>
      <c r="AB275">
        <v>48.64</v>
      </c>
      <c r="AC275">
        <v>352.64</v>
      </c>
      <c r="AD275">
        <v>200127172</v>
      </c>
      <c r="AE275" t="s">
        <v>689</v>
      </c>
      <c r="AF275" s="4">
        <v>352.64</v>
      </c>
      <c r="AG275" t="s">
        <v>1146</v>
      </c>
      <c r="AH275" t="s">
        <v>1123</v>
      </c>
      <c r="AJ275" t="s">
        <v>1148</v>
      </c>
      <c r="AK275" t="s">
        <v>1129</v>
      </c>
      <c r="AL275">
        <v>340255290</v>
      </c>
      <c r="AM275" t="s">
        <v>135</v>
      </c>
    </row>
    <row r="276" spans="1:39" x14ac:dyDescent="0.35">
      <c r="A276">
        <v>3402</v>
      </c>
      <c r="B276" t="s">
        <v>259</v>
      </c>
      <c r="C276">
        <v>2020</v>
      </c>
      <c r="D276" s="1">
        <v>43831</v>
      </c>
      <c r="E276">
        <v>21</v>
      </c>
      <c r="F276">
        <v>200076905</v>
      </c>
      <c r="G276" t="s">
        <v>120</v>
      </c>
      <c r="H276">
        <v>81</v>
      </c>
      <c r="I276">
        <v>71104010</v>
      </c>
      <c r="J276">
        <v>21021040</v>
      </c>
      <c r="K276" t="s">
        <v>121</v>
      </c>
      <c r="L276">
        <v>0.04</v>
      </c>
      <c r="M276" t="s">
        <v>31</v>
      </c>
      <c r="N276">
        <v>0.04</v>
      </c>
      <c r="O276" t="s">
        <v>31</v>
      </c>
      <c r="R276" t="s">
        <v>133</v>
      </c>
      <c r="S276" t="s">
        <v>1131</v>
      </c>
      <c r="T276">
        <v>107211</v>
      </c>
      <c r="U276" t="s">
        <v>123</v>
      </c>
      <c r="X276" t="s">
        <v>259</v>
      </c>
      <c r="Y276" s="8">
        <v>4501226797</v>
      </c>
      <c r="Z276">
        <v>20200125</v>
      </c>
      <c r="AA276">
        <v>0.04</v>
      </c>
      <c r="AB276">
        <v>6.4000000000000003E-3</v>
      </c>
      <c r="AC276">
        <v>4.6400000000000004E-2</v>
      </c>
      <c r="AD276">
        <v>200127172</v>
      </c>
      <c r="AE276" t="s">
        <v>690</v>
      </c>
      <c r="AF276" s="4">
        <v>4.6400000000000004E-2</v>
      </c>
      <c r="AG276" t="s">
        <v>1146</v>
      </c>
      <c r="AH276" t="s">
        <v>1123</v>
      </c>
      <c r="AJ276" t="s">
        <v>1148</v>
      </c>
      <c r="AK276" t="s">
        <v>1129</v>
      </c>
      <c r="AL276">
        <v>340255290</v>
      </c>
      <c r="AM276" t="s">
        <v>135</v>
      </c>
    </row>
    <row r="277" spans="1:39" x14ac:dyDescent="0.35">
      <c r="A277">
        <v>3402</v>
      </c>
      <c r="B277" t="s">
        <v>259</v>
      </c>
      <c r="C277">
        <v>2020</v>
      </c>
      <c r="D277" s="1">
        <v>43831</v>
      </c>
      <c r="E277">
        <v>23</v>
      </c>
      <c r="F277">
        <v>200076905</v>
      </c>
      <c r="G277" t="s">
        <v>120</v>
      </c>
      <c r="H277">
        <v>81</v>
      </c>
      <c r="I277">
        <v>71104010</v>
      </c>
      <c r="J277">
        <v>21021040</v>
      </c>
      <c r="K277" t="s">
        <v>121</v>
      </c>
      <c r="L277">
        <v>0.04</v>
      </c>
      <c r="M277" t="s">
        <v>31</v>
      </c>
      <c r="N277">
        <v>0.04</v>
      </c>
      <c r="O277" t="s">
        <v>31</v>
      </c>
      <c r="R277" t="s">
        <v>133</v>
      </c>
      <c r="S277" t="s">
        <v>1131</v>
      </c>
      <c r="T277">
        <v>107211</v>
      </c>
      <c r="U277" t="s">
        <v>123</v>
      </c>
      <c r="X277" t="s">
        <v>259</v>
      </c>
      <c r="Y277" s="8">
        <v>4501226797</v>
      </c>
      <c r="Z277">
        <v>20200125</v>
      </c>
      <c r="AA277">
        <v>0.04</v>
      </c>
      <c r="AB277">
        <v>6.4000000000000003E-3</v>
      </c>
      <c r="AC277">
        <v>4.6400000000000004E-2</v>
      </c>
      <c r="AD277">
        <v>200127172</v>
      </c>
      <c r="AE277" t="s">
        <v>691</v>
      </c>
      <c r="AF277" s="4">
        <v>4.6400000000000004E-2</v>
      </c>
      <c r="AG277" t="s">
        <v>1146</v>
      </c>
      <c r="AH277" t="s">
        <v>1123</v>
      </c>
      <c r="AJ277" t="s">
        <v>1148</v>
      </c>
      <c r="AK277" t="s">
        <v>1129</v>
      </c>
      <c r="AL277">
        <v>340255290</v>
      </c>
      <c r="AM277" t="s">
        <v>135</v>
      </c>
    </row>
    <row r="278" spans="1:39" x14ac:dyDescent="0.35">
      <c r="A278">
        <v>3402</v>
      </c>
      <c r="B278" t="s">
        <v>259</v>
      </c>
      <c r="C278">
        <v>2020</v>
      </c>
      <c r="D278" s="1">
        <v>43831</v>
      </c>
      <c r="E278">
        <v>25</v>
      </c>
      <c r="F278">
        <v>200076905</v>
      </c>
      <c r="G278" t="s">
        <v>120</v>
      </c>
      <c r="H278">
        <v>81</v>
      </c>
      <c r="I278">
        <v>71104010</v>
      </c>
      <c r="J278">
        <v>21021040</v>
      </c>
      <c r="K278" t="s">
        <v>121</v>
      </c>
      <c r="L278">
        <v>0.04</v>
      </c>
      <c r="M278" t="s">
        <v>31</v>
      </c>
      <c r="N278">
        <v>0.04</v>
      </c>
      <c r="O278" t="s">
        <v>31</v>
      </c>
      <c r="R278" t="s">
        <v>133</v>
      </c>
      <c r="S278" t="s">
        <v>1131</v>
      </c>
      <c r="T278">
        <v>107211</v>
      </c>
      <c r="U278" t="s">
        <v>123</v>
      </c>
      <c r="X278" t="s">
        <v>259</v>
      </c>
      <c r="Y278" s="8">
        <v>4501226797</v>
      </c>
      <c r="Z278">
        <v>20200125</v>
      </c>
      <c r="AA278">
        <v>0.04</v>
      </c>
      <c r="AB278">
        <v>6.4000000000000003E-3</v>
      </c>
      <c r="AC278">
        <v>4.6400000000000004E-2</v>
      </c>
      <c r="AD278">
        <v>200127172</v>
      </c>
      <c r="AE278" t="s">
        <v>692</v>
      </c>
      <c r="AF278" s="4">
        <v>4.6400000000000004E-2</v>
      </c>
      <c r="AG278" t="s">
        <v>1146</v>
      </c>
      <c r="AH278" t="s">
        <v>1123</v>
      </c>
      <c r="AJ278" t="s">
        <v>1148</v>
      </c>
      <c r="AK278" t="s">
        <v>1129</v>
      </c>
      <c r="AL278">
        <v>340255290</v>
      </c>
      <c r="AM278" t="s">
        <v>135</v>
      </c>
    </row>
    <row r="279" spans="1:39" x14ac:dyDescent="0.35">
      <c r="A279">
        <v>3402</v>
      </c>
      <c r="B279" t="s">
        <v>259</v>
      </c>
      <c r="C279">
        <v>2020</v>
      </c>
      <c r="D279" s="1">
        <v>43831</v>
      </c>
      <c r="E279">
        <v>27</v>
      </c>
      <c r="F279">
        <v>200076905</v>
      </c>
      <c r="G279" t="s">
        <v>120</v>
      </c>
      <c r="H279">
        <v>81</v>
      </c>
      <c r="I279">
        <v>71104010</v>
      </c>
      <c r="J279">
        <v>21021040</v>
      </c>
      <c r="K279" t="s">
        <v>121</v>
      </c>
      <c r="L279">
        <v>304</v>
      </c>
      <c r="M279" t="s">
        <v>31</v>
      </c>
      <c r="N279">
        <v>304</v>
      </c>
      <c r="O279" t="s">
        <v>31</v>
      </c>
      <c r="R279" t="s">
        <v>133</v>
      </c>
      <c r="S279" t="s">
        <v>1131</v>
      </c>
      <c r="T279">
        <v>107211</v>
      </c>
      <c r="U279" t="s">
        <v>123</v>
      </c>
      <c r="X279" t="s">
        <v>259</v>
      </c>
      <c r="Y279" s="8">
        <v>4501226797</v>
      </c>
      <c r="Z279">
        <v>20200125</v>
      </c>
      <c r="AA279">
        <v>304</v>
      </c>
      <c r="AB279">
        <v>48.64</v>
      </c>
      <c r="AC279">
        <v>352.64</v>
      </c>
      <c r="AD279">
        <v>200127172</v>
      </c>
      <c r="AE279" t="s">
        <v>693</v>
      </c>
      <c r="AF279" s="4">
        <v>352.64</v>
      </c>
      <c r="AG279" t="s">
        <v>1146</v>
      </c>
      <c r="AH279" t="s">
        <v>1123</v>
      </c>
      <c r="AJ279" t="s">
        <v>1148</v>
      </c>
      <c r="AK279" t="s">
        <v>1129</v>
      </c>
      <c r="AL279">
        <v>340255290</v>
      </c>
      <c r="AM279" t="s">
        <v>135</v>
      </c>
    </row>
    <row r="280" spans="1:39" x14ac:dyDescent="0.35">
      <c r="A280">
        <v>3402</v>
      </c>
      <c r="B280" t="s">
        <v>259</v>
      </c>
      <c r="C280">
        <v>2020</v>
      </c>
      <c r="D280" s="1">
        <v>43831</v>
      </c>
      <c r="E280">
        <v>29</v>
      </c>
      <c r="F280">
        <v>200076905</v>
      </c>
      <c r="G280" t="s">
        <v>120</v>
      </c>
      <c r="H280">
        <v>81</v>
      </c>
      <c r="I280">
        <v>71104010</v>
      </c>
      <c r="J280">
        <v>21021040</v>
      </c>
      <c r="K280" t="s">
        <v>121</v>
      </c>
      <c r="L280">
        <v>0.04</v>
      </c>
      <c r="M280" t="s">
        <v>31</v>
      </c>
      <c r="N280">
        <v>0.04</v>
      </c>
      <c r="O280" t="s">
        <v>31</v>
      </c>
      <c r="R280" t="s">
        <v>133</v>
      </c>
      <c r="S280" t="s">
        <v>1131</v>
      </c>
      <c r="T280">
        <v>107211</v>
      </c>
      <c r="U280" t="s">
        <v>123</v>
      </c>
      <c r="X280" t="s">
        <v>259</v>
      </c>
      <c r="Y280" s="8">
        <v>4501226797</v>
      </c>
      <c r="Z280">
        <v>20200125</v>
      </c>
      <c r="AA280">
        <v>0.04</v>
      </c>
      <c r="AB280">
        <v>6.4000000000000003E-3</v>
      </c>
      <c r="AC280">
        <v>4.6400000000000004E-2</v>
      </c>
      <c r="AD280">
        <v>200127172</v>
      </c>
      <c r="AE280" t="s">
        <v>694</v>
      </c>
      <c r="AF280" s="4">
        <v>4.6400000000000004E-2</v>
      </c>
      <c r="AG280" t="s">
        <v>1146</v>
      </c>
      <c r="AH280" t="s">
        <v>1123</v>
      </c>
      <c r="AJ280" t="s">
        <v>1148</v>
      </c>
      <c r="AK280" t="s">
        <v>1129</v>
      </c>
      <c r="AL280">
        <v>340255290</v>
      </c>
      <c r="AM280" t="s">
        <v>135</v>
      </c>
    </row>
    <row r="281" spans="1:39" x14ac:dyDescent="0.35">
      <c r="A281">
        <v>3402</v>
      </c>
      <c r="B281" t="s">
        <v>259</v>
      </c>
      <c r="C281">
        <v>2020</v>
      </c>
      <c r="D281" s="1">
        <v>43831</v>
      </c>
      <c r="E281">
        <v>31</v>
      </c>
      <c r="F281">
        <v>200076905</v>
      </c>
      <c r="G281" t="s">
        <v>120</v>
      </c>
      <c r="H281">
        <v>81</v>
      </c>
      <c r="I281">
        <v>71104010</v>
      </c>
      <c r="J281">
        <v>21021040</v>
      </c>
      <c r="K281" t="s">
        <v>121</v>
      </c>
      <c r="L281">
        <v>304</v>
      </c>
      <c r="M281" t="s">
        <v>31</v>
      </c>
      <c r="N281">
        <v>304</v>
      </c>
      <c r="O281" t="s">
        <v>31</v>
      </c>
      <c r="R281" t="s">
        <v>133</v>
      </c>
      <c r="S281" t="s">
        <v>1131</v>
      </c>
      <c r="T281">
        <v>107211</v>
      </c>
      <c r="U281" t="s">
        <v>123</v>
      </c>
      <c r="X281" t="s">
        <v>259</v>
      </c>
      <c r="Y281" s="8">
        <v>4501226797</v>
      </c>
      <c r="Z281">
        <v>20200125</v>
      </c>
      <c r="AA281">
        <v>304</v>
      </c>
      <c r="AB281">
        <v>48.64</v>
      </c>
      <c r="AC281">
        <v>352.64</v>
      </c>
      <c r="AD281">
        <v>200127172</v>
      </c>
      <c r="AE281" t="s">
        <v>695</v>
      </c>
      <c r="AF281" s="4">
        <v>352.64</v>
      </c>
      <c r="AG281" t="s">
        <v>1146</v>
      </c>
      <c r="AH281" t="s">
        <v>1123</v>
      </c>
      <c r="AJ281" t="s">
        <v>1148</v>
      </c>
      <c r="AK281" t="s">
        <v>1129</v>
      </c>
      <c r="AL281">
        <v>340255290</v>
      </c>
      <c r="AM281" t="s">
        <v>135</v>
      </c>
    </row>
    <row r="282" spans="1:39" x14ac:dyDescent="0.35">
      <c r="A282">
        <v>3402</v>
      </c>
      <c r="B282" t="s">
        <v>259</v>
      </c>
      <c r="C282">
        <v>2020</v>
      </c>
      <c r="D282" s="1">
        <v>43831</v>
      </c>
      <c r="E282">
        <v>33</v>
      </c>
      <c r="F282">
        <v>200076905</v>
      </c>
      <c r="G282" t="s">
        <v>120</v>
      </c>
      <c r="H282">
        <v>81</v>
      </c>
      <c r="I282">
        <v>71104010</v>
      </c>
      <c r="J282">
        <v>21021040</v>
      </c>
      <c r="K282" t="s">
        <v>121</v>
      </c>
      <c r="L282">
        <v>0.04</v>
      </c>
      <c r="M282" t="s">
        <v>31</v>
      </c>
      <c r="N282">
        <v>0.04</v>
      </c>
      <c r="O282" t="s">
        <v>31</v>
      </c>
      <c r="R282" t="s">
        <v>133</v>
      </c>
      <c r="S282" t="s">
        <v>1131</v>
      </c>
      <c r="T282">
        <v>107211</v>
      </c>
      <c r="U282" t="s">
        <v>123</v>
      </c>
      <c r="X282" t="s">
        <v>259</v>
      </c>
      <c r="Y282" s="8">
        <v>4501226797</v>
      </c>
      <c r="Z282">
        <v>20200125</v>
      </c>
      <c r="AA282">
        <v>0.04</v>
      </c>
      <c r="AB282">
        <v>6.4000000000000003E-3</v>
      </c>
      <c r="AC282">
        <v>4.6400000000000004E-2</v>
      </c>
      <c r="AD282">
        <v>200127172</v>
      </c>
      <c r="AE282" t="s">
        <v>696</v>
      </c>
      <c r="AF282" s="4">
        <v>4.6400000000000004E-2</v>
      </c>
      <c r="AG282" t="s">
        <v>1146</v>
      </c>
      <c r="AH282" t="s">
        <v>1123</v>
      </c>
      <c r="AJ282" t="s">
        <v>1148</v>
      </c>
      <c r="AK282" t="s">
        <v>1129</v>
      </c>
      <c r="AL282">
        <v>340255290</v>
      </c>
      <c r="AM282" t="s">
        <v>135</v>
      </c>
    </row>
    <row r="283" spans="1:39" x14ac:dyDescent="0.35">
      <c r="A283">
        <v>3402</v>
      </c>
      <c r="B283" t="s">
        <v>259</v>
      </c>
      <c r="C283">
        <v>2020</v>
      </c>
      <c r="D283" s="1">
        <v>43831</v>
      </c>
      <c r="E283">
        <v>35</v>
      </c>
      <c r="F283">
        <v>200076905</v>
      </c>
      <c r="G283" t="s">
        <v>120</v>
      </c>
      <c r="H283">
        <v>81</v>
      </c>
      <c r="I283">
        <v>71104010</v>
      </c>
      <c r="J283">
        <v>21021040</v>
      </c>
      <c r="K283" t="s">
        <v>121</v>
      </c>
      <c r="L283">
        <v>304</v>
      </c>
      <c r="M283" t="s">
        <v>31</v>
      </c>
      <c r="N283">
        <v>304</v>
      </c>
      <c r="O283" t="s">
        <v>31</v>
      </c>
      <c r="R283" t="s">
        <v>133</v>
      </c>
      <c r="S283" t="s">
        <v>1131</v>
      </c>
      <c r="T283">
        <v>107211</v>
      </c>
      <c r="U283" t="s">
        <v>123</v>
      </c>
      <c r="X283" t="s">
        <v>259</v>
      </c>
      <c r="Y283" s="8">
        <v>4501226797</v>
      </c>
      <c r="Z283">
        <v>20200125</v>
      </c>
      <c r="AA283">
        <v>304</v>
      </c>
      <c r="AB283">
        <v>48.64</v>
      </c>
      <c r="AC283">
        <v>352.64</v>
      </c>
      <c r="AD283">
        <v>200127172</v>
      </c>
      <c r="AE283" t="s">
        <v>697</v>
      </c>
      <c r="AF283" s="4">
        <v>352.64</v>
      </c>
      <c r="AG283" t="s">
        <v>1146</v>
      </c>
      <c r="AH283" t="s">
        <v>1123</v>
      </c>
      <c r="AJ283" t="s">
        <v>1148</v>
      </c>
      <c r="AK283" t="s">
        <v>1129</v>
      </c>
      <c r="AL283">
        <v>340255290</v>
      </c>
      <c r="AM283" t="s">
        <v>135</v>
      </c>
    </row>
    <row r="284" spans="1:39" x14ac:dyDescent="0.35">
      <c r="A284">
        <v>3402</v>
      </c>
      <c r="B284" t="s">
        <v>259</v>
      </c>
      <c r="C284">
        <v>2020</v>
      </c>
      <c r="D284" s="1">
        <v>43831</v>
      </c>
      <c r="E284">
        <v>37</v>
      </c>
      <c r="F284">
        <v>200076905</v>
      </c>
      <c r="G284" t="s">
        <v>120</v>
      </c>
      <c r="H284">
        <v>81</v>
      </c>
      <c r="I284">
        <v>71104010</v>
      </c>
      <c r="J284">
        <v>21021040</v>
      </c>
      <c r="K284" t="s">
        <v>121</v>
      </c>
      <c r="L284">
        <v>0.04</v>
      </c>
      <c r="M284" t="s">
        <v>31</v>
      </c>
      <c r="N284">
        <v>0.04</v>
      </c>
      <c r="O284" t="s">
        <v>31</v>
      </c>
      <c r="R284" t="s">
        <v>133</v>
      </c>
      <c r="S284" t="s">
        <v>1131</v>
      </c>
      <c r="T284">
        <v>107211</v>
      </c>
      <c r="U284" t="s">
        <v>123</v>
      </c>
      <c r="X284" t="s">
        <v>259</v>
      </c>
      <c r="Y284" s="8">
        <v>4501226797</v>
      </c>
      <c r="Z284">
        <v>20200125</v>
      </c>
      <c r="AA284">
        <v>0.04</v>
      </c>
      <c r="AB284">
        <v>6.4000000000000003E-3</v>
      </c>
      <c r="AC284">
        <v>4.6400000000000004E-2</v>
      </c>
      <c r="AD284">
        <v>200127172</v>
      </c>
      <c r="AE284" t="s">
        <v>698</v>
      </c>
      <c r="AF284" s="4">
        <v>4.6400000000000004E-2</v>
      </c>
      <c r="AG284" t="s">
        <v>1146</v>
      </c>
      <c r="AH284" t="s">
        <v>1123</v>
      </c>
      <c r="AJ284" t="s">
        <v>1148</v>
      </c>
      <c r="AK284" t="s">
        <v>1129</v>
      </c>
      <c r="AL284">
        <v>340255290</v>
      </c>
      <c r="AM284" t="s">
        <v>135</v>
      </c>
    </row>
    <row r="285" spans="1:39" x14ac:dyDescent="0.35">
      <c r="A285">
        <v>3402</v>
      </c>
      <c r="B285" t="s">
        <v>259</v>
      </c>
      <c r="C285">
        <v>2020</v>
      </c>
      <c r="D285" s="1">
        <v>43831</v>
      </c>
      <c r="E285">
        <v>39</v>
      </c>
      <c r="F285">
        <v>200076905</v>
      </c>
      <c r="G285" t="s">
        <v>120</v>
      </c>
      <c r="H285">
        <v>81</v>
      </c>
      <c r="I285">
        <v>71104010</v>
      </c>
      <c r="J285">
        <v>21021040</v>
      </c>
      <c r="K285" t="s">
        <v>121</v>
      </c>
      <c r="L285">
        <v>0.04</v>
      </c>
      <c r="M285" t="s">
        <v>31</v>
      </c>
      <c r="N285">
        <v>0.04</v>
      </c>
      <c r="O285" t="s">
        <v>31</v>
      </c>
      <c r="R285" t="s">
        <v>133</v>
      </c>
      <c r="S285" t="s">
        <v>1131</v>
      </c>
      <c r="T285">
        <v>107211</v>
      </c>
      <c r="U285" t="s">
        <v>123</v>
      </c>
      <c r="X285" t="s">
        <v>259</v>
      </c>
      <c r="Y285" s="8">
        <v>4501226797</v>
      </c>
      <c r="Z285">
        <v>20200125</v>
      </c>
      <c r="AA285">
        <v>0.04</v>
      </c>
      <c r="AB285">
        <v>6.4000000000000003E-3</v>
      </c>
      <c r="AC285">
        <v>4.6400000000000004E-2</v>
      </c>
      <c r="AD285">
        <v>200127172</v>
      </c>
      <c r="AE285" t="s">
        <v>699</v>
      </c>
      <c r="AF285" s="4">
        <v>4.6400000000000004E-2</v>
      </c>
      <c r="AG285" t="s">
        <v>1146</v>
      </c>
      <c r="AH285" t="s">
        <v>1123</v>
      </c>
      <c r="AJ285" t="s">
        <v>1148</v>
      </c>
      <c r="AK285" t="s">
        <v>1129</v>
      </c>
      <c r="AL285">
        <v>340255290</v>
      </c>
      <c r="AM285" t="s">
        <v>135</v>
      </c>
    </row>
    <row r="286" spans="1:39" x14ac:dyDescent="0.35">
      <c r="A286">
        <v>3402</v>
      </c>
      <c r="B286" t="s">
        <v>259</v>
      </c>
      <c r="C286">
        <v>2020</v>
      </c>
      <c r="D286" s="1">
        <v>43831</v>
      </c>
      <c r="E286">
        <v>41</v>
      </c>
      <c r="F286">
        <v>200076905</v>
      </c>
      <c r="G286" t="s">
        <v>120</v>
      </c>
      <c r="H286">
        <v>81</v>
      </c>
      <c r="I286">
        <v>71104010</v>
      </c>
      <c r="J286">
        <v>21021040</v>
      </c>
      <c r="K286" t="s">
        <v>121</v>
      </c>
      <c r="L286">
        <v>304</v>
      </c>
      <c r="M286" t="s">
        <v>31</v>
      </c>
      <c r="N286">
        <v>304</v>
      </c>
      <c r="O286" t="s">
        <v>31</v>
      </c>
      <c r="R286" t="s">
        <v>133</v>
      </c>
      <c r="S286" t="s">
        <v>1131</v>
      </c>
      <c r="T286">
        <v>107211</v>
      </c>
      <c r="U286" t="s">
        <v>123</v>
      </c>
      <c r="X286" t="s">
        <v>259</v>
      </c>
      <c r="Y286" s="8">
        <v>4501226797</v>
      </c>
      <c r="Z286">
        <v>20200125</v>
      </c>
      <c r="AA286">
        <v>304</v>
      </c>
      <c r="AB286">
        <v>48.64</v>
      </c>
      <c r="AC286">
        <v>352.64</v>
      </c>
      <c r="AD286">
        <v>200127172</v>
      </c>
      <c r="AE286" t="s">
        <v>700</v>
      </c>
      <c r="AF286" s="4">
        <v>352.64</v>
      </c>
      <c r="AG286" t="s">
        <v>1146</v>
      </c>
      <c r="AH286" t="s">
        <v>1123</v>
      </c>
      <c r="AJ286" t="s">
        <v>1148</v>
      </c>
      <c r="AK286" t="s">
        <v>1129</v>
      </c>
      <c r="AL286">
        <v>340255290</v>
      </c>
      <c r="AM286" t="s">
        <v>135</v>
      </c>
    </row>
    <row r="287" spans="1:39" x14ac:dyDescent="0.35">
      <c r="A287">
        <v>3402</v>
      </c>
      <c r="B287" t="s">
        <v>259</v>
      </c>
      <c r="C287">
        <v>2020</v>
      </c>
      <c r="D287" s="1">
        <v>43831</v>
      </c>
      <c r="E287">
        <v>43</v>
      </c>
      <c r="F287">
        <v>200076905</v>
      </c>
      <c r="G287" t="s">
        <v>120</v>
      </c>
      <c r="H287">
        <v>81</v>
      </c>
      <c r="I287">
        <v>71104010</v>
      </c>
      <c r="J287">
        <v>21021040</v>
      </c>
      <c r="K287" t="s">
        <v>121</v>
      </c>
      <c r="L287">
        <v>0.04</v>
      </c>
      <c r="M287" t="s">
        <v>31</v>
      </c>
      <c r="N287">
        <v>0.04</v>
      </c>
      <c r="O287" t="s">
        <v>31</v>
      </c>
      <c r="R287" t="s">
        <v>133</v>
      </c>
      <c r="S287" t="s">
        <v>1131</v>
      </c>
      <c r="T287">
        <v>107211</v>
      </c>
      <c r="U287" t="s">
        <v>123</v>
      </c>
      <c r="X287" t="s">
        <v>259</v>
      </c>
      <c r="Y287" s="8">
        <v>4501226797</v>
      </c>
      <c r="Z287">
        <v>20200125</v>
      </c>
      <c r="AA287">
        <v>0.04</v>
      </c>
      <c r="AB287">
        <v>6.4000000000000003E-3</v>
      </c>
      <c r="AC287">
        <v>4.6400000000000004E-2</v>
      </c>
      <c r="AD287">
        <v>200127172</v>
      </c>
      <c r="AE287" t="s">
        <v>701</v>
      </c>
      <c r="AF287" s="4">
        <v>4.6400000000000004E-2</v>
      </c>
      <c r="AG287" t="s">
        <v>1146</v>
      </c>
      <c r="AH287" t="s">
        <v>1123</v>
      </c>
      <c r="AJ287" t="s">
        <v>1148</v>
      </c>
      <c r="AK287" t="s">
        <v>1129</v>
      </c>
      <c r="AL287">
        <v>340255290</v>
      </c>
      <c r="AM287" t="s">
        <v>135</v>
      </c>
    </row>
    <row r="288" spans="1:39" x14ac:dyDescent="0.35">
      <c r="A288">
        <v>3402</v>
      </c>
      <c r="B288" t="s">
        <v>259</v>
      </c>
      <c r="C288">
        <v>2020</v>
      </c>
      <c r="D288" s="1">
        <v>43831</v>
      </c>
      <c r="E288">
        <v>45</v>
      </c>
      <c r="F288">
        <v>200076905</v>
      </c>
      <c r="G288" t="s">
        <v>120</v>
      </c>
      <c r="H288">
        <v>81</v>
      </c>
      <c r="I288">
        <v>71104010</v>
      </c>
      <c r="J288">
        <v>21021040</v>
      </c>
      <c r="K288" t="s">
        <v>121</v>
      </c>
      <c r="L288">
        <v>304</v>
      </c>
      <c r="M288" t="s">
        <v>31</v>
      </c>
      <c r="N288">
        <v>304</v>
      </c>
      <c r="O288" t="s">
        <v>31</v>
      </c>
      <c r="R288" t="s">
        <v>133</v>
      </c>
      <c r="S288" t="s">
        <v>1131</v>
      </c>
      <c r="T288">
        <v>107211</v>
      </c>
      <c r="U288" t="s">
        <v>123</v>
      </c>
      <c r="X288" t="s">
        <v>259</v>
      </c>
      <c r="Y288" s="8">
        <v>4501226797</v>
      </c>
      <c r="Z288">
        <v>20200125</v>
      </c>
      <c r="AA288">
        <v>304</v>
      </c>
      <c r="AB288">
        <v>48.64</v>
      </c>
      <c r="AC288">
        <v>352.64</v>
      </c>
      <c r="AD288">
        <v>200127172</v>
      </c>
      <c r="AE288" t="s">
        <v>702</v>
      </c>
      <c r="AF288" s="4">
        <v>352.64</v>
      </c>
      <c r="AG288" t="s">
        <v>1146</v>
      </c>
      <c r="AH288" t="s">
        <v>1123</v>
      </c>
      <c r="AJ288" t="s">
        <v>1148</v>
      </c>
      <c r="AK288" t="s">
        <v>1129</v>
      </c>
      <c r="AL288">
        <v>340255290</v>
      </c>
      <c r="AM288" t="s">
        <v>135</v>
      </c>
    </row>
    <row r="289" spans="1:39" x14ac:dyDescent="0.35">
      <c r="A289">
        <v>3402</v>
      </c>
      <c r="B289" t="s">
        <v>259</v>
      </c>
      <c r="C289">
        <v>2020</v>
      </c>
      <c r="D289" s="1">
        <v>43831</v>
      </c>
      <c r="E289">
        <v>47</v>
      </c>
      <c r="F289">
        <v>200076905</v>
      </c>
      <c r="G289" t="s">
        <v>120</v>
      </c>
      <c r="H289">
        <v>81</v>
      </c>
      <c r="I289">
        <v>71104010</v>
      </c>
      <c r="J289">
        <v>21021040</v>
      </c>
      <c r="K289" t="s">
        <v>121</v>
      </c>
      <c r="L289">
        <v>0.04</v>
      </c>
      <c r="M289" t="s">
        <v>31</v>
      </c>
      <c r="N289">
        <v>0.04</v>
      </c>
      <c r="O289" t="s">
        <v>31</v>
      </c>
      <c r="R289" t="s">
        <v>133</v>
      </c>
      <c r="S289" t="s">
        <v>1131</v>
      </c>
      <c r="T289">
        <v>107211</v>
      </c>
      <c r="U289" t="s">
        <v>123</v>
      </c>
      <c r="X289" t="s">
        <v>259</v>
      </c>
      <c r="Y289" s="8">
        <v>4501226797</v>
      </c>
      <c r="Z289">
        <v>20200125</v>
      </c>
      <c r="AA289">
        <v>0.04</v>
      </c>
      <c r="AB289">
        <v>6.4000000000000003E-3</v>
      </c>
      <c r="AC289">
        <v>4.6400000000000004E-2</v>
      </c>
      <c r="AD289">
        <v>200127172</v>
      </c>
      <c r="AE289" t="s">
        <v>703</v>
      </c>
      <c r="AF289" s="4">
        <v>4.6400000000000004E-2</v>
      </c>
      <c r="AG289" t="s">
        <v>1146</v>
      </c>
      <c r="AH289" t="s">
        <v>1123</v>
      </c>
      <c r="AJ289" t="s">
        <v>1148</v>
      </c>
      <c r="AK289" t="s">
        <v>1129</v>
      </c>
      <c r="AL289">
        <v>340255290</v>
      </c>
      <c r="AM289" t="s">
        <v>135</v>
      </c>
    </row>
    <row r="290" spans="1:39" x14ac:dyDescent="0.35">
      <c r="A290">
        <v>3402</v>
      </c>
      <c r="B290" t="s">
        <v>259</v>
      </c>
      <c r="C290">
        <v>2020</v>
      </c>
      <c r="D290" s="1">
        <v>43831</v>
      </c>
      <c r="E290">
        <v>49</v>
      </c>
      <c r="F290">
        <v>200076905</v>
      </c>
      <c r="G290" t="s">
        <v>120</v>
      </c>
      <c r="H290">
        <v>81</v>
      </c>
      <c r="I290">
        <v>71104010</v>
      </c>
      <c r="J290">
        <v>21021040</v>
      </c>
      <c r="K290" t="s">
        <v>121</v>
      </c>
      <c r="L290">
        <v>0.04</v>
      </c>
      <c r="M290" t="s">
        <v>31</v>
      </c>
      <c r="N290">
        <v>0.04</v>
      </c>
      <c r="O290" t="s">
        <v>31</v>
      </c>
      <c r="R290" t="s">
        <v>133</v>
      </c>
      <c r="S290" t="s">
        <v>1131</v>
      </c>
      <c r="T290">
        <v>107211</v>
      </c>
      <c r="U290" t="s">
        <v>123</v>
      </c>
      <c r="X290" t="s">
        <v>259</v>
      </c>
      <c r="Y290" s="8">
        <v>4501226797</v>
      </c>
      <c r="Z290">
        <v>20200125</v>
      </c>
      <c r="AA290">
        <v>0.04</v>
      </c>
      <c r="AB290">
        <v>6.4000000000000003E-3</v>
      </c>
      <c r="AC290">
        <v>4.6400000000000004E-2</v>
      </c>
      <c r="AD290">
        <v>200127172</v>
      </c>
      <c r="AE290" t="s">
        <v>704</v>
      </c>
      <c r="AF290" s="4">
        <v>4.6400000000000004E-2</v>
      </c>
      <c r="AG290" t="s">
        <v>1146</v>
      </c>
      <c r="AH290" t="s">
        <v>1123</v>
      </c>
      <c r="AJ290" t="s">
        <v>1148</v>
      </c>
      <c r="AK290" t="s">
        <v>1129</v>
      </c>
      <c r="AL290">
        <v>340255290</v>
      </c>
      <c r="AM290" t="s">
        <v>135</v>
      </c>
    </row>
    <row r="291" spans="1:39" x14ac:dyDescent="0.35">
      <c r="A291">
        <v>3402</v>
      </c>
      <c r="B291" t="s">
        <v>259</v>
      </c>
      <c r="C291">
        <v>2020</v>
      </c>
      <c r="D291" s="1">
        <v>43831</v>
      </c>
      <c r="E291">
        <v>1</v>
      </c>
      <c r="F291">
        <v>200076906</v>
      </c>
      <c r="G291" t="s">
        <v>120</v>
      </c>
      <c r="H291">
        <v>81</v>
      </c>
      <c r="I291">
        <v>71104010</v>
      </c>
      <c r="J291">
        <v>21021040</v>
      </c>
      <c r="K291" t="s">
        <v>121</v>
      </c>
      <c r="L291">
        <v>121.6</v>
      </c>
      <c r="M291" t="s">
        <v>31</v>
      </c>
      <c r="N291">
        <v>121.6</v>
      </c>
      <c r="O291" t="s">
        <v>31</v>
      </c>
      <c r="R291" t="s">
        <v>137</v>
      </c>
      <c r="S291" t="s">
        <v>1131</v>
      </c>
      <c r="T291">
        <v>107211</v>
      </c>
      <c r="U291" t="s">
        <v>123</v>
      </c>
      <c r="X291" t="s">
        <v>259</v>
      </c>
      <c r="Y291" s="8">
        <v>4501226813</v>
      </c>
      <c r="Z291">
        <v>20200125</v>
      </c>
      <c r="AA291">
        <v>121.6</v>
      </c>
      <c r="AB291">
        <v>19.456</v>
      </c>
      <c r="AC291">
        <v>141.05599999999998</v>
      </c>
      <c r="AD291">
        <v>200211626</v>
      </c>
      <c r="AE291" t="s">
        <v>705</v>
      </c>
      <c r="AF291" s="4">
        <v>141.05599999999998</v>
      </c>
      <c r="AG291" t="s">
        <v>1150</v>
      </c>
      <c r="AH291" t="s">
        <v>1123</v>
      </c>
      <c r="AJ291" t="s">
        <v>1148</v>
      </c>
      <c r="AK291" t="s">
        <v>1129</v>
      </c>
      <c r="AL291">
        <v>340255290</v>
      </c>
      <c r="AM291" t="s">
        <v>135</v>
      </c>
    </row>
    <row r="292" spans="1:39" x14ac:dyDescent="0.35">
      <c r="A292">
        <v>3402</v>
      </c>
      <c r="B292" t="s">
        <v>259</v>
      </c>
      <c r="C292">
        <v>2020</v>
      </c>
      <c r="D292" s="1">
        <v>43831</v>
      </c>
      <c r="E292">
        <v>3</v>
      </c>
      <c r="F292">
        <v>200076906</v>
      </c>
      <c r="G292" t="s">
        <v>120</v>
      </c>
      <c r="H292">
        <v>81</v>
      </c>
      <c r="I292">
        <v>71104010</v>
      </c>
      <c r="J292">
        <v>21021040</v>
      </c>
      <c r="K292" t="s">
        <v>121</v>
      </c>
      <c r="L292">
        <v>125.4</v>
      </c>
      <c r="M292" t="s">
        <v>31</v>
      </c>
      <c r="N292">
        <v>125.4</v>
      </c>
      <c r="O292" t="s">
        <v>31</v>
      </c>
      <c r="R292" t="s">
        <v>137</v>
      </c>
      <c r="S292" t="s">
        <v>1131</v>
      </c>
      <c r="T292">
        <v>107211</v>
      </c>
      <c r="U292" t="s">
        <v>123</v>
      </c>
      <c r="X292" t="s">
        <v>259</v>
      </c>
      <c r="Y292" s="8">
        <v>4501226813</v>
      </c>
      <c r="Z292">
        <v>20200125</v>
      </c>
      <c r="AA292">
        <v>125.4</v>
      </c>
      <c r="AB292">
        <v>20.064</v>
      </c>
      <c r="AC292">
        <v>145.464</v>
      </c>
      <c r="AD292">
        <v>200211626</v>
      </c>
      <c r="AE292" t="s">
        <v>706</v>
      </c>
      <c r="AF292" s="4">
        <v>145.464</v>
      </c>
      <c r="AG292" t="s">
        <v>1150</v>
      </c>
      <c r="AH292" t="s">
        <v>1123</v>
      </c>
      <c r="AJ292" t="s">
        <v>1148</v>
      </c>
      <c r="AK292" t="s">
        <v>1129</v>
      </c>
      <c r="AL292">
        <v>340255290</v>
      </c>
      <c r="AM292" t="s">
        <v>135</v>
      </c>
    </row>
    <row r="293" spans="1:39" x14ac:dyDescent="0.35">
      <c r="A293">
        <v>3402</v>
      </c>
      <c r="B293" t="s">
        <v>259</v>
      </c>
      <c r="C293">
        <v>2020</v>
      </c>
      <c r="D293" s="1">
        <v>43831</v>
      </c>
      <c r="E293">
        <v>5</v>
      </c>
      <c r="F293">
        <v>200076906</v>
      </c>
      <c r="G293" t="s">
        <v>120</v>
      </c>
      <c r="H293">
        <v>81</v>
      </c>
      <c r="I293">
        <v>71104010</v>
      </c>
      <c r="J293">
        <v>21021040</v>
      </c>
      <c r="K293" t="s">
        <v>121</v>
      </c>
      <c r="L293">
        <v>117.8</v>
      </c>
      <c r="M293" t="s">
        <v>31</v>
      </c>
      <c r="N293">
        <v>117.8</v>
      </c>
      <c r="O293" t="s">
        <v>31</v>
      </c>
      <c r="R293" t="s">
        <v>137</v>
      </c>
      <c r="S293" t="s">
        <v>1131</v>
      </c>
      <c r="T293">
        <v>107211</v>
      </c>
      <c r="U293" t="s">
        <v>123</v>
      </c>
      <c r="X293" t="s">
        <v>259</v>
      </c>
      <c r="Y293" s="8">
        <v>4501226813</v>
      </c>
      <c r="Z293">
        <v>20200125</v>
      </c>
      <c r="AA293">
        <v>117.8</v>
      </c>
      <c r="AB293">
        <v>18.847999999999999</v>
      </c>
      <c r="AC293">
        <v>136.648</v>
      </c>
      <c r="AD293">
        <v>200211626</v>
      </c>
      <c r="AE293" t="s">
        <v>707</v>
      </c>
      <c r="AF293" s="4">
        <v>136.648</v>
      </c>
      <c r="AG293" t="s">
        <v>1150</v>
      </c>
      <c r="AH293" t="s">
        <v>1123</v>
      </c>
      <c r="AJ293" t="s">
        <v>1148</v>
      </c>
      <c r="AK293" t="s">
        <v>1129</v>
      </c>
      <c r="AL293">
        <v>340255290</v>
      </c>
      <c r="AM293" t="s">
        <v>135</v>
      </c>
    </row>
    <row r="294" spans="1:39" x14ac:dyDescent="0.35">
      <c r="A294">
        <v>3402</v>
      </c>
      <c r="B294" t="s">
        <v>259</v>
      </c>
      <c r="C294">
        <v>2020</v>
      </c>
      <c r="D294" s="1">
        <v>43831</v>
      </c>
      <c r="E294">
        <v>7</v>
      </c>
      <c r="F294">
        <v>200076906</v>
      </c>
      <c r="G294" t="s">
        <v>120</v>
      </c>
      <c r="H294">
        <v>81</v>
      </c>
      <c r="I294">
        <v>71104010</v>
      </c>
      <c r="J294">
        <v>21021040</v>
      </c>
      <c r="K294" t="s">
        <v>121</v>
      </c>
      <c r="L294">
        <v>110.2</v>
      </c>
      <c r="M294" t="s">
        <v>31</v>
      </c>
      <c r="N294">
        <v>110.2</v>
      </c>
      <c r="O294" t="s">
        <v>31</v>
      </c>
      <c r="R294" t="s">
        <v>137</v>
      </c>
      <c r="S294" t="s">
        <v>1131</v>
      </c>
      <c r="T294">
        <v>107211</v>
      </c>
      <c r="U294" t="s">
        <v>123</v>
      </c>
      <c r="X294" t="s">
        <v>259</v>
      </c>
      <c r="Y294" s="8">
        <v>4501226813</v>
      </c>
      <c r="Z294">
        <v>20200125</v>
      </c>
      <c r="AA294">
        <v>110.2</v>
      </c>
      <c r="AB294">
        <v>17.632000000000001</v>
      </c>
      <c r="AC294">
        <v>127.83200000000001</v>
      </c>
      <c r="AD294">
        <v>200211626</v>
      </c>
      <c r="AE294" t="s">
        <v>708</v>
      </c>
      <c r="AF294" s="4">
        <v>127.83200000000001</v>
      </c>
      <c r="AG294" t="s">
        <v>1150</v>
      </c>
      <c r="AH294" t="s">
        <v>1123</v>
      </c>
      <c r="AJ294" t="s">
        <v>1148</v>
      </c>
      <c r="AK294" t="s">
        <v>1129</v>
      </c>
      <c r="AL294">
        <v>340255290</v>
      </c>
      <c r="AM294" t="s">
        <v>135</v>
      </c>
    </row>
    <row r="295" spans="1:39" x14ac:dyDescent="0.35">
      <c r="A295">
        <v>3402</v>
      </c>
      <c r="B295" t="s">
        <v>259</v>
      </c>
      <c r="C295">
        <v>2020</v>
      </c>
      <c r="D295" s="1">
        <v>43831</v>
      </c>
      <c r="E295">
        <v>9</v>
      </c>
      <c r="F295">
        <v>200076906</v>
      </c>
      <c r="G295" t="s">
        <v>120</v>
      </c>
      <c r="H295">
        <v>81</v>
      </c>
      <c r="I295">
        <v>71104010</v>
      </c>
      <c r="J295">
        <v>21021040</v>
      </c>
      <c r="K295" t="s">
        <v>121</v>
      </c>
      <c r="L295">
        <v>110.2</v>
      </c>
      <c r="M295" t="s">
        <v>31</v>
      </c>
      <c r="N295">
        <v>110.2</v>
      </c>
      <c r="O295" t="s">
        <v>31</v>
      </c>
      <c r="R295" t="s">
        <v>137</v>
      </c>
      <c r="S295" t="s">
        <v>1131</v>
      </c>
      <c r="T295">
        <v>107211</v>
      </c>
      <c r="U295" t="s">
        <v>123</v>
      </c>
      <c r="X295" t="s">
        <v>259</v>
      </c>
      <c r="Y295" s="8">
        <v>4501226813</v>
      </c>
      <c r="Z295">
        <v>20200125</v>
      </c>
      <c r="AA295">
        <v>110.2</v>
      </c>
      <c r="AB295">
        <v>17.632000000000001</v>
      </c>
      <c r="AC295">
        <v>127.83200000000001</v>
      </c>
      <c r="AD295">
        <v>200211626</v>
      </c>
      <c r="AE295" t="s">
        <v>709</v>
      </c>
      <c r="AF295" s="4">
        <v>127.83200000000001</v>
      </c>
      <c r="AG295" t="s">
        <v>1150</v>
      </c>
      <c r="AH295" t="s">
        <v>1123</v>
      </c>
      <c r="AJ295" t="s">
        <v>1148</v>
      </c>
      <c r="AK295" t="s">
        <v>1129</v>
      </c>
      <c r="AL295">
        <v>340255290</v>
      </c>
      <c r="AM295" t="s">
        <v>135</v>
      </c>
    </row>
    <row r="296" spans="1:39" x14ac:dyDescent="0.35">
      <c r="A296">
        <v>3402</v>
      </c>
      <c r="B296" t="s">
        <v>259</v>
      </c>
      <c r="C296">
        <v>2020</v>
      </c>
      <c r="D296" s="1">
        <v>43831</v>
      </c>
      <c r="E296">
        <v>11</v>
      </c>
      <c r="F296">
        <v>200076906</v>
      </c>
      <c r="G296" t="s">
        <v>120</v>
      </c>
      <c r="H296">
        <v>81</v>
      </c>
      <c r="I296">
        <v>71104010</v>
      </c>
      <c r="J296">
        <v>21021040</v>
      </c>
      <c r="K296" t="s">
        <v>121</v>
      </c>
      <c r="L296">
        <v>117.8</v>
      </c>
      <c r="M296" t="s">
        <v>31</v>
      </c>
      <c r="N296">
        <v>117.8</v>
      </c>
      <c r="O296" t="s">
        <v>31</v>
      </c>
      <c r="R296" t="s">
        <v>137</v>
      </c>
      <c r="S296" t="s">
        <v>1131</v>
      </c>
      <c r="T296">
        <v>107211</v>
      </c>
      <c r="U296" t="s">
        <v>123</v>
      </c>
      <c r="X296" t="s">
        <v>259</v>
      </c>
      <c r="Y296" s="8">
        <v>4501226813</v>
      </c>
      <c r="Z296">
        <v>20200125</v>
      </c>
      <c r="AA296">
        <v>117.8</v>
      </c>
      <c r="AB296">
        <v>18.847999999999999</v>
      </c>
      <c r="AC296">
        <v>136.648</v>
      </c>
      <c r="AD296">
        <v>200211626</v>
      </c>
      <c r="AE296" t="s">
        <v>710</v>
      </c>
      <c r="AF296" s="4">
        <v>136.648</v>
      </c>
      <c r="AG296" t="s">
        <v>1150</v>
      </c>
      <c r="AH296" t="s">
        <v>1123</v>
      </c>
      <c r="AJ296" t="s">
        <v>1148</v>
      </c>
      <c r="AK296" t="s">
        <v>1129</v>
      </c>
      <c r="AL296">
        <v>340255290</v>
      </c>
      <c r="AM296" t="s">
        <v>135</v>
      </c>
    </row>
    <row r="297" spans="1:39" x14ac:dyDescent="0.35">
      <c r="A297">
        <v>3402</v>
      </c>
      <c r="B297" t="s">
        <v>259</v>
      </c>
      <c r="C297">
        <v>2020</v>
      </c>
      <c r="D297" s="1">
        <v>43831</v>
      </c>
      <c r="E297">
        <v>13</v>
      </c>
      <c r="F297">
        <v>200076906</v>
      </c>
      <c r="G297" t="s">
        <v>120</v>
      </c>
      <c r="H297">
        <v>81</v>
      </c>
      <c r="I297">
        <v>71104010</v>
      </c>
      <c r="J297">
        <v>21021040</v>
      </c>
      <c r="K297" t="s">
        <v>121</v>
      </c>
      <c r="L297">
        <v>125.4</v>
      </c>
      <c r="M297" t="s">
        <v>31</v>
      </c>
      <c r="N297">
        <v>125.4</v>
      </c>
      <c r="O297" t="s">
        <v>31</v>
      </c>
      <c r="R297" t="s">
        <v>137</v>
      </c>
      <c r="S297" t="s">
        <v>1131</v>
      </c>
      <c r="T297">
        <v>107211</v>
      </c>
      <c r="U297" t="s">
        <v>123</v>
      </c>
      <c r="X297" t="s">
        <v>259</v>
      </c>
      <c r="Y297" s="8">
        <v>4501226813</v>
      </c>
      <c r="Z297">
        <v>20200125</v>
      </c>
      <c r="AA297">
        <v>125.4</v>
      </c>
      <c r="AB297">
        <v>20.064</v>
      </c>
      <c r="AC297">
        <v>145.464</v>
      </c>
      <c r="AD297">
        <v>200211626</v>
      </c>
      <c r="AE297" t="s">
        <v>711</v>
      </c>
      <c r="AF297" s="4">
        <v>145.464</v>
      </c>
      <c r="AG297" t="s">
        <v>1150</v>
      </c>
      <c r="AH297" t="s">
        <v>1123</v>
      </c>
      <c r="AJ297" t="s">
        <v>1148</v>
      </c>
      <c r="AK297" t="s">
        <v>1129</v>
      </c>
      <c r="AL297">
        <v>340255290</v>
      </c>
      <c r="AM297" t="s">
        <v>135</v>
      </c>
    </row>
    <row r="298" spans="1:39" x14ac:dyDescent="0.35">
      <c r="A298">
        <v>3402</v>
      </c>
      <c r="B298" t="s">
        <v>259</v>
      </c>
      <c r="C298">
        <v>2020</v>
      </c>
      <c r="D298" s="1">
        <v>43831</v>
      </c>
      <c r="E298">
        <v>15</v>
      </c>
      <c r="F298">
        <v>200076906</v>
      </c>
      <c r="G298" t="s">
        <v>120</v>
      </c>
      <c r="H298">
        <v>81</v>
      </c>
      <c r="I298">
        <v>71104010</v>
      </c>
      <c r="J298">
        <v>21021040</v>
      </c>
      <c r="K298" t="s">
        <v>121</v>
      </c>
      <c r="L298">
        <v>106.4</v>
      </c>
      <c r="M298" t="s">
        <v>31</v>
      </c>
      <c r="N298">
        <v>106.4</v>
      </c>
      <c r="O298" t="s">
        <v>31</v>
      </c>
      <c r="R298" t="s">
        <v>137</v>
      </c>
      <c r="S298" t="s">
        <v>1131</v>
      </c>
      <c r="T298">
        <v>107211</v>
      </c>
      <c r="U298" t="s">
        <v>123</v>
      </c>
      <c r="X298" t="s">
        <v>259</v>
      </c>
      <c r="Y298" s="8">
        <v>4501226813</v>
      </c>
      <c r="Z298">
        <v>20200125</v>
      </c>
      <c r="AA298">
        <v>106.4</v>
      </c>
      <c r="AB298">
        <v>17.024000000000001</v>
      </c>
      <c r="AC298">
        <v>123.42400000000001</v>
      </c>
      <c r="AD298">
        <v>200211626</v>
      </c>
      <c r="AE298" t="s">
        <v>712</v>
      </c>
      <c r="AF298" s="4">
        <v>123.42400000000001</v>
      </c>
      <c r="AG298" t="s">
        <v>1150</v>
      </c>
      <c r="AH298" t="s">
        <v>1123</v>
      </c>
      <c r="AJ298" t="s">
        <v>1148</v>
      </c>
      <c r="AK298" t="s">
        <v>1129</v>
      </c>
      <c r="AL298">
        <v>340255290</v>
      </c>
      <c r="AM298" t="s">
        <v>135</v>
      </c>
    </row>
    <row r="299" spans="1:39" x14ac:dyDescent="0.35">
      <c r="A299">
        <v>3402</v>
      </c>
      <c r="B299" t="s">
        <v>259</v>
      </c>
      <c r="C299">
        <v>2020</v>
      </c>
      <c r="D299" s="1">
        <v>43831</v>
      </c>
      <c r="E299">
        <v>17</v>
      </c>
      <c r="F299">
        <v>200076906</v>
      </c>
      <c r="G299" t="s">
        <v>120</v>
      </c>
      <c r="H299">
        <v>81</v>
      </c>
      <c r="I299">
        <v>71104010</v>
      </c>
      <c r="J299">
        <v>21021040</v>
      </c>
      <c r="K299" t="s">
        <v>121</v>
      </c>
      <c r="L299">
        <v>110.2</v>
      </c>
      <c r="M299" t="s">
        <v>31</v>
      </c>
      <c r="N299">
        <v>110.2</v>
      </c>
      <c r="O299" t="s">
        <v>31</v>
      </c>
      <c r="R299" t="s">
        <v>137</v>
      </c>
      <c r="S299" t="s">
        <v>1131</v>
      </c>
      <c r="T299">
        <v>107211</v>
      </c>
      <c r="U299" t="s">
        <v>123</v>
      </c>
      <c r="X299" t="s">
        <v>259</v>
      </c>
      <c r="Y299" s="8">
        <v>4501226813</v>
      </c>
      <c r="Z299">
        <v>20200125</v>
      </c>
      <c r="AA299">
        <v>110.2</v>
      </c>
      <c r="AB299">
        <v>17.632000000000001</v>
      </c>
      <c r="AC299">
        <v>127.83200000000001</v>
      </c>
      <c r="AD299">
        <v>200211626</v>
      </c>
      <c r="AE299" t="s">
        <v>713</v>
      </c>
      <c r="AF299" s="4">
        <v>127.83200000000001</v>
      </c>
      <c r="AG299" t="s">
        <v>1150</v>
      </c>
      <c r="AH299" t="s">
        <v>1123</v>
      </c>
      <c r="AJ299" t="s">
        <v>1148</v>
      </c>
      <c r="AK299" t="s">
        <v>1129</v>
      </c>
      <c r="AL299">
        <v>340255290</v>
      </c>
      <c r="AM299" t="s">
        <v>135</v>
      </c>
    </row>
    <row r="300" spans="1:39" x14ac:dyDescent="0.35">
      <c r="A300">
        <v>3402</v>
      </c>
      <c r="B300" t="s">
        <v>259</v>
      </c>
      <c r="C300">
        <v>2020</v>
      </c>
      <c r="D300" s="1">
        <v>43831</v>
      </c>
      <c r="E300">
        <v>19</v>
      </c>
      <c r="F300">
        <v>200076906</v>
      </c>
      <c r="G300" t="s">
        <v>120</v>
      </c>
      <c r="H300">
        <v>81</v>
      </c>
      <c r="I300">
        <v>71104010</v>
      </c>
      <c r="J300">
        <v>21021040</v>
      </c>
      <c r="K300" t="s">
        <v>121</v>
      </c>
      <c r="L300">
        <v>121.6</v>
      </c>
      <c r="M300" t="s">
        <v>31</v>
      </c>
      <c r="N300">
        <v>121.6</v>
      </c>
      <c r="O300" t="s">
        <v>31</v>
      </c>
      <c r="R300" t="s">
        <v>137</v>
      </c>
      <c r="S300" t="s">
        <v>1131</v>
      </c>
      <c r="T300">
        <v>107211</v>
      </c>
      <c r="U300" t="s">
        <v>123</v>
      </c>
      <c r="X300" t="s">
        <v>259</v>
      </c>
      <c r="Y300" s="8">
        <v>4501226813</v>
      </c>
      <c r="Z300">
        <v>20200125</v>
      </c>
      <c r="AA300">
        <v>121.6</v>
      </c>
      <c r="AB300">
        <v>19.456</v>
      </c>
      <c r="AC300">
        <v>141.05599999999998</v>
      </c>
      <c r="AD300">
        <v>200211626</v>
      </c>
      <c r="AE300" t="s">
        <v>714</v>
      </c>
      <c r="AF300" s="4">
        <v>141.05599999999998</v>
      </c>
      <c r="AG300" t="s">
        <v>1150</v>
      </c>
      <c r="AH300" t="s">
        <v>1123</v>
      </c>
      <c r="AJ300" t="s">
        <v>1148</v>
      </c>
      <c r="AK300" t="s">
        <v>1129</v>
      </c>
      <c r="AL300">
        <v>340255290</v>
      </c>
      <c r="AM300" t="s">
        <v>135</v>
      </c>
    </row>
    <row r="301" spans="1:39" x14ac:dyDescent="0.35">
      <c r="A301">
        <v>3402</v>
      </c>
      <c r="B301" t="s">
        <v>259</v>
      </c>
      <c r="C301">
        <v>2020</v>
      </c>
      <c r="D301" s="1">
        <v>43831</v>
      </c>
      <c r="E301">
        <v>21</v>
      </c>
      <c r="F301">
        <v>200076906</v>
      </c>
      <c r="G301" t="s">
        <v>120</v>
      </c>
      <c r="H301">
        <v>81</v>
      </c>
      <c r="I301">
        <v>71104010</v>
      </c>
      <c r="J301">
        <v>21021040</v>
      </c>
      <c r="K301" t="s">
        <v>121</v>
      </c>
      <c r="L301">
        <v>117.8</v>
      </c>
      <c r="M301" t="s">
        <v>31</v>
      </c>
      <c r="N301">
        <v>117.8</v>
      </c>
      <c r="O301" t="s">
        <v>31</v>
      </c>
      <c r="R301" t="s">
        <v>137</v>
      </c>
      <c r="S301" t="s">
        <v>1131</v>
      </c>
      <c r="T301">
        <v>107211</v>
      </c>
      <c r="U301" t="s">
        <v>123</v>
      </c>
      <c r="X301" t="s">
        <v>259</v>
      </c>
      <c r="Y301" s="8">
        <v>4501226813</v>
      </c>
      <c r="Z301">
        <v>20200125</v>
      </c>
      <c r="AA301">
        <v>117.8</v>
      </c>
      <c r="AB301">
        <v>18.847999999999999</v>
      </c>
      <c r="AC301">
        <v>136.648</v>
      </c>
      <c r="AD301">
        <v>200211626</v>
      </c>
      <c r="AE301" t="s">
        <v>715</v>
      </c>
      <c r="AF301" s="4">
        <v>136.648</v>
      </c>
      <c r="AG301" t="s">
        <v>1150</v>
      </c>
      <c r="AH301" t="s">
        <v>1123</v>
      </c>
      <c r="AJ301" t="s">
        <v>1148</v>
      </c>
      <c r="AK301" t="s">
        <v>1129</v>
      </c>
      <c r="AL301">
        <v>340255290</v>
      </c>
      <c r="AM301" t="s">
        <v>135</v>
      </c>
    </row>
    <row r="302" spans="1:39" x14ac:dyDescent="0.35">
      <c r="A302">
        <v>3402</v>
      </c>
      <c r="B302" t="s">
        <v>259</v>
      </c>
      <c r="C302">
        <v>2020</v>
      </c>
      <c r="D302" s="1">
        <v>43831</v>
      </c>
      <c r="E302">
        <v>1</v>
      </c>
      <c r="F302">
        <v>200076925</v>
      </c>
      <c r="G302" t="s">
        <v>120</v>
      </c>
      <c r="H302">
        <v>81</v>
      </c>
      <c r="I302">
        <v>71104010</v>
      </c>
      <c r="J302">
        <v>21021040</v>
      </c>
      <c r="K302" t="s">
        <v>121</v>
      </c>
      <c r="L302">
        <v>117.8</v>
      </c>
      <c r="M302" t="s">
        <v>31</v>
      </c>
      <c r="N302">
        <v>117.8</v>
      </c>
      <c r="O302" t="s">
        <v>31</v>
      </c>
      <c r="R302" t="s">
        <v>137</v>
      </c>
      <c r="S302" t="s">
        <v>1131</v>
      </c>
      <c r="T302">
        <v>107211</v>
      </c>
      <c r="U302" t="s">
        <v>123</v>
      </c>
      <c r="X302" t="s">
        <v>259</v>
      </c>
      <c r="Y302" s="8">
        <v>4501226813</v>
      </c>
      <c r="Z302">
        <v>20200125</v>
      </c>
      <c r="AA302">
        <v>117.8</v>
      </c>
      <c r="AB302">
        <v>18.847999999999999</v>
      </c>
      <c r="AC302">
        <v>136.648</v>
      </c>
      <c r="AD302">
        <v>200211626</v>
      </c>
      <c r="AE302" t="s">
        <v>716</v>
      </c>
      <c r="AF302" s="4">
        <v>136.648</v>
      </c>
      <c r="AG302" t="s">
        <v>1150</v>
      </c>
      <c r="AH302" t="s">
        <v>1123</v>
      </c>
      <c r="AJ302" t="s">
        <v>1148</v>
      </c>
      <c r="AK302" t="s">
        <v>1129</v>
      </c>
      <c r="AL302">
        <v>340255290</v>
      </c>
      <c r="AM302" t="s">
        <v>135</v>
      </c>
    </row>
    <row r="303" spans="1:39" x14ac:dyDescent="0.35">
      <c r="A303">
        <v>3402</v>
      </c>
      <c r="B303" t="s">
        <v>259</v>
      </c>
      <c r="C303">
        <v>2020</v>
      </c>
      <c r="D303" s="1">
        <v>43831</v>
      </c>
      <c r="E303">
        <v>3</v>
      </c>
      <c r="F303">
        <v>200076925</v>
      </c>
      <c r="G303" t="s">
        <v>120</v>
      </c>
      <c r="H303">
        <v>81</v>
      </c>
      <c r="I303">
        <v>71104010</v>
      </c>
      <c r="J303">
        <v>21021040</v>
      </c>
      <c r="K303" t="s">
        <v>121</v>
      </c>
      <c r="L303">
        <v>117.8</v>
      </c>
      <c r="M303" t="s">
        <v>31</v>
      </c>
      <c r="N303">
        <v>117.8</v>
      </c>
      <c r="O303" t="s">
        <v>31</v>
      </c>
      <c r="R303" t="s">
        <v>137</v>
      </c>
      <c r="S303" t="s">
        <v>1131</v>
      </c>
      <c r="T303">
        <v>107211</v>
      </c>
      <c r="U303" t="s">
        <v>123</v>
      </c>
      <c r="X303" t="s">
        <v>259</v>
      </c>
      <c r="Y303" s="8">
        <v>4501226813</v>
      </c>
      <c r="Z303">
        <v>20200125</v>
      </c>
      <c r="AA303">
        <v>117.8</v>
      </c>
      <c r="AB303">
        <v>18.847999999999999</v>
      </c>
      <c r="AC303">
        <v>136.648</v>
      </c>
      <c r="AD303">
        <v>200211626</v>
      </c>
      <c r="AE303" t="s">
        <v>716</v>
      </c>
      <c r="AF303" s="4">
        <v>136.648</v>
      </c>
      <c r="AG303" t="s">
        <v>1150</v>
      </c>
      <c r="AH303" t="s">
        <v>1123</v>
      </c>
      <c r="AJ303" t="s">
        <v>1148</v>
      </c>
      <c r="AK303" t="s">
        <v>1129</v>
      </c>
      <c r="AL303">
        <v>340255290</v>
      </c>
      <c r="AM303" t="s">
        <v>135</v>
      </c>
    </row>
    <row r="304" spans="1:39" x14ac:dyDescent="0.35">
      <c r="A304">
        <v>3402</v>
      </c>
      <c r="B304" t="s">
        <v>259</v>
      </c>
      <c r="C304">
        <v>2020</v>
      </c>
      <c r="D304" s="1">
        <v>43831</v>
      </c>
      <c r="E304">
        <v>5</v>
      </c>
      <c r="F304">
        <v>200076925</v>
      </c>
      <c r="G304" t="s">
        <v>120</v>
      </c>
      <c r="H304">
        <v>81</v>
      </c>
      <c r="I304">
        <v>71104010</v>
      </c>
      <c r="J304">
        <v>21021040</v>
      </c>
      <c r="K304" t="s">
        <v>121</v>
      </c>
      <c r="L304">
        <v>114</v>
      </c>
      <c r="M304" t="s">
        <v>31</v>
      </c>
      <c r="N304">
        <v>114</v>
      </c>
      <c r="O304" t="s">
        <v>31</v>
      </c>
      <c r="R304" t="s">
        <v>137</v>
      </c>
      <c r="S304" t="s">
        <v>1131</v>
      </c>
      <c r="T304">
        <v>107211</v>
      </c>
      <c r="U304" t="s">
        <v>123</v>
      </c>
      <c r="X304" t="s">
        <v>259</v>
      </c>
      <c r="Y304" s="8">
        <v>4501226813</v>
      </c>
      <c r="Z304">
        <v>20200125</v>
      </c>
      <c r="AA304">
        <v>114</v>
      </c>
      <c r="AB304">
        <v>18.240000000000002</v>
      </c>
      <c r="AC304">
        <v>132.24</v>
      </c>
      <c r="AD304">
        <v>200211626</v>
      </c>
      <c r="AE304" t="s">
        <v>717</v>
      </c>
      <c r="AF304" s="4">
        <v>132.24</v>
      </c>
      <c r="AG304" t="s">
        <v>1150</v>
      </c>
      <c r="AH304" t="s">
        <v>1123</v>
      </c>
      <c r="AJ304" t="s">
        <v>1148</v>
      </c>
      <c r="AK304" t="s">
        <v>1129</v>
      </c>
      <c r="AL304">
        <v>340255290</v>
      </c>
      <c r="AM304" t="s">
        <v>135</v>
      </c>
    </row>
    <row r="305" spans="1:39" x14ac:dyDescent="0.35">
      <c r="A305">
        <v>3402</v>
      </c>
      <c r="B305" t="s">
        <v>259</v>
      </c>
      <c r="C305">
        <v>2020</v>
      </c>
      <c r="D305" s="1">
        <v>43831</v>
      </c>
      <c r="E305">
        <v>7</v>
      </c>
      <c r="F305">
        <v>200076925</v>
      </c>
      <c r="G305" t="s">
        <v>120</v>
      </c>
      <c r="H305">
        <v>81</v>
      </c>
      <c r="I305">
        <v>71104010</v>
      </c>
      <c r="J305">
        <v>21021040</v>
      </c>
      <c r="K305" t="s">
        <v>121</v>
      </c>
      <c r="L305">
        <v>114</v>
      </c>
      <c r="M305" t="s">
        <v>31</v>
      </c>
      <c r="N305">
        <v>114</v>
      </c>
      <c r="O305" t="s">
        <v>31</v>
      </c>
      <c r="R305" t="s">
        <v>137</v>
      </c>
      <c r="S305" t="s">
        <v>1131</v>
      </c>
      <c r="T305">
        <v>107211</v>
      </c>
      <c r="U305" t="s">
        <v>123</v>
      </c>
      <c r="X305" t="s">
        <v>259</v>
      </c>
      <c r="Y305" s="8">
        <v>4501226813</v>
      </c>
      <c r="Z305">
        <v>20200125</v>
      </c>
      <c r="AA305">
        <v>114</v>
      </c>
      <c r="AB305">
        <v>18.240000000000002</v>
      </c>
      <c r="AC305">
        <v>132.24</v>
      </c>
      <c r="AD305">
        <v>200211626</v>
      </c>
      <c r="AE305" t="s">
        <v>718</v>
      </c>
      <c r="AF305" s="4">
        <v>132.24</v>
      </c>
      <c r="AG305" t="s">
        <v>1150</v>
      </c>
      <c r="AH305" t="s">
        <v>1123</v>
      </c>
      <c r="AJ305" t="s">
        <v>1148</v>
      </c>
      <c r="AK305" t="s">
        <v>1129</v>
      </c>
      <c r="AL305">
        <v>340255290</v>
      </c>
      <c r="AM305" t="s">
        <v>135</v>
      </c>
    </row>
    <row r="306" spans="1:39" x14ac:dyDescent="0.35">
      <c r="A306">
        <v>3402</v>
      </c>
      <c r="B306" t="s">
        <v>259</v>
      </c>
      <c r="C306">
        <v>2020</v>
      </c>
      <c r="D306" s="1">
        <v>43831</v>
      </c>
      <c r="E306">
        <v>9</v>
      </c>
      <c r="F306">
        <v>200076925</v>
      </c>
      <c r="G306" t="s">
        <v>120</v>
      </c>
      <c r="H306">
        <v>81</v>
      </c>
      <c r="I306">
        <v>71104010</v>
      </c>
      <c r="J306">
        <v>21021040</v>
      </c>
      <c r="K306" t="s">
        <v>121</v>
      </c>
      <c r="L306">
        <v>117.8</v>
      </c>
      <c r="M306" t="s">
        <v>31</v>
      </c>
      <c r="N306">
        <v>117.8</v>
      </c>
      <c r="O306" t="s">
        <v>31</v>
      </c>
      <c r="R306" t="s">
        <v>137</v>
      </c>
      <c r="S306" t="s">
        <v>1131</v>
      </c>
      <c r="T306">
        <v>107211</v>
      </c>
      <c r="U306" t="s">
        <v>123</v>
      </c>
      <c r="X306" t="s">
        <v>259</v>
      </c>
      <c r="Y306" s="8">
        <v>4501226813</v>
      </c>
      <c r="Z306">
        <v>20200125</v>
      </c>
      <c r="AA306">
        <v>117.8</v>
      </c>
      <c r="AB306">
        <v>18.847999999999999</v>
      </c>
      <c r="AC306">
        <v>136.648</v>
      </c>
      <c r="AD306">
        <v>200211626</v>
      </c>
      <c r="AE306" t="s">
        <v>719</v>
      </c>
      <c r="AF306" s="4">
        <v>136.648</v>
      </c>
      <c r="AG306" t="s">
        <v>1150</v>
      </c>
      <c r="AH306" t="s">
        <v>1123</v>
      </c>
      <c r="AJ306" t="s">
        <v>1148</v>
      </c>
      <c r="AK306" t="s">
        <v>1129</v>
      </c>
      <c r="AL306">
        <v>340255290</v>
      </c>
      <c r="AM306" t="s">
        <v>135</v>
      </c>
    </row>
    <row r="307" spans="1:39" x14ac:dyDescent="0.35">
      <c r="A307">
        <v>3402</v>
      </c>
      <c r="B307" t="s">
        <v>259</v>
      </c>
      <c r="C307">
        <v>2020</v>
      </c>
      <c r="D307" s="1">
        <v>43831</v>
      </c>
      <c r="E307">
        <v>1</v>
      </c>
      <c r="F307">
        <v>200076926</v>
      </c>
      <c r="G307" t="s">
        <v>120</v>
      </c>
      <c r="H307">
        <v>91</v>
      </c>
      <c r="I307">
        <v>71104010</v>
      </c>
      <c r="J307">
        <v>21021040</v>
      </c>
      <c r="K307" t="s">
        <v>121</v>
      </c>
      <c r="L307">
        <v>117.8</v>
      </c>
      <c r="M307" t="s">
        <v>31</v>
      </c>
      <c r="N307">
        <v>117.8</v>
      </c>
      <c r="O307" t="s">
        <v>31</v>
      </c>
      <c r="R307" t="s">
        <v>137</v>
      </c>
      <c r="S307" t="s">
        <v>1131</v>
      </c>
      <c r="T307">
        <v>107211</v>
      </c>
      <c r="U307" t="s">
        <v>123</v>
      </c>
      <c r="X307" t="s">
        <v>259</v>
      </c>
      <c r="Y307" s="8">
        <v>4501226813</v>
      </c>
      <c r="Z307">
        <v>20200125</v>
      </c>
      <c r="AA307">
        <v>117.8</v>
      </c>
      <c r="AB307">
        <v>18.847999999999999</v>
      </c>
      <c r="AC307">
        <v>136.648</v>
      </c>
      <c r="AD307">
        <v>200211626</v>
      </c>
      <c r="AE307" t="s">
        <v>716</v>
      </c>
      <c r="AF307" s="4">
        <v>136.648</v>
      </c>
      <c r="AG307" t="s">
        <v>1150</v>
      </c>
      <c r="AH307" t="s">
        <v>1123</v>
      </c>
      <c r="AJ307" t="s">
        <v>1148</v>
      </c>
      <c r="AK307" t="s">
        <v>1129</v>
      </c>
      <c r="AL307">
        <v>340255290</v>
      </c>
      <c r="AM307" t="s">
        <v>135</v>
      </c>
    </row>
    <row r="308" spans="1:39" x14ac:dyDescent="0.35">
      <c r="A308">
        <v>3402</v>
      </c>
      <c r="B308" t="s">
        <v>259</v>
      </c>
      <c r="C308">
        <v>2020</v>
      </c>
      <c r="D308" s="1">
        <v>43831</v>
      </c>
      <c r="E308">
        <v>1</v>
      </c>
      <c r="F308">
        <v>200076927</v>
      </c>
      <c r="G308" t="s">
        <v>120</v>
      </c>
      <c r="H308">
        <v>81</v>
      </c>
      <c r="I308">
        <v>71104010</v>
      </c>
      <c r="J308">
        <v>21021040</v>
      </c>
      <c r="K308" t="s">
        <v>121</v>
      </c>
      <c r="L308">
        <v>117.8</v>
      </c>
      <c r="M308" t="s">
        <v>31</v>
      </c>
      <c r="N308">
        <v>117.8</v>
      </c>
      <c r="O308" t="s">
        <v>31</v>
      </c>
      <c r="R308" t="s">
        <v>137</v>
      </c>
      <c r="S308" t="s">
        <v>1131</v>
      </c>
      <c r="T308">
        <v>107211</v>
      </c>
      <c r="U308" t="s">
        <v>123</v>
      </c>
      <c r="X308" t="s">
        <v>259</v>
      </c>
      <c r="Y308" s="8">
        <v>4501226813</v>
      </c>
      <c r="Z308">
        <v>20200125</v>
      </c>
      <c r="AA308">
        <v>117.8</v>
      </c>
      <c r="AB308">
        <v>18.847999999999999</v>
      </c>
      <c r="AC308">
        <v>136.648</v>
      </c>
      <c r="AD308">
        <v>200211626</v>
      </c>
      <c r="AE308" t="s">
        <v>717</v>
      </c>
      <c r="AF308" s="4">
        <v>136.648</v>
      </c>
      <c r="AG308" t="s">
        <v>1150</v>
      </c>
      <c r="AH308" t="s">
        <v>1123</v>
      </c>
      <c r="AJ308" t="s">
        <v>1148</v>
      </c>
      <c r="AK308" t="s">
        <v>1129</v>
      </c>
      <c r="AL308">
        <v>340255290</v>
      </c>
      <c r="AM308" t="s">
        <v>135</v>
      </c>
    </row>
    <row r="309" spans="1:39" x14ac:dyDescent="0.35">
      <c r="A309">
        <v>3402</v>
      </c>
      <c r="B309" t="s">
        <v>259</v>
      </c>
      <c r="C309">
        <v>2020</v>
      </c>
      <c r="D309" s="1">
        <v>43831</v>
      </c>
      <c r="E309">
        <v>1</v>
      </c>
      <c r="F309">
        <v>200076928</v>
      </c>
      <c r="G309" t="s">
        <v>120</v>
      </c>
      <c r="H309">
        <v>91</v>
      </c>
      <c r="I309">
        <v>71104010</v>
      </c>
      <c r="J309">
        <v>21021040</v>
      </c>
      <c r="K309" t="s">
        <v>121</v>
      </c>
      <c r="L309">
        <v>114</v>
      </c>
      <c r="M309" t="s">
        <v>31</v>
      </c>
      <c r="N309">
        <v>114</v>
      </c>
      <c r="O309" t="s">
        <v>31</v>
      </c>
      <c r="R309" t="s">
        <v>137</v>
      </c>
      <c r="S309" t="s">
        <v>1131</v>
      </c>
      <c r="T309">
        <v>107211</v>
      </c>
      <c r="U309" t="s">
        <v>123</v>
      </c>
      <c r="X309" t="s">
        <v>259</v>
      </c>
      <c r="Y309" s="8">
        <v>4501226813</v>
      </c>
      <c r="Z309">
        <v>20200125</v>
      </c>
      <c r="AA309">
        <v>114</v>
      </c>
      <c r="AB309">
        <v>18.240000000000002</v>
      </c>
      <c r="AC309">
        <v>132.24</v>
      </c>
      <c r="AD309">
        <v>200211626</v>
      </c>
      <c r="AE309" t="s">
        <v>717</v>
      </c>
      <c r="AF309" s="4">
        <v>132.24</v>
      </c>
      <c r="AG309" t="s">
        <v>1150</v>
      </c>
      <c r="AH309" t="s">
        <v>1123</v>
      </c>
      <c r="AJ309" t="s">
        <v>1148</v>
      </c>
      <c r="AK309" t="s">
        <v>1129</v>
      </c>
      <c r="AL309">
        <v>340255290</v>
      </c>
      <c r="AM309" t="s">
        <v>135</v>
      </c>
    </row>
    <row r="310" spans="1:39" x14ac:dyDescent="0.35">
      <c r="A310">
        <v>3402</v>
      </c>
      <c r="B310" t="s">
        <v>259</v>
      </c>
      <c r="C310">
        <v>2020</v>
      </c>
      <c r="D310" s="1">
        <v>43831</v>
      </c>
      <c r="E310">
        <v>1</v>
      </c>
      <c r="F310">
        <v>200076929</v>
      </c>
      <c r="G310" t="s">
        <v>120</v>
      </c>
      <c r="H310">
        <v>81</v>
      </c>
      <c r="I310">
        <v>71104010</v>
      </c>
      <c r="J310">
        <v>21021040</v>
      </c>
      <c r="K310" t="s">
        <v>121</v>
      </c>
      <c r="L310">
        <v>114</v>
      </c>
      <c r="M310" t="s">
        <v>31</v>
      </c>
      <c r="N310">
        <v>114</v>
      </c>
      <c r="O310" t="s">
        <v>31</v>
      </c>
      <c r="R310" t="s">
        <v>137</v>
      </c>
      <c r="S310" t="s">
        <v>1131</v>
      </c>
      <c r="T310">
        <v>107211</v>
      </c>
      <c r="U310" t="s">
        <v>123</v>
      </c>
      <c r="X310" t="s">
        <v>259</v>
      </c>
      <c r="Y310" s="8">
        <v>4501226813</v>
      </c>
      <c r="Z310">
        <v>20200125</v>
      </c>
      <c r="AA310">
        <v>114</v>
      </c>
      <c r="AB310">
        <v>18.240000000000002</v>
      </c>
      <c r="AC310">
        <v>132.24</v>
      </c>
      <c r="AD310">
        <v>200211626</v>
      </c>
      <c r="AE310" t="s">
        <v>718</v>
      </c>
      <c r="AF310" s="4">
        <v>132.24</v>
      </c>
      <c r="AG310" t="s">
        <v>1150</v>
      </c>
      <c r="AH310" t="s">
        <v>1123</v>
      </c>
      <c r="AJ310" t="s">
        <v>1148</v>
      </c>
      <c r="AK310" t="s">
        <v>1129</v>
      </c>
      <c r="AL310">
        <v>340255290</v>
      </c>
      <c r="AM310" t="s">
        <v>135</v>
      </c>
    </row>
    <row r="311" spans="1:39" x14ac:dyDescent="0.35">
      <c r="A311">
        <v>3402</v>
      </c>
      <c r="B311" t="s">
        <v>259</v>
      </c>
      <c r="C311">
        <v>2020</v>
      </c>
      <c r="D311" s="1">
        <v>43831</v>
      </c>
      <c r="E311">
        <v>1</v>
      </c>
      <c r="F311">
        <v>200076930</v>
      </c>
      <c r="G311" t="s">
        <v>120</v>
      </c>
      <c r="H311">
        <v>91</v>
      </c>
      <c r="I311">
        <v>71104010</v>
      </c>
      <c r="J311">
        <v>21021040</v>
      </c>
      <c r="K311" t="s">
        <v>121</v>
      </c>
      <c r="L311">
        <v>114</v>
      </c>
      <c r="M311" t="s">
        <v>31</v>
      </c>
      <c r="N311">
        <v>114</v>
      </c>
      <c r="O311" t="s">
        <v>31</v>
      </c>
      <c r="R311" t="s">
        <v>137</v>
      </c>
      <c r="S311" t="s">
        <v>1131</v>
      </c>
      <c r="T311">
        <v>107211</v>
      </c>
      <c r="U311" t="s">
        <v>123</v>
      </c>
      <c r="X311" t="s">
        <v>259</v>
      </c>
      <c r="Y311" s="8">
        <v>4501226813</v>
      </c>
      <c r="Z311">
        <v>20200125</v>
      </c>
      <c r="AA311">
        <v>114</v>
      </c>
      <c r="AB311">
        <v>18.240000000000002</v>
      </c>
      <c r="AC311">
        <v>132.24</v>
      </c>
      <c r="AD311">
        <v>200211626</v>
      </c>
      <c r="AE311" t="s">
        <v>718</v>
      </c>
      <c r="AF311" s="4">
        <v>132.24</v>
      </c>
      <c r="AG311" t="s">
        <v>1150</v>
      </c>
      <c r="AH311" t="s">
        <v>1123</v>
      </c>
      <c r="AJ311" t="s">
        <v>1148</v>
      </c>
      <c r="AK311" t="s">
        <v>1129</v>
      </c>
      <c r="AL311">
        <v>340255290</v>
      </c>
      <c r="AM311" t="s">
        <v>135</v>
      </c>
    </row>
    <row r="312" spans="1:39" x14ac:dyDescent="0.35">
      <c r="A312">
        <v>3402</v>
      </c>
      <c r="B312" t="s">
        <v>259</v>
      </c>
      <c r="C312">
        <v>2020</v>
      </c>
      <c r="D312" s="1">
        <v>43831</v>
      </c>
      <c r="E312">
        <v>1</v>
      </c>
      <c r="F312">
        <v>200076931</v>
      </c>
      <c r="G312" t="s">
        <v>120</v>
      </c>
      <c r="H312">
        <v>81</v>
      </c>
      <c r="I312">
        <v>71104010</v>
      </c>
      <c r="J312">
        <v>21021040</v>
      </c>
      <c r="K312" t="s">
        <v>121</v>
      </c>
      <c r="L312">
        <v>114</v>
      </c>
      <c r="M312" t="s">
        <v>31</v>
      </c>
      <c r="N312">
        <v>114</v>
      </c>
      <c r="O312" t="s">
        <v>31</v>
      </c>
      <c r="R312" t="s">
        <v>137</v>
      </c>
      <c r="S312" t="s">
        <v>1131</v>
      </c>
      <c r="T312">
        <v>107211</v>
      </c>
      <c r="U312" t="s">
        <v>123</v>
      </c>
      <c r="X312" t="s">
        <v>259</v>
      </c>
      <c r="Y312" s="8">
        <v>4501226813</v>
      </c>
      <c r="Z312">
        <v>20200125</v>
      </c>
      <c r="AA312">
        <v>114</v>
      </c>
      <c r="AB312">
        <v>18.240000000000002</v>
      </c>
      <c r="AC312">
        <v>132.24</v>
      </c>
      <c r="AD312">
        <v>200211626</v>
      </c>
      <c r="AE312" t="s">
        <v>719</v>
      </c>
      <c r="AF312" s="4">
        <v>132.24</v>
      </c>
      <c r="AG312" t="s">
        <v>1150</v>
      </c>
      <c r="AH312" t="s">
        <v>1123</v>
      </c>
      <c r="AJ312" t="s">
        <v>1148</v>
      </c>
      <c r="AK312" t="s">
        <v>1129</v>
      </c>
      <c r="AL312">
        <v>340255290</v>
      </c>
      <c r="AM312" t="s">
        <v>135</v>
      </c>
    </row>
    <row r="313" spans="1:39" x14ac:dyDescent="0.35">
      <c r="A313">
        <v>3402</v>
      </c>
      <c r="B313" t="s">
        <v>259</v>
      </c>
      <c r="C313">
        <v>2020</v>
      </c>
      <c r="D313" s="1">
        <v>43831</v>
      </c>
      <c r="E313">
        <v>1</v>
      </c>
      <c r="F313">
        <v>200076932</v>
      </c>
      <c r="G313" t="s">
        <v>120</v>
      </c>
      <c r="H313">
        <v>91</v>
      </c>
      <c r="I313">
        <v>71104010</v>
      </c>
      <c r="J313">
        <v>21021040</v>
      </c>
      <c r="K313" t="s">
        <v>121</v>
      </c>
      <c r="L313">
        <v>117.8</v>
      </c>
      <c r="M313" t="s">
        <v>31</v>
      </c>
      <c r="N313">
        <v>117.8</v>
      </c>
      <c r="O313" t="s">
        <v>31</v>
      </c>
      <c r="R313" t="s">
        <v>137</v>
      </c>
      <c r="S313" t="s">
        <v>1131</v>
      </c>
      <c r="T313">
        <v>107211</v>
      </c>
      <c r="U313" t="s">
        <v>123</v>
      </c>
      <c r="X313" t="s">
        <v>259</v>
      </c>
      <c r="Y313" s="8">
        <v>4501226813</v>
      </c>
      <c r="Z313">
        <v>20200125</v>
      </c>
      <c r="AA313">
        <v>117.8</v>
      </c>
      <c r="AB313">
        <v>18.847999999999999</v>
      </c>
      <c r="AC313">
        <v>136.648</v>
      </c>
      <c r="AD313">
        <v>200211626</v>
      </c>
      <c r="AE313" t="s">
        <v>719</v>
      </c>
      <c r="AF313" s="4">
        <v>136.648</v>
      </c>
      <c r="AG313" t="s">
        <v>1150</v>
      </c>
      <c r="AH313" t="s">
        <v>1123</v>
      </c>
      <c r="AJ313" t="s">
        <v>1148</v>
      </c>
      <c r="AK313" t="s">
        <v>1129</v>
      </c>
      <c r="AL313">
        <v>340255290</v>
      </c>
      <c r="AM313" t="s">
        <v>135</v>
      </c>
    </row>
    <row r="314" spans="1:39" x14ac:dyDescent="0.35">
      <c r="A314">
        <v>3402</v>
      </c>
      <c r="B314" t="s">
        <v>259</v>
      </c>
      <c r="C314">
        <v>2020</v>
      </c>
      <c r="D314" s="1">
        <v>43831</v>
      </c>
      <c r="E314">
        <v>1</v>
      </c>
      <c r="F314">
        <v>200076933</v>
      </c>
      <c r="G314" t="s">
        <v>120</v>
      </c>
      <c r="H314">
        <v>81</v>
      </c>
      <c r="I314">
        <v>71104010</v>
      </c>
      <c r="J314">
        <v>21021040</v>
      </c>
      <c r="K314" t="s">
        <v>121</v>
      </c>
      <c r="L314">
        <v>117.8</v>
      </c>
      <c r="M314" t="s">
        <v>31</v>
      </c>
      <c r="N314">
        <v>117.8</v>
      </c>
      <c r="O314" t="s">
        <v>31</v>
      </c>
      <c r="R314" t="s">
        <v>137</v>
      </c>
      <c r="S314" t="s">
        <v>1131</v>
      </c>
      <c r="T314">
        <v>107211</v>
      </c>
      <c r="U314" t="s">
        <v>123</v>
      </c>
      <c r="X314" t="s">
        <v>259</v>
      </c>
      <c r="Y314" s="8">
        <v>4501226813</v>
      </c>
      <c r="Z314">
        <v>20200125</v>
      </c>
      <c r="AA314">
        <v>117.8</v>
      </c>
      <c r="AB314">
        <v>18.847999999999999</v>
      </c>
      <c r="AC314">
        <v>136.648</v>
      </c>
      <c r="AD314">
        <v>200211626</v>
      </c>
      <c r="AE314" t="s">
        <v>720</v>
      </c>
      <c r="AF314" s="4">
        <v>136.648</v>
      </c>
      <c r="AG314" t="s">
        <v>1150</v>
      </c>
      <c r="AH314" t="s">
        <v>1123</v>
      </c>
      <c r="AJ314" t="s">
        <v>1148</v>
      </c>
      <c r="AK314" t="s">
        <v>1129</v>
      </c>
      <c r="AL314">
        <v>340255290</v>
      </c>
      <c r="AM314" t="s">
        <v>135</v>
      </c>
    </row>
    <row r="315" spans="1:39" x14ac:dyDescent="0.35">
      <c r="A315">
        <v>3402</v>
      </c>
      <c r="B315" t="s">
        <v>259</v>
      </c>
      <c r="C315">
        <v>2020</v>
      </c>
      <c r="D315" s="1">
        <v>43831</v>
      </c>
      <c r="E315">
        <v>1</v>
      </c>
      <c r="F315">
        <v>200076934</v>
      </c>
      <c r="G315" t="s">
        <v>120</v>
      </c>
      <c r="H315">
        <v>81</v>
      </c>
      <c r="I315">
        <v>71104010</v>
      </c>
      <c r="J315">
        <v>21021040</v>
      </c>
      <c r="K315" t="s">
        <v>121</v>
      </c>
      <c r="L315">
        <v>110.2</v>
      </c>
      <c r="M315" t="s">
        <v>31</v>
      </c>
      <c r="N315">
        <v>110.2</v>
      </c>
      <c r="O315" t="s">
        <v>31</v>
      </c>
      <c r="R315" t="s">
        <v>137</v>
      </c>
      <c r="S315" t="s">
        <v>1131</v>
      </c>
      <c r="T315">
        <v>107211</v>
      </c>
      <c r="U315" t="s">
        <v>123</v>
      </c>
      <c r="X315" t="s">
        <v>259</v>
      </c>
      <c r="Y315" s="8">
        <v>4501226813</v>
      </c>
      <c r="Z315">
        <v>20200125</v>
      </c>
      <c r="AA315">
        <v>110.2</v>
      </c>
      <c r="AB315">
        <v>17.632000000000001</v>
      </c>
      <c r="AC315">
        <v>127.83200000000001</v>
      </c>
      <c r="AD315">
        <v>200211626</v>
      </c>
      <c r="AE315" t="s">
        <v>721</v>
      </c>
      <c r="AF315" s="4">
        <v>127.83200000000001</v>
      </c>
      <c r="AG315" t="s">
        <v>1150</v>
      </c>
      <c r="AH315" t="s">
        <v>1123</v>
      </c>
      <c r="AJ315" t="s">
        <v>1148</v>
      </c>
      <c r="AK315" t="s">
        <v>1129</v>
      </c>
      <c r="AL315">
        <v>340255290</v>
      </c>
      <c r="AM315" t="s">
        <v>135</v>
      </c>
    </row>
    <row r="316" spans="1:39" x14ac:dyDescent="0.35">
      <c r="A316">
        <v>3402</v>
      </c>
      <c r="B316" t="s">
        <v>259</v>
      </c>
      <c r="C316">
        <v>2020</v>
      </c>
      <c r="D316" s="1">
        <v>43831</v>
      </c>
      <c r="E316">
        <v>3</v>
      </c>
      <c r="F316">
        <v>200076934</v>
      </c>
      <c r="G316" t="s">
        <v>120</v>
      </c>
      <c r="H316">
        <v>81</v>
      </c>
      <c r="I316">
        <v>71104010</v>
      </c>
      <c r="J316">
        <v>21021040</v>
      </c>
      <c r="K316" t="s">
        <v>121</v>
      </c>
      <c r="L316">
        <v>121.6</v>
      </c>
      <c r="M316" t="s">
        <v>31</v>
      </c>
      <c r="N316">
        <v>121.6</v>
      </c>
      <c r="O316" t="s">
        <v>31</v>
      </c>
      <c r="R316" t="s">
        <v>137</v>
      </c>
      <c r="S316" t="s">
        <v>1131</v>
      </c>
      <c r="T316">
        <v>107211</v>
      </c>
      <c r="U316" t="s">
        <v>123</v>
      </c>
      <c r="X316" t="s">
        <v>259</v>
      </c>
      <c r="Y316" s="8">
        <v>4501226813</v>
      </c>
      <c r="Z316">
        <v>20200125</v>
      </c>
      <c r="AA316">
        <v>121.6</v>
      </c>
      <c r="AB316">
        <v>19.456</v>
      </c>
      <c r="AC316">
        <v>141.05599999999998</v>
      </c>
      <c r="AD316">
        <v>200211626</v>
      </c>
      <c r="AE316" t="s">
        <v>722</v>
      </c>
      <c r="AF316" s="4">
        <v>141.05599999999998</v>
      </c>
      <c r="AG316" t="s">
        <v>1150</v>
      </c>
      <c r="AH316" t="s">
        <v>1123</v>
      </c>
      <c r="AJ316" t="s">
        <v>1148</v>
      </c>
      <c r="AK316" t="s">
        <v>1129</v>
      </c>
      <c r="AL316">
        <v>340255290</v>
      </c>
      <c r="AM316" t="s">
        <v>135</v>
      </c>
    </row>
    <row r="317" spans="1:39" x14ac:dyDescent="0.35">
      <c r="A317">
        <v>3402</v>
      </c>
      <c r="B317" t="s">
        <v>259</v>
      </c>
      <c r="C317">
        <v>2020</v>
      </c>
      <c r="D317" s="1">
        <v>43831</v>
      </c>
      <c r="E317">
        <v>5</v>
      </c>
      <c r="F317">
        <v>200076934</v>
      </c>
      <c r="G317" t="s">
        <v>120</v>
      </c>
      <c r="H317">
        <v>81</v>
      </c>
      <c r="I317">
        <v>71104010</v>
      </c>
      <c r="J317">
        <v>21021040</v>
      </c>
      <c r="K317" t="s">
        <v>121</v>
      </c>
      <c r="L317">
        <v>114</v>
      </c>
      <c r="M317" t="s">
        <v>31</v>
      </c>
      <c r="N317">
        <v>114</v>
      </c>
      <c r="O317" t="s">
        <v>31</v>
      </c>
      <c r="R317" t="s">
        <v>137</v>
      </c>
      <c r="S317" t="s">
        <v>1131</v>
      </c>
      <c r="T317">
        <v>107211</v>
      </c>
      <c r="U317" t="s">
        <v>123</v>
      </c>
      <c r="X317" t="s">
        <v>259</v>
      </c>
      <c r="Y317" s="8">
        <v>4501226813</v>
      </c>
      <c r="Z317">
        <v>20200125</v>
      </c>
      <c r="AA317">
        <v>114</v>
      </c>
      <c r="AB317">
        <v>18.240000000000002</v>
      </c>
      <c r="AC317">
        <v>132.24</v>
      </c>
      <c r="AD317">
        <v>200211626</v>
      </c>
      <c r="AE317" t="s">
        <v>723</v>
      </c>
      <c r="AF317" s="4">
        <v>132.24</v>
      </c>
      <c r="AG317" t="s">
        <v>1150</v>
      </c>
      <c r="AH317" t="s">
        <v>1123</v>
      </c>
      <c r="AJ317" t="s">
        <v>1148</v>
      </c>
      <c r="AK317" t="s">
        <v>1129</v>
      </c>
      <c r="AL317">
        <v>340255290</v>
      </c>
      <c r="AM317" t="s">
        <v>135</v>
      </c>
    </row>
    <row r="318" spans="1:39" x14ac:dyDescent="0.35">
      <c r="A318">
        <v>3402</v>
      </c>
      <c r="B318" t="s">
        <v>259</v>
      </c>
      <c r="C318">
        <v>2020</v>
      </c>
      <c r="D318" s="1">
        <v>43831</v>
      </c>
      <c r="E318">
        <v>7</v>
      </c>
      <c r="F318">
        <v>200076934</v>
      </c>
      <c r="G318" t="s">
        <v>120</v>
      </c>
      <c r="H318">
        <v>81</v>
      </c>
      <c r="I318">
        <v>71104010</v>
      </c>
      <c r="J318">
        <v>21021040</v>
      </c>
      <c r="K318" t="s">
        <v>121</v>
      </c>
      <c r="L318">
        <v>117.8</v>
      </c>
      <c r="M318" t="s">
        <v>31</v>
      </c>
      <c r="N318">
        <v>117.8</v>
      </c>
      <c r="O318" t="s">
        <v>31</v>
      </c>
      <c r="R318" t="s">
        <v>137</v>
      </c>
      <c r="S318" t="s">
        <v>1131</v>
      </c>
      <c r="T318">
        <v>107211</v>
      </c>
      <c r="U318" t="s">
        <v>123</v>
      </c>
      <c r="X318" t="s">
        <v>259</v>
      </c>
      <c r="Y318" s="8">
        <v>4501226813</v>
      </c>
      <c r="Z318">
        <v>20200125</v>
      </c>
      <c r="AA318">
        <v>117.8</v>
      </c>
      <c r="AB318">
        <v>18.847999999999999</v>
      </c>
      <c r="AC318">
        <v>136.648</v>
      </c>
      <c r="AD318">
        <v>200211626</v>
      </c>
      <c r="AE318" t="s">
        <v>724</v>
      </c>
      <c r="AF318" s="4">
        <v>136.648</v>
      </c>
      <c r="AG318" t="s">
        <v>1150</v>
      </c>
      <c r="AH318" t="s">
        <v>1123</v>
      </c>
      <c r="AJ318" t="s">
        <v>1148</v>
      </c>
      <c r="AK318" t="s">
        <v>1129</v>
      </c>
      <c r="AL318">
        <v>340255290</v>
      </c>
      <c r="AM318" t="s">
        <v>135</v>
      </c>
    </row>
    <row r="319" spans="1:39" x14ac:dyDescent="0.35">
      <c r="A319">
        <v>3402</v>
      </c>
      <c r="B319" t="s">
        <v>259</v>
      </c>
      <c r="C319">
        <v>2020</v>
      </c>
      <c r="D319" s="1">
        <v>43831</v>
      </c>
      <c r="E319">
        <v>9</v>
      </c>
      <c r="F319">
        <v>200076934</v>
      </c>
      <c r="G319" t="s">
        <v>120</v>
      </c>
      <c r="H319">
        <v>81</v>
      </c>
      <c r="I319">
        <v>71104010</v>
      </c>
      <c r="J319">
        <v>21021040</v>
      </c>
      <c r="K319" t="s">
        <v>121</v>
      </c>
      <c r="L319">
        <v>117.8</v>
      </c>
      <c r="M319" t="s">
        <v>31</v>
      </c>
      <c r="N319">
        <v>117.8</v>
      </c>
      <c r="O319" t="s">
        <v>31</v>
      </c>
      <c r="R319" t="s">
        <v>137</v>
      </c>
      <c r="S319" t="s">
        <v>1131</v>
      </c>
      <c r="T319">
        <v>107211</v>
      </c>
      <c r="U319" t="s">
        <v>123</v>
      </c>
      <c r="X319" t="s">
        <v>259</v>
      </c>
      <c r="Y319" s="8">
        <v>4501226813</v>
      </c>
      <c r="Z319">
        <v>20200125</v>
      </c>
      <c r="AA319">
        <v>117.8</v>
      </c>
      <c r="AB319">
        <v>18.847999999999999</v>
      </c>
      <c r="AC319">
        <v>136.648</v>
      </c>
      <c r="AD319">
        <v>200211626</v>
      </c>
      <c r="AE319" t="s">
        <v>725</v>
      </c>
      <c r="AF319" s="4">
        <v>136.648</v>
      </c>
      <c r="AG319" t="s">
        <v>1150</v>
      </c>
      <c r="AH319" t="s">
        <v>1123</v>
      </c>
      <c r="AJ319" t="s">
        <v>1148</v>
      </c>
      <c r="AK319" t="s">
        <v>1129</v>
      </c>
      <c r="AL319">
        <v>340255290</v>
      </c>
      <c r="AM319" t="s">
        <v>135</v>
      </c>
    </row>
    <row r="320" spans="1:39" x14ac:dyDescent="0.35">
      <c r="A320">
        <v>3402</v>
      </c>
      <c r="B320" t="s">
        <v>259</v>
      </c>
      <c r="C320">
        <v>2020</v>
      </c>
      <c r="D320" s="1">
        <v>43831</v>
      </c>
      <c r="E320">
        <v>11</v>
      </c>
      <c r="F320">
        <v>200076934</v>
      </c>
      <c r="G320" t="s">
        <v>120</v>
      </c>
      <c r="H320">
        <v>81</v>
      </c>
      <c r="I320">
        <v>71104010</v>
      </c>
      <c r="J320">
        <v>21021040</v>
      </c>
      <c r="K320" t="s">
        <v>121</v>
      </c>
      <c r="L320">
        <v>117.8</v>
      </c>
      <c r="M320" t="s">
        <v>31</v>
      </c>
      <c r="N320">
        <v>117.8</v>
      </c>
      <c r="O320" t="s">
        <v>31</v>
      </c>
      <c r="R320" t="s">
        <v>137</v>
      </c>
      <c r="S320" t="s">
        <v>1131</v>
      </c>
      <c r="T320">
        <v>107211</v>
      </c>
      <c r="U320" t="s">
        <v>123</v>
      </c>
      <c r="X320" t="s">
        <v>259</v>
      </c>
      <c r="Y320" s="8">
        <v>4501226813</v>
      </c>
      <c r="Z320">
        <v>20200125</v>
      </c>
      <c r="AA320">
        <v>117.8</v>
      </c>
      <c r="AB320">
        <v>18.847999999999999</v>
      </c>
      <c r="AC320">
        <v>136.648</v>
      </c>
      <c r="AD320">
        <v>200211626</v>
      </c>
      <c r="AE320" t="s">
        <v>726</v>
      </c>
      <c r="AF320" s="4">
        <v>136.648</v>
      </c>
      <c r="AG320" t="s">
        <v>1150</v>
      </c>
      <c r="AH320" t="s">
        <v>1123</v>
      </c>
      <c r="AJ320" t="s">
        <v>1148</v>
      </c>
      <c r="AK320" t="s">
        <v>1129</v>
      </c>
      <c r="AL320">
        <v>340255290</v>
      </c>
      <c r="AM320" t="s">
        <v>135</v>
      </c>
    </row>
    <row r="321" spans="1:39" x14ac:dyDescent="0.35">
      <c r="A321">
        <v>3402</v>
      </c>
      <c r="B321" t="s">
        <v>259</v>
      </c>
      <c r="C321">
        <v>2020</v>
      </c>
      <c r="D321" s="1">
        <v>43831</v>
      </c>
      <c r="E321">
        <v>1</v>
      </c>
      <c r="F321">
        <v>200076936</v>
      </c>
      <c r="G321" t="s">
        <v>120</v>
      </c>
      <c r="H321">
        <v>81</v>
      </c>
      <c r="I321">
        <v>71104010</v>
      </c>
      <c r="J321">
        <v>21021040</v>
      </c>
      <c r="K321" t="s">
        <v>121</v>
      </c>
      <c r="L321">
        <v>114</v>
      </c>
      <c r="M321" t="s">
        <v>31</v>
      </c>
      <c r="N321">
        <v>114</v>
      </c>
      <c r="O321" t="s">
        <v>31</v>
      </c>
      <c r="R321" t="s">
        <v>137</v>
      </c>
      <c r="S321" t="s">
        <v>1131</v>
      </c>
      <c r="T321">
        <v>107211</v>
      </c>
      <c r="U321" t="s">
        <v>123</v>
      </c>
      <c r="X321" t="s">
        <v>259</v>
      </c>
      <c r="Y321" s="8">
        <v>4501226813</v>
      </c>
      <c r="Z321">
        <v>20200125</v>
      </c>
      <c r="AA321">
        <v>114</v>
      </c>
      <c r="AB321">
        <v>18.240000000000002</v>
      </c>
      <c r="AC321">
        <v>132.24</v>
      </c>
      <c r="AD321">
        <v>200211626</v>
      </c>
      <c r="AE321" t="s">
        <v>727</v>
      </c>
      <c r="AF321" s="4">
        <v>132.24</v>
      </c>
      <c r="AG321" t="s">
        <v>1150</v>
      </c>
      <c r="AH321" t="s">
        <v>1123</v>
      </c>
      <c r="AJ321" t="s">
        <v>1148</v>
      </c>
      <c r="AK321" t="s">
        <v>1129</v>
      </c>
      <c r="AL321">
        <v>340255290</v>
      </c>
      <c r="AM321" t="s">
        <v>135</v>
      </c>
    </row>
    <row r="322" spans="1:39" x14ac:dyDescent="0.35">
      <c r="A322">
        <v>3402</v>
      </c>
      <c r="B322" t="s">
        <v>259</v>
      </c>
      <c r="C322">
        <v>2020</v>
      </c>
      <c r="D322" s="1">
        <v>43831</v>
      </c>
      <c r="E322">
        <v>3</v>
      </c>
      <c r="F322">
        <v>200076936</v>
      </c>
      <c r="G322" t="s">
        <v>120</v>
      </c>
      <c r="H322">
        <v>81</v>
      </c>
      <c r="I322">
        <v>71104010</v>
      </c>
      <c r="J322">
        <v>21021040</v>
      </c>
      <c r="K322" t="s">
        <v>121</v>
      </c>
      <c r="L322">
        <v>117.8</v>
      </c>
      <c r="M322" t="s">
        <v>31</v>
      </c>
      <c r="N322">
        <v>117.8</v>
      </c>
      <c r="O322" t="s">
        <v>31</v>
      </c>
      <c r="R322" t="s">
        <v>137</v>
      </c>
      <c r="S322" t="s">
        <v>1131</v>
      </c>
      <c r="T322">
        <v>107211</v>
      </c>
      <c r="U322" t="s">
        <v>123</v>
      </c>
      <c r="X322" t="s">
        <v>259</v>
      </c>
      <c r="Y322" s="8">
        <v>4501226813</v>
      </c>
      <c r="Z322">
        <v>20200125</v>
      </c>
      <c r="AA322">
        <v>117.8</v>
      </c>
      <c r="AB322">
        <v>18.847999999999999</v>
      </c>
      <c r="AC322">
        <v>136.648</v>
      </c>
      <c r="AD322">
        <v>200211626</v>
      </c>
      <c r="AE322" t="s">
        <v>728</v>
      </c>
      <c r="AF322" s="4">
        <v>136.648</v>
      </c>
      <c r="AG322" t="s">
        <v>1150</v>
      </c>
      <c r="AH322" t="s">
        <v>1123</v>
      </c>
      <c r="AJ322" t="s">
        <v>1148</v>
      </c>
      <c r="AK322" t="s">
        <v>1129</v>
      </c>
      <c r="AL322">
        <v>340255290</v>
      </c>
      <c r="AM322" t="s">
        <v>135</v>
      </c>
    </row>
    <row r="323" spans="1:39" x14ac:dyDescent="0.35">
      <c r="A323">
        <v>3402</v>
      </c>
      <c r="B323" t="s">
        <v>259</v>
      </c>
      <c r="C323">
        <v>2020</v>
      </c>
      <c r="D323" s="1">
        <v>43831</v>
      </c>
      <c r="E323">
        <v>5</v>
      </c>
      <c r="F323">
        <v>200076936</v>
      </c>
      <c r="G323" t="s">
        <v>120</v>
      </c>
      <c r="H323">
        <v>81</v>
      </c>
      <c r="I323">
        <v>71104010</v>
      </c>
      <c r="J323">
        <v>21021040</v>
      </c>
      <c r="K323" t="s">
        <v>121</v>
      </c>
      <c r="L323">
        <v>117.8</v>
      </c>
      <c r="M323" t="s">
        <v>31</v>
      </c>
      <c r="N323">
        <v>117.8</v>
      </c>
      <c r="O323" t="s">
        <v>31</v>
      </c>
      <c r="R323" t="s">
        <v>137</v>
      </c>
      <c r="S323" t="s">
        <v>1131</v>
      </c>
      <c r="T323">
        <v>107211</v>
      </c>
      <c r="U323" t="s">
        <v>123</v>
      </c>
      <c r="X323" t="s">
        <v>259</v>
      </c>
      <c r="Y323" s="8">
        <v>4501226813</v>
      </c>
      <c r="Z323">
        <v>20200125</v>
      </c>
      <c r="AA323">
        <v>117.8</v>
      </c>
      <c r="AB323">
        <v>18.847999999999999</v>
      </c>
      <c r="AC323">
        <v>136.648</v>
      </c>
      <c r="AD323">
        <v>200211626</v>
      </c>
      <c r="AE323" t="s">
        <v>729</v>
      </c>
      <c r="AF323" s="4">
        <v>136.648</v>
      </c>
      <c r="AG323" t="s">
        <v>1150</v>
      </c>
      <c r="AH323" t="s">
        <v>1123</v>
      </c>
      <c r="AJ323" t="s">
        <v>1148</v>
      </c>
      <c r="AK323" t="s">
        <v>1129</v>
      </c>
      <c r="AL323">
        <v>340255290</v>
      </c>
      <c r="AM323" t="s">
        <v>135</v>
      </c>
    </row>
    <row r="324" spans="1:39" x14ac:dyDescent="0.35">
      <c r="A324">
        <v>3402</v>
      </c>
      <c r="B324" t="s">
        <v>259</v>
      </c>
      <c r="C324">
        <v>2020</v>
      </c>
      <c r="D324" s="1">
        <v>43831</v>
      </c>
      <c r="E324">
        <v>1</v>
      </c>
      <c r="F324">
        <v>200076937</v>
      </c>
      <c r="G324" t="s">
        <v>120</v>
      </c>
      <c r="H324">
        <v>81</v>
      </c>
      <c r="I324">
        <v>71104010</v>
      </c>
      <c r="J324">
        <v>21021040</v>
      </c>
      <c r="K324" t="s">
        <v>121</v>
      </c>
      <c r="L324">
        <v>9</v>
      </c>
      <c r="M324" t="s">
        <v>31</v>
      </c>
      <c r="N324">
        <v>9</v>
      </c>
      <c r="O324" t="s">
        <v>31</v>
      </c>
      <c r="R324" t="s">
        <v>137</v>
      </c>
      <c r="S324" t="s">
        <v>1131</v>
      </c>
      <c r="T324">
        <v>107211</v>
      </c>
      <c r="U324" t="s">
        <v>123</v>
      </c>
      <c r="X324" t="s">
        <v>259</v>
      </c>
      <c r="Y324" s="8">
        <v>4501226813</v>
      </c>
      <c r="Z324">
        <v>20200125</v>
      </c>
      <c r="AA324">
        <v>9</v>
      </c>
      <c r="AB324">
        <v>1.44</v>
      </c>
      <c r="AC324">
        <v>10.44</v>
      </c>
      <c r="AD324">
        <v>200211626</v>
      </c>
      <c r="AE324" t="s">
        <v>730</v>
      </c>
      <c r="AF324" s="4">
        <v>10.44</v>
      </c>
      <c r="AG324" t="s">
        <v>1150</v>
      </c>
      <c r="AH324" t="s">
        <v>1123</v>
      </c>
      <c r="AJ324" t="s">
        <v>1148</v>
      </c>
      <c r="AK324" t="s">
        <v>1129</v>
      </c>
      <c r="AL324">
        <v>340255290</v>
      </c>
      <c r="AM324" t="s">
        <v>135</v>
      </c>
    </row>
    <row r="325" spans="1:39" x14ac:dyDescent="0.35">
      <c r="A325">
        <v>3402</v>
      </c>
      <c r="B325" t="s">
        <v>259</v>
      </c>
      <c r="C325">
        <v>2020</v>
      </c>
      <c r="D325" s="1">
        <v>43831</v>
      </c>
      <c r="E325">
        <v>3</v>
      </c>
      <c r="F325">
        <v>200076937</v>
      </c>
      <c r="G325" t="s">
        <v>120</v>
      </c>
      <c r="H325">
        <v>81</v>
      </c>
      <c r="I325">
        <v>71104010</v>
      </c>
      <c r="J325">
        <v>21021040</v>
      </c>
      <c r="K325" t="s">
        <v>121</v>
      </c>
      <c r="L325">
        <v>0.05</v>
      </c>
      <c r="M325" t="s">
        <v>31</v>
      </c>
      <c r="N325">
        <v>0.05</v>
      </c>
      <c r="O325" t="s">
        <v>31</v>
      </c>
      <c r="R325" t="s">
        <v>137</v>
      </c>
      <c r="S325" t="s">
        <v>1131</v>
      </c>
      <c r="T325">
        <v>107211</v>
      </c>
      <c r="U325" t="s">
        <v>123</v>
      </c>
      <c r="X325" t="s">
        <v>259</v>
      </c>
      <c r="Y325" s="8">
        <v>4501226813</v>
      </c>
      <c r="Z325">
        <v>20200125</v>
      </c>
      <c r="AA325">
        <v>0.05</v>
      </c>
      <c r="AB325">
        <v>8.0000000000000002E-3</v>
      </c>
      <c r="AC325">
        <v>5.8000000000000003E-2</v>
      </c>
      <c r="AD325">
        <v>200211626</v>
      </c>
      <c r="AE325" t="s">
        <v>731</v>
      </c>
      <c r="AF325" s="4">
        <v>5.8000000000000003E-2</v>
      </c>
      <c r="AG325" t="s">
        <v>1150</v>
      </c>
      <c r="AH325" t="s">
        <v>1123</v>
      </c>
      <c r="AJ325" t="s">
        <v>1148</v>
      </c>
      <c r="AK325" t="s">
        <v>1129</v>
      </c>
      <c r="AL325">
        <v>340255290</v>
      </c>
      <c r="AM325" t="s">
        <v>135</v>
      </c>
    </row>
    <row r="326" spans="1:39" x14ac:dyDescent="0.35">
      <c r="A326">
        <v>3402</v>
      </c>
      <c r="B326" t="s">
        <v>259</v>
      </c>
      <c r="C326">
        <v>2020</v>
      </c>
      <c r="D326" s="1">
        <v>43831</v>
      </c>
      <c r="E326">
        <v>5</v>
      </c>
      <c r="F326">
        <v>200076937</v>
      </c>
      <c r="G326" t="s">
        <v>120</v>
      </c>
      <c r="H326">
        <v>81</v>
      </c>
      <c r="I326">
        <v>71104010</v>
      </c>
      <c r="J326">
        <v>21021040</v>
      </c>
      <c r="K326" t="s">
        <v>121</v>
      </c>
      <c r="L326">
        <v>31.5</v>
      </c>
      <c r="M326" t="s">
        <v>31</v>
      </c>
      <c r="N326">
        <v>31.5</v>
      </c>
      <c r="O326" t="s">
        <v>31</v>
      </c>
      <c r="R326" t="s">
        <v>137</v>
      </c>
      <c r="S326" t="s">
        <v>1131</v>
      </c>
      <c r="T326">
        <v>107211</v>
      </c>
      <c r="U326" t="s">
        <v>123</v>
      </c>
      <c r="X326" t="s">
        <v>259</v>
      </c>
      <c r="Y326" s="8">
        <v>4501226813</v>
      </c>
      <c r="Z326">
        <v>20200125</v>
      </c>
      <c r="AA326">
        <v>31.5</v>
      </c>
      <c r="AB326">
        <v>5.04</v>
      </c>
      <c r="AC326">
        <v>36.54</v>
      </c>
      <c r="AD326">
        <v>200211626</v>
      </c>
      <c r="AE326" t="s">
        <v>732</v>
      </c>
      <c r="AF326" s="4">
        <v>36.54</v>
      </c>
      <c r="AG326" t="s">
        <v>1150</v>
      </c>
      <c r="AH326" t="s">
        <v>1123</v>
      </c>
      <c r="AJ326" t="s">
        <v>1148</v>
      </c>
      <c r="AK326" t="s">
        <v>1129</v>
      </c>
      <c r="AL326">
        <v>340255290</v>
      </c>
      <c r="AM326" t="s">
        <v>135</v>
      </c>
    </row>
    <row r="327" spans="1:39" x14ac:dyDescent="0.35">
      <c r="A327">
        <v>3402</v>
      </c>
      <c r="B327" t="s">
        <v>259</v>
      </c>
      <c r="C327">
        <v>2020</v>
      </c>
      <c r="D327" s="1">
        <v>43831</v>
      </c>
      <c r="E327">
        <v>7</v>
      </c>
      <c r="F327">
        <v>200076937</v>
      </c>
      <c r="G327" t="s">
        <v>120</v>
      </c>
      <c r="H327">
        <v>81</v>
      </c>
      <c r="I327">
        <v>71104010</v>
      </c>
      <c r="J327">
        <v>21021040</v>
      </c>
      <c r="K327" t="s">
        <v>121</v>
      </c>
      <c r="L327">
        <v>31.5</v>
      </c>
      <c r="M327" t="s">
        <v>31</v>
      </c>
      <c r="N327">
        <v>31.5</v>
      </c>
      <c r="O327" t="s">
        <v>31</v>
      </c>
      <c r="R327" t="s">
        <v>137</v>
      </c>
      <c r="S327" t="s">
        <v>1131</v>
      </c>
      <c r="T327">
        <v>107211</v>
      </c>
      <c r="U327" t="s">
        <v>123</v>
      </c>
      <c r="X327" t="s">
        <v>259</v>
      </c>
      <c r="Y327" s="8">
        <v>4501226813</v>
      </c>
      <c r="Z327">
        <v>20200125</v>
      </c>
      <c r="AA327">
        <v>31.5</v>
      </c>
      <c r="AB327">
        <v>5.04</v>
      </c>
      <c r="AC327">
        <v>36.54</v>
      </c>
      <c r="AD327">
        <v>200211626</v>
      </c>
      <c r="AE327" t="s">
        <v>733</v>
      </c>
      <c r="AF327" s="4">
        <v>36.54</v>
      </c>
      <c r="AG327" t="s">
        <v>1150</v>
      </c>
      <c r="AH327" t="s">
        <v>1123</v>
      </c>
      <c r="AJ327" t="s">
        <v>1148</v>
      </c>
      <c r="AK327" t="s">
        <v>1129</v>
      </c>
      <c r="AL327">
        <v>340255290</v>
      </c>
      <c r="AM327" t="s">
        <v>135</v>
      </c>
    </row>
    <row r="328" spans="1:39" x14ac:dyDescent="0.35">
      <c r="A328">
        <v>3402</v>
      </c>
      <c r="B328" t="s">
        <v>259</v>
      </c>
      <c r="C328">
        <v>2020</v>
      </c>
      <c r="D328" s="1">
        <v>43831</v>
      </c>
      <c r="E328">
        <v>9</v>
      </c>
      <c r="F328">
        <v>200076937</v>
      </c>
      <c r="G328" t="s">
        <v>120</v>
      </c>
      <c r="H328">
        <v>81</v>
      </c>
      <c r="I328">
        <v>71104010</v>
      </c>
      <c r="J328">
        <v>21021040</v>
      </c>
      <c r="K328" t="s">
        <v>121</v>
      </c>
      <c r="L328">
        <v>13.5</v>
      </c>
      <c r="M328" t="s">
        <v>31</v>
      </c>
      <c r="N328">
        <v>13.5</v>
      </c>
      <c r="O328" t="s">
        <v>31</v>
      </c>
      <c r="R328" t="s">
        <v>137</v>
      </c>
      <c r="S328" t="s">
        <v>1131</v>
      </c>
      <c r="T328">
        <v>107211</v>
      </c>
      <c r="U328" t="s">
        <v>123</v>
      </c>
      <c r="X328" t="s">
        <v>259</v>
      </c>
      <c r="Y328" s="8">
        <v>4501226813</v>
      </c>
      <c r="Z328">
        <v>20200125</v>
      </c>
      <c r="AA328">
        <v>13.5</v>
      </c>
      <c r="AB328">
        <v>2.16</v>
      </c>
      <c r="AC328">
        <v>15.66</v>
      </c>
      <c r="AD328">
        <v>200211626</v>
      </c>
      <c r="AE328" t="s">
        <v>734</v>
      </c>
      <c r="AF328" s="4">
        <v>15.66</v>
      </c>
      <c r="AG328" t="s">
        <v>1150</v>
      </c>
      <c r="AH328" t="s">
        <v>1123</v>
      </c>
      <c r="AJ328" t="s">
        <v>1148</v>
      </c>
      <c r="AK328" t="s">
        <v>1129</v>
      </c>
      <c r="AL328">
        <v>340255290</v>
      </c>
      <c r="AM328" t="s">
        <v>135</v>
      </c>
    </row>
    <row r="329" spans="1:39" x14ac:dyDescent="0.35">
      <c r="A329">
        <v>3402</v>
      </c>
      <c r="B329" t="s">
        <v>259</v>
      </c>
      <c r="C329">
        <v>2020</v>
      </c>
      <c r="D329" s="1">
        <v>43831</v>
      </c>
      <c r="E329">
        <v>11</v>
      </c>
      <c r="F329">
        <v>200076937</v>
      </c>
      <c r="G329" t="s">
        <v>120</v>
      </c>
      <c r="H329">
        <v>81</v>
      </c>
      <c r="I329">
        <v>71104010</v>
      </c>
      <c r="J329">
        <v>21021040</v>
      </c>
      <c r="K329" t="s">
        <v>121</v>
      </c>
      <c r="L329">
        <v>9</v>
      </c>
      <c r="M329" t="s">
        <v>31</v>
      </c>
      <c r="N329">
        <v>9</v>
      </c>
      <c r="O329" t="s">
        <v>31</v>
      </c>
      <c r="R329" t="s">
        <v>137</v>
      </c>
      <c r="S329" t="s">
        <v>1131</v>
      </c>
      <c r="T329">
        <v>107211</v>
      </c>
      <c r="U329" t="s">
        <v>123</v>
      </c>
      <c r="X329" t="s">
        <v>259</v>
      </c>
      <c r="Y329" s="8">
        <v>4501226813</v>
      </c>
      <c r="Z329">
        <v>20200125</v>
      </c>
      <c r="AA329">
        <v>9</v>
      </c>
      <c r="AB329">
        <v>1.44</v>
      </c>
      <c r="AC329">
        <v>10.44</v>
      </c>
      <c r="AD329">
        <v>200211626</v>
      </c>
      <c r="AE329" t="s">
        <v>735</v>
      </c>
      <c r="AF329" s="4">
        <v>10.44</v>
      </c>
      <c r="AG329" t="s">
        <v>1150</v>
      </c>
      <c r="AH329" t="s">
        <v>1123</v>
      </c>
      <c r="AJ329" t="s">
        <v>1148</v>
      </c>
      <c r="AK329" t="s">
        <v>1129</v>
      </c>
      <c r="AL329">
        <v>340255290</v>
      </c>
      <c r="AM329" t="s">
        <v>135</v>
      </c>
    </row>
    <row r="330" spans="1:39" x14ac:dyDescent="0.35">
      <c r="A330">
        <v>3402</v>
      </c>
      <c r="B330" t="s">
        <v>259</v>
      </c>
      <c r="C330">
        <v>2020</v>
      </c>
      <c r="D330" s="1">
        <v>43831</v>
      </c>
      <c r="E330">
        <v>13</v>
      </c>
      <c r="F330">
        <v>200076937</v>
      </c>
      <c r="G330" t="s">
        <v>120</v>
      </c>
      <c r="H330">
        <v>81</v>
      </c>
      <c r="I330">
        <v>71104010</v>
      </c>
      <c r="J330">
        <v>21021040</v>
      </c>
      <c r="K330" t="s">
        <v>121</v>
      </c>
      <c r="L330">
        <v>4.5</v>
      </c>
      <c r="M330" t="s">
        <v>31</v>
      </c>
      <c r="N330">
        <v>4.5</v>
      </c>
      <c r="O330" t="s">
        <v>31</v>
      </c>
      <c r="R330" t="s">
        <v>137</v>
      </c>
      <c r="S330" t="s">
        <v>1131</v>
      </c>
      <c r="T330">
        <v>107211</v>
      </c>
      <c r="U330" t="s">
        <v>123</v>
      </c>
      <c r="X330" t="s">
        <v>259</v>
      </c>
      <c r="Y330" s="8">
        <v>4501226813</v>
      </c>
      <c r="Z330">
        <v>20200125</v>
      </c>
      <c r="AA330">
        <v>4.5</v>
      </c>
      <c r="AB330">
        <v>0.72</v>
      </c>
      <c r="AC330">
        <v>5.22</v>
      </c>
      <c r="AD330">
        <v>200211626</v>
      </c>
      <c r="AE330" t="s">
        <v>736</v>
      </c>
      <c r="AF330" s="4">
        <v>5.22</v>
      </c>
      <c r="AG330" t="s">
        <v>1150</v>
      </c>
      <c r="AH330" t="s">
        <v>1123</v>
      </c>
      <c r="AJ330" t="s">
        <v>1148</v>
      </c>
      <c r="AK330" t="s">
        <v>1129</v>
      </c>
      <c r="AL330">
        <v>340255290</v>
      </c>
      <c r="AM330" t="s">
        <v>135</v>
      </c>
    </row>
    <row r="331" spans="1:39" x14ac:dyDescent="0.35">
      <c r="A331">
        <v>3402</v>
      </c>
      <c r="B331" t="s">
        <v>259</v>
      </c>
      <c r="C331">
        <v>2020</v>
      </c>
      <c r="D331" s="1">
        <v>43831</v>
      </c>
      <c r="E331">
        <v>15</v>
      </c>
      <c r="F331">
        <v>200076937</v>
      </c>
      <c r="G331" t="s">
        <v>120</v>
      </c>
      <c r="H331">
        <v>81</v>
      </c>
      <c r="I331">
        <v>71104010</v>
      </c>
      <c r="J331">
        <v>21021040</v>
      </c>
      <c r="K331" t="s">
        <v>121</v>
      </c>
      <c r="L331">
        <v>0.05</v>
      </c>
      <c r="M331" t="s">
        <v>31</v>
      </c>
      <c r="N331">
        <v>0.05</v>
      </c>
      <c r="O331" t="s">
        <v>31</v>
      </c>
      <c r="R331" t="s">
        <v>137</v>
      </c>
      <c r="S331" t="s">
        <v>1131</v>
      </c>
      <c r="T331">
        <v>107211</v>
      </c>
      <c r="U331" t="s">
        <v>123</v>
      </c>
      <c r="X331" t="s">
        <v>259</v>
      </c>
      <c r="Y331" s="8">
        <v>4501226813</v>
      </c>
      <c r="Z331">
        <v>20200125</v>
      </c>
      <c r="AA331">
        <v>0.05</v>
      </c>
      <c r="AB331">
        <v>8.0000000000000002E-3</v>
      </c>
      <c r="AC331">
        <v>5.8000000000000003E-2</v>
      </c>
      <c r="AD331">
        <v>200211626</v>
      </c>
      <c r="AE331" t="s">
        <v>737</v>
      </c>
      <c r="AF331" s="4">
        <v>5.8000000000000003E-2</v>
      </c>
      <c r="AG331" t="s">
        <v>1150</v>
      </c>
      <c r="AH331" t="s">
        <v>1123</v>
      </c>
      <c r="AJ331" t="s">
        <v>1148</v>
      </c>
      <c r="AK331" t="s">
        <v>1129</v>
      </c>
      <c r="AL331">
        <v>340255290</v>
      </c>
      <c r="AM331" t="s">
        <v>135</v>
      </c>
    </row>
    <row r="332" spans="1:39" x14ac:dyDescent="0.35">
      <c r="A332">
        <v>3402</v>
      </c>
      <c r="B332" t="s">
        <v>259</v>
      </c>
      <c r="C332">
        <v>2020</v>
      </c>
      <c r="D332" s="1">
        <v>43831</v>
      </c>
      <c r="E332">
        <v>17</v>
      </c>
      <c r="F332">
        <v>200076937</v>
      </c>
      <c r="G332" t="s">
        <v>120</v>
      </c>
      <c r="H332">
        <v>81</v>
      </c>
      <c r="I332">
        <v>71104010</v>
      </c>
      <c r="J332">
        <v>21021040</v>
      </c>
      <c r="K332" t="s">
        <v>121</v>
      </c>
      <c r="L332">
        <v>0.05</v>
      </c>
      <c r="M332" t="s">
        <v>31</v>
      </c>
      <c r="N332">
        <v>0.05</v>
      </c>
      <c r="O332" t="s">
        <v>31</v>
      </c>
      <c r="R332" t="s">
        <v>137</v>
      </c>
      <c r="S332" t="s">
        <v>1131</v>
      </c>
      <c r="T332">
        <v>107211</v>
      </c>
      <c r="U332" t="s">
        <v>123</v>
      </c>
      <c r="X332" t="s">
        <v>259</v>
      </c>
      <c r="Y332" s="8">
        <v>4501226813</v>
      </c>
      <c r="Z332">
        <v>20200125</v>
      </c>
      <c r="AA332">
        <v>0.05</v>
      </c>
      <c r="AB332">
        <v>8.0000000000000002E-3</v>
      </c>
      <c r="AC332">
        <v>5.8000000000000003E-2</v>
      </c>
      <c r="AD332">
        <v>200211626</v>
      </c>
      <c r="AE332" t="s">
        <v>738</v>
      </c>
      <c r="AF332" s="4">
        <v>5.8000000000000003E-2</v>
      </c>
      <c r="AG332" t="s">
        <v>1150</v>
      </c>
      <c r="AH332" t="s">
        <v>1123</v>
      </c>
      <c r="AJ332" t="s">
        <v>1148</v>
      </c>
      <c r="AK332" t="s">
        <v>1129</v>
      </c>
      <c r="AL332">
        <v>340255290</v>
      </c>
      <c r="AM332" t="s">
        <v>135</v>
      </c>
    </row>
    <row r="333" spans="1:39" x14ac:dyDescent="0.35">
      <c r="A333">
        <v>3402</v>
      </c>
      <c r="B333" t="s">
        <v>259</v>
      </c>
      <c r="C333">
        <v>2020</v>
      </c>
      <c r="D333" s="1">
        <v>43831</v>
      </c>
      <c r="E333">
        <v>19</v>
      </c>
      <c r="F333">
        <v>200076937</v>
      </c>
      <c r="G333" t="s">
        <v>120</v>
      </c>
      <c r="H333">
        <v>81</v>
      </c>
      <c r="I333">
        <v>71104010</v>
      </c>
      <c r="J333">
        <v>21021040</v>
      </c>
      <c r="K333" t="s">
        <v>121</v>
      </c>
      <c r="L333">
        <v>4.5</v>
      </c>
      <c r="M333" t="s">
        <v>31</v>
      </c>
      <c r="N333">
        <v>4.5</v>
      </c>
      <c r="O333" t="s">
        <v>31</v>
      </c>
      <c r="R333" t="s">
        <v>137</v>
      </c>
      <c r="S333" t="s">
        <v>1131</v>
      </c>
      <c r="T333">
        <v>107211</v>
      </c>
      <c r="U333" t="s">
        <v>123</v>
      </c>
      <c r="X333" t="s">
        <v>259</v>
      </c>
      <c r="Y333" s="8">
        <v>4501226813</v>
      </c>
      <c r="Z333">
        <v>20200125</v>
      </c>
      <c r="AA333">
        <v>4.5</v>
      </c>
      <c r="AB333">
        <v>0.72</v>
      </c>
      <c r="AC333">
        <v>5.22</v>
      </c>
      <c r="AD333">
        <v>200211626</v>
      </c>
      <c r="AE333" t="s">
        <v>739</v>
      </c>
      <c r="AF333" s="4">
        <v>5.22</v>
      </c>
      <c r="AG333" t="s">
        <v>1150</v>
      </c>
      <c r="AH333" t="s">
        <v>1123</v>
      </c>
      <c r="AJ333" t="s">
        <v>1148</v>
      </c>
      <c r="AK333" t="s">
        <v>1129</v>
      </c>
      <c r="AL333">
        <v>340255290</v>
      </c>
      <c r="AM333" t="s">
        <v>135</v>
      </c>
    </row>
    <row r="334" spans="1:39" x14ac:dyDescent="0.35">
      <c r="A334">
        <v>3402</v>
      </c>
      <c r="B334" t="s">
        <v>259</v>
      </c>
      <c r="C334">
        <v>2020</v>
      </c>
      <c r="D334" s="1">
        <v>43831</v>
      </c>
      <c r="E334">
        <v>21</v>
      </c>
      <c r="F334">
        <v>200076937</v>
      </c>
      <c r="G334" t="s">
        <v>120</v>
      </c>
      <c r="H334">
        <v>81</v>
      </c>
      <c r="I334">
        <v>71104010</v>
      </c>
      <c r="J334">
        <v>21021040</v>
      </c>
      <c r="K334" t="s">
        <v>121</v>
      </c>
      <c r="L334">
        <v>0.05</v>
      </c>
      <c r="M334" t="s">
        <v>31</v>
      </c>
      <c r="N334">
        <v>0.05</v>
      </c>
      <c r="O334" t="s">
        <v>31</v>
      </c>
      <c r="R334" t="s">
        <v>137</v>
      </c>
      <c r="S334" t="s">
        <v>1131</v>
      </c>
      <c r="T334">
        <v>107211</v>
      </c>
      <c r="U334" t="s">
        <v>123</v>
      </c>
      <c r="X334" t="s">
        <v>259</v>
      </c>
      <c r="Y334" s="8">
        <v>4501226813</v>
      </c>
      <c r="Z334">
        <v>20200125</v>
      </c>
      <c r="AA334">
        <v>0.05</v>
      </c>
      <c r="AB334">
        <v>8.0000000000000002E-3</v>
      </c>
      <c r="AC334">
        <v>5.8000000000000003E-2</v>
      </c>
      <c r="AD334">
        <v>200211626</v>
      </c>
      <c r="AE334" t="s">
        <v>740</v>
      </c>
      <c r="AF334" s="4">
        <v>5.8000000000000003E-2</v>
      </c>
      <c r="AG334" t="s">
        <v>1150</v>
      </c>
      <c r="AH334" t="s">
        <v>1123</v>
      </c>
      <c r="AJ334" t="s">
        <v>1148</v>
      </c>
      <c r="AK334" t="s">
        <v>1129</v>
      </c>
      <c r="AL334">
        <v>340255290</v>
      </c>
      <c r="AM334" t="s">
        <v>135</v>
      </c>
    </row>
    <row r="335" spans="1:39" x14ac:dyDescent="0.35">
      <c r="A335">
        <v>3402</v>
      </c>
      <c r="B335" t="s">
        <v>259</v>
      </c>
      <c r="C335">
        <v>2020</v>
      </c>
      <c r="D335" s="1">
        <v>43831</v>
      </c>
      <c r="E335">
        <v>23</v>
      </c>
      <c r="F335">
        <v>200076937</v>
      </c>
      <c r="G335" t="s">
        <v>120</v>
      </c>
      <c r="H335">
        <v>81</v>
      </c>
      <c r="I335">
        <v>71104010</v>
      </c>
      <c r="J335">
        <v>21021040</v>
      </c>
      <c r="K335" t="s">
        <v>121</v>
      </c>
      <c r="L335">
        <v>0.05</v>
      </c>
      <c r="M335" t="s">
        <v>31</v>
      </c>
      <c r="N335">
        <v>0.05</v>
      </c>
      <c r="O335" t="s">
        <v>31</v>
      </c>
      <c r="R335" t="s">
        <v>137</v>
      </c>
      <c r="S335" t="s">
        <v>1131</v>
      </c>
      <c r="T335">
        <v>107211</v>
      </c>
      <c r="U335" t="s">
        <v>123</v>
      </c>
      <c r="X335" t="s">
        <v>259</v>
      </c>
      <c r="Y335" s="8">
        <v>4501226813</v>
      </c>
      <c r="Z335">
        <v>20200125</v>
      </c>
      <c r="AA335">
        <v>0.05</v>
      </c>
      <c r="AB335">
        <v>8.0000000000000002E-3</v>
      </c>
      <c r="AC335">
        <v>5.8000000000000003E-2</v>
      </c>
      <c r="AD335">
        <v>200211626</v>
      </c>
      <c r="AE335" t="s">
        <v>741</v>
      </c>
      <c r="AF335" s="4">
        <v>5.8000000000000003E-2</v>
      </c>
      <c r="AG335" t="s">
        <v>1150</v>
      </c>
      <c r="AH335" t="s">
        <v>1123</v>
      </c>
      <c r="AJ335" t="s">
        <v>1148</v>
      </c>
      <c r="AK335" t="s">
        <v>1129</v>
      </c>
      <c r="AL335">
        <v>340255290</v>
      </c>
      <c r="AM335" t="s">
        <v>135</v>
      </c>
    </row>
    <row r="336" spans="1:39" x14ac:dyDescent="0.35">
      <c r="A336">
        <v>3402</v>
      </c>
      <c r="B336" t="s">
        <v>259</v>
      </c>
      <c r="C336">
        <v>2020</v>
      </c>
      <c r="D336" s="1">
        <v>43831</v>
      </c>
      <c r="E336">
        <v>25</v>
      </c>
      <c r="F336">
        <v>200076937</v>
      </c>
      <c r="G336" t="s">
        <v>120</v>
      </c>
      <c r="H336">
        <v>81</v>
      </c>
      <c r="I336">
        <v>71104010</v>
      </c>
      <c r="J336">
        <v>21021040</v>
      </c>
      <c r="K336" t="s">
        <v>121</v>
      </c>
      <c r="L336">
        <v>0.05</v>
      </c>
      <c r="M336" t="s">
        <v>31</v>
      </c>
      <c r="N336">
        <v>0.05</v>
      </c>
      <c r="O336" t="s">
        <v>31</v>
      </c>
      <c r="R336" t="s">
        <v>137</v>
      </c>
      <c r="S336" t="s">
        <v>1131</v>
      </c>
      <c r="T336">
        <v>107211</v>
      </c>
      <c r="U336" t="s">
        <v>123</v>
      </c>
      <c r="X336" t="s">
        <v>259</v>
      </c>
      <c r="Y336" s="8">
        <v>4501226813</v>
      </c>
      <c r="Z336">
        <v>20200125</v>
      </c>
      <c r="AA336">
        <v>0.05</v>
      </c>
      <c r="AB336">
        <v>8.0000000000000002E-3</v>
      </c>
      <c r="AC336">
        <v>5.8000000000000003E-2</v>
      </c>
      <c r="AD336">
        <v>200211626</v>
      </c>
      <c r="AE336" t="s">
        <v>742</v>
      </c>
      <c r="AF336" s="4">
        <v>5.8000000000000003E-2</v>
      </c>
      <c r="AG336" t="s">
        <v>1150</v>
      </c>
      <c r="AH336" t="s">
        <v>1123</v>
      </c>
      <c r="AJ336" t="s">
        <v>1148</v>
      </c>
      <c r="AK336" t="s">
        <v>1129</v>
      </c>
      <c r="AL336">
        <v>340255290</v>
      </c>
      <c r="AM336" t="s">
        <v>135</v>
      </c>
    </row>
    <row r="337" spans="1:39" x14ac:dyDescent="0.35">
      <c r="A337">
        <v>3402</v>
      </c>
      <c r="B337" t="s">
        <v>259</v>
      </c>
      <c r="C337">
        <v>2020</v>
      </c>
      <c r="D337" s="1">
        <v>43831</v>
      </c>
      <c r="E337">
        <v>27</v>
      </c>
      <c r="F337">
        <v>200076937</v>
      </c>
      <c r="G337" t="s">
        <v>120</v>
      </c>
      <c r="H337">
        <v>81</v>
      </c>
      <c r="I337">
        <v>71104010</v>
      </c>
      <c r="J337">
        <v>21021040</v>
      </c>
      <c r="K337" t="s">
        <v>121</v>
      </c>
      <c r="L337">
        <v>4.5</v>
      </c>
      <c r="M337" t="s">
        <v>31</v>
      </c>
      <c r="N337">
        <v>4.5</v>
      </c>
      <c r="O337" t="s">
        <v>31</v>
      </c>
      <c r="R337" t="s">
        <v>137</v>
      </c>
      <c r="S337" t="s">
        <v>1131</v>
      </c>
      <c r="T337">
        <v>107211</v>
      </c>
      <c r="U337" t="s">
        <v>123</v>
      </c>
      <c r="X337" t="s">
        <v>259</v>
      </c>
      <c r="Y337" s="8">
        <v>4501226813</v>
      </c>
      <c r="Z337">
        <v>20200125</v>
      </c>
      <c r="AA337">
        <v>4.5</v>
      </c>
      <c r="AB337">
        <v>0.72</v>
      </c>
      <c r="AC337">
        <v>5.22</v>
      </c>
      <c r="AD337">
        <v>200211626</v>
      </c>
      <c r="AE337" t="s">
        <v>743</v>
      </c>
      <c r="AF337" s="4">
        <v>5.22</v>
      </c>
      <c r="AG337" t="s">
        <v>1150</v>
      </c>
      <c r="AH337" t="s">
        <v>1123</v>
      </c>
      <c r="AJ337" t="s">
        <v>1148</v>
      </c>
      <c r="AK337" t="s">
        <v>1129</v>
      </c>
      <c r="AL337">
        <v>340255290</v>
      </c>
      <c r="AM337" t="s">
        <v>135</v>
      </c>
    </row>
    <row r="338" spans="1:39" x14ac:dyDescent="0.35">
      <c r="A338">
        <v>3402</v>
      </c>
      <c r="B338" t="s">
        <v>259</v>
      </c>
      <c r="C338">
        <v>2020</v>
      </c>
      <c r="D338" s="1">
        <v>43831</v>
      </c>
      <c r="E338">
        <v>29</v>
      </c>
      <c r="F338">
        <v>200076937</v>
      </c>
      <c r="G338" t="s">
        <v>120</v>
      </c>
      <c r="H338">
        <v>81</v>
      </c>
      <c r="I338">
        <v>71104010</v>
      </c>
      <c r="J338">
        <v>21021040</v>
      </c>
      <c r="K338" t="s">
        <v>121</v>
      </c>
      <c r="L338">
        <v>0.05</v>
      </c>
      <c r="M338" t="s">
        <v>31</v>
      </c>
      <c r="N338">
        <v>0.05</v>
      </c>
      <c r="O338" t="s">
        <v>31</v>
      </c>
      <c r="R338" t="s">
        <v>137</v>
      </c>
      <c r="S338" t="s">
        <v>1131</v>
      </c>
      <c r="T338">
        <v>107211</v>
      </c>
      <c r="U338" t="s">
        <v>123</v>
      </c>
      <c r="X338" t="s">
        <v>259</v>
      </c>
      <c r="Y338" s="8">
        <v>4501226813</v>
      </c>
      <c r="Z338">
        <v>20200125</v>
      </c>
      <c r="AA338">
        <v>0.05</v>
      </c>
      <c r="AB338">
        <v>8.0000000000000002E-3</v>
      </c>
      <c r="AC338">
        <v>5.8000000000000003E-2</v>
      </c>
      <c r="AD338">
        <v>200211626</v>
      </c>
      <c r="AE338" t="s">
        <v>744</v>
      </c>
      <c r="AF338" s="4">
        <v>5.8000000000000003E-2</v>
      </c>
      <c r="AG338" t="s">
        <v>1150</v>
      </c>
      <c r="AH338" t="s">
        <v>1123</v>
      </c>
      <c r="AJ338" t="s">
        <v>1148</v>
      </c>
      <c r="AK338" t="s">
        <v>1129</v>
      </c>
      <c r="AL338">
        <v>340255290</v>
      </c>
      <c r="AM338" t="s">
        <v>135</v>
      </c>
    </row>
    <row r="339" spans="1:39" x14ac:dyDescent="0.35">
      <c r="A339">
        <v>3402</v>
      </c>
      <c r="B339" t="s">
        <v>259</v>
      </c>
      <c r="C339">
        <v>2020</v>
      </c>
      <c r="D339" s="1">
        <v>43831</v>
      </c>
      <c r="E339">
        <v>31</v>
      </c>
      <c r="F339">
        <v>200076937</v>
      </c>
      <c r="G339" t="s">
        <v>120</v>
      </c>
      <c r="H339">
        <v>81</v>
      </c>
      <c r="I339">
        <v>71104010</v>
      </c>
      <c r="J339">
        <v>21021040</v>
      </c>
      <c r="K339" t="s">
        <v>121</v>
      </c>
      <c r="L339">
        <v>0.05</v>
      </c>
      <c r="M339" t="s">
        <v>31</v>
      </c>
      <c r="N339">
        <v>0.05</v>
      </c>
      <c r="O339" t="s">
        <v>31</v>
      </c>
      <c r="R339" t="s">
        <v>137</v>
      </c>
      <c r="S339" t="s">
        <v>1131</v>
      </c>
      <c r="T339">
        <v>107211</v>
      </c>
      <c r="U339" t="s">
        <v>123</v>
      </c>
      <c r="X339" t="s">
        <v>259</v>
      </c>
      <c r="Y339" s="8">
        <v>4501226813</v>
      </c>
      <c r="Z339">
        <v>20200125</v>
      </c>
      <c r="AA339">
        <v>0.05</v>
      </c>
      <c r="AB339">
        <v>8.0000000000000002E-3</v>
      </c>
      <c r="AC339">
        <v>5.8000000000000003E-2</v>
      </c>
      <c r="AD339">
        <v>200211626</v>
      </c>
      <c r="AE339" t="s">
        <v>745</v>
      </c>
      <c r="AF339" s="4">
        <v>5.8000000000000003E-2</v>
      </c>
      <c r="AG339" t="s">
        <v>1150</v>
      </c>
      <c r="AH339" t="s">
        <v>1123</v>
      </c>
      <c r="AJ339" t="s">
        <v>1148</v>
      </c>
      <c r="AK339" t="s">
        <v>1129</v>
      </c>
      <c r="AL339">
        <v>340255290</v>
      </c>
      <c r="AM339" t="s">
        <v>135</v>
      </c>
    </row>
    <row r="340" spans="1:39" x14ac:dyDescent="0.35">
      <c r="A340">
        <v>3402</v>
      </c>
      <c r="B340" t="s">
        <v>259</v>
      </c>
      <c r="C340">
        <v>2020</v>
      </c>
      <c r="D340" s="1">
        <v>43831</v>
      </c>
      <c r="E340">
        <v>33</v>
      </c>
      <c r="F340">
        <v>200076937</v>
      </c>
      <c r="G340" t="s">
        <v>120</v>
      </c>
      <c r="H340">
        <v>81</v>
      </c>
      <c r="I340">
        <v>71104010</v>
      </c>
      <c r="J340">
        <v>21021040</v>
      </c>
      <c r="K340" t="s">
        <v>121</v>
      </c>
      <c r="L340">
        <v>0.05</v>
      </c>
      <c r="M340" t="s">
        <v>31</v>
      </c>
      <c r="N340">
        <v>0.05</v>
      </c>
      <c r="O340" t="s">
        <v>31</v>
      </c>
      <c r="R340" t="s">
        <v>137</v>
      </c>
      <c r="S340" t="s">
        <v>1131</v>
      </c>
      <c r="T340">
        <v>107211</v>
      </c>
      <c r="U340" t="s">
        <v>123</v>
      </c>
      <c r="X340" t="s">
        <v>259</v>
      </c>
      <c r="Y340" s="8">
        <v>4501226813</v>
      </c>
      <c r="Z340">
        <v>20200125</v>
      </c>
      <c r="AA340">
        <v>0.05</v>
      </c>
      <c r="AB340">
        <v>8.0000000000000002E-3</v>
      </c>
      <c r="AC340">
        <v>5.8000000000000003E-2</v>
      </c>
      <c r="AD340">
        <v>200211626</v>
      </c>
      <c r="AE340" t="s">
        <v>746</v>
      </c>
      <c r="AF340" s="4">
        <v>5.8000000000000003E-2</v>
      </c>
      <c r="AG340" t="s">
        <v>1150</v>
      </c>
      <c r="AH340" t="s">
        <v>1123</v>
      </c>
      <c r="AJ340" t="s">
        <v>1148</v>
      </c>
      <c r="AK340" t="s">
        <v>1129</v>
      </c>
      <c r="AL340">
        <v>340255290</v>
      </c>
      <c r="AM340" t="s">
        <v>135</v>
      </c>
    </row>
    <row r="341" spans="1:39" x14ac:dyDescent="0.35">
      <c r="A341">
        <v>3402</v>
      </c>
      <c r="B341" t="s">
        <v>259</v>
      </c>
      <c r="C341">
        <v>2020</v>
      </c>
      <c r="D341" s="1">
        <v>43831</v>
      </c>
      <c r="E341">
        <v>35</v>
      </c>
      <c r="F341">
        <v>200076937</v>
      </c>
      <c r="G341" t="s">
        <v>120</v>
      </c>
      <c r="H341">
        <v>81</v>
      </c>
      <c r="I341">
        <v>71104010</v>
      </c>
      <c r="J341">
        <v>21021040</v>
      </c>
      <c r="K341" t="s">
        <v>121</v>
      </c>
      <c r="L341">
        <v>4.5</v>
      </c>
      <c r="M341" t="s">
        <v>31</v>
      </c>
      <c r="N341">
        <v>4.5</v>
      </c>
      <c r="O341" t="s">
        <v>31</v>
      </c>
      <c r="R341" t="s">
        <v>137</v>
      </c>
      <c r="S341" t="s">
        <v>1131</v>
      </c>
      <c r="T341">
        <v>107211</v>
      </c>
      <c r="U341" t="s">
        <v>123</v>
      </c>
      <c r="X341" t="s">
        <v>259</v>
      </c>
      <c r="Y341" s="8">
        <v>4501226813</v>
      </c>
      <c r="Z341">
        <v>20200125</v>
      </c>
      <c r="AA341">
        <v>4.5</v>
      </c>
      <c r="AB341">
        <v>0.72</v>
      </c>
      <c r="AC341">
        <v>5.22</v>
      </c>
      <c r="AD341">
        <v>200211626</v>
      </c>
      <c r="AE341" t="s">
        <v>747</v>
      </c>
      <c r="AF341" s="4">
        <v>5.22</v>
      </c>
      <c r="AG341" t="s">
        <v>1150</v>
      </c>
      <c r="AH341" t="s">
        <v>1123</v>
      </c>
      <c r="AJ341" t="s">
        <v>1148</v>
      </c>
      <c r="AK341" t="s">
        <v>1129</v>
      </c>
      <c r="AL341">
        <v>340255290</v>
      </c>
      <c r="AM341" t="s">
        <v>135</v>
      </c>
    </row>
    <row r="342" spans="1:39" x14ac:dyDescent="0.35">
      <c r="A342">
        <v>3402</v>
      </c>
      <c r="B342" t="s">
        <v>259</v>
      </c>
      <c r="C342">
        <v>2020</v>
      </c>
      <c r="D342" s="1">
        <v>43831</v>
      </c>
      <c r="E342">
        <v>37</v>
      </c>
      <c r="F342">
        <v>200076937</v>
      </c>
      <c r="G342" t="s">
        <v>120</v>
      </c>
      <c r="H342">
        <v>81</v>
      </c>
      <c r="I342">
        <v>71104010</v>
      </c>
      <c r="J342">
        <v>21021040</v>
      </c>
      <c r="K342" t="s">
        <v>121</v>
      </c>
      <c r="L342">
        <v>0.05</v>
      </c>
      <c r="M342" t="s">
        <v>31</v>
      </c>
      <c r="N342">
        <v>0.05</v>
      </c>
      <c r="O342" t="s">
        <v>31</v>
      </c>
      <c r="R342" t="s">
        <v>137</v>
      </c>
      <c r="S342" t="s">
        <v>1131</v>
      </c>
      <c r="T342">
        <v>107211</v>
      </c>
      <c r="U342" t="s">
        <v>123</v>
      </c>
      <c r="X342" t="s">
        <v>259</v>
      </c>
      <c r="Y342" s="8">
        <v>4501226813</v>
      </c>
      <c r="Z342">
        <v>20200125</v>
      </c>
      <c r="AA342">
        <v>0.05</v>
      </c>
      <c r="AB342">
        <v>8.0000000000000002E-3</v>
      </c>
      <c r="AC342">
        <v>5.8000000000000003E-2</v>
      </c>
      <c r="AD342">
        <v>200211626</v>
      </c>
      <c r="AE342" t="s">
        <v>748</v>
      </c>
      <c r="AF342" s="4">
        <v>5.8000000000000003E-2</v>
      </c>
      <c r="AG342" t="s">
        <v>1150</v>
      </c>
      <c r="AH342" t="s">
        <v>1123</v>
      </c>
      <c r="AJ342" t="s">
        <v>1148</v>
      </c>
      <c r="AK342" t="s">
        <v>1129</v>
      </c>
      <c r="AL342">
        <v>340255290</v>
      </c>
      <c r="AM342" t="s">
        <v>135</v>
      </c>
    </row>
    <row r="343" spans="1:39" x14ac:dyDescent="0.35">
      <c r="A343">
        <v>3402</v>
      </c>
      <c r="B343" t="s">
        <v>259</v>
      </c>
      <c r="C343">
        <v>2020</v>
      </c>
      <c r="D343" s="1">
        <v>43831</v>
      </c>
      <c r="E343">
        <v>39</v>
      </c>
      <c r="F343">
        <v>200076937</v>
      </c>
      <c r="G343" t="s">
        <v>120</v>
      </c>
      <c r="H343">
        <v>81</v>
      </c>
      <c r="I343">
        <v>71104010</v>
      </c>
      <c r="J343">
        <v>21021040</v>
      </c>
      <c r="K343" t="s">
        <v>121</v>
      </c>
      <c r="L343">
        <v>4.5</v>
      </c>
      <c r="M343" t="s">
        <v>31</v>
      </c>
      <c r="N343">
        <v>4.5</v>
      </c>
      <c r="O343" t="s">
        <v>31</v>
      </c>
      <c r="R343" t="s">
        <v>137</v>
      </c>
      <c r="S343" t="s">
        <v>1131</v>
      </c>
      <c r="T343">
        <v>107211</v>
      </c>
      <c r="U343" t="s">
        <v>123</v>
      </c>
      <c r="X343" t="s">
        <v>259</v>
      </c>
      <c r="Y343" s="8">
        <v>4501226813</v>
      </c>
      <c r="Z343">
        <v>20200125</v>
      </c>
      <c r="AA343">
        <v>4.5</v>
      </c>
      <c r="AB343">
        <v>0.72</v>
      </c>
      <c r="AC343">
        <v>5.22</v>
      </c>
      <c r="AD343">
        <v>200211626</v>
      </c>
      <c r="AE343" t="s">
        <v>749</v>
      </c>
      <c r="AF343" s="4">
        <v>5.22</v>
      </c>
      <c r="AG343" t="s">
        <v>1150</v>
      </c>
      <c r="AH343" t="s">
        <v>1123</v>
      </c>
      <c r="AJ343" t="s">
        <v>1148</v>
      </c>
      <c r="AK343" t="s">
        <v>1129</v>
      </c>
      <c r="AL343">
        <v>340255290</v>
      </c>
      <c r="AM343" t="s">
        <v>135</v>
      </c>
    </row>
    <row r="344" spans="1:39" x14ac:dyDescent="0.35">
      <c r="A344">
        <v>3402</v>
      </c>
      <c r="B344" t="s">
        <v>259</v>
      </c>
      <c r="C344">
        <v>2020</v>
      </c>
      <c r="D344" s="1">
        <v>43831</v>
      </c>
      <c r="E344">
        <v>41</v>
      </c>
      <c r="F344">
        <v>200076937</v>
      </c>
      <c r="G344" t="s">
        <v>120</v>
      </c>
      <c r="H344">
        <v>81</v>
      </c>
      <c r="I344">
        <v>71104010</v>
      </c>
      <c r="J344">
        <v>21021040</v>
      </c>
      <c r="K344" t="s">
        <v>121</v>
      </c>
      <c r="L344">
        <v>0.05</v>
      </c>
      <c r="M344" t="s">
        <v>31</v>
      </c>
      <c r="N344">
        <v>0.05</v>
      </c>
      <c r="O344" t="s">
        <v>31</v>
      </c>
      <c r="R344" t="s">
        <v>137</v>
      </c>
      <c r="S344" t="s">
        <v>1131</v>
      </c>
      <c r="T344">
        <v>107211</v>
      </c>
      <c r="U344" t="s">
        <v>123</v>
      </c>
      <c r="X344" t="s">
        <v>259</v>
      </c>
      <c r="Y344" s="8">
        <v>4501226813</v>
      </c>
      <c r="Z344">
        <v>20200125</v>
      </c>
      <c r="AA344">
        <v>0.05</v>
      </c>
      <c r="AB344">
        <v>8.0000000000000002E-3</v>
      </c>
      <c r="AC344">
        <v>5.8000000000000003E-2</v>
      </c>
      <c r="AD344">
        <v>200211626</v>
      </c>
      <c r="AE344" t="s">
        <v>750</v>
      </c>
      <c r="AF344" s="4">
        <v>5.8000000000000003E-2</v>
      </c>
      <c r="AG344" t="s">
        <v>1150</v>
      </c>
      <c r="AH344" t="s">
        <v>1123</v>
      </c>
      <c r="AJ344" t="s">
        <v>1148</v>
      </c>
      <c r="AK344" t="s">
        <v>1129</v>
      </c>
      <c r="AL344">
        <v>340255290</v>
      </c>
      <c r="AM344" t="s">
        <v>135</v>
      </c>
    </row>
    <row r="345" spans="1:39" x14ac:dyDescent="0.35">
      <c r="A345">
        <v>3402</v>
      </c>
      <c r="B345" t="s">
        <v>259</v>
      </c>
      <c r="C345">
        <v>2020</v>
      </c>
      <c r="D345" s="1">
        <v>43831</v>
      </c>
      <c r="E345">
        <v>43</v>
      </c>
      <c r="F345">
        <v>200076937</v>
      </c>
      <c r="G345" t="s">
        <v>120</v>
      </c>
      <c r="H345">
        <v>81</v>
      </c>
      <c r="I345">
        <v>71104010</v>
      </c>
      <c r="J345">
        <v>21021040</v>
      </c>
      <c r="K345" t="s">
        <v>121</v>
      </c>
      <c r="L345">
        <v>0.05</v>
      </c>
      <c r="M345" t="s">
        <v>31</v>
      </c>
      <c r="N345">
        <v>0.05</v>
      </c>
      <c r="O345" t="s">
        <v>31</v>
      </c>
      <c r="R345" t="s">
        <v>137</v>
      </c>
      <c r="S345" t="s">
        <v>1131</v>
      </c>
      <c r="T345">
        <v>107211</v>
      </c>
      <c r="U345" t="s">
        <v>123</v>
      </c>
      <c r="X345" t="s">
        <v>259</v>
      </c>
      <c r="Y345" s="8">
        <v>4501226813</v>
      </c>
      <c r="Z345">
        <v>20200125</v>
      </c>
      <c r="AA345">
        <v>0.05</v>
      </c>
      <c r="AB345">
        <v>8.0000000000000002E-3</v>
      </c>
      <c r="AC345">
        <v>5.8000000000000003E-2</v>
      </c>
      <c r="AD345">
        <v>200211626</v>
      </c>
      <c r="AE345" t="s">
        <v>751</v>
      </c>
      <c r="AF345" s="4">
        <v>5.8000000000000003E-2</v>
      </c>
      <c r="AG345" t="s">
        <v>1150</v>
      </c>
      <c r="AH345" t="s">
        <v>1123</v>
      </c>
      <c r="AJ345" t="s">
        <v>1148</v>
      </c>
      <c r="AK345" t="s">
        <v>1129</v>
      </c>
      <c r="AL345">
        <v>340255290</v>
      </c>
      <c r="AM345" t="s">
        <v>135</v>
      </c>
    </row>
    <row r="346" spans="1:39" x14ac:dyDescent="0.35">
      <c r="A346">
        <v>3402</v>
      </c>
      <c r="B346" t="s">
        <v>259</v>
      </c>
      <c r="C346">
        <v>2020</v>
      </c>
      <c r="D346" s="1">
        <v>43831</v>
      </c>
      <c r="E346">
        <v>45</v>
      </c>
      <c r="F346">
        <v>200076937</v>
      </c>
      <c r="G346" t="s">
        <v>120</v>
      </c>
      <c r="H346">
        <v>81</v>
      </c>
      <c r="I346">
        <v>71104010</v>
      </c>
      <c r="J346">
        <v>21021040</v>
      </c>
      <c r="K346" t="s">
        <v>121</v>
      </c>
      <c r="L346">
        <v>0.05</v>
      </c>
      <c r="M346" t="s">
        <v>31</v>
      </c>
      <c r="N346">
        <v>0.05</v>
      </c>
      <c r="O346" t="s">
        <v>31</v>
      </c>
      <c r="R346" t="s">
        <v>137</v>
      </c>
      <c r="S346" t="s">
        <v>1131</v>
      </c>
      <c r="T346">
        <v>107211</v>
      </c>
      <c r="U346" t="s">
        <v>123</v>
      </c>
      <c r="X346" t="s">
        <v>259</v>
      </c>
      <c r="Y346" s="8">
        <v>4501226813</v>
      </c>
      <c r="Z346">
        <v>20200125</v>
      </c>
      <c r="AA346">
        <v>0.05</v>
      </c>
      <c r="AB346">
        <v>8.0000000000000002E-3</v>
      </c>
      <c r="AC346">
        <v>5.8000000000000003E-2</v>
      </c>
      <c r="AD346">
        <v>200211626</v>
      </c>
      <c r="AE346" t="s">
        <v>752</v>
      </c>
      <c r="AF346" s="4">
        <v>5.8000000000000003E-2</v>
      </c>
      <c r="AG346" t="s">
        <v>1150</v>
      </c>
      <c r="AH346" t="s">
        <v>1123</v>
      </c>
      <c r="AJ346" t="s">
        <v>1148</v>
      </c>
      <c r="AK346" t="s">
        <v>1129</v>
      </c>
      <c r="AL346">
        <v>340255290</v>
      </c>
      <c r="AM346" t="s">
        <v>135</v>
      </c>
    </row>
    <row r="347" spans="1:39" x14ac:dyDescent="0.35">
      <c r="A347">
        <v>3402</v>
      </c>
      <c r="B347" t="s">
        <v>259</v>
      </c>
      <c r="C347">
        <v>2020</v>
      </c>
      <c r="D347" s="1">
        <v>43831</v>
      </c>
      <c r="E347">
        <v>47</v>
      </c>
      <c r="F347">
        <v>200076937</v>
      </c>
      <c r="G347" t="s">
        <v>120</v>
      </c>
      <c r="H347">
        <v>81</v>
      </c>
      <c r="I347">
        <v>71104010</v>
      </c>
      <c r="J347">
        <v>21021040</v>
      </c>
      <c r="K347" t="s">
        <v>121</v>
      </c>
      <c r="L347">
        <v>4.5</v>
      </c>
      <c r="M347" t="s">
        <v>31</v>
      </c>
      <c r="N347">
        <v>4.5</v>
      </c>
      <c r="O347" t="s">
        <v>31</v>
      </c>
      <c r="R347" t="s">
        <v>137</v>
      </c>
      <c r="S347" t="s">
        <v>1131</v>
      </c>
      <c r="T347">
        <v>107211</v>
      </c>
      <c r="U347" t="s">
        <v>123</v>
      </c>
      <c r="X347" t="s">
        <v>259</v>
      </c>
      <c r="Y347" s="8">
        <v>4501226813</v>
      </c>
      <c r="Z347">
        <v>20200125</v>
      </c>
      <c r="AA347">
        <v>4.5</v>
      </c>
      <c r="AB347">
        <v>0.72</v>
      </c>
      <c r="AC347">
        <v>5.22</v>
      </c>
      <c r="AD347">
        <v>200211626</v>
      </c>
      <c r="AE347" t="s">
        <v>753</v>
      </c>
      <c r="AF347" s="4">
        <v>5.22</v>
      </c>
      <c r="AG347" t="s">
        <v>1150</v>
      </c>
      <c r="AH347" t="s">
        <v>1123</v>
      </c>
      <c r="AJ347" t="s">
        <v>1148</v>
      </c>
      <c r="AK347" t="s">
        <v>1129</v>
      </c>
      <c r="AL347">
        <v>340255290</v>
      </c>
      <c r="AM347" t="s">
        <v>135</v>
      </c>
    </row>
    <row r="348" spans="1:39" x14ac:dyDescent="0.35">
      <c r="A348">
        <v>3402</v>
      </c>
      <c r="B348" t="s">
        <v>259</v>
      </c>
      <c r="C348">
        <v>2020</v>
      </c>
      <c r="D348" s="1">
        <v>43831</v>
      </c>
      <c r="E348">
        <v>49</v>
      </c>
      <c r="F348">
        <v>200076937</v>
      </c>
      <c r="G348" t="s">
        <v>120</v>
      </c>
      <c r="H348">
        <v>81</v>
      </c>
      <c r="I348">
        <v>71104010</v>
      </c>
      <c r="J348">
        <v>21021040</v>
      </c>
      <c r="K348" t="s">
        <v>121</v>
      </c>
      <c r="L348">
        <v>0.05</v>
      </c>
      <c r="M348" t="s">
        <v>31</v>
      </c>
      <c r="N348">
        <v>0.05</v>
      </c>
      <c r="O348" t="s">
        <v>31</v>
      </c>
      <c r="R348" t="s">
        <v>137</v>
      </c>
      <c r="S348" t="s">
        <v>1131</v>
      </c>
      <c r="T348">
        <v>107211</v>
      </c>
      <c r="U348" t="s">
        <v>123</v>
      </c>
      <c r="X348" t="s">
        <v>259</v>
      </c>
      <c r="Y348" s="8">
        <v>4501226813</v>
      </c>
      <c r="Z348">
        <v>20200125</v>
      </c>
      <c r="AA348">
        <v>0.05</v>
      </c>
      <c r="AB348">
        <v>8.0000000000000002E-3</v>
      </c>
      <c r="AC348">
        <v>5.8000000000000003E-2</v>
      </c>
      <c r="AD348">
        <v>200211626</v>
      </c>
      <c r="AE348" t="s">
        <v>754</v>
      </c>
      <c r="AF348" s="4">
        <v>5.8000000000000003E-2</v>
      </c>
      <c r="AG348" t="s">
        <v>1150</v>
      </c>
      <c r="AH348" t="s">
        <v>1123</v>
      </c>
      <c r="AJ348" t="s">
        <v>1148</v>
      </c>
      <c r="AK348" t="s">
        <v>1129</v>
      </c>
      <c r="AL348">
        <v>340255290</v>
      </c>
      <c r="AM348" t="s">
        <v>135</v>
      </c>
    </row>
    <row r="349" spans="1:39" x14ac:dyDescent="0.35">
      <c r="A349">
        <v>3409</v>
      </c>
      <c r="B349" t="s">
        <v>55</v>
      </c>
      <c r="C349">
        <v>2020</v>
      </c>
      <c r="D349" s="1">
        <v>43831</v>
      </c>
      <c r="E349">
        <v>3</v>
      </c>
      <c r="F349">
        <v>900006650</v>
      </c>
      <c r="G349" t="s">
        <v>120</v>
      </c>
      <c r="H349">
        <v>81</v>
      </c>
      <c r="I349">
        <v>71106150</v>
      </c>
      <c r="J349">
        <v>21021040</v>
      </c>
      <c r="K349" t="s">
        <v>102</v>
      </c>
      <c r="L349">
        <v>38735.589999999997</v>
      </c>
      <c r="M349" t="s">
        <v>54</v>
      </c>
      <c r="N349">
        <v>727957.94</v>
      </c>
      <c r="O349" t="s">
        <v>31</v>
      </c>
      <c r="R349" t="s">
        <v>1121</v>
      </c>
      <c r="S349">
        <v>270972527</v>
      </c>
      <c r="T349">
        <v>200497</v>
      </c>
      <c r="U349" t="s">
        <v>348</v>
      </c>
      <c r="X349" t="s">
        <v>55</v>
      </c>
      <c r="Y349" s="10" t="s">
        <v>1174</v>
      </c>
      <c r="Z349" t="s">
        <v>345</v>
      </c>
      <c r="AA349">
        <v>38735.589999999997</v>
      </c>
      <c r="AB349">
        <v>0</v>
      </c>
      <c r="AC349">
        <v>38735.589999999997</v>
      </c>
      <c r="AD349">
        <v>900006711</v>
      </c>
      <c r="AE349" t="s">
        <v>349</v>
      </c>
      <c r="AF349" s="4">
        <v>38735.589999999997</v>
      </c>
      <c r="AG349" t="s">
        <v>1175</v>
      </c>
      <c r="AH349" t="s">
        <v>1123</v>
      </c>
      <c r="AI349">
        <v>900203553</v>
      </c>
      <c r="AJ349" t="s">
        <v>1125</v>
      </c>
      <c r="AK349" t="s">
        <v>1124</v>
      </c>
      <c r="AL349">
        <v>340981990</v>
      </c>
      <c r="AM349" t="s">
        <v>185</v>
      </c>
    </row>
    <row r="350" spans="1:39" x14ac:dyDescent="0.35">
      <c r="A350">
        <v>3401</v>
      </c>
      <c r="B350" t="s">
        <v>55</v>
      </c>
      <c r="C350">
        <v>2020</v>
      </c>
      <c r="D350" s="1">
        <v>43831</v>
      </c>
      <c r="E350">
        <v>1</v>
      </c>
      <c r="F350">
        <v>100019743</v>
      </c>
      <c r="G350" t="s">
        <v>120</v>
      </c>
      <c r="H350">
        <v>81</v>
      </c>
      <c r="I350">
        <v>71106040</v>
      </c>
      <c r="J350">
        <v>21021040</v>
      </c>
      <c r="K350" t="s">
        <v>125</v>
      </c>
      <c r="L350">
        <v>624616.09</v>
      </c>
      <c r="M350" t="s">
        <v>31</v>
      </c>
      <c r="N350">
        <v>624616.09</v>
      </c>
      <c r="O350" t="s">
        <v>31</v>
      </c>
      <c r="R350" t="s">
        <v>1121</v>
      </c>
      <c r="S350" t="s">
        <v>1140</v>
      </c>
      <c r="T350">
        <v>600271</v>
      </c>
      <c r="U350" t="s">
        <v>772</v>
      </c>
      <c r="X350" t="s">
        <v>55</v>
      </c>
      <c r="Y350" s="8">
        <v>1548693071</v>
      </c>
      <c r="Z350">
        <v>20200120</v>
      </c>
      <c r="AA350">
        <v>624616.09</v>
      </c>
      <c r="AB350">
        <v>0</v>
      </c>
      <c r="AC350">
        <v>624616.09</v>
      </c>
      <c r="AD350">
        <v>100021561</v>
      </c>
      <c r="AE350" t="s">
        <v>773</v>
      </c>
      <c r="AF350" s="4">
        <v>624616.09</v>
      </c>
      <c r="AG350" t="s">
        <v>61</v>
      </c>
      <c r="AH350" t="s">
        <v>1123</v>
      </c>
      <c r="AI350">
        <v>100023220</v>
      </c>
      <c r="AJ350" t="s">
        <v>1136</v>
      </c>
      <c r="AK350" t="s">
        <v>1135</v>
      </c>
      <c r="AL350">
        <v>340121790</v>
      </c>
      <c r="AM350" t="s">
        <v>129</v>
      </c>
    </row>
    <row r="351" spans="1:39" x14ac:dyDescent="0.35">
      <c r="A351">
        <v>3401</v>
      </c>
      <c r="B351" t="s">
        <v>55</v>
      </c>
      <c r="C351">
        <v>2020</v>
      </c>
      <c r="D351" s="1">
        <v>43831</v>
      </c>
      <c r="E351">
        <v>1</v>
      </c>
      <c r="F351">
        <v>100019746</v>
      </c>
      <c r="G351" t="s">
        <v>120</v>
      </c>
      <c r="H351">
        <v>81</v>
      </c>
      <c r="I351">
        <v>71106040</v>
      </c>
      <c r="J351">
        <v>21021040</v>
      </c>
      <c r="K351" t="s">
        <v>125</v>
      </c>
      <c r="L351">
        <v>13470.26</v>
      </c>
      <c r="M351" t="s">
        <v>31</v>
      </c>
      <c r="N351">
        <v>13470.26</v>
      </c>
      <c r="O351" t="s">
        <v>31</v>
      </c>
      <c r="R351" t="s">
        <v>774</v>
      </c>
      <c r="T351">
        <v>800407</v>
      </c>
      <c r="U351" t="s">
        <v>775</v>
      </c>
      <c r="X351" t="s">
        <v>55</v>
      </c>
      <c r="Y351" s="8" t="s">
        <v>776</v>
      </c>
      <c r="Z351">
        <v>20200120</v>
      </c>
      <c r="AA351">
        <v>13470.26</v>
      </c>
      <c r="AB351">
        <v>2155.2416000000003</v>
      </c>
      <c r="AC351">
        <v>15625.5016</v>
      </c>
      <c r="AD351">
        <v>100021585</v>
      </c>
      <c r="AE351" t="s">
        <v>777</v>
      </c>
      <c r="AF351" s="4">
        <v>15625.5016</v>
      </c>
      <c r="AG351" t="s">
        <v>1144</v>
      </c>
      <c r="AH351" t="s">
        <v>1123</v>
      </c>
      <c r="AI351">
        <v>100058969</v>
      </c>
      <c r="AK351" t="s">
        <v>1136</v>
      </c>
      <c r="AL351">
        <v>340121790</v>
      </c>
      <c r="AM351" t="s">
        <v>129</v>
      </c>
    </row>
    <row r="352" spans="1:39" x14ac:dyDescent="0.35">
      <c r="A352">
        <v>3403</v>
      </c>
      <c r="B352" t="s">
        <v>55</v>
      </c>
      <c r="C352">
        <v>2020</v>
      </c>
      <c r="D352" s="1">
        <v>43831</v>
      </c>
      <c r="E352">
        <v>1</v>
      </c>
      <c r="F352">
        <v>300010941</v>
      </c>
      <c r="G352" t="s">
        <v>120</v>
      </c>
      <c r="H352">
        <v>81</v>
      </c>
      <c r="I352">
        <v>71105130</v>
      </c>
      <c r="J352">
        <v>21021040</v>
      </c>
      <c r="K352" t="s">
        <v>305</v>
      </c>
      <c r="L352">
        <v>1371.47</v>
      </c>
      <c r="M352" t="s">
        <v>54</v>
      </c>
      <c r="N352">
        <v>25774.04</v>
      </c>
      <c r="O352" t="s">
        <v>31</v>
      </c>
      <c r="R352" t="s">
        <v>1121</v>
      </c>
      <c r="S352">
        <v>593416526</v>
      </c>
      <c r="T352">
        <v>602304</v>
      </c>
      <c r="U352" t="s">
        <v>628</v>
      </c>
      <c r="X352" t="s">
        <v>55</v>
      </c>
      <c r="Y352" s="8" t="s">
        <v>767</v>
      </c>
      <c r="Z352">
        <v>20200120</v>
      </c>
      <c r="AA352">
        <v>1371.47</v>
      </c>
      <c r="AB352">
        <v>0</v>
      </c>
      <c r="AC352">
        <v>1371.47</v>
      </c>
      <c r="AD352">
        <v>300018510</v>
      </c>
      <c r="AE352" t="s">
        <v>778</v>
      </c>
      <c r="AF352" s="4">
        <v>1371.47</v>
      </c>
      <c r="AG352" t="s">
        <v>1176</v>
      </c>
      <c r="AH352" t="s">
        <v>1123</v>
      </c>
      <c r="AI352">
        <v>300041199</v>
      </c>
      <c r="AJ352" t="s">
        <v>1125</v>
      </c>
      <c r="AK352" t="s">
        <v>1124</v>
      </c>
      <c r="AL352">
        <v>340321790</v>
      </c>
      <c r="AM352" t="s">
        <v>222</v>
      </c>
    </row>
    <row r="353" spans="1:39" x14ac:dyDescent="0.35">
      <c r="A353">
        <v>3401</v>
      </c>
      <c r="B353" t="s">
        <v>55</v>
      </c>
      <c r="C353">
        <v>2020</v>
      </c>
      <c r="D353" s="1">
        <v>43831</v>
      </c>
      <c r="E353">
        <v>1</v>
      </c>
      <c r="F353">
        <v>100019477</v>
      </c>
      <c r="G353" t="s">
        <v>120</v>
      </c>
      <c r="H353">
        <v>81</v>
      </c>
      <c r="I353">
        <v>71104010</v>
      </c>
      <c r="J353">
        <v>21021040</v>
      </c>
      <c r="K353" t="s">
        <v>121</v>
      </c>
      <c r="L353">
        <v>50848</v>
      </c>
      <c r="M353" t="s">
        <v>31</v>
      </c>
      <c r="N353">
        <v>50848</v>
      </c>
      <c r="O353" t="s">
        <v>31</v>
      </c>
      <c r="R353" t="s">
        <v>122</v>
      </c>
      <c r="S353" t="s">
        <v>1131</v>
      </c>
      <c r="T353">
        <v>107211</v>
      </c>
      <c r="U353" t="s">
        <v>123</v>
      </c>
      <c r="X353" t="s">
        <v>55</v>
      </c>
      <c r="Y353" s="8">
        <v>4501216248</v>
      </c>
      <c r="Z353" t="s">
        <v>1127</v>
      </c>
      <c r="AA353">
        <v>50848</v>
      </c>
      <c r="AD353">
        <v>100036889</v>
      </c>
      <c r="AE353" t="s">
        <v>1128</v>
      </c>
      <c r="AF353" s="4"/>
      <c r="AG353" t="s">
        <v>51</v>
      </c>
      <c r="AH353" t="s">
        <v>1123</v>
      </c>
      <c r="AI353">
        <v>100036917</v>
      </c>
      <c r="AJ353" t="s">
        <v>1148</v>
      </c>
      <c r="AK353" t="s">
        <v>1129</v>
      </c>
      <c r="AL353">
        <v>340118590</v>
      </c>
      <c r="AM353" t="s">
        <v>124</v>
      </c>
    </row>
    <row r="354" spans="1:39" x14ac:dyDescent="0.35">
      <c r="A354">
        <v>3401</v>
      </c>
      <c r="B354" t="s">
        <v>55</v>
      </c>
      <c r="C354">
        <v>2020</v>
      </c>
      <c r="D354" s="1">
        <v>43831</v>
      </c>
      <c r="E354">
        <v>1</v>
      </c>
      <c r="F354">
        <v>100019478</v>
      </c>
      <c r="G354" t="s">
        <v>120</v>
      </c>
      <c r="H354">
        <v>81</v>
      </c>
      <c r="I354">
        <v>71104010</v>
      </c>
      <c r="J354">
        <v>21021040</v>
      </c>
      <c r="K354" t="s">
        <v>121</v>
      </c>
      <c r="L354">
        <v>42672</v>
      </c>
      <c r="M354" t="s">
        <v>31</v>
      </c>
      <c r="N354">
        <v>42672</v>
      </c>
      <c r="O354" t="s">
        <v>31</v>
      </c>
      <c r="R354" t="s">
        <v>122</v>
      </c>
      <c r="S354" t="s">
        <v>1131</v>
      </c>
      <c r="T354">
        <v>107211</v>
      </c>
      <c r="U354" t="s">
        <v>123</v>
      </c>
      <c r="X354" t="s">
        <v>55</v>
      </c>
      <c r="Y354" s="8">
        <v>4501216248</v>
      </c>
      <c r="Z354" t="s">
        <v>1127</v>
      </c>
      <c r="AA354">
        <v>42672</v>
      </c>
      <c r="AD354">
        <v>100036889</v>
      </c>
      <c r="AE354" t="s">
        <v>1128</v>
      </c>
      <c r="AF354" s="4"/>
      <c r="AG354" t="s">
        <v>51</v>
      </c>
      <c r="AH354" t="s">
        <v>1123</v>
      </c>
      <c r="AI354">
        <v>100036917</v>
      </c>
      <c r="AJ354" t="s">
        <v>1148</v>
      </c>
      <c r="AK354" t="s">
        <v>1129</v>
      </c>
      <c r="AL354">
        <v>340118590</v>
      </c>
      <c r="AM354" t="s">
        <v>124</v>
      </c>
    </row>
    <row r="355" spans="1:39" x14ac:dyDescent="0.35">
      <c r="A355">
        <v>3401</v>
      </c>
      <c r="B355" t="s">
        <v>55</v>
      </c>
      <c r="C355">
        <v>2020</v>
      </c>
      <c r="D355" s="1">
        <v>43831</v>
      </c>
      <c r="E355">
        <v>1</v>
      </c>
      <c r="F355">
        <v>100019480</v>
      </c>
      <c r="G355" t="s">
        <v>120</v>
      </c>
      <c r="H355">
        <v>81</v>
      </c>
      <c r="I355">
        <v>71104010</v>
      </c>
      <c r="J355">
        <v>21021040</v>
      </c>
      <c r="K355" t="s">
        <v>121</v>
      </c>
      <c r="L355">
        <v>54936</v>
      </c>
      <c r="M355" t="s">
        <v>31</v>
      </c>
      <c r="N355">
        <v>54936</v>
      </c>
      <c r="O355" t="s">
        <v>31</v>
      </c>
      <c r="R355" t="s">
        <v>122</v>
      </c>
      <c r="S355" t="s">
        <v>1131</v>
      </c>
      <c r="T355">
        <v>107211</v>
      </c>
      <c r="U355" t="s">
        <v>123</v>
      </c>
      <c r="X355" t="s">
        <v>55</v>
      </c>
      <c r="Y355" s="8">
        <v>4501216248</v>
      </c>
      <c r="Z355" t="s">
        <v>1127</v>
      </c>
      <c r="AA355">
        <v>54936</v>
      </c>
      <c r="AD355">
        <v>100036889</v>
      </c>
      <c r="AE355" t="s">
        <v>1128</v>
      </c>
      <c r="AF355" s="4"/>
      <c r="AG355" t="s">
        <v>51</v>
      </c>
      <c r="AH355" t="s">
        <v>1123</v>
      </c>
      <c r="AI355">
        <v>100036917</v>
      </c>
      <c r="AJ355" t="s">
        <v>1148</v>
      </c>
      <c r="AK355" t="s">
        <v>1129</v>
      </c>
      <c r="AL355">
        <v>340118590</v>
      </c>
      <c r="AM355" t="s">
        <v>124</v>
      </c>
    </row>
    <row r="356" spans="1:39" x14ac:dyDescent="0.35">
      <c r="A356">
        <v>3406</v>
      </c>
      <c r="B356" t="s">
        <v>55</v>
      </c>
      <c r="C356">
        <v>2020</v>
      </c>
      <c r="D356" s="1">
        <v>43831</v>
      </c>
      <c r="E356">
        <v>1</v>
      </c>
      <c r="F356">
        <v>600018996</v>
      </c>
      <c r="G356" t="s">
        <v>120</v>
      </c>
      <c r="H356">
        <v>81</v>
      </c>
      <c r="I356">
        <v>71106040</v>
      </c>
      <c r="J356">
        <v>21021040</v>
      </c>
      <c r="K356" t="s">
        <v>125</v>
      </c>
      <c r="L356">
        <v>18186</v>
      </c>
      <c r="M356" t="s">
        <v>54</v>
      </c>
      <c r="N356">
        <v>341769.5</v>
      </c>
      <c r="O356" t="s">
        <v>31</v>
      </c>
      <c r="R356" t="s">
        <v>1121</v>
      </c>
      <c r="S356">
        <v>183439718</v>
      </c>
      <c r="T356">
        <v>800875</v>
      </c>
      <c r="U356" t="s">
        <v>780</v>
      </c>
      <c r="X356" t="s">
        <v>55</v>
      </c>
      <c r="Y356" s="8" t="s">
        <v>781</v>
      </c>
      <c r="Z356">
        <v>4501222975</v>
      </c>
      <c r="AA356">
        <v>18186</v>
      </c>
      <c r="AB356">
        <v>0</v>
      </c>
      <c r="AC356">
        <v>18186</v>
      </c>
      <c r="AD356">
        <v>600025891</v>
      </c>
      <c r="AE356" t="s">
        <v>782</v>
      </c>
      <c r="AF356" s="4">
        <v>18186</v>
      </c>
      <c r="AG356" t="s">
        <v>1126</v>
      </c>
      <c r="AH356" t="s">
        <v>1123</v>
      </c>
      <c r="AI356">
        <v>600040070</v>
      </c>
      <c r="AJ356" t="s">
        <v>1125</v>
      </c>
      <c r="AK356" t="s">
        <v>1124</v>
      </c>
      <c r="AL356">
        <v>340621790</v>
      </c>
      <c r="AM356" t="s">
        <v>149</v>
      </c>
    </row>
    <row r="357" spans="1:39" x14ac:dyDescent="0.35">
      <c r="A357">
        <v>3403</v>
      </c>
      <c r="B357" t="s">
        <v>55</v>
      </c>
      <c r="C357">
        <v>2020</v>
      </c>
      <c r="D357" s="1">
        <v>43831</v>
      </c>
      <c r="E357">
        <v>1</v>
      </c>
      <c r="F357">
        <v>300011122</v>
      </c>
      <c r="G357" t="s">
        <v>120</v>
      </c>
      <c r="H357">
        <v>81</v>
      </c>
      <c r="I357">
        <v>71106150</v>
      </c>
      <c r="J357">
        <v>21021040</v>
      </c>
      <c r="K357" t="s">
        <v>102</v>
      </c>
      <c r="L357">
        <v>4529.8900000000003</v>
      </c>
      <c r="M357" t="s">
        <v>54</v>
      </c>
      <c r="N357">
        <v>85130.22</v>
      </c>
      <c r="O357" t="s">
        <v>31</v>
      </c>
      <c r="R357" t="s">
        <v>1121</v>
      </c>
      <c r="S357">
        <v>593383972</v>
      </c>
      <c r="T357">
        <v>600226</v>
      </c>
      <c r="U357" t="s">
        <v>126</v>
      </c>
      <c r="X357" t="s">
        <v>55</v>
      </c>
      <c r="Y357" s="8">
        <v>4501224049</v>
      </c>
      <c r="Z357" t="s">
        <v>1041</v>
      </c>
      <c r="AA357">
        <v>4529.8900000000003</v>
      </c>
      <c r="AB357">
        <v>0</v>
      </c>
      <c r="AC357">
        <v>4529.8900000000003</v>
      </c>
      <c r="AD357">
        <v>300012072</v>
      </c>
      <c r="AE357" t="s">
        <v>783</v>
      </c>
      <c r="AF357" s="4">
        <v>3623.9120000000003</v>
      </c>
      <c r="AG357" t="s">
        <v>1152</v>
      </c>
      <c r="AH357" t="s">
        <v>1123</v>
      </c>
      <c r="AI357">
        <v>300238841</v>
      </c>
      <c r="AJ357" t="s">
        <v>1125</v>
      </c>
      <c r="AK357" t="s">
        <v>1124</v>
      </c>
      <c r="AL357">
        <v>340321790</v>
      </c>
      <c r="AM357" t="s">
        <v>534</v>
      </c>
    </row>
    <row r="358" spans="1:39" x14ac:dyDescent="0.35">
      <c r="A358">
        <v>3406</v>
      </c>
      <c r="B358" t="s">
        <v>55</v>
      </c>
      <c r="C358">
        <v>2020</v>
      </c>
      <c r="D358" s="1">
        <v>43831</v>
      </c>
      <c r="E358">
        <v>1</v>
      </c>
      <c r="F358">
        <v>600019090</v>
      </c>
      <c r="G358" t="s">
        <v>120</v>
      </c>
      <c r="H358">
        <v>81</v>
      </c>
      <c r="I358">
        <v>71105120</v>
      </c>
      <c r="J358">
        <v>21021040</v>
      </c>
      <c r="K358" t="s">
        <v>268</v>
      </c>
      <c r="L358">
        <v>380</v>
      </c>
      <c r="M358" t="s">
        <v>54</v>
      </c>
      <c r="N358">
        <v>7141.34</v>
      </c>
      <c r="O358" t="s">
        <v>31</v>
      </c>
      <c r="R358" t="s">
        <v>1121</v>
      </c>
      <c r="S358">
        <v>453325398</v>
      </c>
      <c r="T358">
        <v>101653</v>
      </c>
      <c r="U358" t="s">
        <v>784</v>
      </c>
      <c r="X358" t="s">
        <v>55</v>
      </c>
      <c r="Y358" s="8" t="s">
        <v>785</v>
      </c>
      <c r="Z358">
        <v>20200120</v>
      </c>
      <c r="AA358">
        <v>380</v>
      </c>
      <c r="AB358">
        <v>0</v>
      </c>
      <c r="AC358">
        <v>380</v>
      </c>
      <c r="AD358">
        <v>600025900</v>
      </c>
      <c r="AE358" t="s">
        <v>786</v>
      </c>
      <c r="AF358" s="4">
        <v>380</v>
      </c>
      <c r="AG358" t="s">
        <v>1126</v>
      </c>
      <c r="AH358" t="s">
        <v>1123</v>
      </c>
      <c r="AI358">
        <v>600040066</v>
      </c>
      <c r="AJ358" t="s">
        <v>1125</v>
      </c>
      <c r="AK358" t="s">
        <v>1124</v>
      </c>
      <c r="AL358">
        <v>340615190</v>
      </c>
      <c r="AM358" t="s">
        <v>149</v>
      </c>
    </row>
    <row r="359" spans="1:39" x14ac:dyDescent="0.35">
      <c r="A359">
        <v>3403</v>
      </c>
      <c r="B359" t="s">
        <v>55</v>
      </c>
      <c r="C359">
        <v>2020</v>
      </c>
      <c r="D359" s="1">
        <v>43831</v>
      </c>
      <c r="E359">
        <v>1</v>
      </c>
      <c r="F359">
        <v>300011135</v>
      </c>
      <c r="G359" t="s">
        <v>120</v>
      </c>
      <c r="H359">
        <v>81</v>
      </c>
      <c r="I359">
        <v>71106150</v>
      </c>
      <c r="J359">
        <v>21021040</v>
      </c>
      <c r="K359" t="s">
        <v>102</v>
      </c>
      <c r="L359">
        <v>6703.01</v>
      </c>
      <c r="M359" t="s">
        <v>54</v>
      </c>
      <c r="N359">
        <v>125969.67</v>
      </c>
      <c r="O359" t="s">
        <v>31</v>
      </c>
      <c r="R359" t="s">
        <v>1121</v>
      </c>
      <c r="S359">
        <v>593383972</v>
      </c>
      <c r="T359">
        <v>600226</v>
      </c>
      <c r="U359" t="s">
        <v>126</v>
      </c>
      <c r="X359" t="s">
        <v>55</v>
      </c>
      <c r="Y359" s="8">
        <v>4501222799</v>
      </c>
      <c r="Z359" t="s">
        <v>766</v>
      </c>
      <c r="AA359">
        <v>6703.01</v>
      </c>
      <c r="AB359">
        <v>0</v>
      </c>
      <c r="AC359">
        <v>6703.01</v>
      </c>
      <c r="AD359">
        <v>300018477</v>
      </c>
      <c r="AE359" t="s">
        <v>787</v>
      </c>
      <c r="AF359" s="4">
        <v>5362.4080000000004</v>
      </c>
      <c r="AG359" t="s">
        <v>1152</v>
      </c>
      <c r="AH359" t="s">
        <v>1123</v>
      </c>
      <c r="AI359">
        <v>300238841</v>
      </c>
      <c r="AJ359" t="s">
        <v>1125</v>
      </c>
      <c r="AK359" t="s">
        <v>1124</v>
      </c>
      <c r="AL359">
        <v>340321790</v>
      </c>
      <c r="AM359" t="s">
        <v>534</v>
      </c>
    </row>
    <row r="360" spans="1:39" x14ac:dyDescent="0.35">
      <c r="A360">
        <v>3403</v>
      </c>
      <c r="B360" t="s">
        <v>55</v>
      </c>
      <c r="C360">
        <v>2020</v>
      </c>
      <c r="D360" s="1">
        <v>43831</v>
      </c>
      <c r="E360">
        <v>1</v>
      </c>
      <c r="F360">
        <v>300011153</v>
      </c>
      <c r="G360" t="s">
        <v>120</v>
      </c>
      <c r="H360">
        <v>81</v>
      </c>
      <c r="I360">
        <v>71105120</v>
      </c>
      <c r="J360">
        <v>21021040</v>
      </c>
      <c r="K360" t="s">
        <v>268</v>
      </c>
      <c r="L360">
        <v>20629.82</v>
      </c>
      <c r="M360" t="s">
        <v>31</v>
      </c>
      <c r="N360">
        <v>20629.82</v>
      </c>
      <c r="O360" t="s">
        <v>31</v>
      </c>
      <c r="R360" t="s">
        <v>788</v>
      </c>
      <c r="S360" t="s">
        <v>1170</v>
      </c>
      <c r="T360">
        <v>109480</v>
      </c>
      <c r="U360" t="s">
        <v>789</v>
      </c>
      <c r="X360" t="s">
        <v>55</v>
      </c>
      <c r="Y360" s="8" t="s">
        <v>790</v>
      </c>
      <c r="Z360">
        <v>4501216760</v>
      </c>
      <c r="AA360">
        <v>20629.82</v>
      </c>
      <c r="AB360">
        <v>3300.7712000000001</v>
      </c>
      <c r="AC360">
        <v>23930.591199999999</v>
      </c>
      <c r="AD360">
        <v>300011714</v>
      </c>
      <c r="AE360" t="s">
        <v>791</v>
      </c>
      <c r="AF360" s="4">
        <v>23930.591199999999</v>
      </c>
      <c r="AG360" t="s">
        <v>1146</v>
      </c>
      <c r="AH360" t="s">
        <v>1123</v>
      </c>
      <c r="AI360">
        <v>300022039</v>
      </c>
      <c r="AJ360" t="s">
        <v>1136</v>
      </c>
      <c r="AK360" t="s">
        <v>1135</v>
      </c>
      <c r="AL360">
        <v>340325790</v>
      </c>
      <c r="AM360" t="s">
        <v>222</v>
      </c>
    </row>
    <row r="361" spans="1:39" x14ac:dyDescent="0.35">
      <c r="A361">
        <v>3402</v>
      </c>
      <c r="B361" t="s">
        <v>43</v>
      </c>
      <c r="C361">
        <v>2020</v>
      </c>
      <c r="D361" s="1">
        <v>43831</v>
      </c>
      <c r="E361">
        <v>1</v>
      </c>
      <c r="F361">
        <v>200042522</v>
      </c>
      <c r="G361" t="s">
        <v>120</v>
      </c>
      <c r="H361">
        <v>81</v>
      </c>
      <c r="I361">
        <v>71105060</v>
      </c>
      <c r="J361">
        <v>21021040</v>
      </c>
      <c r="K361" t="s">
        <v>238</v>
      </c>
      <c r="L361">
        <v>4875</v>
      </c>
      <c r="M361" t="s">
        <v>31</v>
      </c>
      <c r="N361">
        <v>4875</v>
      </c>
      <c r="O361" t="s">
        <v>31</v>
      </c>
      <c r="R361" t="s">
        <v>792</v>
      </c>
      <c r="T361">
        <v>101476</v>
      </c>
      <c r="U361" t="s">
        <v>249</v>
      </c>
      <c r="X361" t="s">
        <v>43</v>
      </c>
      <c r="Y361" s="8" t="s">
        <v>793</v>
      </c>
      <c r="Z361">
        <v>20200116</v>
      </c>
      <c r="AA361">
        <v>4875</v>
      </c>
      <c r="AB361">
        <v>780</v>
      </c>
      <c r="AC361">
        <v>5655</v>
      </c>
      <c r="AD361">
        <v>200047512</v>
      </c>
      <c r="AE361" t="s">
        <v>794</v>
      </c>
      <c r="AF361" s="4">
        <v>5655</v>
      </c>
      <c r="AG361" t="s">
        <v>28</v>
      </c>
      <c r="AH361" t="s">
        <v>1123</v>
      </c>
      <c r="AI361">
        <v>200102219</v>
      </c>
      <c r="AJ361" t="s">
        <v>1136</v>
      </c>
      <c r="AK361" t="s">
        <v>1135</v>
      </c>
      <c r="AL361">
        <v>340253290</v>
      </c>
      <c r="AM361" t="s">
        <v>135</v>
      </c>
    </row>
    <row r="362" spans="1:39" x14ac:dyDescent="0.35">
      <c r="A362">
        <v>3407</v>
      </c>
      <c r="B362" t="s">
        <v>43</v>
      </c>
      <c r="C362">
        <v>2020</v>
      </c>
      <c r="D362" s="1">
        <v>43831</v>
      </c>
      <c r="E362">
        <v>1</v>
      </c>
      <c r="F362">
        <v>700016216</v>
      </c>
      <c r="G362" t="s">
        <v>120</v>
      </c>
      <c r="H362">
        <v>81</v>
      </c>
      <c r="I362">
        <v>71105130</v>
      </c>
      <c r="J362">
        <v>21021040</v>
      </c>
      <c r="K362" t="s">
        <v>305</v>
      </c>
      <c r="L362">
        <v>881.15</v>
      </c>
      <c r="M362" t="s">
        <v>54</v>
      </c>
      <c r="N362">
        <v>16576.189999999999</v>
      </c>
      <c r="O362" t="s">
        <v>31</v>
      </c>
      <c r="R362" t="s">
        <v>1121</v>
      </c>
      <c r="S362">
        <v>593416526</v>
      </c>
      <c r="T362">
        <v>602304</v>
      </c>
      <c r="U362" t="s">
        <v>628</v>
      </c>
      <c r="X362" t="s">
        <v>43</v>
      </c>
      <c r="Y362" s="8" t="s">
        <v>795</v>
      </c>
      <c r="Z362">
        <v>20200116</v>
      </c>
      <c r="AA362">
        <v>881.15</v>
      </c>
      <c r="AB362">
        <v>0</v>
      </c>
      <c r="AC362">
        <v>881.15</v>
      </c>
      <c r="AD362">
        <v>700016468</v>
      </c>
      <c r="AE362" t="s">
        <v>796</v>
      </c>
      <c r="AF362" s="4">
        <v>881.15</v>
      </c>
      <c r="AG362" t="s">
        <v>1144</v>
      </c>
      <c r="AH362" t="s">
        <v>1123</v>
      </c>
      <c r="AI362">
        <v>700076457</v>
      </c>
      <c r="AJ362" t="s">
        <v>1125</v>
      </c>
      <c r="AK362" t="s">
        <v>1124</v>
      </c>
      <c r="AL362">
        <v>340721790</v>
      </c>
      <c r="AM362" t="s">
        <v>244</v>
      </c>
    </row>
    <row r="363" spans="1:39" x14ac:dyDescent="0.35">
      <c r="A363">
        <v>3400</v>
      </c>
      <c r="B363" t="s">
        <v>43</v>
      </c>
      <c r="C363">
        <v>2020</v>
      </c>
      <c r="D363" s="1">
        <v>43831</v>
      </c>
      <c r="E363">
        <v>1</v>
      </c>
      <c r="F363">
        <v>100004815</v>
      </c>
      <c r="G363" t="s">
        <v>120</v>
      </c>
      <c r="H363">
        <v>81</v>
      </c>
      <c r="I363">
        <v>71105120</v>
      </c>
      <c r="J363">
        <v>21021040</v>
      </c>
      <c r="K363" t="s">
        <v>268</v>
      </c>
      <c r="L363">
        <v>760</v>
      </c>
      <c r="M363" t="s">
        <v>54</v>
      </c>
      <c r="N363">
        <v>14297.12</v>
      </c>
      <c r="O363" t="s">
        <v>31</v>
      </c>
      <c r="R363" t="s">
        <v>1121</v>
      </c>
      <c r="S363">
        <v>453325398</v>
      </c>
      <c r="T363">
        <v>101653</v>
      </c>
      <c r="U363" t="s">
        <v>784</v>
      </c>
      <c r="X363" t="s">
        <v>43</v>
      </c>
      <c r="Y363" s="8" t="s">
        <v>797</v>
      </c>
      <c r="Z363">
        <v>20200116</v>
      </c>
      <c r="AA363">
        <v>760</v>
      </c>
      <c r="AB363">
        <v>0</v>
      </c>
      <c r="AC363">
        <v>760</v>
      </c>
      <c r="AD363">
        <v>100014789</v>
      </c>
      <c r="AE363" t="s">
        <v>798</v>
      </c>
      <c r="AF363" s="4">
        <v>760</v>
      </c>
      <c r="AG363" t="s">
        <v>1157</v>
      </c>
      <c r="AH363" t="s">
        <v>1123</v>
      </c>
      <c r="AI363">
        <v>100168494</v>
      </c>
      <c r="AJ363" t="s">
        <v>1125</v>
      </c>
      <c r="AK363" t="s">
        <v>1124</v>
      </c>
      <c r="AL363">
        <v>340099350</v>
      </c>
      <c r="AM363" t="s">
        <v>799</v>
      </c>
    </row>
    <row r="364" spans="1:39" x14ac:dyDescent="0.35">
      <c r="A364">
        <v>3400</v>
      </c>
      <c r="B364" t="s">
        <v>43</v>
      </c>
      <c r="C364">
        <v>2020</v>
      </c>
      <c r="D364" s="1">
        <v>43831</v>
      </c>
      <c r="E364">
        <v>1</v>
      </c>
      <c r="F364">
        <v>100004816</v>
      </c>
      <c r="G364" t="s">
        <v>120</v>
      </c>
      <c r="H364">
        <v>81</v>
      </c>
      <c r="I364">
        <v>71105120</v>
      </c>
      <c r="J364">
        <v>21021040</v>
      </c>
      <c r="K364" t="s">
        <v>268</v>
      </c>
      <c r="L364">
        <v>400</v>
      </c>
      <c r="M364" t="s">
        <v>54</v>
      </c>
      <c r="N364">
        <v>7524.8</v>
      </c>
      <c r="O364" t="s">
        <v>31</v>
      </c>
      <c r="R364" t="s">
        <v>1121</v>
      </c>
      <c r="S364">
        <v>453325398</v>
      </c>
      <c r="T364">
        <v>101653</v>
      </c>
      <c r="U364" t="s">
        <v>784</v>
      </c>
      <c r="X364" t="s">
        <v>43</v>
      </c>
      <c r="Y364" s="8" t="s">
        <v>800</v>
      </c>
      <c r="Z364">
        <v>20200116</v>
      </c>
      <c r="AA364">
        <v>400</v>
      </c>
      <c r="AB364">
        <v>0</v>
      </c>
      <c r="AC364">
        <v>400</v>
      </c>
      <c r="AD364">
        <v>100014790</v>
      </c>
      <c r="AE364" t="s">
        <v>801</v>
      </c>
      <c r="AF364" s="4">
        <v>400</v>
      </c>
      <c r="AG364" t="s">
        <v>1144</v>
      </c>
      <c r="AH364" t="s">
        <v>1123</v>
      </c>
      <c r="AI364">
        <v>100019945</v>
      </c>
      <c r="AJ364" t="s">
        <v>1125</v>
      </c>
      <c r="AK364" t="s">
        <v>1124</v>
      </c>
      <c r="AL364">
        <v>340099350</v>
      </c>
      <c r="AM364" t="s">
        <v>799</v>
      </c>
    </row>
    <row r="365" spans="1:39" x14ac:dyDescent="0.35">
      <c r="A365">
        <v>3401</v>
      </c>
      <c r="B365" t="s">
        <v>43</v>
      </c>
      <c r="C365">
        <v>2020</v>
      </c>
      <c r="D365" s="1">
        <v>43831</v>
      </c>
      <c r="E365">
        <v>1</v>
      </c>
      <c r="F365">
        <v>100015703</v>
      </c>
      <c r="G365" t="s">
        <v>120</v>
      </c>
      <c r="H365">
        <v>81</v>
      </c>
      <c r="I365">
        <v>71104010</v>
      </c>
      <c r="J365">
        <v>21021040</v>
      </c>
      <c r="K365" t="s">
        <v>121</v>
      </c>
      <c r="L365">
        <v>50484</v>
      </c>
      <c r="M365" t="s">
        <v>31</v>
      </c>
      <c r="N365">
        <v>50484</v>
      </c>
      <c r="O365" t="s">
        <v>31</v>
      </c>
      <c r="R365" t="s">
        <v>122</v>
      </c>
      <c r="S365" t="s">
        <v>1131</v>
      </c>
      <c r="T365">
        <v>107211</v>
      </c>
      <c r="U365" t="s">
        <v>123</v>
      </c>
      <c r="X365" t="s">
        <v>43</v>
      </c>
      <c r="Y365" s="8">
        <v>4501216248</v>
      </c>
      <c r="Z365" t="s">
        <v>1127</v>
      </c>
      <c r="AA365">
        <v>50484</v>
      </c>
      <c r="AD365">
        <v>100036889</v>
      </c>
      <c r="AE365" t="s">
        <v>1128</v>
      </c>
      <c r="AF365" s="4"/>
      <c r="AG365" t="s">
        <v>51</v>
      </c>
      <c r="AH365" t="s">
        <v>1123</v>
      </c>
      <c r="AI365">
        <v>100036917</v>
      </c>
      <c r="AJ365" t="s">
        <v>1148</v>
      </c>
      <c r="AK365" t="s">
        <v>1129</v>
      </c>
      <c r="AL365">
        <v>340118590</v>
      </c>
      <c r="AM365" t="s">
        <v>124</v>
      </c>
    </row>
    <row r="366" spans="1:39" x14ac:dyDescent="0.35">
      <c r="A366">
        <v>3403</v>
      </c>
      <c r="B366" t="s">
        <v>43</v>
      </c>
      <c r="C366">
        <v>2020</v>
      </c>
      <c r="D366" s="1">
        <v>43831</v>
      </c>
      <c r="E366">
        <v>1</v>
      </c>
      <c r="F366">
        <v>300008809</v>
      </c>
      <c r="G366" t="s">
        <v>120</v>
      </c>
      <c r="H366">
        <v>81</v>
      </c>
      <c r="I366">
        <v>71105120</v>
      </c>
      <c r="J366">
        <v>21021040</v>
      </c>
      <c r="K366" t="s">
        <v>268</v>
      </c>
      <c r="L366">
        <v>237.5</v>
      </c>
      <c r="M366" t="s">
        <v>54</v>
      </c>
      <c r="N366">
        <v>4467.8500000000004</v>
      </c>
      <c r="O366" t="s">
        <v>31</v>
      </c>
      <c r="R366" t="s">
        <v>1121</v>
      </c>
      <c r="S366">
        <v>453325398</v>
      </c>
      <c r="T366">
        <v>101653</v>
      </c>
      <c r="U366" t="s">
        <v>784</v>
      </c>
      <c r="X366" t="s">
        <v>43</v>
      </c>
      <c r="Y366" s="8" t="s">
        <v>802</v>
      </c>
      <c r="Z366">
        <v>20200116</v>
      </c>
      <c r="AA366">
        <v>237.5</v>
      </c>
      <c r="AB366">
        <v>0</v>
      </c>
      <c r="AC366">
        <v>237.5</v>
      </c>
      <c r="AD366">
        <v>300008820</v>
      </c>
      <c r="AE366" t="s">
        <v>803</v>
      </c>
      <c r="AF366" s="4">
        <v>237.5</v>
      </c>
      <c r="AG366" t="s">
        <v>1157</v>
      </c>
      <c r="AH366" t="s">
        <v>1123</v>
      </c>
      <c r="AI366">
        <v>300231884</v>
      </c>
      <c r="AJ366" t="s">
        <v>1125</v>
      </c>
      <c r="AK366" t="s">
        <v>1124</v>
      </c>
      <c r="AL366">
        <v>340315190</v>
      </c>
      <c r="AM366" t="s">
        <v>222</v>
      </c>
    </row>
    <row r="367" spans="1:39" x14ac:dyDescent="0.35">
      <c r="A367">
        <v>3401</v>
      </c>
      <c r="B367" t="s">
        <v>86</v>
      </c>
      <c r="C367">
        <v>2020</v>
      </c>
      <c r="D367" s="1">
        <v>43831</v>
      </c>
      <c r="E367">
        <v>1</v>
      </c>
      <c r="F367">
        <v>100005690</v>
      </c>
      <c r="G367" t="s">
        <v>120</v>
      </c>
      <c r="H367">
        <v>81</v>
      </c>
      <c r="I367">
        <v>71105120</v>
      </c>
      <c r="J367">
        <v>21021040</v>
      </c>
      <c r="K367" t="s">
        <v>268</v>
      </c>
      <c r="L367">
        <v>380</v>
      </c>
      <c r="M367" t="s">
        <v>54</v>
      </c>
      <c r="N367">
        <v>7169.57</v>
      </c>
      <c r="O367" t="s">
        <v>31</v>
      </c>
      <c r="R367" t="s">
        <v>1121</v>
      </c>
      <c r="S367">
        <v>453325398</v>
      </c>
      <c r="T367">
        <v>101653</v>
      </c>
      <c r="U367" t="s">
        <v>784</v>
      </c>
      <c r="X367" t="s">
        <v>86</v>
      </c>
      <c r="Y367" s="8" t="s">
        <v>807</v>
      </c>
      <c r="Z367" t="s">
        <v>807</v>
      </c>
      <c r="AA367">
        <v>380</v>
      </c>
      <c r="AB367">
        <v>0</v>
      </c>
      <c r="AC367">
        <v>380</v>
      </c>
      <c r="AD367">
        <v>100006710</v>
      </c>
      <c r="AE367" t="s">
        <v>808</v>
      </c>
      <c r="AF367" s="4">
        <v>380</v>
      </c>
      <c r="AG367" t="s">
        <v>1126</v>
      </c>
      <c r="AH367" t="s">
        <v>1123</v>
      </c>
      <c r="AI367">
        <v>100049136</v>
      </c>
      <c r="AJ367" t="s">
        <v>1125</v>
      </c>
      <c r="AK367" t="s">
        <v>1124</v>
      </c>
      <c r="AL367">
        <v>340153290</v>
      </c>
      <c r="AM367" t="s">
        <v>129</v>
      </c>
    </row>
    <row r="368" spans="1:39" x14ac:dyDescent="0.35">
      <c r="A368">
        <v>3401</v>
      </c>
      <c r="B368" t="s">
        <v>86</v>
      </c>
      <c r="C368">
        <v>2020</v>
      </c>
      <c r="D368" s="1">
        <v>43831</v>
      </c>
      <c r="E368">
        <v>1</v>
      </c>
      <c r="F368">
        <v>100005696</v>
      </c>
      <c r="G368" t="s">
        <v>120</v>
      </c>
      <c r="H368">
        <v>81</v>
      </c>
      <c r="I368">
        <v>71105120</v>
      </c>
      <c r="J368">
        <v>21021040</v>
      </c>
      <c r="K368" t="s">
        <v>268</v>
      </c>
      <c r="L368">
        <v>380</v>
      </c>
      <c r="M368" t="s">
        <v>54</v>
      </c>
      <c r="N368">
        <v>7169.57</v>
      </c>
      <c r="O368" t="s">
        <v>31</v>
      </c>
      <c r="R368" t="s">
        <v>1121</v>
      </c>
      <c r="S368">
        <v>453325398</v>
      </c>
      <c r="T368">
        <v>101653</v>
      </c>
      <c r="U368" t="s">
        <v>784</v>
      </c>
      <c r="X368" t="s">
        <v>86</v>
      </c>
      <c r="Y368" s="8" t="s">
        <v>807</v>
      </c>
      <c r="Z368" t="s">
        <v>807</v>
      </c>
      <c r="AA368">
        <v>380</v>
      </c>
      <c r="AB368">
        <v>0</v>
      </c>
      <c r="AC368">
        <v>380</v>
      </c>
      <c r="AD368">
        <v>100006710</v>
      </c>
      <c r="AE368" t="s">
        <v>809</v>
      </c>
      <c r="AF368" s="4">
        <v>380</v>
      </c>
      <c r="AG368" t="s">
        <v>1126</v>
      </c>
      <c r="AH368" t="s">
        <v>1123</v>
      </c>
      <c r="AI368">
        <v>100049136</v>
      </c>
      <c r="AJ368" t="s">
        <v>1125</v>
      </c>
      <c r="AK368" t="s">
        <v>1124</v>
      </c>
      <c r="AL368">
        <v>340115190</v>
      </c>
      <c r="AM368" t="s">
        <v>129</v>
      </c>
    </row>
    <row r="369" spans="1:39" x14ac:dyDescent="0.35">
      <c r="A369">
        <v>3409</v>
      </c>
      <c r="B369" t="s">
        <v>86</v>
      </c>
      <c r="C369">
        <v>2020</v>
      </c>
      <c r="D369" s="1">
        <v>43831</v>
      </c>
      <c r="E369">
        <v>1</v>
      </c>
      <c r="F369">
        <v>900002227</v>
      </c>
      <c r="G369" t="s">
        <v>120</v>
      </c>
      <c r="H369">
        <v>81</v>
      </c>
      <c r="I369">
        <v>71105120</v>
      </c>
      <c r="J369">
        <v>21021040</v>
      </c>
      <c r="K369" t="s">
        <v>268</v>
      </c>
      <c r="L369">
        <v>18560</v>
      </c>
      <c r="M369" t="s">
        <v>31</v>
      </c>
      <c r="N369">
        <v>18560</v>
      </c>
      <c r="O369" t="s">
        <v>31</v>
      </c>
      <c r="R369" t="s">
        <v>810</v>
      </c>
      <c r="S369" t="s">
        <v>1156</v>
      </c>
      <c r="T369">
        <v>100730</v>
      </c>
      <c r="U369" t="s">
        <v>811</v>
      </c>
      <c r="X369" t="s">
        <v>86</v>
      </c>
      <c r="Y369" s="8">
        <v>2966</v>
      </c>
      <c r="Z369">
        <v>20200107</v>
      </c>
      <c r="AA369">
        <v>18560</v>
      </c>
      <c r="AB369">
        <v>2969.6</v>
      </c>
      <c r="AC369">
        <v>21529.599999999999</v>
      </c>
      <c r="AD369">
        <v>900002230</v>
      </c>
      <c r="AE369" t="s">
        <v>812</v>
      </c>
      <c r="AF369" s="4">
        <v>21529.599999999999</v>
      </c>
      <c r="AG369" t="s">
        <v>1146</v>
      </c>
      <c r="AH369" t="s">
        <v>1123</v>
      </c>
      <c r="AJ369" t="s">
        <v>1136</v>
      </c>
      <c r="AK369" t="s">
        <v>1135</v>
      </c>
      <c r="AL369">
        <v>340914190</v>
      </c>
      <c r="AM369" t="s">
        <v>185</v>
      </c>
    </row>
    <row r="370" spans="1:39" x14ac:dyDescent="0.35">
      <c r="A370">
        <v>3407</v>
      </c>
      <c r="B370" t="s">
        <v>86</v>
      </c>
      <c r="C370">
        <v>2020</v>
      </c>
      <c r="D370" s="1">
        <v>43831</v>
      </c>
      <c r="E370">
        <v>1</v>
      </c>
      <c r="F370">
        <v>700006688</v>
      </c>
      <c r="G370" t="s">
        <v>120</v>
      </c>
      <c r="H370">
        <v>81</v>
      </c>
      <c r="I370">
        <v>71105120</v>
      </c>
      <c r="J370">
        <v>21021040</v>
      </c>
      <c r="K370" t="s">
        <v>268</v>
      </c>
      <c r="L370">
        <v>18560.099999999999</v>
      </c>
      <c r="M370" t="s">
        <v>31</v>
      </c>
      <c r="N370">
        <v>18560.099999999999</v>
      </c>
      <c r="O370" t="s">
        <v>31</v>
      </c>
      <c r="R370" t="s">
        <v>815</v>
      </c>
      <c r="S370" t="s">
        <v>1156</v>
      </c>
      <c r="T370">
        <v>100730</v>
      </c>
      <c r="U370" t="s">
        <v>811</v>
      </c>
      <c r="X370" t="s">
        <v>86</v>
      </c>
      <c r="Y370" s="8">
        <v>2965</v>
      </c>
      <c r="Z370">
        <v>20200107</v>
      </c>
      <c r="AA370">
        <v>18560.099999999999</v>
      </c>
      <c r="AB370">
        <v>2969.616</v>
      </c>
      <c r="AC370">
        <v>21529.716</v>
      </c>
      <c r="AD370">
        <v>700006703</v>
      </c>
      <c r="AE370" t="s">
        <v>816</v>
      </c>
      <c r="AF370" s="4">
        <v>21529.716</v>
      </c>
      <c r="AG370" t="s">
        <v>1146</v>
      </c>
      <c r="AH370" t="s">
        <v>1123</v>
      </c>
      <c r="AJ370" t="s">
        <v>1136</v>
      </c>
      <c r="AK370" t="s">
        <v>1135</v>
      </c>
      <c r="AL370">
        <v>340714190</v>
      </c>
      <c r="AM370" t="s">
        <v>244</v>
      </c>
    </row>
    <row r="371" spans="1:39" x14ac:dyDescent="0.35">
      <c r="A371">
        <v>3409</v>
      </c>
      <c r="B371" t="s">
        <v>427</v>
      </c>
      <c r="C371">
        <v>2020</v>
      </c>
      <c r="D371" s="1">
        <v>43831</v>
      </c>
      <c r="E371">
        <v>1</v>
      </c>
      <c r="F371">
        <v>900011624</v>
      </c>
      <c r="G371" t="s">
        <v>120</v>
      </c>
      <c r="H371">
        <v>81</v>
      </c>
      <c r="I371">
        <v>71106040</v>
      </c>
      <c r="J371">
        <v>21021040</v>
      </c>
      <c r="K371" t="s">
        <v>125</v>
      </c>
      <c r="L371">
        <v>2197.4899999999998</v>
      </c>
      <c r="M371" t="s">
        <v>54</v>
      </c>
      <c r="N371">
        <v>41472.57</v>
      </c>
      <c r="O371" t="s">
        <v>31</v>
      </c>
      <c r="R371" t="s">
        <v>1121</v>
      </c>
      <c r="S371">
        <v>752738581</v>
      </c>
      <c r="T371">
        <v>602358</v>
      </c>
      <c r="U371" t="s">
        <v>130</v>
      </c>
      <c r="X371" t="s">
        <v>35</v>
      </c>
      <c r="Y371" s="8">
        <v>2282587</v>
      </c>
      <c r="Z371">
        <v>20200101</v>
      </c>
      <c r="AA371">
        <v>2197.4899999999998</v>
      </c>
      <c r="AB371">
        <v>0</v>
      </c>
      <c r="AC371">
        <v>2197.4899999999998</v>
      </c>
      <c r="AD371">
        <v>900012547</v>
      </c>
      <c r="AE371" t="s">
        <v>831</v>
      </c>
      <c r="AF371" s="4">
        <v>2197.4899999999998</v>
      </c>
      <c r="AG371" t="s">
        <v>1146</v>
      </c>
      <c r="AH371" t="s">
        <v>1123</v>
      </c>
      <c r="AI371">
        <v>900014325</v>
      </c>
      <c r="AJ371" t="s">
        <v>1125</v>
      </c>
      <c r="AK371" t="s">
        <v>1124</v>
      </c>
      <c r="AL371">
        <v>340921790</v>
      </c>
      <c r="AM371" t="s">
        <v>185</v>
      </c>
    </row>
    <row r="372" spans="1:39" x14ac:dyDescent="0.35">
      <c r="A372">
        <v>3401</v>
      </c>
      <c r="B372" t="s">
        <v>81</v>
      </c>
      <c r="C372">
        <v>2020</v>
      </c>
      <c r="D372" s="1">
        <v>43831</v>
      </c>
      <c r="E372">
        <v>1</v>
      </c>
      <c r="F372">
        <v>100020667</v>
      </c>
      <c r="G372" t="s">
        <v>120</v>
      </c>
      <c r="H372">
        <v>81</v>
      </c>
      <c r="I372">
        <v>71106150</v>
      </c>
      <c r="J372">
        <v>21021040</v>
      </c>
      <c r="K372" t="s">
        <v>102</v>
      </c>
      <c r="L372">
        <v>56196.65</v>
      </c>
      <c r="M372" t="s">
        <v>54</v>
      </c>
      <c r="N372">
        <v>1053057.79</v>
      </c>
      <c r="O372" t="s">
        <v>31</v>
      </c>
      <c r="R372" t="s">
        <v>1121</v>
      </c>
      <c r="S372" t="s">
        <v>1122</v>
      </c>
      <c r="T372">
        <v>101128</v>
      </c>
      <c r="U372" t="s">
        <v>410</v>
      </c>
      <c r="X372" t="s">
        <v>43</v>
      </c>
      <c r="Y372" s="8" t="s">
        <v>1050</v>
      </c>
      <c r="Z372" t="s">
        <v>1050</v>
      </c>
      <c r="AA372">
        <v>56196.65</v>
      </c>
      <c r="AB372">
        <v>0</v>
      </c>
      <c r="AC372">
        <v>56196.65</v>
      </c>
      <c r="AD372">
        <v>100020671</v>
      </c>
      <c r="AE372" t="s">
        <v>864</v>
      </c>
      <c r="AF372" s="4">
        <v>44957.32</v>
      </c>
      <c r="AG372" t="s">
        <v>212</v>
      </c>
      <c r="AH372" t="s">
        <v>1123</v>
      </c>
      <c r="AI372">
        <v>100036040</v>
      </c>
      <c r="AJ372" t="s">
        <v>1125</v>
      </c>
      <c r="AK372" t="s">
        <v>1124</v>
      </c>
      <c r="AL372">
        <v>340121790</v>
      </c>
      <c r="AM372" t="s">
        <v>414</v>
      </c>
    </row>
    <row r="373" spans="1:39" x14ac:dyDescent="0.35">
      <c r="A373">
        <v>3407</v>
      </c>
      <c r="B373" t="s">
        <v>370</v>
      </c>
      <c r="C373">
        <v>2020</v>
      </c>
      <c r="D373" s="1">
        <v>43831</v>
      </c>
      <c r="E373">
        <v>1</v>
      </c>
      <c r="F373">
        <v>700013609</v>
      </c>
      <c r="G373" t="s">
        <v>120</v>
      </c>
      <c r="H373">
        <v>81</v>
      </c>
      <c r="I373">
        <v>71105060</v>
      </c>
      <c r="J373">
        <v>21021040</v>
      </c>
      <c r="K373" t="s">
        <v>238</v>
      </c>
      <c r="L373">
        <v>26223.79</v>
      </c>
      <c r="M373" t="s">
        <v>31</v>
      </c>
      <c r="N373">
        <v>26223.79</v>
      </c>
      <c r="O373" t="s">
        <v>31</v>
      </c>
      <c r="R373" t="s">
        <v>865</v>
      </c>
      <c r="S373" t="s">
        <v>1179</v>
      </c>
      <c r="T373">
        <v>606740</v>
      </c>
      <c r="U373" t="s">
        <v>266</v>
      </c>
      <c r="X373" t="s">
        <v>370</v>
      </c>
      <c r="Y373" s="8">
        <v>1756</v>
      </c>
      <c r="Z373">
        <v>20200113</v>
      </c>
      <c r="AA373">
        <v>26223.79</v>
      </c>
      <c r="AB373">
        <v>4195.8064000000004</v>
      </c>
      <c r="AC373">
        <v>30419.596400000002</v>
      </c>
      <c r="AD373">
        <v>700013823</v>
      </c>
      <c r="AE373" t="s">
        <v>866</v>
      </c>
      <c r="AF373" s="4">
        <v>30419.596400000002</v>
      </c>
      <c r="AG373" t="s">
        <v>57</v>
      </c>
      <c r="AH373" t="s">
        <v>1123</v>
      </c>
      <c r="AI373">
        <v>700013830</v>
      </c>
      <c r="AJ373" t="s">
        <v>1136</v>
      </c>
      <c r="AK373" t="s">
        <v>1135</v>
      </c>
      <c r="AL373">
        <v>340727190</v>
      </c>
      <c r="AM373" t="s">
        <v>217</v>
      </c>
    </row>
    <row r="374" spans="1:39" x14ac:dyDescent="0.35">
      <c r="A374">
        <v>3401</v>
      </c>
      <c r="B374" t="s">
        <v>28</v>
      </c>
      <c r="C374">
        <v>2020</v>
      </c>
      <c r="D374" s="1">
        <v>43831</v>
      </c>
      <c r="E374">
        <v>1</v>
      </c>
      <c r="F374">
        <v>100033013</v>
      </c>
      <c r="G374" t="s">
        <v>120</v>
      </c>
      <c r="H374">
        <v>81</v>
      </c>
      <c r="I374">
        <v>71106040</v>
      </c>
      <c r="J374">
        <v>21021040</v>
      </c>
      <c r="K374" t="s">
        <v>125</v>
      </c>
      <c r="L374">
        <v>1380</v>
      </c>
      <c r="M374" t="s">
        <v>54</v>
      </c>
      <c r="N374">
        <v>25815.25</v>
      </c>
      <c r="O374" t="s">
        <v>31</v>
      </c>
      <c r="R374" t="s">
        <v>867</v>
      </c>
      <c r="S374" t="s">
        <v>1141</v>
      </c>
      <c r="T374">
        <v>600623</v>
      </c>
      <c r="U374" t="s">
        <v>219</v>
      </c>
      <c r="X374" t="s">
        <v>35</v>
      </c>
      <c r="Y374" s="8" t="s">
        <v>868</v>
      </c>
      <c r="Z374">
        <v>20200131</v>
      </c>
      <c r="AA374">
        <v>1380</v>
      </c>
      <c r="AB374">
        <v>220.8</v>
      </c>
      <c r="AC374">
        <v>1600.8</v>
      </c>
      <c r="AD374">
        <v>700013824</v>
      </c>
      <c r="AE374" t="s">
        <v>869</v>
      </c>
      <c r="AF374" s="4">
        <v>1600.8</v>
      </c>
      <c r="AG374" t="s">
        <v>57</v>
      </c>
      <c r="AH374" t="s">
        <v>1123</v>
      </c>
      <c r="AI374">
        <v>100354698</v>
      </c>
      <c r="AJ374" t="s">
        <v>1125</v>
      </c>
      <c r="AK374" t="s">
        <v>1124</v>
      </c>
      <c r="AL374">
        <v>340121790</v>
      </c>
      <c r="AM374" t="s">
        <v>129</v>
      </c>
    </row>
    <row r="375" spans="1:39" x14ac:dyDescent="0.35">
      <c r="A375">
        <v>3409</v>
      </c>
      <c r="B375" t="s">
        <v>870</v>
      </c>
      <c r="C375">
        <v>2020</v>
      </c>
      <c r="D375" s="1">
        <v>43831</v>
      </c>
      <c r="E375">
        <v>1</v>
      </c>
      <c r="F375">
        <v>900003117</v>
      </c>
      <c r="G375" t="s">
        <v>120</v>
      </c>
      <c r="H375">
        <v>81</v>
      </c>
      <c r="I375">
        <v>71105120</v>
      </c>
      <c r="J375">
        <v>21021040</v>
      </c>
      <c r="K375" t="s">
        <v>268</v>
      </c>
      <c r="L375">
        <v>380</v>
      </c>
      <c r="M375" t="s">
        <v>54</v>
      </c>
      <c r="N375">
        <v>7176.38</v>
      </c>
      <c r="O375" t="s">
        <v>31</v>
      </c>
      <c r="R375" t="s">
        <v>1121</v>
      </c>
      <c r="S375">
        <v>453325398</v>
      </c>
      <c r="T375">
        <v>101653</v>
      </c>
      <c r="U375" t="s">
        <v>784</v>
      </c>
      <c r="X375" t="s">
        <v>870</v>
      </c>
      <c r="Y375" s="8" t="s">
        <v>873</v>
      </c>
      <c r="Z375">
        <v>20200109</v>
      </c>
      <c r="AA375">
        <v>380</v>
      </c>
      <c r="AB375">
        <v>0</v>
      </c>
      <c r="AC375">
        <v>380</v>
      </c>
      <c r="AD375">
        <v>900004280</v>
      </c>
      <c r="AE375" t="s">
        <v>874</v>
      </c>
      <c r="AF375" s="4">
        <v>380</v>
      </c>
      <c r="AG375" t="s">
        <v>1144</v>
      </c>
      <c r="AH375" t="s">
        <v>1123</v>
      </c>
      <c r="AI375">
        <v>900022470</v>
      </c>
      <c r="AJ375" t="s">
        <v>1125</v>
      </c>
      <c r="AK375" t="s">
        <v>1124</v>
      </c>
      <c r="AL375">
        <v>340915190</v>
      </c>
      <c r="AM375" t="s">
        <v>185</v>
      </c>
    </row>
    <row r="376" spans="1:39" x14ac:dyDescent="0.35">
      <c r="A376">
        <v>3409</v>
      </c>
      <c r="B376" t="s">
        <v>870</v>
      </c>
      <c r="C376">
        <v>2020</v>
      </c>
      <c r="D376" s="1">
        <v>43831</v>
      </c>
      <c r="E376">
        <v>1</v>
      </c>
      <c r="F376">
        <v>900003116</v>
      </c>
      <c r="G376" t="s">
        <v>120</v>
      </c>
      <c r="H376">
        <v>81</v>
      </c>
      <c r="I376">
        <v>71105120</v>
      </c>
      <c r="J376">
        <v>21021040</v>
      </c>
      <c r="K376" t="s">
        <v>268</v>
      </c>
      <c r="L376">
        <v>380</v>
      </c>
      <c r="M376" t="s">
        <v>54</v>
      </c>
      <c r="N376">
        <v>7176.38</v>
      </c>
      <c r="O376" t="s">
        <v>31</v>
      </c>
      <c r="R376" t="s">
        <v>1121</v>
      </c>
      <c r="S376">
        <v>453325398</v>
      </c>
      <c r="T376">
        <v>101653</v>
      </c>
      <c r="U376" t="s">
        <v>784</v>
      </c>
      <c r="X376" t="s">
        <v>870</v>
      </c>
      <c r="Y376" s="8" t="s">
        <v>873</v>
      </c>
      <c r="Z376">
        <v>20200109</v>
      </c>
      <c r="AA376">
        <v>380</v>
      </c>
      <c r="AB376">
        <v>0</v>
      </c>
      <c r="AC376">
        <v>380</v>
      </c>
      <c r="AD376">
        <v>900004280</v>
      </c>
      <c r="AE376" t="s">
        <v>875</v>
      </c>
      <c r="AF376" s="4">
        <v>380</v>
      </c>
      <c r="AG376" t="s">
        <v>1144</v>
      </c>
      <c r="AH376" t="s">
        <v>1123</v>
      </c>
      <c r="AI376">
        <v>900022470</v>
      </c>
      <c r="AJ376" t="s">
        <v>1125</v>
      </c>
      <c r="AK376" t="s">
        <v>1124</v>
      </c>
      <c r="AL376">
        <v>340953290</v>
      </c>
      <c r="AM376" t="s">
        <v>185</v>
      </c>
    </row>
    <row r="377" spans="1:39" x14ac:dyDescent="0.35">
      <c r="A377">
        <v>3406</v>
      </c>
      <c r="B377" t="s">
        <v>870</v>
      </c>
      <c r="C377">
        <v>2020</v>
      </c>
      <c r="D377" s="1">
        <v>43831</v>
      </c>
      <c r="E377">
        <v>1</v>
      </c>
      <c r="F377">
        <v>600006441</v>
      </c>
      <c r="G377" t="s">
        <v>120</v>
      </c>
      <c r="H377">
        <v>81</v>
      </c>
      <c r="I377">
        <v>71106040</v>
      </c>
      <c r="J377">
        <v>21021040</v>
      </c>
      <c r="K377" t="s">
        <v>125</v>
      </c>
      <c r="L377">
        <v>70</v>
      </c>
      <c r="M377" t="s">
        <v>54</v>
      </c>
      <c r="N377">
        <v>1321.96</v>
      </c>
      <c r="O377" t="s">
        <v>31</v>
      </c>
      <c r="R377" t="s">
        <v>1121</v>
      </c>
      <c r="S377" t="s">
        <v>1177</v>
      </c>
      <c r="T377">
        <v>606043</v>
      </c>
      <c r="U377" t="s">
        <v>876</v>
      </c>
      <c r="X377" t="s">
        <v>870</v>
      </c>
      <c r="Y377" s="8">
        <v>90365486</v>
      </c>
      <c r="Z377">
        <v>20200109</v>
      </c>
      <c r="AA377">
        <v>70</v>
      </c>
      <c r="AB377">
        <v>0</v>
      </c>
      <c r="AC377">
        <v>70</v>
      </c>
      <c r="AD377">
        <v>600006527</v>
      </c>
      <c r="AE377" t="s">
        <v>877</v>
      </c>
      <c r="AF377" s="4">
        <v>70</v>
      </c>
      <c r="AG377" t="s">
        <v>93</v>
      </c>
      <c r="AH377" t="s">
        <v>1123</v>
      </c>
      <c r="AI377">
        <v>600023636</v>
      </c>
      <c r="AJ377" t="s">
        <v>1125</v>
      </c>
      <c r="AK377" t="s">
        <v>1124</v>
      </c>
      <c r="AL377">
        <v>340621790</v>
      </c>
      <c r="AM377" t="s">
        <v>132</v>
      </c>
    </row>
    <row r="378" spans="1:39" x14ac:dyDescent="0.35">
      <c r="A378">
        <v>3406</v>
      </c>
      <c r="B378" t="s">
        <v>870</v>
      </c>
      <c r="C378">
        <v>2020</v>
      </c>
      <c r="D378" s="1">
        <v>43831</v>
      </c>
      <c r="E378">
        <v>1</v>
      </c>
      <c r="F378">
        <v>600006442</v>
      </c>
      <c r="G378" t="s">
        <v>120</v>
      </c>
      <c r="H378">
        <v>81</v>
      </c>
      <c r="I378">
        <v>71106040</v>
      </c>
      <c r="J378">
        <v>21021040</v>
      </c>
      <c r="K378" t="s">
        <v>125</v>
      </c>
      <c r="L378">
        <v>70</v>
      </c>
      <c r="M378" t="s">
        <v>54</v>
      </c>
      <c r="N378">
        <v>1321.96</v>
      </c>
      <c r="O378" t="s">
        <v>31</v>
      </c>
      <c r="R378" t="s">
        <v>1121</v>
      </c>
      <c r="S378" t="s">
        <v>1177</v>
      </c>
      <c r="T378">
        <v>606043</v>
      </c>
      <c r="U378" t="s">
        <v>876</v>
      </c>
      <c r="X378" t="s">
        <v>870</v>
      </c>
      <c r="Y378" s="8">
        <v>90364403</v>
      </c>
      <c r="Z378">
        <v>20200109</v>
      </c>
      <c r="AA378">
        <v>70</v>
      </c>
      <c r="AB378">
        <v>0</v>
      </c>
      <c r="AC378">
        <v>70</v>
      </c>
      <c r="AD378">
        <v>600006522</v>
      </c>
      <c r="AE378" t="s">
        <v>878</v>
      </c>
      <c r="AF378" s="4">
        <v>70</v>
      </c>
      <c r="AG378" t="s">
        <v>93</v>
      </c>
      <c r="AH378" t="s">
        <v>1123</v>
      </c>
      <c r="AI378">
        <v>600023636</v>
      </c>
      <c r="AJ378" t="s">
        <v>1125</v>
      </c>
      <c r="AK378" t="s">
        <v>1124</v>
      </c>
      <c r="AL378">
        <v>340621790</v>
      </c>
      <c r="AM378" t="s">
        <v>132</v>
      </c>
    </row>
    <row r="379" spans="1:39" x14ac:dyDescent="0.35">
      <c r="A379">
        <v>3407</v>
      </c>
      <c r="B379" t="s">
        <v>870</v>
      </c>
      <c r="C379">
        <v>2020</v>
      </c>
      <c r="D379" s="1">
        <v>43831</v>
      </c>
      <c r="E379">
        <v>1</v>
      </c>
      <c r="F379">
        <v>700009994</v>
      </c>
      <c r="G379" t="s">
        <v>120</v>
      </c>
      <c r="H379">
        <v>81</v>
      </c>
      <c r="I379">
        <v>71106040</v>
      </c>
      <c r="J379">
        <v>21021040</v>
      </c>
      <c r="K379" t="s">
        <v>125</v>
      </c>
      <c r="L379">
        <v>3301.54</v>
      </c>
      <c r="M379" t="s">
        <v>54</v>
      </c>
      <c r="N379">
        <v>62350.239999999998</v>
      </c>
      <c r="O379" t="s">
        <v>31</v>
      </c>
      <c r="R379" t="s">
        <v>1121</v>
      </c>
      <c r="S379">
        <v>752738581</v>
      </c>
      <c r="T379">
        <v>602358</v>
      </c>
      <c r="U379" t="s">
        <v>130</v>
      </c>
      <c r="X379" t="s">
        <v>870</v>
      </c>
      <c r="Y379" s="8">
        <v>2263212</v>
      </c>
      <c r="Z379">
        <v>20200109</v>
      </c>
      <c r="AA379">
        <v>3301.54</v>
      </c>
      <c r="AB379">
        <v>0</v>
      </c>
      <c r="AC379">
        <v>3301.54</v>
      </c>
      <c r="AD379">
        <v>700012257</v>
      </c>
      <c r="AE379" t="s">
        <v>879</v>
      </c>
      <c r="AF379" s="4">
        <v>3301.54</v>
      </c>
      <c r="AG379" t="s">
        <v>57</v>
      </c>
      <c r="AH379" t="s">
        <v>1123</v>
      </c>
      <c r="AI379">
        <v>700014540</v>
      </c>
      <c r="AJ379" t="s">
        <v>1125</v>
      </c>
      <c r="AK379" t="s">
        <v>1124</v>
      </c>
      <c r="AL379">
        <v>340721790</v>
      </c>
      <c r="AM379" t="s">
        <v>244</v>
      </c>
    </row>
    <row r="380" spans="1:39" x14ac:dyDescent="0.35">
      <c r="A380">
        <v>3407</v>
      </c>
      <c r="B380" t="s">
        <v>870</v>
      </c>
      <c r="C380">
        <v>2020</v>
      </c>
      <c r="D380" s="1">
        <v>43831</v>
      </c>
      <c r="E380">
        <v>1</v>
      </c>
      <c r="F380">
        <v>700009999</v>
      </c>
      <c r="G380" t="s">
        <v>120</v>
      </c>
      <c r="H380">
        <v>81</v>
      </c>
      <c r="I380">
        <v>71106040</v>
      </c>
      <c r="J380">
        <v>21021040</v>
      </c>
      <c r="K380" t="s">
        <v>125</v>
      </c>
      <c r="L380">
        <v>6414.8</v>
      </c>
      <c r="M380" t="s">
        <v>54</v>
      </c>
      <c r="N380">
        <v>121144.78</v>
      </c>
      <c r="O380" t="s">
        <v>31</v>
      </c>
      <c r="R380" t="s">
        <v>1121</v>
      </c>
      <c r="S380">
        <v>364415727</v>
      </c>
      <c r="T380">
        <v>800423</v>
      </c>
      <c r="U380" t="s">
        <v>880</v>
      </c>
      <c r="X380" t="s">
        <v>870</v>
      </c>
      <c r="Y380" s="8" t="s">
        <v>1181</v>
      </c>
      <c r="Z380">
        <v>20200109</v>
      </c>
      <c r="AA380">
        <v>6414.8</v>
      </c>
      <c r="AB380">
        <v>0</v>
      </c>
      <c r="AC380">
        <v>121144.78</v>
      </c>
      <c r="AD380">
        <v>700012264</v>
      </c>
      <c r="AE380" t="s">
        <v>881</v>
      </c>
      <c r="AF380" s="4">
        <v>121144.78</v>
      </c>
      <c r="AG380" t="s">
        <v>93</v>
      </c>
      <c r="AH380" t="s">
        <v>1123</v>
      </c>
      <c r="AI380">
        <v>700027333</v>
      </c>
      <c r="AJ380" t="s">
        <v>1125</v>
      </c>
      <c r="AK380" t="s">
        <v>1124</v>
      </c>
      <c r="AL380">
        <v>340721790</v>
      </c>
      <c r="AM380" t="s">
        <v>244</v>
      </c>
    </row>
    <row r="381" spans="1:39" x14ac:dyDescent="0.35">
      <c r="A381">
        <v>3403</v>
      </c>
      <c r="B381" t="s">
        <v>870</v>
      </c>
      <c r="C381">
        <v>2020</v>
      </c>
      <c r="D381" s="1">
        <v>43831</v>
      </c>
      <c r="E381">
        <v>1</v>
      </c>
      <c r="F381">
        <v>300004961</v>
      </c>
      <c r="G381" t="s">
        <v>120</v>
      </c>
      <c r="H381">
        <v>81</v>
      </c>
      <c r="I381">
        <v>71105120</v>
      </c>
      <c r="J381">
        <v>21021040</v>
      </c>
      <c r="K381" t="s">
        <v>268</v>
      </c>
      <c r="L381">
        <v>237.5</v>
      </c>
      <c r="M381" t="s">
        <v>54</v>
      </c>
      <c r="N381">
        <v>4485.24</v>
      </c>
      <c r="O381" t="s">
        <v>31</v>
      </c>
      <c r="R381" t="s">
        <v>1121</v>
      </c>
      <c r="S381">
        <v>453325398</v>
      </c>
      <c r="T381">
        <v>101653</v>
      </c>
      <c r="U381" t="s">
        <v>784</v>
      </c>
      <c r="X381" t="s">
        <v>870</v>
      </c>
      <c r="Y381" s="8" t="s">
        <v>802</v>
      </c>
      <c r="Z381">
        <v>20200109</v>
      </c>
      <c r="AA381">
        <v>237.5</v>
      </c>
      <c r="AB381">
        <v>0</v>
      </c>
      <c r="AC381">
        <v>237.5</v>
      </c>
      <c r="AD381">
        <v>300008820</v>
      </c>
      <c r="AE381" t="s">
        <v>882</v>
      </c>
      <c r="AF381" s="4">
        <v>237.5</v>
      </c>
      <c r="AG381" t="s">
        <v>1157</v>
      </c>
      <c r="AH381" t="s">
        <v>1123</v>
      </c>
      <c r="AI381">
        <v>300231884</v>
      </c>
      <c r="AJ381" t="s">
        <v>1125</v>
      </c>
      <c r="AK381" t="s">
        <v>1124</v>
      </c>
      <c r="AL381">
        <v>340353290</v>
      </c>
      <c r="AM381" t="s">
        <v>222</v>
      </c>
    </row>
    <row r="382" spans="1:39" x14ac:dyDescent="0.35">
      <c r="A382">
        <v>3407</v>
      </c>
      <c r="B382" t="s">
        <v>870</v>
      </c>
      <c r="C382">
        <v>2020</v>
      </c>
      <c r="D382" s="1">
        <v>43831</v>
      </c>
      <c r="E382">
        <v>1</v>
      </c>
      <c r="F382">
        <v>700010043</v>
      </c>
      <c r="G382" t="s">
        <v>120</v>
      </c>
      <c r="H382">
        <v>81</v>
      </c>
      <c r="I382">
        <v>71105120</v>
      </c>
      <c r="J382">
        <v>21021040</v>
      </c>
      <c r="K382" t="s">
        <v>268</v>
      </c>
      <c r="L382">
        <v>6000</v>
      </c>
      <c r="M382" t="s">
        <v>31</v>
      </c>
      <c r="N382">
        <v>6000</v>
      </c>
      <c r="O382" t="s">
        <v>31</v>
      </c>
      <c r="R382" t="s">
        <v>883</v>
      </c>
      <c r="S382" t="s">
        <v>1169</v>
      </c>
      <c r="T382">
        <v>109452</v>
      </c>
      <c r="U382" t="s">
        <v>884</v>
      </c>
      <c r="X382" t="s">
        <v>870</v>
      </c>
      <c r="Y382" s="8">
        <v>466</v>
      </c>
      <c r="Z382">
        <v>4501207040</v>
      </c>
      <c r="AA382">
        <v>6000</v>
      </c>
      <c r="AB382">
        <v>960</v>
      </c>
      <c r="AC382">
        <v>6960</v>
      </c>
      <c r="AD382">
        <v>700015417</v>
      </c>
      <c r="AE382" t="s">
        <v>885</v>
      </c>
      <c r="AF382" s="4">
        <v>6960</v>
      </c>
      <c r="AG382" t="s">
        <v>1146</v>
      </c>
      <c r="AH382" t="s">
        <v>1123</v>
      </c>
      <c r="AI382">
        <v>700045701</v>
      </c>
      <c r="AJ382" t="s">
        <v>1136</v>
      </c>
      <c r="AK382" t="s">
        <v>1135</v>
      </c>
      <c r="AL382">
        <v>340725490</v>
      </c>
      <c r="AM382" t="s">
        <v>244</v>
      </c>
    </row>
    <row r="383" spans="1:39" x14ac:dyDescent="0.35">
      <c r="A383">
        <v>3407</v>
      </c>
      <c r="B383" t="s">
        <v>870</v>
      </c>
      <c r="C383">
        <v>2020</v>
      </c>
      <c r="D383" s="1">
        <v>43831</v>
      </c>
      <c r="E383">
        <v>1</v>
      </c>
      <c r="F383">
        <v>700010044</v>
      </c>
      <c r="G383" t="s">
        <v>120</v>
      </c>
      <c r="H383">
        <v>81</v>
      </c>
      <c r="I383">
        <v>71105120</v>
      </c>
      <c r="J383">
        <v>21021040</v>
      </c>
      <c r="K383" t="s">
        <v>268</v>
      </c>
      <c r="L383">
        <v>6000</v>
      </c>
      <c r="M383" t="s">
        <v>31</v>
      </c>
      <c r="N383">
        <v>6000</v>
      </c>
      <c r="O383" t="s">
        <v>31</v>
      </c>
      <c r="R383" t="s">
        <v>883</v>
      </c>
      <c r="S383" t="s">
        <v>1169</v>
      </c>
      <c r="T383">
        <v>109452</v>
      </c>
      <c r="U383" t="s">
        <v>884</v>
      </c>
      <c r="X383" t="s">
        <v>870</v>
      </c>
      <c r="Y383" s="8">
        <v>466</v>
      </c>
      <c r="Z383">
        <v>4501207040</v>
      </c>
      <c r="AA383">
        <v>6000</v>
      </c>
      <c r="AB383">
        <v>960</v>
      </c>
      <c r="AC383">
        <v>6960</v>
      </c>
      <c r="AD383">
        <v>700015417</v>
      </c>
      <c r="AE383" t="s">
        <v>885</v>
      </c>
      <c r="AF383" s="4">
        <v>6960</v>
      </c>
      <c r="AG383" t="s">
        <v>1146</v>
      </c>
      <c r="AH383" t="s">
        <v>1123</v>
      </c>
      <c r="AI383">
        <v>700045701</v>
      </c>
      <c r="AJ383" t="s">
        <v>1136</v>
      </c>
      <c r="AK383" t="s">
        <v>1135</v>
      </c>
      <c r="AL383">
        <v>340725190</v>
      </c>
      <c r="AM383" t="s">
        <v>244</v>
      </c>
    </row>
    <row r="384" spans="1:39" x14ac:dyDescent="0.35">
      <c r="A384">
        <v>3403</v>
      </c>
      <c r="B384" t="s">
        <v>57</v>
      </c>
      <c r="C384">
        <v>2020</v>
      </c>
      <c r="D384" s="1">
        <v>43831</v>
      </c>
      <c r="E384">
        <v>1</v>
      </c>
      <c r="F384">
        <v>300007738</v>
      </c>
      <c r="G384" t="s">
        <v>120</v>
      </c>
      <c r="H384">
        <v>81</v>
      </c>
      <c r="I384">
        <v>71106040</v>
      </c>
      <c r="J384">
        <v>21021040</v>
      </c>
      <c r="K384" t="s">
        <v>125</v>
      </c>
      <c r="L384">
        <v>161502.39999999999</v>
      </c>
      <c r="M384" t="s">
        <v>31</v>
      </c>
      <c r="N384">
        <v>161502.39999999999</v>
      </c>
      <c r="O384" t="s">
        <v>31</v>
      </c>
      <c r="R384" t="s">
        <v>1121</v>
      </c>
      <c r="S384" t="s">
        <v>1140</v>
      </c>
      <c r="T384">
        <v>600271</v>
      </c>
      <c r="U384" t="s">
        <v>772</v>
      </c>
      <c r="X384" t="s">
        <v>57</v>
      </c>
      <c r="Y384" s="8">
        <v>1548691574</v>
      </c>
      <c r="Z384">
        <v>4501217918</v>
      </c>
      <c r="AA384">
        <v>161502.39999999999</v>
      </c>
      <c r="AB384">
        <v>0</v>
      </c>
      <c r="AC384">
        <v>161502.39999999999</v>
      </c>
      <c r="AD384">
        <v>300007791</v>
      </c>
      <c r="AE384" t="s">
        <v>888</v>
      </c>
      <c r="AF384" s="4">
        <v>300007791</v>
      </c>
      <c r="AG384" t="s">
        <v>81</v>
      </c>
      <c r="AH384" t="s">
        <v>1123</v>
      </c>
      <c r="AI384">
        <v>300011043</v>
      </c>
      <c r="AJ384" t="s">
        <v>1136</v>
      </c>
      <c r="AK384" t="s">
        <v>1135</v>
      </c>
      <c r="AL384">
        <v>340321990</v>
      </c>
      <c r="AM384" t="s">
        <v>177</v>
      </c>
    </row>
    <row r="385" spans="1:39" x14ac:dyDescent="0.35">
      <c r="A385">
        <v>3403</v>
      </c>
      <c r="B385" t="s">
        <v>57</v>
      </c>
      <c r="C385">
        <v>2020</v>
      </c>
      <c r="D385" s="1">
        <v>43831</v>
      </c>
      <c r="E385">
        <v>1</v>
      </c>
      <c r="F385">
        <v>300007740</v>
      </c>
      <c r="G385" t="s">
        <v>120</v>
      </c>
      <c r="H385">
        <v>81</v>
      </c>
      <c r="I385">
        <v>71106040</v>
      </c>
      <c r="J385">
        <v>21021040</v>
      </c>
      <c r="K385" t="s">
        <v>125</v>
      </c>
      <c r="L385">
        <v>1542.84</v>
      </c>
      <c r="M385" t="s">
        <v>54</v>
      </c>
      <c r="N385">
        <v>28964.04</v>
      </c>
      <c r="O385" t="s">
        <v>31</v>
      </c>
      <c r="R385" t="s">
        <v>1121</v>
      </c>
      <c r="S385">
        <v>752738581</v>
      </c>
      <c r="T385">
        <v>602358</v>
      </c>
      <c r="U385" t="s">
        <v>130</v>
      </c>
      <c r="X385" t="s">
        <v>57</v>
      </c>
      <c r="Y385" s="8">
        <v>2273654</v>
      </c>
      <c r="Z385">
        <v>20200114</v>
      </c>
      <c r="AA385">
        <v>1542.84</v>
      </c>
      <c r="AB385">
        <v>0</v>
      </c>
      <c r="AC385">
        <v>1542.84</v>
      </c>
      <c r="AD385">
        <v>300007788</v>
      </c>
      <c r="AE385" t="s">
        <v>889</v>
      </c>
      <c r="AF385" s="4">
        <v>1542.84</v>
      </c>
      <c r="AG385" t="s">
        <v>81</v>
      </c>
      <c r="AH385" t="s">
        <v>1123</v>
      </c>
      <c r="AI385">
        <v>300011529</v>
      </c>
      <c r="AJ385" t="s">
        <v>1125</v>
      </c>
      <c r="AK385" t="s">
        <v>1124</v>
      </c>
      <c r="AL385">
        <v>340321990</v>
      </c>
      <c r="AM385" t="s">
        <v>177</v>
      </c>
    </row>
    <row r="386" spans="1:39" x14ac:dyDescent="0.35">
      <c r="A386">
        <v>3402</v>
      </c>
      <c r="B386" t="s">
        <v>57</v>
      </c>
      <c r="C386">
        <v>2020</v>
      </c>
      <c r="D386" s="1">
        <v>43831</v>
      </c>
      <c r="E386">
        <v>1</v>
      </c>
      <c r="F386">
        <v>200038408</v>
      </c>
      <c r="G386" t="s">
        <v>120</v>
      </c>
      <c r="H386">
        <v>81</v>
      </c>
      <c r="I386">
        <v>71105060</v>
      </c>
      <c r="J386">
        <v>21021040</v>
      </c>
      <c r="K386" t="s">
        <v>238</v>
      </c>
      <c r="L386">
        <v>64800</v>
      </c>
      <c r="M386" t="s">
        <v>31</v>
      </c>
      <c r="N386">
        <v>64800</v>
      </c>
      <c r="O386" t="s">
        <v>31</v>
      </c>
      <c r="R386" t="s">
        <v>890</v>
      </c>
      <c r="S386" t="s">
        <v>1151</v>
      </c>
      <c r="T386">
        <v>109766</v>
      </c>
      <c r="U386" t="s">
        <v>406</v>
      </c>
      <c r="X386" t="s">
        <v>57</v>
      </c>
      <c r="Y386" s="8">
        <v>5023</v>
      </c>
      <c r="Z386">
        <v>20200114</v>
      </c>
      <c r="AA386">
        <v>64800</v>
      </c>
      <c r="AB386">
        <v>10368</v>
      </c>
      <c r="AC386">
        <v>75168</v>
      </c>
      <c r="AD386">
        <v>200038491</v>
      </c>
      <c r="AE386" t="s">
        <v>891</v>
      </c>
      <c r="AF386" s="4">
        <v>75168</v>
      </c>
      <c r="AG386" t="s">
        <v>39</v>
      </c>
      <c r="AH386" t="s">
        <v>1123</v>
      </c>
      <c r="AI386">
        <v>200038700</v>
      </c>
      <c r="AJ386" t="s">
        <v>1136</v>
      </c>
      <c r="AK386" t="s">
        <v>1135</v>
      </c>
      <c r="AL386">
        <v>340225290</v>
      </c>
      <c r="AM386" t="s">
        <v>135</v>
      </c>
    </row>
    <row r="387" spans="1:39" x14ac:dyDescent="0.35">
      <c r="A387">
        <v>3401</v>
      </c>
      <c r="B387" t="s">
        <v>57</v>
      </c>
      <c r="C387">
        <v>2020</v>
      </c>
      <c r="D387" s="1">
        <v>43831</v>
      </c>
      <c r="E387">
        <v>1</v>
      </c>
      <c r="F387">
        <v>100013915</v>
      </c>
      <c r="G387" t="s">
        <v>120</v>
      </c>
      <c r="H387">
        <v>81</v>
      </c>
      <c r="I387">
        <v>71104010</v>
      </c>
      <c r="J387">
        <v>21021040</v>
      </c>
      <c r="K387" t="s">
        <v>121</v>
      </c>
      <c r="L387">
        <v>50484</v>
      </c>
      <c r="M387" t="s">
        <v>31</v>
      </c>
      <c r="N387">
        <v>50484</v>
      </c>
      <c r="O387" t="s">
        <v>31</v>
      </c>
      <c r="R387" t="s">
        <v>122</v>
      </c>
      <c r="S387" t="s">
        <v>1131</v>
      </c>
      <c r="T387">
        <v>107211</v>
      </c>
      <c r="U387" t="s">
        <v>123</v>
      </c>
      <c r="X387" t="s">
        <v>57</v>
      </c>
      <c r="Y387" s="8">
        <v>4501216248</v>
      </c>
      <c r="Z387" t="s">
        <v>1127</v>
      </c>
      <c r="AA387">
        <v>50484</v>
      </c>
      <c r="AD387">
        <v>100036889</v>
      </c>
      <c r="AE387" t="s">
        <v>1128</v>
      </c>
      <c r="AF387" s="4"/>
      <c r="AG387" t="s">
        <v>51</v>
      </c>
      <c r="AH387" t="s">
        <v>1123</v>
      </c>
      <c r="AI387">
        <v>100036917</v>
      </c>
      <c r="AJ387" t="s">
        <v>1148</v>
      </c>
      <c r="AK387" t="s">
        <v>1129</v>
      </c>
      <c r="AL387">
        <v>340118590</v>
      </c>
      <c r="AM387" t="s">
        <v>124</v>
      </c>
    </row>
    <row r="388" spans="1:39" x14ac:dyDescent="0.35">
      <c r="A388">
        <v>3407</v>
      </c>
      <c r="B388" t="s">
        <v>57</v>
      </c>
      <c r="C388">
        <v>2020</v>
      </c>
      <c r="D388" s="1">
        <v>43831</v>
      </c>
      <c r="E388">
        <v>1</v>
      </c>
      <c r="F388">
        <v>700014636</v>
      </c>
      <c r="G388" t="s">
        <v>120</v>
      </c>
      <c r="H388">
        <v>81</v>
      </c>
      <c r="I388">
        <v>71105120</v>
      </c>
      <c r="J388">
        <v>21021040</v>
      </c>
      <c r="K388" t="s">
        <v>268</v>
      </c>
      <c r="L388">
        <v>12540</v>
      </c>
      <c r="M388" t="s">
        <v>54</v>
      </c>
      <c r="N388">
        <v>235415.93</v>
      </c>
      <c r="O388" t="s">
        <v>31</v>
      </c>
      <c r="R388" t="s">
        <v>892</v>
      </c>
      <c r="S388" t="s">
        <v>1173</v>
      </c>
      <c r="T388">
        <v>109733</v>
      </c>
      <c r="U388" t="s">
        <v>893</v>
      </c>
      <c r="X388" t="s">
        <v>57</v>
      </c>
      <c r="Y388" s="8">
        <v>1059</v>
      </c>
      <c r="Z388">
        <v>1059</v>
      </c>
      <c r="AA388">
        <v>12540</v>
      </c>
      <c r="AB388">
        <v>2006.4</v>
      </c>
      <c r="AC388">
        <v>14546.4</v>
      </c>
      <c r="AD388">
        <v>700014679</v>
      </c>
      <c r="AE388" t="s">
        <v>894</v>
      </c>
      <c r="AF388" s="4">
        <v>14546.4</v>
      </c>
      <c r="AG388" t="s">
        <v>1126</v>
      </c>
      <c r="AH388" t="s">
        <v>1123</v>
      </c>
      <c r="AI388">
        <v>700052487</v>
      </c>
      <c r="AJ388" t="s">
        <v>1125</v>
      </c>
      <c r="AK388" t="s">
        <v>1124</v>
      </c>
      <c r="AL388">
        <v>340746390</v>
      </c>
      <c r="AM388" t="s">
        <v>244</v>
      </c>
    </row>
    <row r="389" spans="1:39" x14ac:dyDescent="0.35">
      <c r="A389">
        <v>3407</v>
      </c>
      <c r="B389" t="s">
        <v>253</v>
      </c>
      <c r="C389">
        <v>2020</v>
      </c>
      <c r="D389" s="1">
        <v>43831</v>
      </c>
      <c r="E389">
        <v>1</v>
      </c>
      <c r="F389">
        <v>700009890</v>
      </c>
      <c r="G389" t="s">
        <v>120</v>
      </c>
      <c r="H389">
        <v>81</v>
      </c>
      <c r="I389">
        <v>71105120</v>
      </c>
      <c r="J389">
        <v>21021040</v>
      </c>
      <c r="K389" t="s">
        <v>268</v>
      </c>
      <c r="L389">
        <v>380</v>
      </c>
      <c r="M389" t="s">
        <v>54</v>
      </c>
      <c r="N389">
        <v>7175.05</v>
      </c>
      <c r="O389" t="s">
        <v>31</v>
      </c>
      <c r="R389" t="s">
        <v>1121</v>
      </c>
      <c r="S389">
        <v>453325398</v>
      </c>
      <c r="T389">
        <v>101653</v>
      </c>
      <c r="U389" t="s">
        <v>784</v>
      </c>
      <c r="X389" t="s">
        <v>870</v>
      </c>
      <c r="Y389" s="8" t="s">
        <v>903</v>
      </c>
      <c r="Z389">
        <v>20200106</v>
      </c>
      <c r="AA389">
        <v>380</v>
      </c>
      <c r="AB389">
        <v>0</v>
      </c>
      <c r="AC389">
        <v>380</v>
      </c>
      <c r="AD389">
        <v>700013889</v>
      </c>
      <c r="AE389" t="s">
        <v>904</v>
      </c>
      <c r="AF389" s="4">
        <v>380</v>
      </c>
      <c r="AG389" t="s">
        <v>258</v>
      </c>
      <c r="AH389" t="s">
        <v>1123</v>
      </c>
      <c r="AI389">
        <v>700025837</v>
      </c>
      <c r="AJ389" t="s">
        <v>1125</v>
      </c>
      <c r="AK389" t="s">
        <v>1124</v>
      </c>
      <c r="AL389">
        <v>340753290</v>
      </c>
      <c r="AM389" t="s">
        <v>244</v>
      </c>
    </row>
    <row r="390" spans="1:39" x14ac:dyDescent="0.35">
      <c r="A390">
        <v>3407</v>
      </c>
      <c r="B390" t="s">
        <v>253</v>
      </c>
      <c r="C390">
        <v>2020</v>
      </c>
      <c r="D390" s="1">
        <v>43831</v>
      </c>
      <c r="E390">
        <v>1</v>
      </c>
      <c r="F390">
        <v>700009894</v>
      </c>
      <c r="G390" t="s">
        <v>120</v>
      </c>
      <c r="H390">
        <v>81</v>
      </c>
      <c r="I390">
        <v>71105120</v>
      </c>
      <c r="J390">
        <v>21021040</v>
      </c>
      <c r="K390" t="s">
        <v>268</v>
      </c>
      <c r="L390">
        <v>380</v>
      </c>
      <c r="M390" t="s">
        <v>54</v>
      </c>
      <c r="N390">
        <v>7175.05</v>
      </c>
      <c r="O390" t="s">
        <v>31</v>
      </c>
      <c r="R390" t="s">
        <v>1121</v>
      </c>
      <c r="S390">
        <v>453325398</v>
      </c>
      <c r="T390">
        <v>101653</v>
      </c>
      <c r="U390" t="s">
        <v>784</v>
      </c>
      <c r="X390" t="s">
        <v>870</v>
      </c>
      <c r="Y390" s="8" t="s">
        <v>903</v>
      </c>
      <c r="Z390">
        <v>20200106</v>
      </c>
      <c r="AA390">
        <v>380</v>
      </c>
      <c r="AB390">
        <v>0</v>
      </c>
      <c r="AC390">
        <v>380</v>
      </c>
      <c r="AD390">
        <v>700013889</v>
      </c>
      <c r="AE390" t="s">
        <v>771</v>
      </c>
      <c r="AF390" s="4">
        <v>380</v>
      </c>
      <c r="AG390" t="s">
        <v>258</v>
      </c>
      <c r="AH390" t="s">
        <v>1123</v>
      </c>
      <c r="AI390">
        <v>700025837</v>
      </c>
      <c r="AJ390" t="s">
        <v>1125</v>
      </c>
      <c r="AK390" t="s">
        <v>1124</v>
      </c>
      <c r="AL390">
        <v>340753290</v>
      </c>
      <c r="AM390" t="s">
        <v>244</v>
      </c>
    </row>
    <row r="391" spans="1:39" x14ac:dyDescent="0.35">
      <c r="A391">
        <v>3406</v>
      </c>
      <c r="B391" t="s">
        <v>370</v>
      </c>
      <c r="C391">
        <v>2020</v>
      </c>
      <c r="D391" s="1">
        <v>43831</v>
      </c>
      <c r="E391">
        <v>1</v>
      </c>
      <c r="F391">
        <v>600009544</v>
      </c>
      <c r="G391" t="s">
        <v>120</v>
      </c>
      <c r="H391">
        <v>81</v>
      </c>
      <c r="I391">
        <v>71106040</v>
      </c>
      <c r="J391">
        <v>21021040</v>
      </c>
      <c r="K391" t="s">
        <v>125</v>
      </c>
      <c r="L391">
        <v>750.69</v>
      </c>
      <c r="M391" t="s">
        <v>54</v>
      </c>
      <c r="N391">
        <v>14146.98</v>
      </c>
      <c r="O391" t="s">
        <v>31</v>
      </c>
      <c r="R391" t="s">
        <v>910</v>
      </c>
      <c r="S391" t="s">
        <v>1178</v>
      </c>
      <c r="T391">
        <v>606057</v>
      </c>
      <c r="U391" t="s">
        <v>911</v>
      </c>
      <c r="X391" t="s">
        <v>370</v>
      </c>
      <c r="Y391" s="8" t="s">
        <v>1109</v>
      </c>
      <c r="Z391">
        <v>20200113</v>
      </c>
      <c r="AA391">
        <v>750.69</v>
      </c>
      <c r="AB391">
        <v>120.11040000000001</v>
      </c>
      <c r="AC391" s="4">
        <v>870.80040000000008</v>
      </c>
      <c r="AD391">
        <v>600012066</v>
      </c>
      <c r="AE391" t="s">
        <v>912</v>
      </c>
      <c r="AF391" s="4">
        <v>870.80040000000008</v>
      </c>
      <c r="AG391" t="s">
        <v>93</v>
      </c>
      <c r="AH391" t="s">
        <v>1123</v>
      </c>
      <c r="AI391">
        <v>600023637</v>
      </c>
      <c r="AJ391" t="s">
        <v>1125</v>
      </c>
      <c r="AK391" t="s">
        <v>1124</v>
      </c>
      <c r="AL391">
        <v>340621790</v>
      </c>
      <c r="AM391" t="s">
        <v>913</v>
      </c>
    </row>
    <row r="392" spans="1:39" x14ac:dyDescent="0.35">
      <c r="A392">
        <v>3401</v>
      </c>
      <c r="B392" t="s">
        <v>370</v>
      </c>
      <c r="C392">
        <v>2020</v>
      </c>
      <c r="D392" s="1">
        <v>43831</v>
      </c>
      <c r="E392">
        <v>1</v>
      </c>
      <c r="F392">
        <v>100012773</v>
      </c>
      <c r="G392" t="s">
        <v>120</v>
      </c>
      <c r="H392">
        <v>81</v>
      </c>
      <c r="I392">
        <v>71104010</v>
      </c>
      <c r="J392">
        <v>21021040</v>
      </c>
      <c r="K392" t="s">
        <v>121</v>
      </c>
      <c r="L392">
        <v>52892</v>
      </c>
      <c r="M392" t="s">
        <v>31</v>
      </c>
      <c r="N392">
        <v>52892</v>
      </c>
      <c r="O392" t="s">
        <v>31</v>
      </c>
      <c r="R392" t="s">
        <v>122</v>
      </c>
      <c r="S392" t="s">
        <v>1131</v>
      </c>
      <c r="T392">
        <v>107211</v>
      </c>
      <c r="U392" t="s">
        <v>123</v>
      </c>
      <c r="X392" t="s">
        <v>370</v>
      </c>
      <c r="Y392" s="8">
        <v>4501216248</v>
      </c>
      <c r="Z392" t="s">
        <v>1127</v>
      </c>
      <c r="AA392">
        <v>52892</v>
      </c>
      <c r="AD392">
        <v>100036889</v>
      </c>
      <c r="AE392" t="s">
        <v>1128</v>
      </c>
      <c r="AF392" s="4"/>
      <c r="AG392" t="s">
        <v>51</v>
      </c>
      <c r="AH392" t="s">
        <v>1123</v>
      </c>
      <c r="AI392">
        <v>100036917</v>
      </c>
      <c r="AJ392" t="s">
        <v>1148</v>
      </c>
      <c r="AK392" t="s">
        <v>1129</v>
      </c>
      <c r="AL392">
        <v>340118590</v>
      </c>
      <c r="AM392" t="s">
        <v>124</v>
      </c>
    </row>
    <row r="393" spans="1:39" x14ac:dyDescent="0.35">
      <c r="A393">
        <v>3401</v>
      </c>
      <c r="B393" t="s">
        <v>370</v>
      </c>
      <c r="C393">
        <v>2020</v>
      </c>
      <c r="D393" s="1">
        <v>43831</v>
      </c>
      <c r="E393">
        <v>1</v>
      </c>
      <c r="F393">
        <v>100012774</v>
      </c>
      <c r="G393" t="s">
        <v>120</v>
      </c>
      <c r="H393">
        <v>81</v>
      </c>
      <c r="I393">
        <v>71104010</v>
      </c>
      <c r="J393">
        <v>21021040</v>
      </c>
      <c r="K393" t="s">
        <v>121</v>
      </c>
      <c r="L393">
        <v>45668</v>
      </c>
      <c r="M393" t="s">
        <v>31</v>
      </c>
      <c r="N393">
        <v>45668</v>
      </c>
      <c r="O393" t="s">
        <v>31</v>
      </c>
      <c r="R393" t="s">
        <v>122</v>
      </c>
      <c r="S393" t="s">
        <v>1131</v>
      </c>
      <c r="T393">
        <v>107211</v>
      </c>
      <c r="U393" t="s">
        <v>123</v>
      </c>
      <c r="X393" t="s">
        <v>370</v>
      </c>
      <c r="Y393" s="8">
        <v>4501216248</v>
      </c>
      <c r="Z393" t="s">
        <v>1127</v>
      </c>
      <c r="AA393">
        <v>45668</v>
      </c>
      <c r="AD393">
        <v>100036889</v>
      </c>
      <c r="AE393" t="s">
        <v>1128</v>
      </c>
      <c r="AF393" s="4"/>
      <c r="AG393" t="s">
        <v>51</v>
      </c>
      <c r="AH393" t="s">
        <v>1123</v>
      </c>
      <c r="AI393">
        <v>100036917</v>
      </c>
      <c r="AJ393" t="s">
        <v>1148</v>
      </c>
      <c r="AK393" t="s">
        <v>1129</v>
      </c>
      <c r="AL393">
        <v>340118590</v>
      </c>
      <c r="AM393" t="s">
        <v>124</v>
      </c>
    </row>
    <row r="394" spans="1:39" x14ac:dyDescent="0.35">
      <c r="A394">
        <v>3401</v>
      </c>
      <c r="B394" t="s">
        <v>370</v>
      </c>
      <c r="C394">
        <v>2020</v>
      </c>
      <c r="D394" s="1">
        <v>43831</v>
      </c>
      <c r="E394">
        <v>1</v>
      </c>
      <c r="F394">
        <v>100012775</v>
      </c>
      <c r="G394" t="s">
        <v>120</v>
      </c>
      <c r="H394">
        <v>81</v>
      </c>
      <c r="I394">
        <v>71104010</v>
      </c>
      <c r="J394">
        <v>21021040</v>
      </c>
      <c r="K394" t="s">
        <v>121</v>
      </c>
      <c r="L394">
        <v>59976</v>
      </c>
      <c r="M394" t="s">
        <v>31</v>
      </c>
      <c r="N394">
        <v>59976</v>
      </c>
      <c r="O394" t="s">
        <v>31</v>
      </c>
      <c r="R394" t="s">
        <v>122</v>
      </c>
      <c r="S394" t="s">
        <v>1131</v>
      </c>
      <c r="T394">
        <v>107211</v>
      </c>
      <c r="U394" t="s">
        <v>123</v>
      </c>
      <c r="X394" t="s">
        <v>370</v>
      </c>
      <c r="Y394" s="8">
        <v>4501216248</v>
      </c>
      <c r="Z394" t="s">
        <v>1127</v>
      </c>
      <c r="AA394">
        <v>59976</v>
      </c>
      <c r="AD394">
        <v>100036889</v>
      </c>
      <c r="AE394" t="s">
        <v>1128</v>
      </c>
      <c r="AF394" s="4"/>
      <c r="AG394" t="s">
        <v>51</v>
      </c>
      <c r="AH394" t="s">
        <v>1123</v>
      </c>
      <c r="AI394">
        <v>100036917</v>
      </c>
      <c r="AJ394" t="s">
        <v>1148</v>
      </c>
      <c r="AK394" t="s">
        <v>1129</v>
      </c>
      <c r="AL394">
        <v>340118590</v>
      </c>
      <c r="AM394" t="s">
        <v>124</v>
      </c>
    </row>
    <row r="395" spans="1:39" x14ac:dyDescent="0.35">
      <c r="A395">
        <v>3407</v>
      </c>
      <c r="B395" t="s">
        <v>370</v>
      </c>
      <c r="C395">
        <v>2020</v>
      </c>
      <c r="D395" s="1">
        <v>43831</v>
      </c>
      <c r="E395">
        <v>1</v>
      </c>
      <c r="F395">
        <v>700013610</v>
      </c>
      <c r="G395" t="s">
        <v>120</v>
      </c>
      <c r="H395">
        <v>81</v>
      </c>
      <c r="I395">
        <v>71105060</v>
      </c>
      <c r="J395">
        <v>21021040</v>
      </c>
      <c r="K395" t="s">
        <v>238</v>
      </c>
      <c r="L395">
        <v>62937.09</v>
      </c>
      <c r="M395" t="s">
        <v>31</v>
      </c>
      <c r="N395">
        <v>62937.09</v>
      </c>
      <c r="O395" t="s">
        <v>31</v>
      </c>
      <c r="R395" t="s">
        <v>1180</v>
      </c>
      <c r="S395" t="s">
        <v>1179</v>
      </c>
      <c r="T395">
        <v>606740</v>
      </c>
      <c r="U395" t="s">
        <v>266</v>
      </c>
      <c r="X395" t="s">
        <v>370</v>
      </c>
      <c r="Y395" s="8">
        <v>1757</v>
      </c>
      <c r="Z395">
        <v>20200113</v>
      </c>
      <c r="AA395">
        <v>62937.09</v>
      </c>
      <c r="AB395">
        <v>10069.9344</v>
      </c>
      <c r="AC395">
        <v>73007.024399999995</v>
      </c>
      <c r="AD395">
        <v>700013824</v>
      </c>
      <c r="AE395" t="s">
        <v>866</v>
      </c>
      <c r="AF395" s="4">
        <v>73007.024399999995</v>
      </c>
      <c r="AG395" t="s">
        <v>57</v>
      </c>
      <c r="AH395" t="s">
        <v>1123</v>
      </c>
      <c r="AI395">
        <v>700013830</v>
      </c>
      <c r="AJ395" t="s">
        <v>1136</v>
      </c>
      <c r="AK395" t="s">
        <v>1135</v>
      </c>
      <c r="AL395">
        <v>340727190</v>
      </c>
      <c r="AM395" t="s">
        <v>217</v>
      </c>
    </row>
    <row r="396" spans="1:39" x14ac:dyDescent="0.35">
      <c r="A396">
        <v>3406</v>
      </c>
      <c r="B396" t="s">
        <v>370</v>
      </c>
      <c r="C396">
        <v>2020</v>
      </c>
      <c r="D396" s="1">
        <v>43831</v>
      </c>
      <c r="E396">
        <v>1</v>
      </c>
      <c r="F396">
        <v>600009663</v>
      </c>
      <c r="G396" t="s">
        <v>120</v>
      </c>
      <c r="H396">
        <v>81</v>
      </c>
      <c r="I396">
        <v>71106040</v>
      </c>
      <c r="J396">
        <v>21021040</v>
      </c>
      <c r="K396" t="s">
        <v>125</v>
      </c>
      <c r="L396">
        <v>3724.53</v>
      </c>
      <c r="M396" t="s">
        <v>54</v>
      </c>
      <c r="N396">
        <v>70189.89</v>
      </c>
      <c r="O396" t="s">
        <v>31</v>
      </c>
      <c r="R396" t="s">
        <v>1121</v>
      </c>
      <c r="S396">
        <v>752738581</v>
      </c>
      <c r="T396">
        <v>602358</v>
      </c>
      <c r="U396" t="s">
        <v>130</v>
      </c>
      <c r="X396" t="s">
        <v>370</v>
      </c>
      <c r="Y396" s="8">
        <v>2273650</v>
      </c>
      <c r="Z396">
        <v>20200113</v>
      </c>
      <c r="AA396">
        <v>3724.53</v>
      </c>
      <c r="AB396">
        <v>0</v>
      </c>
      <c r="AC396">
        <v>3724.53</v>
      </c>
      <c r="AD396">
        <v>600012067</v>
      </c>
      <c r="AE396" t="s">
        <v>914</v>
      </c>
      <c r="AF396" s="4">
        <v>3724.53</v>
      </c>
      <c r="AG396" t="s">
        <v>57</v>
      </c>
      <c r="AH396" t="s">
        <v>1123</v>
      </c>
      <c r="AI396">
        <v>600019585</v>
      </c>
      <c r="AJ396" t="s">
        <v>1125</v>
      </c>
      <c r="AK396" t="s">
        <v>1124</v>
      </c>
      <c r="AL396">
        <v>340621790</v>
      </c>
      <c r="AM396" t="s">
        <v>132</v>
      </c>
    </row>
    <row r="397" spans="1:39" x14ac:dyDescent="0.35">
      <c r="A397">
        <v>3409</v>
      </c>
      <c r="B397" t="s">
        <v>370</v>
      </c>
      <c r="C397">
        <v>2020</v>
      </c>
      <c r="D397" s="1">
        <v>43831</v>
      </c>
      <c r="E397">
        <v>1</v>
      </c>
      <c r="F397">
        <v>900004368</v>
      </c>
      <c r="G397" t="s">
        <v>120</v>
      </c>
      <c r="H397">
        <v>81</v>
      </c>
      <c r="I397">
        <v>71106040</v>
      </c>
      <c r="J397">
        <v>21021040</v>
      </c>
      <c r="K397" t="s">
        <v>125</v>
      </c>
      <c r="L397">
        <v>439552.69</v>
      </c>
      <c r="M397" t="s">
        <v>31</v>
      </c>
      <c r="N397">
        <v>439552.69</v>
      </c>
      <c r="O397" t="s">
        <v>31</v>
      </c>
      <c r="R397" t="s">
        <v>1121</v>
      </c>
      <c r="S397" t="s">
        <v>1140</v>
      </c>
      <c r="T397">
        <v>600271</v>
      </c>
      <c r="U397" t="s">
        <v>772</v>
      </c>
      <c r="X397" t="s">
        <v>370</v>
      </c>
      <c r="Y397" s="8">
        <v>1548802047</v>
      </c>
      <c r="Z397">
        <v>20200113</v>
      </c>
      <c r="AA397">
        <v>439552.69</v>
      </c>
      <c r="AB397">
        <v>0</v>
      </c>
      <c r="AC397">
        <v>439552.69</v>
      </c>
      <c r="AD397">
        <v>900004785</v>
      </c>
      <c r="AE397" t="s">
        <v>918</v>
      </c>
      <c r="AF397" s="4">
        <v>439552.69</v>
      </c>
      <c r="AG397" t="s">
        <v>81</v>
      </c>
      <c r="AH397" t="s">
        <v>1123</v>
      </c>
      <c r="AI397">
        <v>900006694</v>
      </c>
      <c r="AJ397" t="s">
        <v>1136</v>
      </c>
      <c r="AK397" t="s">
        <v>1135</v>
      </c>
      <c r="AL397">
        <v>340921790</v>
      </c>
      <c r="AM397" t="s">
        <v>185</v>
      </c>
    </row>
    <row r="398" spans="1:39" x14ac:dyDescent="0.35">
      <c r="A398">
        <v>3401</v>
      </c>
      <c r="B398" t="s">
        <v>28</v>
      </c>
      <c r="C398">
        <v>2020</v>
      </c>
      <c r="D398" s="1">
        <v>43831</v>
      </c>
      <c r="E398">
        <v>1</v>
      </c>
      <c r="F398">
        <v>100031639</v>
      </c>
      <c r="G398" t="s">
        <v>120</v>
      </c>
      <c r="H398">
        <v>81</v>
      </c>
      <c r="I398">
        <v>71105060</v>
      </c>
      <c r="J398">
        <v>21021040</v>
      </c>
      <c r="K398" t="s">
        <v>238</v>
      </c>
      <c r="L398">
        <v>11000</v>
      </c>
      <c r="M398" t="s">
        <v>31</v>
      </c>
      <c r="N398">
        <v>11000</v>
      </c>
      <c r="O398" t="s">
        <v>31</v>
      </c>
      <c r="R398" t="s">
        <v>937</v>
      </c>
      <c r="S398" t="s">
        <v>1137</v>
      </c>
      <c r="T398">
        <v>201195</v>
      </c>
      <c r="U398" t="s">
        <v>938</v>
      </c>
      <c r="X398" t="s">
        <v>28</v>
      </c>
      <c r="Y398" s="8">
        <v>4501218465</v>
      </c>
      <c r="Z398">
        <v>300</v>
      </c>
      <c r="AA398">
        <v>11000</v>
      </c>
      <c r="AB398">
        <v>1760</v>
      </c>
      <c r="AC398" s="4">
        <v>12760</v>
      </c>
      <c r="AD398">
        <v>100102074</v>
      </c>
      <c r="AE398" t="s">
        <v>939</v>
      </c>
      <c r="AF398" s="4">
        <v>12760</v>
      </c>
      <c r="AG398" t="s">
        <v>1138</v>
      </c>
      <c r="AH398" t="s">
        <v>1123</v>
      </c>
      <c r="AI398">
        <v>100463413</v>
      </c>
      <c r="AJ398" t="s">
        <v>1136</v>
      </c>
      <c r="AK398" t="s">
        <v>1135</v>
      </c>
      <c r="AL398">
        <v>340117690</v>
      </c>
      <c r="AM398" t="s">
        <v>124</v>
      </c>
    </row>
    <row r="399" spans="1:39" x14ac:dyDescent="0.35">
      <c r="A399">
        <v>3401</v>
      </c>
      <c r="B399" t="s">
        <v>28</v>
      </c>
      <c r="C399">
        <v>2020</v>
      </c>
      <c r="D399" s="1">
        <v>43831</v>
      </c>
      <c r="E399">
        <v>1</v>
      </c>
      <c r="F399">
        <v>100031651</v>
      </c>
      <c r="G399" t="s">
        <v>120</v>
      </c>
      <c r="H399">
        <v>81</v>
      </c>
      <c r="I399">
        <v>71105060</v>
      </c>
      <c r="J399">
        <v>21021040</v>
      </c>
      <c r="K399" t="s">
        <v>238</v>
      </c>
      <c r="L399">
        <v>30000</v>
      </c>
      <c r="M399" t="s">
        <v>31</v>
      </c>
      <c r="N399">
        <v>30000</v>
      </c>
      <c r="O399" t="s">
        <v>31</v>
      </c>
      <c r="R399" t="s">
        <v>940</v>
      </c>
      <c r="S399" t="s">
        <v>1132</v>
      </c>
      <c r="T399">
        <v>107358</v>
      </c>
      <c r="U399" t="s">
        <v>941</v>
      </c>
      <c r="X399" t="s">
        <v>28</v>
      </c>
      <c r="Y399" s="8">
        <v>4501183949</v>
      </c>
      <c r="Z399" t="s">
        <v>1133</v>
      </c>
      <c r="AA399">
        <v>30000</v>
      </c>
      <c r="AB399">
        <v>4800</v>
      </c>
      <c r="AC399">
        <v>34800</v>
      </c>
      <c r="AD399">
        <v>100058738</v>
      </c>
      <c r="AE399" t="s">
        <v>939</v>
      </c>
      <c r="AF399" s="4">
        <v>34800</v>
      </c>
      <c r="AG399" t="s">
        <v>1134</v>
      </c>
      <c r="AH399" t="s">
        <v>1123</v>
      </c>
      <c r="AI399">
        <v>100432718</v>
      </c>
      <c r="AJ399" t="s">
        <v>1136</v>
      </c>
      <c r="AK399" t="s">
        <v>1135</v>
      </c>
      <c r="AL399">
        <v>340117690</v>
      </c>
      <c r="AM399" t="s">
        <v>124</v>
      </c>
    </row>
    <row r="400" spans="1:39" x14ac:dyDescent="0.35">
      <c r="A400">
        <v>3403</v>
      </c>
      <c r="B400" t="s">
        <v>28</v>
      </c>
      <c r="C400">
        <v>2020</v>
      </c>
      <c r="D400" s="1">
        <v>43831</v>
      </c>
      <c r="E400">
        <v>1</v>
      </c>
      <c r="F400">
        <v>300017598</v>
      </c>
      <c r="G400" t="s">
        <v>120</v>
      </c>
      <c r="H400">
        <v>81</v>
      </c>
      <c r="I400">
        <v>71104010</v>
      </c>
      <c r="J400">
        <v>21021040</v>
      </c>
      <c r="K400" t="s">
        <v>121</v>
      </c>
      <c r="L400">
        <v>48695</v>
      </c>
      <c r="M400" t="s">
        <v>31</v>
      </c>
      <c r="N400">
        <v>48695</v>
      </c>
      <c r="O400" t="s">
        <v>31</v>
      </c>
      <c r="R400" t="s">
        <v>542</v>
      </c>
      <c r="S400" t="s">
        <v>1131</v>
      </c>
      <c r="T400">
        <v>107211</v>
      </c>
      <c r="U400" t="s">
        <v>123</v>
      </c>
      <c r="X400" t="s">
        <v>28</v>
      </c>
      <c r="Y400" s="8">
        <v>4501228713</v>
      </c>
      <c r="Z400">
        <v>20200131</v>
      </c>
      <c r="AA400">
        <v>48695</v>
      </c>
      <c r="AB400">
        <v>7791.2</v>
      </c>
      <c r="AC400">
        <v>56486.2</v>
      </c>
      <c r="AD400">
        <v>300021003</v>
      </c>
      <c r="AE400" t="s">
        <v>942</v>
      </c>
      <c r="AF400" s="4">
        <v>56486.2</v>
      </c>
      <c r="AG400" t="s">
        <v>51</v>
      </c>
      <c r="AH400" t="s">
        <v>1123</v>
      </c>
      <c r="AI400">
        <v>300021371</v>
      </c>
      <c r="AJ400" t="s">
        <v>1148</v>
      </c>
      <c r="AK400" t="s">
        <v>1129</v>
      </c>
      <c r="AL400">
        <v>340318590</v>
      </c>
      <c r="AM400" t="s">
        <v>222</v>
      </c>
    </row>
    <row r="401" spans="1:39" x14ac:dyDescent="0.35">
      <c r="A401">
        <v>3402</v>
      </c>
      <c r="B401" t="s">
        <v>28</v>
      </c>
      <c r="C401">
        <v>2020</v>
      </c>
      <c r="D401" s="1">
        <v>43831</v>
      </c>
      <c r="E401">
        <v>1</v>
      </c>
      <c r="F401">
        <v>200108558</v>
      </c>
      <c r="G401" t="s">
        <v>120</v>
      </c>
      <c r="H401">
        <v>81</v>
      </c>
      <c r="I401">
        <v>71104010</v>
      </c>
      <c r="J401">
        <v>21021040</v>
      </c>
      <c r="K401" t="s">
        <v>121</v>
      </c>
      <c r="L401">
        <v>350.05</v>
      </c>
      <c r="M401" t="s">
        <v>31</v>
      </c>
      <c r="N401">
        <v>350.05</v>
      </c>
      <c r="O401" t="s">
        <v>31</v>
      </c>
      <c r="R401" t="s">
        <v>133</v>
      </c>
      <c r="S401" t="s">
        <v>1131</v>
      </c>
      <c r="T401">
        <v>107211</v>
      </c>
      <c r="U401" t="s">
        <v>123</v>
      </c>
      <c r="X401" t="s">
        <v>28</v>
      </c>
      <c r="Y401" s="8">
        <v>4501226797</v>
      </c>
      <c r="Z401">
        <v>20200131</v>
      </c>
      <c r="AA401">
        <v>350.05</v>
      </c>
      <c r="AB401">
        <v>56.008000000000003</v>
      </c>
      <c r="AC401">
        <v>406.05799999999999</v>
      </c>
      <c r="AD401">
        <v>200127172</v>
      </c>
      <c r="AE401" t="s">
        <v>943</v>
      </c>
      <c r="AF401" s="4">
        <v>406.05799999999999</v>
      </c>
      <c r="AG401" t="s">
        <v>1146</v>
      </c>
      <c r="AH401" t="s">
        <v>1123</v>
      </c>
      <c r="AI401">
        <v>200130320</v>
      </c>
      <c r="AJ401" t="s">
        <v>1148</v>
      </c>
      <c r="AK401" t="s">
        <v>1129</v>
      </c>
      <c r="AL401">
        <v>340255290</v>
      </c>
      <c r="AM401" t="s">
        <v>135</v>
      </c>
    </row>
    <row r="402" spans="1:39" x14ac:dyDescent="0.35">
      <c r="A402">
        <v>3402</v>
      </c>
      <c r="B402" t="s">
        <v>28</v>
      </c>
      <c r="C402">
        <v>2020</v>
      </c>
      <c r="D402" s="1">
        <v>43831</v>
      </c>
      <c r="E402">
        <v>3</v>
      </c>
      <c r="F402">
        <v>200108558</v>
      </c>
      <c r="G402" t="s">
        <v>120</v>
      </c>
      <c r="H402">
        <v>81</v>
      </c>
      <c r="I402">
        <v>71104010</v>
      </c>
      <c r="J402">
        <v>21021040</v>
      </c>
      <c r="K402" t="s">
        <v>121</v>
      </c>
      <c r="L402">
        <v>2310.02</v>
      </c>
      <c r="M402" t="s">
        <v>31</v>
      </c>
      <c r="N402">
        <v>2310.02</v>
      </c>
      <c r="O402" t="s">
        <v>31</v>
      </c>
      <c r="R402" t="s">
        <v>133</v>
      </c>
      <c r="S402" t="s">
        <v>1131</v>
      </c>
      <c r="T402">
        <v>107211</v>
      </c>
      <c r="U402" t="s">
        <v>123</v>
      </c>
      <c r="X402" t="s">
        <v>28</v>
      </c>
      <c r="Y402" s="8">
        <v>4501226797</v>
      </c>
      <c r="Z402">
        <v>20200131</v>
      </c>
      <c r="AA402">
        <v>2310.02</v>
      </c>
      <c r="AB402">
        <v>369.60320000000002</v>
      </c>
      <c r="AC402">
        <v>2679.6232</v>
      </c>
      <c r="AD402">
        <v>200127172</v>
      </c>
      <c r="AE402" t="s">
        <v>944</v>
      </c>
      <c r="AF402" s="4">
        <v>2679.6232</v>
      </c>
      <c r="AG402" t="s">
        <v>1146</v>
      </c>
      <c r="AH402" t="s">
        <v>1123</v>
      </c>
      <c r="AI402">
        <v>200130320</v>
      </c>
      <c r="AJ402" t="s">
        <v>1148</v>
      </c>
      <c r="AK402" t="s">
        <v>1129</v>
      </c>
      <c r="AL402">
        <v>340255290</v>
      </c>
      <c r="AM402" t="s">
        <v>135</v>
      </c>
    </row>
    <row r="403" spans="1:39" x14ac:dyDescent="0.35">
      <c r="A403">
        <v>3402</v>
      </c>
      <c r="B403" t="s">
        <v>28</v>
      </c>
      <c r="C403">
        <v>2020</v>
      </c>
      <c r="D403" s="1">
        <v>43831</v>
      </c>
      <c r="E403">
        <v>5</v>
      </c>
      <c r="F403">
        <v>200108558</v>
      </c>
      <c r="G403" t="s">
        <v>120</v>
      </c>
      <c r="H403">
        <v>81</v>
      </c>
      <c r="I403">
        <v>71104010</v>
      </c>
      <c r="J403">
        <v>21021040</v>
      </c>
      <c r="K403" t="s">
        <v>121</v>
      </c>
      <c r="L403">
        <v>1540.03</v>
      </c>
      <c r="M403" t="s">
        <v>31</v>
      </c>
      <c r="N403">
        <v>1540.03</v>
      </c>
      <c r="O403" t="s">
        <v>31</v>
      </c>
      <c r="R403" t="s">
        <v>133</v>
      </c>
      <c r="S403" t="s">
        <v>1131</v>
      </c>
      <c r="T403">
        <v>107211</v>
      </c>
      <c r="U403" t="s">
        <v>123</v>
      </c>
      <c r="X403" t="s">
        <v>28</v>
      </c>
      <c r="Y403" s="8">
        <v>4501226797</v>
      </c>
      <c r="Z403">
        <v>20200131</v>
      </c>
      <c r="AA403">
        <v>1540.03</v>
      </c>
      <c r="AB403">
        <v>246.40479999999999</v>
      </c>
      <c r="AC403">
        <v>1786.4348</v>
      </c>
      <c r="AD403">
        <v>200127172</v>
      </c>
      <c r="AE403" t="s">
        <v>945</v>
      </c>
      <c r="AF403" s="4">
        <v>1786.4348</v>
      </c>
      <c r="AG403" t="s">
        <v>1146</v>
      </c>
      <c r="AH403" t="s">
        <v>1123</v>
      </c>
      <c r="AI403">
        <v>200130320</v>
      </c>
      <c r="AJ403" t="s">
        <v>1148</v>
      </c>
      <c r="AK403" t="s">
        <v>1129</v>
      </c>
      <c r="AL403">
        <v>340255290</v>
      </c>
      <c r="AM403" t="s">
        <v>135</v>
      </c>
    </row>
    <row r="404" spans="1:39" x14ac:dyDescent="0.35">
      <c r="A404">
        <v>3402</v>
      </c>
      <c r="B404" t="s">
        <v>28</v>
      </c>
      <c r="C404">
        <v>2020</v>
      </c>
      <c r="D404" s="1">
        <v>43831</v>
      </c>
      <c r="E404">
        <v>7</v>
      </c>
      <c r="F404">
        <v>200108558</v>
      </c>
      <c r="G404" t="s">
        <v>120</v>
      </c>
      <c r="H404">
        <v>81</v>
      </c>
      <c r="I404">
        <v>71104010</v>
      </c>
      <c r="J404">
        <v>21021040</v>
      </c>
      <c r="K404" t="s">
        <v>121</v>
      </c>
      <c r="L404">
        <v>350.05</v>
      </c>
      <c r="M404" t="s">
        <v>31</v>
      </c>
      <c r="N404">
        <v>350.05</v>
      </c>
      <c r="O404" t="s">
        <v>31</v>
      </c>
      <c r="R404" t="s">
        <v>133</v>
      </c>
      <c r="S404" t="s">
        <v>1131</v>
      </c>
      <c r="T404">
        <v>107211</v>
      </c>
      <c r="U404" t="s">
        <v>123</v>
      </c>
      <c r="X404" t="s">
        <v>28</v>
      </c>
      <c r="Y404" s="8">
        <v>4501226797</v>
      </c>
      <c r="Z404">
        <v>20200131</v>
      </c>
      <c r="AA404">
        <v>350.05</v>
      </c>
      <c r="AB404">
        <v>56.008000000000003</v>
      </c>
      <c r="AC404">
        <v>406.05799999999999</v>
      </c>
      <c r="AD404">
        <v>200127172</v>
      </c>
      <c r="AE404" t="s">
        <v>946</v>
      </c>
      <c r="AF404" s="4">
        <v>406.05799999999999</v>
      </c>
      <c r="AG404" t="s">
        <v>1146</v>
      </c>
      <c r="AH404" t="s">
        <v>1123</v>
      </c>
      <c r="AI404">
        <v>200130320</v>
      </c>
      <c r="AJ404" t="s">
        <v>1148</v>
      </c>
      <c r="AK404" t="s">
        <v>1129</v>
      </c>
      <c r="AL404">
        <v>340255290</v>
      </c>
      <c r="AM404" t="s">
        <v>135</v>
      </c>
    </row>
    <row r="405" spans="1:39" x14ac:dyDescent="0.35">
      <c r="A405">
        <v>3402</v>
      </c>
      <c r="B405" t="s">
        <v>28</v>
      </c>
      <c r="C405">
        <v>2020</v>
      </c>
      <c r="D405" s="1">
        <v>43831</v>
      </c>
      <c r="E405">
        <v>1</v>
      </c>
      <c r="F405">
        <v>200108560</v>
      </c>
      <c r="G405" t="s">
        <v>120</v>
      </c>
      <c r="H405">
        <v>81</v>
      </c>
      <c r="I405">
        <v>71104010</v>
      </c>
      <c r="J405">
        <v>21021040</v>
      </c>
      <c r="K405" t="s">
        <v>121</v>
      </c>
      <c r="L405">
        <v>3608</v>
      </c>
      <c r="M405" t="s">
        <v>31</v>
      </c>
      <c r="N405">
        <v>3608</v>
      </c>
      <c r="O405" t="s">
        <v>31</v>
      </c>
      <c r="R405" t="s">
        <v>133</v>
      </c>
      <c r="S405" t="s">
        <v>1131</v>
      </c>
      <c r="T405">
        <v>107211</v>
      </c>
      <c r="U405" t="s">
        <v>123</v>
      </c>
      <c r="X405" t="s">
        <v>28</v>
      </c>
      <c r="Y405" s="8">
        <v>4501226797</v>
      </c>
      <c r="Z405">
        <v>20200131</v>
      </c>
      <c r="AA405">
        <v>3608</v>
      </c>
      <c r="AB405">
        <v>577.28</v>
      </c>
      <c r="AC405">
        <v>4185.28</v>
      </c>
      <c r="AD405">
        <v>200127172</v>
      </c>
      <c r="AE405" t="s">
        <v>947</v>
      </c>
      <c r="AF405" s="4">
        <v>4185.28</v>
      </c>
      <c r="AG405" t="s">
        <v>1146</v>
      </c>
      <c r="AH405" t="s">
        <v>1123</v>
      </c>
      <c r="AI405">
        <v>200130320</v>
      </c>
      <c r="AJ405" t="s">
        <v>1148</v>
      </c>
      <c r="AK405" t="s">
        <v>1129</v>
      </c>
      <c r="AL405">
        <v>340255290</v>
      </c>
      <c r="AM405" t="s">
        <v>135</v>
      </c>
    </row>
    <row r="406" spans="1:39" x14ac:dyDescent="0.35">
      <c r="A406">
        <v>3402</v>
      </c>
      <c r="B406" t="s">
        <v>28</v>
      </c>
      <c r="C406">
        <v>2020</v>
      </c>
      <c r="D406" s="1">
        <v>43831</v>
      </c>
      <c r="E406">
        <v>3</v>
      </c>
      <c r="F406">
        <v>200108560</v>
      </c>
      <c r="G406" t="s">
        <v>120</v>
      </c>
      <c r="H406">
        <v>81</v>
      </c>
      <c r="I406">
        <v>71104010</v>
      </c>
      <c r="J406">
        <v>21021040</v>
      </c>
      <c r="K406" t="s">
        <v>121</v>
      </c>
      <c r="L406">
        <v>1600.05</v>
      </c>
      <c r="M406" t="s">
        <v>31</v>
      </c>
      <c r="N406">
        <v>1600.05</v>
      </c>
      <c r="O406" t="s">
        <v>31</v>
      </c>
      <c r="R406" t="s">
        <v>133</v>
      </c>
      <c r="S406" t="s">
        <v>1131</v>
      </c>
      <c r="T406">
        <v>107211</v>
      </c>
      <c r="U406" t="s">
        <v>123</v>
      </c>
      <c r="X406" t="s">
        <v>28</v>
      </c>
      <c r="Y406" s="8">
        <v>4501226797</v>
      </c>
      <c r="Z406">
        <v>20200131</v>
      </c>
      <c r="AA406">
        <v>1600.05</v>
      </c>
      <c r="AB406">
        <v>256.00799999999998</v>
      </c>
      <c r="AC406">
        <v>1856.058</v>
      </c>
      <c r="AD406">
        <v>200127172</v>
      </c>
      <c r="AE406" t="s">
        <v>948</v>
      </c>
      <c r="AF406" s="4">
        <v>1856.058</v>
      </c>
      <c r="AG406" t="s">
        <v>1146</v>
      </c>
      <c r="AH406" t="s">
        <v>1123</v>
      </c>
      <c r="AI406">
        <v>200130320</v>
      </c>
      <c r="AJ406" t="s">
        <v>1148</v>
      </c>
      <c r="AK406" t="s">
        <v>1129</v>
      </c>
      <c r="AL406">
        <v>340255290</v>
      </c>
      <c r="AM406" t="s">
        <v>135</v>
      </c>
    </row>
    <row r="407" spans="1:39" x14ac:dyDescent="0.35">
      <c r="A407">
        <v>3402</v>
      </c>
      <c r="B407" t="s">
        <v>28</v>
      </c>
      <c r="C407">
        <v>2020</v>
      </c>
      <c r="D407" s="1">
        <v>43831</v>
      </c>
      <c r="E407">
        <v>5</v>
      </c>
      <c r="F407">
        <v>200108560</v>
      </c>
      <c r="G407" t="s">
        <v>120</v>
      </c>
      <c r="H407">
        <v>81</v>
      </c>
      <c r="I407">
        <v>71104010</v>
      </c>
      <c r="J407">
        <v>21021040</v>
      </c>
      <c r="K407" t="s">
        <v>121</v>
      </c>
      <c r="L407">
        <v>0.08</v>
      </c>
      <c r="M407" t="s">
        <v>31</v>
      </c>
      <c r="N407">
        <v>0.08</v>
      </c>
      <c r="O407" t="s">
        <v>31</v>
      </c>
      <c r="R407" t="s">
        <v>133</v>
      </c>
      <c r="S407" t="s">
        <v>1131</v>
      </c>
      <c r="T407">
        <v>107211</v>
      </c>
      <c r="U407" t="s">
        <v>123</v>
      </c>
      <c r="X407" t="s">
        <v>28</v>
      </c>
      <c r="Y407" s="8">
        <v>4501226797</v>
      </c>
      <c r="Z407">
        <v>20200131</v>
      </c>
      <c r="AA407">
        <v>0.08</v>
      </c>
      <c r="AB407">
        <v>1.2800000000000001E-2</v>
      </c>
      <c r="AC407">
        <v>9.2800000000000007E-2</v>
      </c>
      <c r="AD407">
        <v>200127172</v>
      </c>
      <c r="AE407" t="s">
        <v>949</v>
      </c>
      <c r="AF407" s="4">
        <v>9.2800000000000007E-2</v>
      </c>
      <c r="AG407" t="s">
        <v>1146</v>
      </c>
      <c r="AH407" t="s">
        <v>1123</v>
      </c>
      <c r="AI407">
        <v>200130320</v>
      </c>
      <c r="AJ407" t="s">
        <v>1148</v>
      </c>
      <c r="AK407" t="s">
        <v>1129</v>
      </c>
      <c r="AL407">
        <v>340255290</v>
      </c>
      <c r="AM407" t="s">
        <v>135</v>
      </c>
    </row>
    <row r="408" spans="1:39" x14ac:dyDescent="0.35">
      <c r="A408">
        <v>3402</v>
      </c>
      <c r="B408" t="s">
        <v>28</v>
      </c>
      <c r="C408">
        <v>2020</v>
      </c>
      <c r="D408" s="1">
        <v>43831</v>
      </c>
      <c r="E408">
        <v>7</v>
      </c>
      <c r="F408">
        <v>200108560</v>
      </c>
      <c r="G408" t="s">
        <v>120</v>
      </c>
      <c r="H408">
        <v>81</v>
      </c>
      <c r="I408">
        <v>71104010</v>
      </c>
      <c r="J408">
        <v>21021040</v>
      </c>
      <c r="K408" t="s">
        <v>121</v>
      </c>
      <c r="L408">
        <v>1512.03</v>
      </c>
      <c r="M408" t="s">
        <v>31</v>
      </c>
      <c r="N408">
        <v>1512.03</v>
      </c>
      <c r="O408" t="s">
        <v>31</v>
      </c>
      <c r="R408" t="s">
        <v>133</v>
      </c>
      <c r="S408" t="s">
        <v>1131</v>
      </c>
      <c r="T408">
        <v>107211</v>
      </c>
      <c r="U408" t="s">
        <v>123</v>
      </c>
      <c r="X408" t="s">
        <v>28</v>
      </c>
      <c r="Y408" s="8">
        <v>4501226797</v>
      </c>
      <c r="Z408">
        <v>20200131</v>
      </c>
      <c r="AA408">
        <v>1512.03</v>
      </c>
      <c r="AB408">
        <v>241.9248</v>
      </c>
      <c r="AC408">
        <v>1753.9548</v>
      </c>
      <c r="AD408">
        <v>200127172</v>
      </c>
      <c r="AE408" t="s">
        <v>950</v>
      </c>
      <c r="AF408" s="4">
        <v>1753.9548</v>
      </c>
      <c r="AG408" t="s">
        <v>1146</v>
      </c>
      <c r="AH408" t="s">
        <v>1123</v>
      </c>
      <c r="AI408">
        <v>200130320</v>
      </c>
      <c r="AJ408" t="s">
        <v>1148</v>
      </c>
      <c r="AK408" t="s">
        <v>1129</v>
      </c>
      <c r="AL408">
        <v>340255290</v>
      </c>
      <c r="AM408" t="s">
        <v>135</v>
      </c>
    </row>
    <row r="409" spans="1:39" x14ac:dyDescent="0.35">
      <c r="A409">
        <v>3402</v>
      </c>
      <c r="B409" t="s">
        <v>28</v>
      </c>
      <c r="C409">
        <v>2020</v>
      </c>
      <c r="D409" s="1">
        <v>43831</v>
      </c>
      <c r="E409">
        <v>1</v>
      </c>
      <c r="F409">
        <v>200108562</v>
      </c>
      <c r="G409" t="s">
        <v>120</v>
      </c>
      <c r="H409">
        <v>81</v>
      </c>
      <c r="I409">
        <v>71104010</v>
      </c>
      <c r="J409">
        <v>21021040</v>
      </c>
      <c r="K409" t="s">
        <v>121</v>
      </c>
      <c r="L409">
        <v>0.04</v>
      </c>
      <c r="M409" t="s">
        <v>31</v>
      </c>
      <c r="N409">
        <v>0.04</v>
      </c>
      <c r="O409" t="s">
        <v>31</v>
      </c>
      <c r="R409" t="s">
        <v>133</v>
      </c>
      <c r="S409" t="s">
        <v>1131</v>
      </c>
      <c r="T409">
        <v>107211</v>
      </c>
      <c r="U409" t="s">
        <v>123</v>
      </c>
      <c r="X409" t="s">
        <v>28</v>
      </c>
      <c r="Y409" s="8">
        <v>4501226797</v>
      </c>
      <c r="Z409">
        <v>20200131</v>
      </c>
      <c r="AA409">
        <v>0.04</v>
      </c>
      <c r="AB409">
        <v>6.4000000000000003E-3</v>
      </c>
      <c r="AC409">
        <v>4.6400000000000004E-2</v>
      </c>
      <c r="AD409">
        <v>200127172</v>
      </c>
      <c r="AE409" t="s">
        <v>951</v>
      </c>
      <c r="AF409" s="4">
        <v>4.6400000000000004E-2</v>
      </c>
      <c r="AG409" t="s">
        <v>1146</v>
      </c>
      <c r="AH409" t="s">
        <v>1123</v>
      </c>
      <c r="AI409">
        <v>200130320</v>
      </c>
      <c r="AJ409" t="s">
        <v>1148</v>
      </c>
      <c r="AK409" t="s">
        <v>1129</v>
      </c>
      <c r="AL409">
        <v>340255290</v>
      </c>
      <c r="AM409" t="s">
        <v>135</v>
      </c>
    </row>
    <row r="410" spans="1:39" x14ac:dyDescent="0.35">
      <c r="A410">
        <v>3402</v>
      </c>
      <c r="B410" t="s">
        <v>28</v>
      </c>
      <c r="C410">
        <v>2020</v>
      </c>
      <c r="D410" s="1">
        <v>43831</v>
      </c>
      <c r="E410">
        <v>3</v>
      </c>
      <c r="F410">
        <v>200108562</v>
      </c>
      <c r="G410" t="s">
        <v>120</v>
      </c>
      <c r="H410">
        <v>81</v>
      </c>
      <c r="I410">
        <v>71104010</v>
      </c>
      <c r="J410">
        <v>21021040</v>
      </c>
      <c r="K410" t="s">
        <v>121</v>
      </c>
      <c r="L410">
        <v>0.04</v>
      </c>
      <c r="M410" t="s">
        <v>31</v>
      </c>
      <c r="N410">
        <v>0.04</v>
      </c>
      <c r="O410" t="s">
        <v>31</v>
      </c>
      <c r="R410" t="s">
        <v>133</v>
      </c>
      <c r="S410" t="s">
        <v>1131</v>
      </c>
      <c r="T410">
        <v>107211</v>
      </c>
      <c r="U410" t="s">
        <v>123</v>
      </c>
      <c r="X410" t="s">
        <v>28</v>
      </c>
      <c r="Y410" s="8">
        <v>4501226797</v>
      </c>
      <c r="Z410">
        <v>20200131</v>
      </c>
      <c r="AA410">
        <v>0.04</v>
      </c>
      <c r="AB410">
        <v>6.4000000000000003E-3</v>
      </c>
      <c r="AC410">
        <v>4.6400000000000004E-2</v>
      </c>
      <c r="AD410">
        <v>200127172</v>
      </c>
      <c r="AE410" t="s">
        <v>952</v>
      </c>
      <c r="AF410" s="4">
        <v>4.6400000000000004E-2</v>
      </c>
      <c r="AG410" t="s">
        <v>1146</v>
      </c>
      <c r="AH410" t="s">
        <v>1123</v>
      </c>
      <c r="AI410">
        <v>200130320</v>
      </c>
      <c r="AJ410" t="s">
        <v>1148</v>
      </c>
      <c r="AK410" t="s">
        <v>1129</v>
      </c>
      <c r="AL410">
        <v>340255290</v>
      </c>
      <c r="AM410" t="s">
        <v>135</v>
      </c>
    </row>
    <row r="411" spans="1:39" x14ac:dyDescent="0.35">
      <c r="A411">
        <v>3402</v>
      </c>
      <c r="B411" t="s">
        <v>28</v>
      </c>
      <c r="C411">
        <v>2020</v>
      </c>
      <c r="D411" s="1">
        <v>43831</v>
      </c>
      <c r="E411">
        <v>5</v>
      </c>
      <c r="F411">
        <v>200108562</v>
      </c>
      <c r="G411" t="s">
        <v>120</v>
      </c>
      <c r="H411">
        <v>81</v>
      </c>
      <c r="I411">
        <v>71104010</v>
      </c>
      <c r="J411">
        <v>21021040</v>
      </c>
      <c r="K411" t="s">
        <v>121</v>
      </c>
      <c r="L411">
        <v>304</v>
      </c>
      <c r="M411" t="s">
        <v>31</v>
      </c>
      <c r="N411">
        <v>304</v>
      </c>
      <c r="O411" t="s">
        <v>31</v>
      </c>
      <c r="R411" t="s">
        <v>133</v>
      </c>
      <c r="S411" t="s">
        <v>1131</v>
      </c>
      <c r="T411">
        <v>107211</v>
      </c>
      <c r="U411" t="s">
        <v>123</v>
      </c>
      <c r="X411" t="s">
        <v>28</v>
      </c>
      <c r="Y411" s="8">
        <v>4501226797</v>
      </c>
      <c r="Z411">
        <v>20200131</v>
      </c>
      <c r="AA411">
        <v>304</v>
      </c>
      <c r="AB411">
        <v>48.64</v>
      </c>
      <c r="AC411">
        <v>352.64</v>
      </c>
      <c r="AD411">
        <v>200127172</v>
      </c>
      <c r="AE411" t="s">
        <v>953</v>
      </c>
      <c r="AF411" s="4">
        <v>352.64</v>
      </c>
      <c r="AG411" t="s">
        <v>1146</v>
      </c>
      <c r="AH411" t="s">
        <v>1123</v>
      </c>
      <c r="AI411">
        <v>200130320</v>
      </c>
      <c r="AJ411" t="s">
        <v>1148</v>
      </c>
      <c r="AK411" t="s">
        <v>1129</v>
      </c>
      <c r="AL411">
        <v>340255290</v>
      </c>
      <c r="AM411" t="s">
        <v>135</v>
      </c>
    </row>
    <row r="412" spans="1:39" x14ac:dyDescent="0.35">
      <c r="A412">
        <v>3402</v>
      </c>
      <c r="B412" t="s">
        <v>28</v>
      </c>
      <c r="C412">
        <v>2020</v>
      </c>
      <c r="D412" s="1">
        <v>43831</v>
      </c>
      <c r="E412">
        <v>7</v>
      </c>
      <c r="F412">
        <v>200108562</v>
      </c>
      <c r="G412" t="s">
        <v>120</v>
      </c>
      <c r="H412">
        <v>81</v>
      </c>
      <c r="I412">
        <v>71104010</v>
      </c>
      <c r="J412">
        <v>21021040</v>
      </c>
      <c r="K412" t="s">
        <v>121</v>
      </c>
      <c r="L412">
        <v>0.04</v>
      </c>
      <c r="M412" t="s">
        <v>31</v>
      </c>
      <c r="N412">
        <v>0.04</v>
      </c>
      <c r="O412" t="s">
        <v>31</v>
      </c>
      <c r="R412" t="s">
        <v>133</v>
      </c>
      <c r="S412" t="s">
        <v>1131</v>
      </c>
      <c r="T412">
        <v>107211</v>
      </c>
      <c r="U412" t="s">
        <v>123</v>
      </c>
      <c r="X412" t="s">
        <v>28</v>
      </c>
      <c r="Y412" s="8">
        <v>4501226797</v>
      </c>
      <c r="Z412">
        <v>20200131</v>
      </c>
      <c r="AA412">
        <v>0.04</v>
      </c>
      <c r="AB412">
        <v>6.4000000000000003E-3</v>
      </c>
      <c r="AC412">
        <v>4.6400000000000004E-2</v>
      </c>
      <c r="AD412">
        <v>200127172</v>
      </c>
      <c r="AE412" t="s">
        <v>954</v>
      </c>
      <c r="AF412" s="4">
        <v>4.6400000000000004E-2</v>
      </c>
      <c r="AG412" t="s">
        <v>1146</v>
      </c>
      <c r="AH412" t="s">
        <v>1123</v>
      </c>
      <c r="AI412">
        <v>200130320</v>
      </c>
      <c r="AJ412" t="s">
        <v>1148</v>
      </c>
      <c r="AK412" t="s">
        <v>1129</v>
      </c>
      <c r="AL412">
        <v>340255290</v>
      </c>
      <c r="AM412" t="s">
        <v>135</v>
      </c>
    </row>
    <row r="413" spans="1:39" x14ac:dyDescent="0.35">
      <c r="A413">
        <v>3402</v>
      </c>
      <c r="B413" t="s">
        <v>28</v>
      </c>
      <c r="C413">
        <v>2020</v>
      </c>
      <c r="D413" s="1">
        <v>43831</v>
      </c>
      <c r="E413">
        <v>1</v>
      </c>
      <c r="F413">
        <v>200108566</v>
      </c>
      <c r="G413" t="s">
        <v>120</v>
      </c>
      <c r="H413">
        <v>81</v>
      </c>
      <c r="I413">
        <v>71104010</v>
      </c>
      <c r="J413">
        <v>21021040</v>
      </c>
      <c r="K413" t="s">
        <v>121</v>
      </c>
      <c r="L413">
        <v>117.8</v>
      </c>
      <c r="M413" t="s">
        <v>31</v>
      </c>
      <c r="N413">
        <v>117.8</v>
      </c>
      <c r="O413" t="s">
        <v>31</v>
      </c>
      <c r="R413" t="s">
        <v>137</v>
      </c>
      <c r="S413" t="s">
        <v>1131</v>
      </c>
      <c r="T413">
        <v>107211</v>
      </c>
      <c r="U413" t="s">
        <v>123</v>
      </c>
      <c r="X413" t="s">
        <v>28</v>
      </c>
      <c r="Y413" s="8">
        <v>4501226813</v>
      </c>
      <c r="Z413">
        <v>20200131</v>
      </c>
      <c r="AA413">
        <v>117.8</v>
      </c>
      <c r="AB413">
        <v>18.847999999999999</v>
      </c>
      <c r="AC413">
        <v>136.648</v>
      </c>
      <c r="AD413">
        <v>200211626</v>
      </c>
      <c r="AE413" t="s">
        <v>955</v>
      </c>
      <c r="AF413" s="4">
        <v>136.648</v>
      </c>
      <c r="AG413" t="s">
        <v>1150</v>
      </c>
      <c r="AH413" t="s">
        <v>1123</v>
      </c>
      <c r="AI413">
        <v>200225788</v>
      </c>
      <c r="AJ413" t="s">
        <v>1148</v>
      </c>
      <c r="AK413" t="s">
        <v>1129</v>
      </c>
      <c r="AL413">
        <v>340255290</v>
      </c>
      <c r="AM413" t="s">
        <v>135</v>
      </c>
    </row>
    <row r="414" spans="1:39" x14ac:dyDescent="0.35">
      <c r="A414">
        <v>3402</v>
      </c>
      <c r="B414" t="s">
        <v>28</v>
      </c>
      <c r="C414">
        <v>2020</v>
      </c>
      <c r="D414" s="1">
        <v>43831</v>
      </c>
      <c r="E414">
        <v>3</v>
      </c>
      <c r="F414">
        <v>200108566</v>
      </c>
      <c r="G414" t="s">
        <v>120</v>
      </c>
      <c r="H414">
        <v>81</v>
      </c>
      <c r="I414">
        <v>71104010</v>
      </c>
      <c r="J414">
        <v>21021040</v>
      </c>
      <c r="K414" t="s">
        <v>121</v>
      </c>
      <c r="L414">
        <v>114</v>
      </c>
      <c r="M414" t="s">
        <v>31</v>
      </c>
      <c r="N414">
        <v>114</v>
      </c>
      <c r="O414" t="s">
        <v>31</v>
      </c>
      <c r="R414" t="s">
        <v>137</v>
      </c>
      <c r="S414" t="s">
        <v>1131</v>
      </c>
      <c r="T414">
        <v>107211</v>
      </c>
      <c r="U414" t="s">
        <v>123</v>
      </c>
      <c r="X414" t="s">
        <v>28</v>
      </c>
      <c r="Y414" s="8">
        <v>4501226813</v>
      </c>
      <c r="Z414">
        <v>20200131</v>
      </c>
      <c r="AA414">
        <v>114</v>
      </c>
      <c r="AB414">
        <v>18.240000000000002</v>
      </c>
      <c r="AC414">
        <v>132.24</v>
      </c>
      <c r="AD414">
        <v>200211626</v>
      </c>
      <c r="AE414" t="s">
        <v>956</v>
      </c>
      <c r="AF414" s="4">
        <v>132.24</v>
      </c>
      <c r="AG414" t="s">
        <v>1150</v>
      </c>
      <c r="AH414" t="s">
        <v>1123</v>
      </c>
      <c r="AI414">
        <v>200225788</v>
      </c>
      <c r="AJ414" t="s">
        <v>1148</v>
      </c>
      <c r="AK414" t="s">
        <v>1129</v>
      </c>
      <c r="AL414">
        <v>340255290</v>
      </c>
      <c r="AM414" t="s">
        <v>135</v>
      </c>
    </row>
    <row r="415" spans="1:39" x14ac:dyDescent="0.35">
      <c r="A415">
        <v>3402</v>
      </c>
      <c r="B415" t="s">
        <v>28</v>
      </c>
      <c r="C415">
        <v>2020</v>
      </c>
      <c r="D415" s="1">
        <v>43831</v>
      </c>
      <c r="E415">
        <v>5</v>
      </c>
      <c r="F415">
        <v>200108566</v>
      </c>
      <c r="G415" t="s">
        <v>120</v>
      </c>
      <c r="H415">
        <v>81</v>
      </c>
      <c r="I415">
        <v>71104010</v>
      </c>
      <c r="J415">
        <v>21021040</v>
      </c>
      <c r="K415" t="s">
        <v>121</v>
      </c>
      <c r="L415">
        <v>117.8</v>
      </c>
      <c r="M415" t="s">
        <v>31</v>
      </c>
      <c r="N415">
        <v>117.8</v>
      </c>
      <c r="O415" t="s">
        <v>31</v>
      </c>
      <c r="R415" t="s">
        <v>137</v>
      </c>
      <c r="S415" t="s">
        <v>1131</v>
      </c>
      <c r="T415">
        <v>107211</v>
      </c>
      <c r="U415" t="s">
        <v>123</v>
      </c>
      <c r="X415" t="s">
        <v>28</v>
      </c>
      <c r="Y415" s="8">
        <v>4501226813</v>
      </c>
      <c r="Z415">
        <v>20200131</v>
      </c>
      <c r="AA415">
        <v>117.8</v>
      </c>
      <c r="AB415">
        <v>18.847999999999999</v>
      </c>
      <c r="AC415">
        <v>136.648</v>
      </c>
      <c r="AD415">
        <v>200211626</v>
      </c>
      <c r="AE415" t="s">
        <v>957</v>
      </c>
      <c r="AF415" s="4">
        <v>136.648</v>
      </c>
      <c r="AG415" t="s">
        <v>1150</v>
      </c>
      <c r="AH415" t="s">
        <v>1123</v>
      </c>
      <c r="AI415">
        <v>200225788</v>
      </c>
      <c r="AJ415" t="s">
        <v>1148</v>
      </c>
      <c r="AK415" t="s">
        <v>1129</v>
      </c>
      <c r="AL415">
        <v>340255290</v>
      </c>
      <c r="AM415" t="s">
        <v>135</v>
      </c>
    </row>
    <row r="416" spans="1:39" x14ac:dyDescent="0.35">
      <c r="A416">
        <v>3402</v>
      </c>
      <c r="B416" t="s">
        <v>28</v>
      </c>
      <c r="C416">
        <v>2020</v>
      </c>
      <c r="D416" s="1">
        <v>43831</v>
      </c>
      <c r="E416">
        <v>7</v>
      </c>
      <c r="F416">
        <v>200108566</v>
      </c>
      <c r="G416" t="s">
        <v>120</v>
      </c>
      <c r="H416">
        <v>81</v>
      </c>
      <c r="I416">
        <v>71104010</v>
      </c>
      <c r="J416">
        <v>21021040</v>
      </c>
      <c r="K416" t="s">
        <v>121</v>
      </c>
      <c r="L416">
        <v>117.8</v>
      </c>
      <c r="M416" t="s">
        <v>31</v>
      </c>
      <c r="N416">
        <v>117.8</v>
      </c>
      <c r="O416" t="s">
        <v>31</v>
      </c>
      <c r="R416" t="s">
        <v>137</v>
      </c>
      <c r="S416" t="s">
        <v>1131</v>
      </c>
      <c r="T416">
        <v>107211</v>
      </c>
      <c r="U416" t="s">
        <v>123</v>
      </c>
      <c r="X416" t="s">
        <v>28</v>
      </c>
      <c r="Y416" s="8">
        <v>4501226813</v>
      </c>
      <c r="Z416">
        <v>20200131</v>
      </c>
      <c r="AA416">
        <v>117.8</v>
      </c>
      <c r="AB416">
        <v>18.847999999999999</v>
      </c>
      <c r="AC416">
        <v>136.648</v>
      </c>
      <c r="AD416">
        <v>200211626</v>
      </c>
      <c r="AE416" t="s">
        <v>958</v>
      </c>
      <c r="AF416" s="4">
        <v>136.648</v>
      </c>
      <c r="AG416" t="s">
        <v>1150</v>
      </c>
      <c r="AH416" t="s">
        <v>1123</v>
      </c>
      <c r="AI416">
        <v>200225788</v>
      </c>
      <c r="AJ416" t="s">
        <v>1148</v>
      </c>
      <c r="AK416" t="s">
        <v>1129</v>
      </c>
      <c r="AL416">
        <v>340255290</v>
      </c>
      <c r="AM416" t="s">
        <v>135</v>
      </c>
    </row>
    <row r="417" spans="1:39" x14ac:dyDescent="0.35">
      <c r="A417">
        <v>3402</v>
      </c>
      <c r="B417" t="s">
        <v>28</v>
      </c>
      <c r="C417">
        <v>2020</v>
      </c>
      <c r="D417" s="1">
        <v>43831</v>
      </c>
      <c r="E417">
        <v>1</v>
      </c>
      <c r="F417">
        <v>200108570</v>
      </c>
      <c r="G417" t="s">
        <v>120</v>
      </c>
      <c r="H417">
        <v>81</v>
      </c>
      <c r="I417">
        <v>71104010</v>
      </c>
      <c r="J417">
        <v>21021040</v>
      </c>
      <c r="K417" t="s">
        <v>121</v>
      </c>
      <c r="L417">
        <v>4.5</v>
      </c>
      <c r="M417" t="s">
        <v>31</v>
      </c>
      <c r="N417">
        <v>4.5</v>
      </c>
      <c r="O417" t="s">
        <v>31</v>
      </c>
      <c r="R417" t="s">
        <v>137</v>
      </c>
      <c r="S417" t="s">
        <v>1131</v>
      </c>
      <c r="T417">
        <v>107211</v>
      </c>
      <c r="U417" t="s">
        <v>123</v>
      </c>
      <c r="X417" t="s">
        <v>28</v>
      </c>
      <c r="Y417" s="8">
        <v>4501226813</v>
      </c>
      <c r="Z417">
        <v>20200131</v>
      </c>
      <c r="AA417">
        <v>4.5</v>
      </c>
      <c r="AB417">
        <v>0.72</v>
      </c>
      <c r="AC417">
        <v>5.22</v>
      </c>
      <c r="AD417">
        <v>200211626</v>
      </c>
      <c r="AE417" t="s">
        <v>959</v>
      </c>
      <c r="AF417" s="4">
        <v>5.22</v>
      </c>
      <c r="AG417" t="s">
        <v>1150</v>
      </c>
      <c r="AH417" t="s">
        <v>1123</v>
      </c>
      <c r="AI417">
        <v>200225788</v>
      </c>
      <c r="AJ417" t="s">
        <v>1148</v>
      </c>
      <c r="AK417" t="s">
        <v>1129</v>
      </c>
      <c r="AL417">
        <v>340255290</v>
      </c>
      <c r="AM417" t="s">
        <v>135</v>
      </c>
    </row>
    <row r="418" spans="1:39" x14ac:dyDescent="0.35">
      <c r="A418">
        <v>3402</v>
      </c>
      <c r="B418" t="s">
        <v>28</v>
      </c>
      <c r="C418">
        <v>2020</v>
      </c>
      <c r="D418" s="1">
        <v>43831</v>
      </c>
      <c r="E418">
        <v>3</v>
      </c>
      <c r="F418">
        <v>200108570</v>
      </c>
      <c r="G418" t="s">
        <v>120</v>
      </c>
      <c r="H418">
        <v>81</v>
      </c>
      <c r="I418">
        <v>71104010</v>
      </c>
      <c r="J418">
        <v>21021040</v>
      </c>
      <c r="K418" t="s">
        <v>121</v>
      </c>
      <c r="L418">
        <v>0.05</v>
      </c>
      <c r="M418" t="s">
        <v>31</v>
      </c>
      <c r="N418">
        <v>0.05</v>
      </c>
      <c r="O418" t="s">
        <v>31</v>
      </c>
      <c r="R418" t="s">
        <v>137</v>
      </c>
      <c r="S418" t="s">
        <v>1131</v>
      </c>
      <c r="T418">
        <v>107211</v>
      </c>
      <c r="U418" t="s">
        <v>123</v>
      </c>
      <c r="X418" t="s">
        <v>28</v>
      </c>
      <c r="Y418" s="8">
        <v>4501226813</v>
      </c>
      <c r="Z418">
        <v>20200131</v>
      </c>
      <c r="AA418">
        <v>0.05</v>
      </c>
      <c r="AB418">
        <v>8.0000000000000002E-3</v>
      </c>
      <c r="AC418">
        <v>5.8000000000000003E-2</v>
      </c>
      <c r="AD418">
        <v>200211626</v>
      </c>
      <c r="AE418" t="s">
        <v>960</v>
      </c>
      <c r="AF418" s="4">
        <v>5.8000000000000003E-2</v>
      </c>
      <c r="AG418" t="s">
        <v>1150</v>
      </c>
      <c r="AH418" t="s">
        <v>1123</v>
      </c>
      <c r="AI418">
        <v>200225788</v>
      </c>
      <c r="AJ418" t="s">
        <v>1148</v>
      </c>
      <c r="AK418" t="s">
        <v>1129</v>
      </c>
      <c r="AL418">
        <v>340255290</v>
      </c>
      <c r="AM418" t="s">
        <v>135</v>
      </c>
    </row>
    <row r="419" spans="1:39" x14ac:dyDescent="0.35">
      <c r="A419">
        <v>3402</v>
      </c>
      <c r="B419" t="s">
        <v>28</v>
      </c>
      <c r="C419">
        <v>2020</v>
      </c>
      <c r="D419" s="1">
        <v>43831</v>
      </c>
      <c r="E419">
        <v>5</v>
      </c>
      <c r="F419">
        <v>200108570</v>
      </c>
      <c r="G419" t="s">
        <v>120</v>
      </c>
      <c r="H419">
        <v>81</v>
      </c>
      <c r="I419">
        <v>71104010</v>
      </c>
      <c r="J419">
        <v>21021040</v>
      </c>
      <c r="K419" t="s">
        <v>121</v>
      </c>
      <c r="L419">
        <v>0.05</v>
      </c>
      <c r="M419" t="s">
        <v>31</v>
      </c>
      <c r="N419">
        <v>0.05</v>
      </c>
      <c r="O419" t="s">
        <v>31</v>
      </c>
      <c r="R419" t="s">
        <v>137</v>
      </c>
      <c r="S419" t="s">
        <v>1131</v>
      </c>
      <c r="T419">
        <v>107211</v>
      </c>
      <c r="U419" t="s">
        <v>123</v>
      </c>
      <c r="X419" t="s">
        <v>28</v>
      </c>
      <c r="Y419" s="8">
        <v>4501226813</v>
      </c>
      <c r="Z419">
        <v>20200131</v>
      </c>
      <c r="AA419">
        <v>0.05</v>
      </c>
      <c r="AB419">
        <v>8.0000000000000002E-3</v>
      </c>
      <c r="AC419">
        <v>5.8000000000000003E-2</v>
      </c>
      <c r="AD419">
        <v>200211626</v>
      </c>
      <c r="AE419" t="s">
        <v>961</v>
      </c>
      <c r="AF419" s="4">
        <v>5.8000000000000003E-2</v>
      </c>
      <c r="AG419" t="s">
        <v>1150</v>
      </c>
      <c r="AH419" t="s">
        <v>1123</v>
      </c>
      <c r="AI419">
        <v>200225788</v>
      </c>
      <c r="AJ419" t="s">
        <v>1148</v>
      </c>
      <c r="AK419" t="s">
        <v>1129</v>
      </c>
      <c r="AL419">
        <v>340255290</v>
      </c>
      <c r="AM419" t="s">
        <v>135</v>
      </c>
    </row>
    <row r="420" spans="1:39" x14ac:dyDescent="0.35">
      <c r="A420">
        <v>3402</v>
      </c>
      <c r="B420" t="s">
        <v>28</v>
      </c>
      <c r="C420">
        <v>2020</v>
      </c>
      <c r="D420" s="1">
        <v>43831</v>
      </c>
      <c r="E420">
        <v>7</v>
      </c>
      <c r="F420">
        <v>200108570</v>
      </c>
      <c r="G420" t="s">
        <v>120</v>
      </c>
      <c r="H420">
        <v>81</v>
      </c>
      <c r="I420">
        <v>71104010</v>
      </c>
      <c r="J420">
        <v>21021040</v>
      </c>
      <c r="K420" t="s">
        <v>121</v>
      </c>
      <c r="L420">
        <v>0.05</v>
      </c>
      <c r="M420" t="s">
        <v>31</v>
      </c>
      <c r="N420">
        <v>0.05</v>
      </c>
      <c r="O420" t="s">
        <v>31</v>
      </c>
      <c r="R420" t="s">
        <v>137</v>
      </c>
      <c r="S420" t="s">
        <v>1131</v>
      </c>
      <c r="T420">
        <v>107211</v>
      </c>
      <c r="U420" t="s">
        <v>123</v>
      </c>
      <c r="X420" t="s">
        <v>28</v>
      </c>
      <c r="Y420" s="8">
        <v>4501226813</v>
      </c>
      <c r="Z420">
        <v>20200131</v>
      </c>
      <c r="AA420">
        <v>0.05</v>
      </c>
      <c r="AB420">
        <v>8.0000000000000002E-3</v>
      </c>
      <c r="AC420">
        <v>5.8000000000000003E-2</v>
      </c>
      <c r="AD420">
        <v>200211626</v>
      </c>
      <c r="AE420" t="s">
        <v>962</v>
      </c>
      <c r="AF420" s="4">
        <v>5.8000000000000003E-2</v>
      </c>
      <c r="AG420" t="s">
        <v>1150</v>
      </c>
      <c r="AH420" t="s">
        <v>1123</v>
      </c>
      <c r="AI420">
        <v>200225788</v>
      </c>
      <c r="AJ420" t="s">
        <v>1148</v>
      </c>
      <c r="AK420" t="s">
        <v>1129</v>
      </c>
      <c r="AL420">
        <v>340255290</v>
      </c>
      <c r="AM420" t="s">
        <v>135</v>
      </c>
    </row>
    <row r="421" spans="1:39" x14ac:dyDescent="0.35">
      <c r="A421">
        <v>3407</v>
      </c>
      <c r="B421" t="s">
        <v>28</v>
      </c>
      <c r="C421">
        <v>2020</v>
      </c>
      <c r="D421" s="1">
        <v>43831</v>
      </c>
      <c r="E421">
        <v>1</v>
      </c>
      <c r="F421">
        <v>700039122</v>
      </c>
      <c r="G421" t="s">
        <v>120</v>
      </c>
      <c r="H421">
        <v>81</v>
      </c>
      <c r="I421">
        <v>71106150</v>
      </c>
      <c r="J421">
        <v>21021040</v>
      </c>
      <c r="K421" t="s">
        <v>102</v>
      </c>
      <c r="L421">
        <v>4392.03</v>
      </c>
      <c r="M421" t="s">
        <v>54</v>
      </c>
      <c r="N421">
        <v>82160.39</v>
      </c>
      <c r="O421" t="s">
        <v>31</v>
      </c>
      <c r="R421" t="s">
        <v>1121</v>
      </c>
      <c r="S421">
        <v>593383972</v>
      </c>
      <c r="T421">
        <v>600226</v>
      </c>
      <c r="U421" t="s">
        <v>126</v>
      </c>
      <c r="X421" t="s">
        <v>28</v>
      </c>
      <c r="Y421" s="8" t="s">
        <v>215</v>
      </c>
      <c r="Z421">
        <v>20200131</v>
      </c>
      <c r="AA421">
        <v>4392.03</v>
      </c>
      <c r="AB421">
        <v>0</v>
      </c>
      <c r="AC421">
        <v>4392.03</v>
      </c>
      <c r="AD421">
        <v>700039314</v>
      </c>
      <c r="AE421" t="s">
        <v>963</v>
      </c>
      <c r="AF421" s="4">
        <v>3513.6239999999998</v>
      </c>
      <c r="AG421" t="s">
        <v>1152</v>
      </c>
      <c r="AH421" t="s">
        <v>1123</v>
      </c>
      <c r="AI421">
        <v>700367854</v>
      </c>
      <c r="AJ421" t="s">
        <v>1125</v>
      </c>
      <c r="AK421" t="s">
        <v>1124</v>
      </c>
      <c r="AL421">
        <v>340721790</v>
      </c>
      <c r="AM421" t="s">
        <v>217</v>
      </c>
    </row>
    <row r="422" spans="1:39" x14ac:dyDescent="0.35">
      <c r="A422">
        <v>3403</v>
      </c>
      <c r="B422" t="s">
        <v>28</v>
      </c>
      <c r="C422">
        <v>2020</v>
      </c>
      <c r="D422" s="1">
        <v>43831</v>
      </c>
      <c r="E422">
        <v>1</v>
      </c>
      <c r="F422">
        <v>300018471</v>
      </c>
      <c r="G422" t="s">
        <v>120</v>
      </c>
      <c r="H422">
        <v>81</v>
      </c>
      <c r="I422">
        <v>71104010</v>
      </c>
      <c r="J422">
        <v>21021040</v>
      </c>
      <c r="K422" t="s">
        <v>121</v>
      </c>
      <c r="L422">
        <v>44864</v>
      </c>
      <c r="M422" t="s">
        <v>31</v>
      </c>
      <c r="N422">
        <v>44864</v>
      </c>
      <c r="O422" t="s">
        <v>31</v>
      </c>
      <c r="R422" t="s">
        <v>542</v>
      </c>
      <c r="S422" t="s">
        <v>1131</v>
      </c>
      <c r="T422">
        <v>107211</v>
      </c>
      <c r="U422" t="s">
        <v>123</v>
      </c>
      <c r="X422" t="s">
        <v>35</v>
      </c>
      <c r="Y422" s="8">
        <v>450122871</v>
      </c>
      <c r="Z422">
        <v>20200131</v>
      </c>
      <c r="AA422">
        <v>44864</v>
      </c>
      <c r="AB422">
        <v>7178.24</v>
      </c>
      <c r="AC422">
        <v>52042.239999999998</v>
      </c>
      <c r="AD422">
        <v>300021003</v>
      </c>
      <c r="AE422" t="s">
        <v>964</v>
      </c>
      <c r="AF422" s="4">
        <v>52042.239999999998</v>
      </c>
      <c r="AG422" t="s">
        <v>51</v>
      </c>
      <c r="AH422" t="s">
        <v>1123</v>
      </c>
      <c r="AI422">
        <v>300021371</v>
      </c>
      <c r="AJ422" t="s">
        <v>1148</v>
      </c>
      <c r="AK422" t="s">
        <v>1129</v>
      </c>
      <c r="AL422">
        <v>340318590</v>
      </c>
      <c r="AM422" t="s">
        <v>222</v>
      </c>
    </row>
    <row r="423" spans="1:39" x14ac:dyDescent="0.35">
      <c r="A423">
        <v>3401</v>
      </c>
      <c r="B423" t="s">
        <v>28</v>
      </c>
      <c r="C423">
        <v>2020</v>
      </c>
      <c r="D423" s="1">
        <v>43831</v>
      </c>
      <c r="E423">
        <v>1</v>
      </c>
      <c r="F423">
        <v>100033012</v>
      </c>
      <c r="G423" t="s">
        <v>120</v>
      </c>
      <c r="H423">
        <v>81</v>
      </c>
      <c r="I423">
        <v>71106040</v>
      </c>
      <c r="J423">
        <v>21021040</v>
      </c>
      <c r="K423" t="s">
        <v>125</v>
      </c>
      <c r="L423">
        <v>60964.53</v>
      </c>
      <c r="M423" t="s">
        <v>31</v>
      </c>
      <c r="N423">
        <v>60964.53</v>
      </c>
      <c r="O423" t="s">
        <v>31</v>
      </c>
      <c r="R423" t="s">
        <v>965</v>
      </c>
      <c r="S423" t="s">
        <v>1141</v>
      </c>
      <c r="T423">
        <v>600623</v>
      </c>
      <c r="U423" t="s">
        <v>219</v>
      </c>
      <c r="X423" t="s">
        <v>35</v>
      </c>
      <c r="Y423" s="8" t="s">
        <v>966</v>
      </c>
      <c r="Z423">
        <v>20200131</v>
      </c>
      <c r="AA423">
        <v>60964.53</v>
      </c>
      <c r="AB423">
        <v>9754.3248000000003</v>
      </c>
      <c r="AC423">
        <v>70718.854800000001</v>
      </c>
      <c r="AD423">
        <v>100033764</v>
      </c>
      <c r="AE423" t="s">
        <v>967</v>
      </c>
      <c r="AF423" s="4">
        <v>70718.854800000001</v>
      </c>
      <c r="AG423" t="s">
        <v>1143</v>
      </c>
      <c r="AH423" t="s">
        <v>1123</v>
      </c>
      <c r="AI423">
        <v>100078328</v>
      </c>
      <c r="AJ423" t="s">
        <v>1136</v>
      </c>
      <c r="AK423" t="s">
        <v>1135</v>
      </c>
    </row>
    <row r="424" spans="1:39" x14ac:dyDescent="0.35">
      <c r="A424">
        <v>3402</v>
      </c>
      <c r="B424" t="s">
        <v>28</v>
      </c>
      <c r="C424">
        <v>2020</v>
      </c>
      <c r="D424" s="1">
        <v>43831</v>
      </c>
      <c r="E424">
        <v>1</v>
      </c>
      <c r="F424">
        <v>200122809</v>
      </c>
      <c r="G424" t="s">
        <v>120</v>
      </c>
      <c r="H424">
        <v>81</v>
      </c>
      <c r="I424">
        <v>71104010</v>
      </c>
      <c r="J424">
        <v>21021040</v>
      </c>
      <c r="K424" t="s">
        <v>121</v>
      </c>
      <c r="L424">
        <v>1863389.4</v>
      </c>
      <c r="M424" t="s">
        <v>31</v>
      </c>
      <c r="N424">
        <v>1863389.4</v>
      </c>
      <c r="O424" t="s">
        <v>31</v>
      </c>
      <c r="R424" t="s">
        <v>272</v>
      </c>
      <c r="S424" t="s">
        <v>1131</v>
      </c>
      <c r="T424">
        <v>107211</v>
      </c>
      <c r="U424" t="s">
        <v>123</v>
      </c>
      <c r="X424" t="s">
        <v>65</v>
      </c>
      <c r="Y424" s="8">
        <v>4501229349</v>
      </c>
      <c r="Z424">
        <v>20200131</v>
      </c>
      <c r="AA424">
        <v>1863389.4</v>
      </c>
      <c r="AB424">
        <v>298142.304</v>
      </c>
      <c r="AC424">
        <v>2161531.7039999999</v>
      </c>
      <c r="AD424">
        <v>200124384</v>
      </c>
      <c r="AE424" t="s">
        <v>983</v>
      </c>
      <c r="AF424" s="4">
        <v>2161531.7039999999</v>
      </c>
      <c r="AG424" t="s">
        <v>51</v>
      </c>
      <c r="AH424" t="s">
        <v>1123</v>
      </c>
      <c r="AI424">
        <v>200127161</v>
      </c>
      <c r="AJ424" t="s">
        <v>1148</v>
      </c>
      <c r="AK424" t="s">
        <v>1129</v>
      </c>
      <c r="AL424">
        <v>340218590</v>
      </c>
      <c r="AM424" t="s">
        <v>984</v>
      </c>
    </row>
    <row r="425" spans="1:39" x14ac:dyDescent="0.35">
      <c r="A425">
        <v>3401</v>
      </c>
      <c r="B425" t="s">
        <v>28</v>
      </c>
      <c r="C425">
        <v>2020</v>
      </c>
      <c r="D425" s="1">
        <v>43831</v>
      </c>
      <c r="E425">
        <v>1</v>
      </c>
      <c r="F425">
        <v>100035056</v>
      </c>
      <c r="G425" t="s">
        <v>120</v>
      </c>
      <c r="H425">
        <v>81</v>
      </c>
      <c r="I425">
        <v>71104010</v>
      </c>
      <c r="J425">
        <v>21021040</v>
      </c>
      <c r="K425" t="s">
        <v>121</v>
      </c>
      <c r="L425">
        <v>891114</v>
      </c>
      <c r="M425" t="s">
        <v>31</v>
      </c>
      <c r="N425">
        <v>891114</v>
      </c>
      <c r="O425" t="s">
        <v>31</v>
      </c>
      <c r="R425" t="s">
        <v>122</v>
      </c>
      <c r="S425" t="s">
        <v>1131</v>
      </c>
      <c r="T425">
        <v>107211</v>
      </c>
      <c r="U425" t="s">
        <v>123</v>
      </c>
      <c r="X425" t="s">
        <v>72</v>
      </c>
      <c r="Y425" s="8">
        <v>4501216248</v>
      </c>
      <c r="Z425" t="s">
        <v>1127</v>
      </c>
      <c r="AA425">
        <v>891114</v>
      </c>
      <c r="AD425">
        <v>100036889</v>
      </c>
      <c r="AE425" t="s">
        <v>1128</v>
      </c>
      <c r="AF425" s="4"/>
      <c r="AG425" t="s">
        <v>51</v>
      </c>
      <c r="AH425" t="s">
        <v>1123</v>
      </c>
      <c r="AI425">
        <v>100036917</v>
      </c>
      <c r="AJ425" t="s">
        <v>1148</v>
      </c>
      <c r="AK425" t="s">
        <v>1129</v>
      </c>
      <c r="AL425">
        <v>340118590</v>
      </c>
      <c r="AM425" t="s">
        <v>124</v>
      </c>
    </row>
    <row r="426" spans="1:39" x14ac:dyDescent="0.35">
      <c r="A426">
        <v>3401</v>
      </c>
      <c r="B426" t="s">
        <v>28</v>
      </c>
      <c r="C426">
        <v>2020</v>
      </c>
      <c r="D426" s="1">
        <v>43831</v>
      </c>
      <c r="E426">
        <v>1</v>
      </c>
      <c r="F426">
        <v>100035057</v>
      </c>
      <c r="G426" t="s">
        <v>120</v>
      </c>
      <c r="H426">
        <v>81</v>
      </c>
      <c r="I426">
        <v>71104010</v>
      </c>
      <c r="J426">
        <v>21021040</v>
      </c>
      <c r="K426" t="s">
        <v>121</v>
      </c>
      <c r="L426">
        <v>115331</v>
      </c>
      <c r="M426" t="s">
        <v>31</v>
      </c>
      <c r="N426">
        <v>115331</v>
      </c>
      <c r="O426" t="s">
        <v>31</v>
      </c>
      <c r="R426" t="s">
        <v>122</v>
      </c>
      <c r="S426" t="s">
        <v>1131</v>
      </c>
      <c r="T426">
        <v>107211</v>
      </c>
      <c r="U426" t="s">
        <v>123</v>
      </c>
      <c r="X426" t="s">
        <v>72</v>
      </c>
      <c r="Y426" s="8">
        <v>4501216248</v>
      </c>
      <c r="Z426" t="s">
        <v>1127</v>
      </c>
      <c r="AA426">
        <v>115331</v>
      </c>
      <c r="AD426">
        <v>100036889</v>
      </c>
      <c r="AE426" t="s">
        <v>1128</v>
      </c>
      <c r="AF426" s="4"/>
      <c r="AG426" t="s">
        <v>51</v>
      </c>
      <c r="AH426" t="s">
        <v>1123</v>
      </c>
      <c r="AI426">
        <v>100036917</v>
      </c>
      <c r="AJ426" t="s">
        <v>1148</v>
      </c>
      <c r="AK426" t="s">
        <v>1129</v>
      </c>
      <c r="AL426">
        <v>340118590</v>
      </c>
      <c r="AM426" t="s">
        <v>124</v>
      </c>
    </row>
    <row r="427" spans="1:39" x14ac:dyDescent="0.35">
      <c r="A427">
        <v>3401</v>
      </c>
      <c r="B427" t="s">
        <v>28</v>
      </c>
      <c r="C427">
        <v>2020</v>
      </c>
      <c r="D427" s="1">
        <v>43831</v>
      </c>
      <c r="E427">
        <v>1</v>
      </c>
      <c r="F427">
        <v>100035058</v>
      </c>
      <c r="G427" t="s">
        <v>120</v>
      </c>
      <c r="H427">
        <v>91</v>
      </c>
      <c r="I427">
        <v>71104010</v>
      </c>
      <c r="J427">
        <v>21021040</v>
      </c>
      <c r="K427" t="s">
        <v>121</v>
      </c>
      <c r="L427">
        <v>891114</v>
      </c>
      <c r="M427" t="s">
        <v>31</v>
      </c>
      <c r="N427">
        <v>891114</v>
      </c>
      <c r="O427" t="s">
        <v>31</v>
      </c>
      <c r="R427" t="s">
        <v>122</v>
      </c>
      <c r="S427" t="s">
        <v>1131</v>
      </c>
      <c r="T427">
        <v>107211</v>
      </c>
      <c r="U427" t="s">
        <v>123</v>
      </c>
      <c r="X427" t="s">
        <v>72</v>
      </c>
      <c r="Y427" s="8">
        <v>4501216248</v>
      </c>
      <c r="Z427" t="s">
        <v>1127</v>
      </c>
      <c r="AA427">
        <v>891114</v>
      </c>
      <c r="AD427">
        <v>100036889</v>
      </c>
      <c r="AE427" t="s">
        <v>1128</v>
      </c>
      <c r="AF427" s="4"/>
      <c r="AG427" t="s">
        <v>51</v>
      </c>
      <c r="AH427" t="s">
        <v>1123</v>
      </c>
      <c r="AI427">
        <v>100036917</v>
      </c>
      <c r="AJ427" t="s">
        <v>1148</v>
      </c>
      <c r="AK427" t="s">
        <v>1129</v>
      </c>
      <c r="AL427">
        <v>340118590</v>
      </c>
      <c r="AM427" t="s">
        <v>124</v>
      </c>
    </row>
    <row r="428" spans="1:39" x14ac:dyDescent="0.35">
      <c r="A428">
        <v>3401</v>
      </c>
      <c r="B428" t="s">
        <v>28</v>
      </c>
      <c r="C428">
        <v>2020</v>
      </c>
      <c r="D428" s="1">
        <v>43831</v>
      </c>
      <c r="E428">
        <v>1</v>
      </c>
      <c r="F428">
        <v>100035059</v>
      </c>
      <c r="G428" t="s">
        <v>120</v>
      </c>
      <c r="H428">
        <v>91</v>
      </c>
      <c r="I428">
        <v>71104010</v>
      </c>
      <c r="J428">
        <v>21021040</v>
      </c>
      <c r="K428" t="s">
        <v>121</v>
      </c>
      <c r="L428">
        <v>115331</v>
      </c>
      <c r="M428" t="s">
        <v>31</v>
      </c>
      <c r="N428">
        <v>115331</v>
      </c>
      <c r="O428" t="s">
        <v>31</v>
      </c>
      <c r="R428" t="s">
        <v>122</v>
      </c>
      <c r="S428" t="s">
        <v>1131</v>
      </c>
      <c r="T428">
        <v>107211</v>
      </c>
      <c r="U428" t="s">
        <v>123</v>
      </c>
      <c r="X428" t="s">
        <v>72</v>
      </c>
      <c r="Y428" s="8">
        <v>4501216248</v>
      </c>
      <c r="Z428" t="s">
        <v>1127</v>
      </c>
      <c r="AA428">
        <v>115331</v>
      </c>
      <c r="AD428">
        <v>100036889</v>
      </c>
      <c r="AE428" t="s">
        <v>1128</v>
      </c>
      <c r="AF428" s="4"/>
      <c r="AG428" t="s">
        <v>51</v>
      </c>
      <c r="AH428" t="s">
        <v>1123</v>
      </c>
      <c r="AI428">
        <v>100036917</v>
      </c>
      <c r="AJ428" t="s">
        <v>1148</v>
      </c>
      <c r="AK428" t="s">
        <v>1129</v>
      </c>
      <c r="AL428">
        <v>340118590</v>
      </c>
      <c r="AM428" t="s">
        <v>124</v>
      </c>
    </row>
    <row r="429" spans="1:39" x14ac:dyDescent="0.35">
      <c r="A429">
        <v>3403</v>
      </c>
      <c r="B429" t="s">
        <v>28</v>
      </c>
      <c r="C429">
        <v>2020</v>
      </c>
      <c r="D429" s="1">
        <v>43831</v>
      </c>
      <c r="E429">
        <v>1</v>
      </c>
      <c r="F429">
        <v>300020325</v>
      </c>
      <c r="G429" t="s">
        <v>120</v>
      </c>
      <c r="H429">
        <v>81</v>
      </c>
      <c r="I429">
        <v>71106150</v>
      </c>
      <c r="J429">
        <v>21021040</v>
      </c>
      <c r="K429" t="s">
        <v>102</v>
      </c>
      <c r="L429">
        <v>7570</v>
      </c>
      <c r="M429" t="s">
        <v>54</v>
      </c>
      <c r="N429">
        <v>141609.72</v>
      </c>
      <c r="O429" t="s">
        <v>31</v>
      </c>
      <c r="R429" t="s">
        <v>1121</v>
      </c>
      <c r="S429" t="s">
        <v>1122</v>
      </c>
      <c r="T429">
        <v>101128</v>
      </c>
      <c r="U429" t="s">
        <v>410</v>
      </c>
      <c r="X429" t="s">
        <v>72</v>
      </c>
      <c r="Y429" s="8" t="s">
        <v>996</v>
      </c>
      <c r="Z429">
        <v>20200131</v>
      </c>
      <c r="AA429">
        <v>7570</v>
      </c>
      <c r="AB429">
        <v>0</v>
      </c>
      <c r="AC429">
        <v>7570</v>
      </c>
      <c r="AD429">
        <v>300034130</v>
      </c>
      <c r="AE429" t="s">
        <v>997</v>
      </c>
      <c r="AF429" s="4">
        <v>6881.8181818181811</v>
      </c>
      <c r="AG429" t="s">
        <v>1152</v>
      </c>
      <c r="AH429" t="s">
        <v>1123</v>
      </c>
      <c r="AI429">
        <v>300238840</v>
      </c>
      <c r="AJ429" t="s">
        <v>1125</v>
      </c>
      <c r="AK429" t="s">
        <v>1124</v>
      </c>
      <c r="AL429">
        <v>340368190</v>
      </c>
      <c r="AM429" t="s">
        <v>534</v>
      </c>
    </row>
    <row r="430" spans="1:39" x14ac:dyDescent="0.35">
      <c r="A430">
        <v>3403</v>
      </c>
      <c r="B430" t="s">
        <v>28</v>
      </c>
      <c r="C430">
        <v>2020</v>
      </c>
      <c r="D430" s="1">
        <v>43831</v>
      </c>
      <c r="E430">
        <v>1</v>
      </c>
      <c r="F430">
        <v>300020326</v>
      </c>
      <c r="G430" t="s">
        <v>120</v>
      </c>
      <c r="H430">
        <v>81</v>
      </c>
      <c r="I430">
        <v>71106150</v>
      </c>
      <c r="J430">
        <v>21021040</v>
      </c>
      <c r="K430" t="s">
        <v>102</v>
      </c>
      <c r="L430">
        <v>34433</v>
      </c>
      <c r="M430" t="s">
        <v>54</v>
      </c>
      <c r="N430">
        <v>644127.80000000005</v>
      </c>
      <c r="O430" t="s">
        <v>31</v>
      </c>
      <c r="R430" t="s">
        <v>1121</v>
      </c>
      <c r="S430" t="s">
        <v>1122</v>
      </c>
      <c r="T430">
        <v>101128</v>
      </c>
      <c r="U430" t="s">
        <v>410</v>
      </c>
      <c r="X430" t="s">
        <v>72</v>
      </c>
      <c r="Y430" s="8" t="s">
        <v>998</v>
      </c>
      <c r="Z430">
        <v>20200131</v>
      </c>
      <c r="AA430">
        <v>34433</v>
      </c>
      <c r="AB430">
        <v>0</v>
      </c>
      <c r="AC430">
        <v>34433</v>
      </c>
      <c r="AD430">
        <v>300034130</v>
      </c>
      <c r="AE430" t="s">
        <v>999</v>
      </c>
      <c r="AF430" s="4">
        <v>31302.727272727268</v>
      </c>
      <c r="AG430" t="s">
        <v>1152</v>
      </c>
      <c r="AH430" t="s">
        <v>1123</v>
      </c>
      <c r="AI430">
        <v>300238840</v>
      </c>
      <c r="AJ430" t="s">
        <v>1125</v>
      </c>
      <c r="AK430" t="s">
        <v>1124</v>
      </c>
      <c r="AL430">
        <v>340321790</v>
      </c>
      <c r="AM430" t="s">
        <v>534</v>
      </c>
    </row>
    <row r="431" spans="1:39" x14ac:dyDescent="0.35">
      <c r="A431">
        <v>3403</v>
      </c>
      <c r="B431" t="s">
        <v>28</v>
      </c>
      <c r="C431">
        <v>2020</v>
      </c>
      <c r="D431" s="1">
        <v>43831</v>
      </c>
      <c r="E431">
        <v>1</v>
      </c>
      <c r="F431">
        <v>300020327</v>
      </c>
      <c r="G431" t="s">
        <v>120</v>
      </c>
      <c r="H431">
        <v>81</v>
      </c>
      <c r="I431">
        <v>71106150</v>
      </c>
      <c r="J431">
        <v>21021040</v>
      </c>
      <c r="K431" t="s">
        <v>102</v>
      </c>
      <c r="L431">
        <v>103298</v>
      </c>
      <c r="M431" t="s">
        <v>54</v>
      </c>
      <c r="N431">
        <v>1932364.7</v>
      </c>
      <c r="O431" t="s">
        <v>31</v>
      </c>
      <c r="R431" t="s">
        <v>1121</v>
      </c>
      <c r="S431" t="s">
        <v>1122</v>
      </c>
      <c r="T431">
        <v>101128</v>
      </c>
      <c r="U431" t="s">
        <v>410</v>
      </c>
      <c r="X431" t="s">
        <v>72</v>
      </c>
      <c r="Y431" s="8">
        <v>4501232157</v>
      </c>
      <c r="Z431">
        <v>20200131</v>
      </c>
      <c r="AA431">
        <v>103298</v>
      </c>
      <c r="AB431">
        <v>0</v>
      </c>
      <c r="AC431">
        <v>103298</v>
      </c>
      <c r="AD431">
        <v>300034130</v>
      </c>
      <c r="AE431" t="s">
        <v>1000</v>
      </c>
      <c r="AF431" s="4">
        <v>93907.272727272721</v>
      </c>
      <c r="AG431" t="s">
        <v>1152</v>
      </c>
      <c r="AH431" t="s">
        <v>1123</v>
      </c>
      <c r="AI431">
        <v>300238840</v>
      </c>
      <c r="AJ431" t="s">
        <v>1125</v>
      </c>
      <c r="AK431" t="s">
        <v>1124</v>
      </c>
      <c r="AL431">
        <v>340321790</v>
      </c>
      <c r="AM431" t="s">
        <v>534</v>
      </c>
    </row>
    <row r="432" spans="1:39" x14ac:dyDescent="0.35">
      <c r="A432">
        <v>3409</v>
      </c>
      <c r="B432" t="s">
        <v>28</v>
      </c>
      <c r="C432">
        <v>2020</v>
      </c>
      <c r="D432" s="1">
        <v>43831</v>
      </c>
      <c r="E432">
        <v>1</v>
      </c>
      <c r="F432">
        <v>900012437</v>
      </c>
      <c r="G432" t="s">
        <v>120</v>
      </c>
      <c r="H432">
        <v>81</v>
      </c>
      <c r="I432">
        <v>71106040</v>
      </c>
      <c r="J432">
        <v>21021040</v>
      </c>
      <c r="K432" t="s">
        <v>125</v>
      </c>
      <c r="L432">
        <v>7396.76</v>
      </c>
      <c r="M432" t="s">
        <v>54</v>
      </c>
      <c r="N432">
        <v>138368.97</v>
      </c>
      <c r="O432" t="s">
        <v>31</v>
      </c>
      <c r="R432" t="s">
        <v>1121</v>
      </c>
      <c r="S432">
        <v>752738581</v>
      </c>
      <c r="T432">
        <v>602358</v>
      </c>
      <c r="U432" t="s">
        <v>130</v>
      </c>
      <c r="X432" t="s">
        <v>72</v>
      </c>
      <c r="Y432" s="8">
        <v>2292346</v>
      </c>
      <c r="Z432">
        <v>20200131</v>
      </c>
      <c r="AA432">
        <v>7396.76</v>
      </c>
      <c r="AB432">
        <v>0</v>
      </c>
      <c r="AC432">
        <v>7396.76</v>
      </c>
      <c r="AD432">
        <v>900012515</v>
      </c>
      <c r="AE432" t="s">
        <v>1014</v>
      </c>
      <c r="AF432" s="4">
        <v>7396.76</v>
      </c>
      <c r="AG432" t="s">
        <v>1146</v>
      </c>
      <c r="AH432" t="s">
        <v>1123</v>
      </c>
      <c r="AI432">
        <v>900014325</v>
      </c>
      <c r="AJ432" t="s">
        <v>1125</v>
      </c>
      <c r="AK432" t="s">
        <v>1124</v>
      </c>
      <c r="AL432">
        <v>340921790</v>
      </c>
      <c r="AM432" t="s">
        <v>208</v>
      </c>
    </row>
    <row r="433" spans="1:39" x14ac:dyDescent="0.35">
      <c r="A433">
        <v>3409</v>
      </c>
      <c r="B433" t="s">
        <v>28</v>
      </c>
      <c r="C433">
        <v>2020</v>
      </c>
      <c r="D433" s="1">
        <v>43831</v>
      </c>
      <c r="E433">
        <v>1</v>
      </c>
      <c r="F433">
        <v>900012438</v>
      </c>
      <c r="G433" t="s">
        <v>120</v>
      </c>
      <c r="H433">
        <v>81</v>
      </c>
      <c r="I433">
        <v>71106040</v>
      </c>
      <c r="J433">
        <v>21021040</v>
      </c>
      <c r="K433" t="s">
        <v>125</v>
      </c>
      <c r="L433">
        <v>662.59</v>
      </c>
      <c r="M433" t="s">
        <v>54</v>
      </c>
      <c r="N433">
        <v>12394.87</v>
      </c>
      <c r="O433" t="s">
        <v>31</v>
      </c>
      <c r="R433" t="s">
        <v>1121</v>
      </c>
      <c r="S433">
        <v>270671211</v>
      </c>
      <c r="T433">
        <v>801030</v>
      </c>
      <c r="U433" t="s">
        <v>1015</v>
      </c>
      <c r="X433" t="s">
        <v>72</v>
      </c>
      <c r="Y433" s="8">
        <v>360</v>
      </c>
      <c r="Z433">
        <v>20200131</v>
      </c>
      <c r="AA433">
        <v>662.59</v>
      </c>
      <c r="AB433">
        <v>0</v>
      </c>
      <c r="AC433">
        <v>662.59</v>
      </c>
      <c r="AD433">
        <v>900012521</v>
      </c>
      <c r="AE433" t="s">
        <v>1016</v>
      </c>
      <c r="AF433" s="4">
        <v>662.59</v>
      </c>
      <c r="AG433" t="s">
        <v>1144</v>
      </c>
      <c r="AH433" t="s">
        <v>1123</v>
      </c>
      <c r="AI433">
        <v>900022505</v>
      </c>
      <c r="AJ433" t="s">
        <v>1125</v>
      </c>
      <c r="AK433" t="s">
        <v>1124</v>
      </c>
      <c r="AL433">
        <v>340921790</v>
      </c>
      <c r="AM433" t="s">
        <v>208</v>
      </c>
    </row>
    <row r="434" spans="1:39" x14ac:dyDescent="0.35">
      <c r="A434">
        <v>3403</v>
      </c>
      <c r="B434" t="s">
        <v>28</v>
      </c>
      <c r="C434">
        <v>2020</v>
      </c>
      <c r="D434" s="1">
        <v>43831</v>
      </c>
      <c r="E434">
        <v>1</v>
      </c>
      <c r="F434">
        <v>300020411</v>
      </c>
      <c r="G434" t="s">
        <v>120</v>
      </c>
      <c r="H434">
        <v>91</v>
      </c>
      <c r="I434">
        <v>71104010</v>
      </c>
      <c r="J434">
        <v>21021040</v>
      </c>
      <c r="K434" t="s">
        <v>121</v>
      </c>
      <c r="L434">
        <v>44864</v>
      </c>
      <c r="M434" t="s">
        <v>31</v>
      </c>
      <c r="N434">
        <v>44864</v>
      </c>
      <c r="O434" t="s">
        <v>31</v>
      </c>
      <c r="R434" t="s">
        <v>542</v>
      </c>
      <c r="S434" t="s">
        <v>1131</v>
      </c>
      <c r="T434">
        <v>107211</v>
      </c>
      <c r="U434" t="s">
        <v>123</v>
      </c>
      <c r="X434" t="s">
        <v>72</v>
      </c>
      <c r="Y434" s="8">
        <v>450122871</v>
      </c>
      <c r="Z434">
        <v>20200131</v>
      </c>
      <c r="AA434">
        <v>44864</v>
      </c>
      <c r="AB434">
        <v>7178.24</v>
      </c>
      <c r="AC434">
        <v>52042.239999999998</v>
      </c>
      <c r="AD434">
        <v>300021003</v>
      </c>
      <c r="AE434" t="s">
        <v>964</v>
      </c>
      <c r="AF434" s="4">
        <v>52042.239999999998</v>
      </c>
      <c r="AG434" t="s">
        <v>51</v>
      </c>
      <c r="AH434" t="s">
        <v>1123</v>
      </c>
      <c r="AI434">
        <v>300021371</v>
      </c>
      <c r="AJ434" t="s">
        <v>1148</v>
      </c>
      <c r="AK434" t="s">
        <v>1129</v>
      </c>
      <c r="AL434">
        <v>340318590</v>
      </c>
      <c r="AM434" t="s">
        <v>222</v>
      </c>
    </row>
    <row r="435" spans="1:39" x14ac:dyDescent="0.35">
      <c r="A435">
        <v>3403</v>
      </c>
      <c r="B435" t="s">
        <v>28</v>
      </c>
      <c r="C435">
        <v>2020</v>
      </c>
      <c r="D435" s="1">
        <v>43831</v>
      </c>
      <c r="E435">
        <v>1</v>
      </c>
      <c r="F435">
        <v>300020412</v>
      </c>
      <c r="G435" t="s">
        <v>120</v>
      </c>
      <c r="H435">
        <v>81</v>
      </c>
      <c r="I435">
        <v>71104010</v>
      </c>
      <c r="J435">
        <v>21021040</v>
      </c>
      <c r="K435" t="s">
        <v>121</v>
      </c>
      <c r="L435">
        <v>10382.41</v>
      </c>
      <c r="M435" t="s">
        <v>31</v>
      </c>
      <c r="N435">
        <v>10382.41</v>
      </c>
      <c r="O435" t="s">
        <v>31</v>
      </c>
      <c r="R435" t="s">
        <v>542</v>
      </c>
      <c r="S435" t="s">
        <v>1131</v>
      </c>
      <c r="T435">
        <v>107211</v>
      </c>
      <c r="U435" t="s">
        <v>123</v>
      </c>
      <c r="X435" t="s">
        <v>72</v>
      </c>
      <c r="Y435" s="8">
        <v>4501228713</v>
      </c>
      <c r="Z435">
        <v>20200131</v>
      </c>
      <c r="AA435">
        <v>10382.41</v>
      </c>
      <c r="AB435">
        <v>1661.1856</v>
      </c>
      <c r="AC435">
        <v>12043.595600000001</v>
      </c>
      <c r="AD435">
        <v>300021003</v>
      </c>
      <c r="AE435" t="s">
        <v>964</v>
      </c>
      <c r="AF435" s="4">
        <v>12043.595600000001</v>
      </c>
      <c r="AG435" t="s">
        <v>51</v>
      </c>
      <c r="AH435" t="s">
        <v>1123</v>
      </c>
      <c r="AI435">
        <v>300021371</v>
      </c>
      <c r="AJ435" t="s">
        <v>1148</v>
      </c>
      <c r="AK435" t="s">
        <v>1129</v>
      </c>
      <c r="AL435">
        <v>340318590</v>
      </c>
      <c r="AM435" t="s">
        <v>222</v>
      </c>
    </row>
    <row r="436" spans="1:39" x14ac:dyDescent="0.35">
      <c r="A436">
        <v>3406</v>
      </c>
      <c r="B436" t="s">
        <v>88</v>
      </c>
      <c r="C436">
        <v>2020</v>
      </c>
      <c r="D436" s="1">
        <v>43831</v>
      </c>
      <c r="E436">
        <v>1</v>
      </c>
      <c r="F436">
        <v>600005645</v>
      </c>
      <c r="G436" t="s">
        <v>120</v>
      </c>
      <c r="H436">
        <v>81</v>
      </c>
      <c r="I436">
        <v>71106040</v>
      </c>
      <c r="J436">
        <v>21021040</v>
      </c>
      <c r="K436" t="s">
        <v>125</v>
      </c>
      <c r="L436">
        <v>163846.28</v>
      </c>
      <c r="M436" t="s">
        <v>31</v>
      </c>
      <c r="N436">
        <v>163846.28</v>
      </c>
      <c r="O436" t="s">
        <v>31</v>
      </c>
      <c r="R436" t="s">
        <v>1121</v>
      </c>
      <c r="S436" t="s">
        <v>1140</v>
      </c>
      <c r="T436">
        <v>600271</v>
      </c>
      <c r="U436" t="s">
        <v>772</v>
      </c>
      <c r="X436" t="s">
        <v>88</v>
      </c>
      <c r="Y436" s="8">
        <v>1548756279</v>
      </c>
      <c r="Z436">
        <v>20200108</v>
      </c>
      <c r="AA436">
        <v>163846.28</v>
      </c>
      <c r="AB436">
        <v>0</v>
      </c>
      <c r="AC436">
        <v>163846.28</v>
      </c>
      <c r="AD436">
        <v>600006359</v>
      </c>
      <c r="AE436" t="s">
        <v>1061</v>
      </c>
      <c r="AF436" s="4">
        <v>163846.28</v>
      </c>
      <c r="AG436" t="s">
        <v>81</v>
      </c>
      <c r="AH436" t="s">
        <v>1123</v>
      </c>
      <c r="AI436">
        <v>600019044</v>
      </c>
      <c r="AJ436" t="s">
        <v>1136</v>
      </c>
      <c r="AK436" t="s">
        <v>1135</v>
      </c>
      <c r="AL436">
        <v>340621790</v>
      </c>
      <c r="AM436" t="s">
        <v>132</v>
      </c>
    </row>
    <row r="437" spans="1:39" x14ac:dyDescent="0.35">
      <c r="A437">
        <v>3402</v>
      </c>
      <c r="B437" t="s">
        <v>88</v>
      </c>
      <c r="C437">
        <v>2020</v>
      </c>
      <c r="D437" s="1">
        <v>43831</v>
      </c>
      <c r="E437">
        <v>1</v>
      </c>
      <c r="F437">
        <v>200021514</v>
      </c>
      <c r="G437" t="s">
        <v>120</v>
      </c>
      <c r="H437">
        <v>81</v>
      </c>
      <c r="I437">
        <v>71105120</v>
      </c>
      <c r="J437">
        <v>21021040</v>
      </c>
      <c r="K437" t="s">
        <v>268</v>
      </c>
      <c r="L437">
        <v>760</v>
      </c>
      <c r="M437" t="s">
        <v>54</v>
      </c>
      <c r="N437">
        <v>14308.52</v>
      </c>
      <c r="O437" t="s">
        <v>31</v>
      </c>
      <c r="R437" t="s">
        <v>1121</v>
      </c>
      <c r="S437">
        <v>453325398</v>
      </c>
      <c r="T437">
        <v>101653</v>
      </c>
      <c r="U437" t="s">
        <v>784</v>
      </c>
      <c r="X437" t="s">
        <v>88</v>
      </c>
      <c r="Y437" s="8" t="s">
        <v>1062</v>
      </c>
      <c r="Z437">
        <v>20200108</v>
      </c>
      <c r="AA437">
        <v>760</v>
      </c>
      <c r="AB437">
        <v>0</v>
      </c>
      <c r="AC437">
        <v>760</v>
      </c>
      <c r="AD437">
        <v>200027809</v>
      </c>
      <c r="AE437" t="s">
        <v>1063</v>
      </c>
      <c r="AF437" s="4">
        <v>760</v>
      </c>
      <c r="AG437" t="s">
        <v>1126</v>
      </c>
      <c r="AH437" t="s">
        <v>1123</v>
      </c>
      <c r="AI437">
        <v>200150427</v>
      </c>
      <c r="AJ437" t="s">
        <v>1125</v>
      </c>
      <c r="AK437" t="s">
        <v>1124</v>
      </c>
      <c r="AL437">
        <v>340253290</v>
      </c>
      <c r="AM437" t="s">
        <v>135</v>
      </c>
    </row>
    <row r="438" spans="1:39" x14ac:dyDescent="0.35">
      <c r="A438">
        <v>3409</v>
      </c>
      <c r="B438" t="s">
        <v>88</v>
      </c>
      <c r="C438">
        <v>2020</v>
      </c>
      <c r="D438" s="1">
        <v>43831</v>
      </c>
      <c r="E438">
        <v>1</v>
      </c>
      <c r="F438">
        <v>900002503</v>
      </c>
      <c r="G438" t="s">
        <v>120</v>
      </c>
      <c r="H438">
        <v>81</v>
      </c>
      <c r="I438">
        <v>71106040</v>
      </c>
      <c r="J438">
        <v>21021040</v>
      </c>
      <c r="K438" t="s">
        <v>125</v>
      </c>
      <c r="L438">
        <v>2392</v>
      </c>
      <c r="M438" t="s">
        <v>54</v>
      </c>
      <c r="N438">
        <v>45034.18</v>
      </c>
      <c r="O438" t="s">
        <v>31</v>
      </c>
      <c r="R438" t="s">
        <v>1121</v>
      </c>
      <c r="S438">
        <v>364415727</v>
      </c>
      <c r="T438">
        <v>800423</v>
      </c>
      <c r="U438" t="s">
        <v>880</v>
      </c>
      <c r="X438" t="s">
        <v>88</v>
      </c>
      <c r="Y438" s="8" t="s">
        <v>1053</v>
      </c>
      <c r="Z438">
        <v>20200108</v>
      </c>
      <c r="AA438">
        <v>2392</v>
      </c>
      <c r="AB438">
        <v>0</v>
      </c>
      <c r="AC438">
        <v>45034.18</v>
      </c>
      <c r="AD438">
        <v>200027802</v>
      </c>
      <c r="AE438" t="s">
        <v>1054</v>
      </c>
      <c r="AF438" s="4">
        <v>45034.18</v>
      </c>
      <c r="AG438" t="s">
        <v>93</v>
      </c>
      <c r="AH438" t="s">
        <v>1123</v>
      </c>
      <c r="AI438">
        <v>900008380</v>
      </c>
      <c r="AJ438" t="s">
        <v>1125</v>
      </c>
      <c r="AK438" t="s">
        <v>1124</v>
      </c>
      <c r="AL438">
        <v>340921790</v>
      </c>
      <c r="AM438" t="s">
        <v>185</v>
      </c>
    </row>
    <row r="439" spans="1:39" x14ac:dyDescent="0.35">
      <c r="A439">
        <v>3406</v>
      </c>
      <c r="B439" t="s">
        <v>88</v>
      </c>
      <c r="C439">
        <v>2020</v>
      </c>
      <c r="D439" s="1">
        <v>43831</v>
      </c>
      <c r="E439">
        <v>1</v>
      </c>
      <c r="F439">
        <v>600005812</v>
      </c>
      <c r="G439" t="s">
        <v>120</v>
      </c>
      <c r="H439">
        <v>81</v>
      </c>
      <c r="I439">
        <v>71105120</v>
      </c>
      <c r="J439">
        <v>21021040</v>
      </c>
      <c r="K439" t="s">
        <v>268</v>
      </c>
      <c r="L439">
        <v>380</v>
      </c>
      <c r="M439" t="s">
        <v>54</v>
      </c>
      <c r="N439">
        <v>7154.26</v>
      </c>
      <c r="O439" t="s">
        <v>31</v>
      </c>
      <c r="R439" t="s">
        <v>1121</v>
      </c>
      <c r="S439">
        <v>453325398</v>
      </c>
      <c r="T439">
        <v>101653</v>
      </c>
      <c r="U439" t="s">
        <v>784</v>
      </c>
      <c r="X439" t="s">
        <v>88</v>
      </c>
      <c r="Y439" s="8" t="s">
        <v>785</v>
      </c>
      <c r="Z439">
        <v>20200108</v>
      </c>
      <c r="AA439">
        <v>380</v>
      </c>
      <c r="AB439">
        <v>0</v>
      </c>
      <c r="AC439">
        <v>380</v>
      </c>
      <c r="AD439">
        <v>600025900</v>
      </c>
      <c r="AE439" t="s">
        <v>1064</v>
      </c>
      <c r="AF439" s="4">
        <v>380</v>
      </c>
      <c r="AG439" t="s">
        <v>1126</v>
      </c>
      <c r="AH439" t="s">
        <v>1123</v>
      </c>
      <c r="AI439">
        <v>600040066</v>
      </c>
      <c r="AJ439" t="s">
        <v>1125</v>
      </c>
      <c r="AK439" t="s">
        <v>1124</v>
      </c>
      <c r="AL439">
        <v>340653290</v>
      </c>
      <c r="AM439" t="s">
        <v>149</v>
      </c>
    </row>
    <row r="440" spans="1:39" x14ac:dyDescent="0.35">
      <c r="A440">
        <v>3406</v>
      </c>
      <c r="B440" t="s">
        <v>88</v>
      </c>
      <c r="C440">
        <v>2020</v>
      </c>
      <c r="D440" s="1">
        <v>43831</v>
      </c>
      <c r="E440">
        <v>1</v>
      </c>
      <c r="F440">
        <v>600005815</v>
      </c>
      <c r="G440" t="s">
        <v>120</v>
      </c>
      <c r="H440">
        <v>81</v>
      </c>
      <c r="I440">
        <v>71105120</v>
      </c>
      <c r="J440">
        <v>21021040</v>
      </c>
      <c r="K440" t="s">
        <v>268</v>
      </c>
      <c r="L440">
        <v>20.14</v>
      </c>
      <c r="M440" t="s">
        <v>54</v>
      </c>
      <c r="N440">
        <v>379.18</v>
      </c>
      <c r="O440" t="s">
        <v>31</v>
      </c>
      <c r="R440" t="s">
        <v>1121</v>
      </c>
      <c r="S440">
        <v>453325398</v>
      </c>
      <c r="T440">
        <v>101653</v>
      </c>
      <c r="U440" t="s">
        <v>784</v>
      </c>
      <c r="X440" t="s">
        <v>88</v>
      </c>
      <c r="Y440" s="8" t="s">
        <v>785</v>
      </c>
      <c r="Z440">
        <v>20200108</v>
      </c>
      <c r="AA440">
        <v>20.14</v>
      </c>
      <c r="AB440">
        <v>0</v>
      </c>
      <c r="AC440">
        <v>20.14</v>
      </c>
      <c r="AD440">
        <v>600025900</v>
      </c>
      <c r="AE440" t="s">
        <v>1065</v>
      </c>
      <c r="AF440" s="4">
        <v>20.14</v>
      </c>
      <c r="AG440" t="s">
        <v>1126</v>
      </c>
      <c r="AH440" t="s">
        <v>1123</v>
      </c>
      <c r="AI440">
        <v>600040066</v>
      </c>
      <c r="AJ440" t="s">
        <v>1125</v>
      </c>
      <c r="AK440" t="s">
        <v>1124</v>
      </c>
      <c r="AL440">
        <v>340615190</v>
      </c>
      <c r="AM440" t="s">
        <v>149</v>
      </c>
    </row>
    <row r="441" spans="1:39" x14ac:dyDescent="0.35">
      <c r="A441">
        <v>3402</v>
      </c>
      <c r="B441" t="s">
        <v>88</v>
      </c>
      <c r="C441">
        <v>2020</v>
      </c>
      <c r="D441" s="1">
        <v>43831</v>
      </c>
      <c r="E441">
        <v>1</v>
      </c>
      <c r="F441">
        <v>200021798</v>
      </c>
      <c r="G441" t="s">
        <v>120</v>
      </c>
      <c r="H441">
        <v>81</v>
      </c>
      <c r="I441">
        <v>71105120</v>
      </c>
      <c r="J441">
        <v>21021040</v>
      </c>
      <c r="K441" t="s">
        <v>268</v>
      </c>
      <c r="L441">
        <v>665</v>
      </c>
      <c r="M441" t="s">
        <v>54</v>
      </c>
      <c r="N441">
        <v>12519.96</v>
      </c>
      <c r="O441" t="s">
        <v>31</v>
      </c>
      <c r="R441" t="s">
        <v>1121</v>
      </c>
      <c r="S441">
        <v>453325398</v>
      </c>
      <c r="T441">
        <v>101653</v>
      </c>
      <c r="U441" t="s">
        <v>784</v>
      </c>
      <c r="X441" t="s">
        <v>88</v>
      </c>
      <c r="Y441" s="8" t="s">
        <v>1069</v>
      </c>
      <c r="Z441">
        <v>20200108</v>
      </c>
      <c r="AA441">
        <v>665</v>
      </c>
      <c r="AB441">
        <v>0</v>
      </c>
      <c r="AC441">
        <v>665</v>
      </c>
      <c r="AD441">
        <v>200027802</v>
      </c>
      <c r="AE441" t="s">
        <v>1070</v>
      </c>
      <c r="AF441" s="4">
        <v>665</v>
      </c>
      <c r="AG441" t="s">
        <v>1126</v>
      </c>
      <c r="AH441" t="s">
        <v>1123</v>
      </c>
      <c r="AI441">
        <v>200150427</v>
      </c>
      <c r="AJ441" t="s">
        <v>1125</v>
      </c>
      <c r="AK441" t="s">
        <v>1124</v>
      </c>
      <c r="AL441">
        <v>340215190</v>
      </c>
      <c r="AM441" t="s">
        <v>135</v>
      </c>
    </row>
    <row r="442" spans="1:39" x14ac:dyDescent="0.35">
      <c r="A442">
        <v>3402</v>
      </c>
      <c r="B442" t="s">
        <v>309</v>
      </c>
      <c r="C442">
        <v>2020</v>
      </c>
      <c r="D442" s="1">
        <v>43831</v>
      </c>
      <c r="E442">
        <v>1</v>
      </c>
      <c r="F442">
        <v>200027806</v>
      </c>
      <c r="G442" t="s">
        <v>120</v>
      </c>
      <c r="H442">
        <v>81</v>
      </c>
      <c r="I442">
        <v>71106040</v>
      </c>
      <c r="J442">
        <v>21021040</v>
      </c>
      <c r="K442" t="s">
        <v>125</v>
      </c>
      <c r="L442">
        <v>210431.03</v>
      </c>
      <c r="M442" t="s">
        <v>31</v>
      </c>
      <c r="N442">
        <v>210431.03</v>
      </c>
      <c r="O442" t="s">
        <v>31</v>
      </c>
      <c r="R442" t="s">
        <v>1121</v>
      </c>
      <c r="S442" t="s">
        <v>1140</v>
      </c>
      <c r="T442">
        <v>600271</v>
      </c>
      <c r="U442" t="s">
        <v>772</v>
      </c>
      <c r="X442" t="s">
        <v>309</v>
      </c>
      <c r="Y442" s="8">
        <v>1548705238</v>
      </c>
      <c r="Z442">
        <v>20200110</v>
      </c>
      <c r="AA442">
        <v>210431.03</v>
      </c>
      <c r="AB442">
        <v>0</v>
      </c>
      <c r="AC442">
        <v>210431.03</v>
      </c>
      <c r="AD442">
        <v>200035338</v>
      </c>
      <c r="AE442" t="s">
        <v>1071</v>
      </c>
      <c r="AF442" s="4">
        <v>210431.03</v>
      </c>
      <c r="AG442" t="s">
        <v>81</v>
      </c>
      <c r="AH442" t="s">
        <v>1123</v>
      </c>
      <c r="AI442">
        <v>200057427</v>
      </c>
      <c r="AJ442" t="s">
        <v>1136</v>
      </c>
      <c r="AK442" t="s">
        <v>1135</v>
      </c>
      <c r="AL442">
        <v>340221990</v>
      </c>
      <c r="AM442" t="s">
        <v>626</v>
      </c>
    </row>
    <row r="443" spans="1:39" x14ac:dyDescent="0.35">
      <c r="A443">
        <v>3402</v>
      </c>
      <c r="B443" t="s">
        <v>309</v>
      </c>
      <c r="C443">
        <v>2020</v>
      </c>
      <c r="D443" s="1">
        <v>43831</v>
      </c>
      <c r="E443">
        <v>1</v>
      </c>
      <c r="F443">
        <v>200027812</v>
      </c>
      <c r="G443" t="s">
        <v>120</v>
      </c>
      <c r="H443">
        <v>81</v>
      </c>
      <c r="I443">
        <v>71106040</v>
      </c>
      <c r="J443">
        <v>21021040</v>
      </c>
      <c r="K443" t="s">
        <v>125</v>
      </c>
      <c r="L443">
        <v>27954.36</v>
      </c>
      <c r="M443" t="s">
        <v>31</v>
      </c>
      <c r="N443">
        <v>27954.36</v>
      </c>
      <c r="O443" t="s">
        <v>31</v>
      </c>
      <c r="R443" t="s">
        <v>1121</v>
      </c>
      <c r="S443" t="s">
        <v>1140</v>
      </c>
      <c r="T443">
        <v>600271</v>
      </c>
      <c r="U443" t="s">
        <v>772</v>
      </c>
      <c r="X443" t="s">
        <v>309</v>
      </c>
      <c r="Y443" s="8">
        <v>1548693032</v>
      </c>
      <c r="Z443">
        <v>20200110</v>
      </c>
      <c r="AA443">
        <v>27954.36</v>
      </c>
      <c r="AB443">
        <v>0</v>
      </c>
      <c r="AC443">
        <v>27954.36</v>
      </c>
      <c r="AD443">
        <v>200035334</v>
      </c>
      <c r="AE443" t="s">
        <v>1072</v>
      </c>
      <c r="AF443" s="4">
        <v>27954.36</v>
      </c>
      <c r="AG443" t="s">
        <v>81</v>
      </c>
      <c r="AH443" t="s">
        <v>1123</v>
      </c>
      <c r="AI443">
        <v>200057427</v>
      </c>
      <c r="AJ443" t="s">
        <v>1136</v>
      </c>
      <c r="AK443" t="s">
        <v>1135</v>
      </c>
      <c r="AL443">
        <v>340221990</v>
      </c>
      <c r="AM443" t="s">
        <v>626</v>
      </c>
    </row>
    <row r="444" spans="1:39" x14ac:dyDescent="0.35">
      <c r="A444">
        <v>3401</v>
      </c>
      <c r="B444" t="s">
        <v>309</v>
      </c>
      <c r="C444">
        <v>2020</v>
      </c>
      <c r="D444" s="1">
        <v>43831</v>
      </c>
      <c r="E444">
        <v>1</v>
      </c>
      <c r="F444">
        <v>100009515</v>
      </c>
      <c r="G444" t="s">
        <v>120</v>
      </c>
      <c r="H444">
        <v>81</v>
      </c>
      <c r="I444">
        <v>71104010</v>
      </c>
      <c r="J444">
        <v>21021040</v>
      </c>
      <c r="K444" t="s">
        <v>121</v>
      </c>
      <c r="L444">
        <v>53480</v>
      </c>
      <c r="M444" t="s">
        <v>31</v>
      </c>
      <c r="N444">
        <v>53480</v>
      </c>
      <c r="O444" t="s">
        <v>31</v>
      </c>
      <c r="R444" t="s">
        <v>122</v>
      </c>
      <c r="S444" t="s">
        <v>1131</v>
      </c>
      <c r="T444">
        <v>107211</v>
      </c>
      <c r="U444" t="s">
        <v>123</v>
      </c>
      <c r="X444" t="s">
        <v>309</v>
      </c>
      <c r="Y444" s="8">
        <v>4501216248</v>
      </c>
      <c r="Z444" t="s">
        <v>1127</v>
      </c>
      <c r="AA444">
        <v>53480</v>
      </c>
      <c r="AD444">
        <v>100036889</v>
      </c>
      <c r="AE444" t="s">
        <v>1128</v>
      </c>
      <c r="AF444" s="4"/>
      <c r="AG444" t="s">
        <v>51</v>
      </c>
      <c r="AH444" t="s">
        <v>1123</v>
      </c>
      <c r="AI444">
        <v>100036917</v>
      </c>
      <c r="AJ444" t="s">
        <v>1148</v>
      </c>
      <c r="AK444" t="s">
        <v>1129</v>
      </c>
      <c r="AL444">
        <v>340118590</v>
      </c>
      <c r="AM444" t="s">
        <v>124</v>
      </c>
    </row>
    <row r="445" spans="1:39" x14ac:dyDescent="0.35">
      <c r="A445">
        <v>3407</v>
      </c>
      <c r="B445" t="s">
        <v>309</v>
      </c>
      <c r="C445">
        <v>2020</v>
      </c>
      <c r="D445" s="1">
        <v>43831</v>
      </c>
      <c r="E445">
        <v>1</v>
      </c>
      <c r="F445">
        <v>700010842</v>
      </c>
      <c r="G445" t="s">
        <v>120</v>
      </c>
      <c r="H445">
        <v>81</v>
      </c>
      <c r="I445">
        <v>71106040</v>
      </c>
      <c r="J445">
        <v>21021040</v>
      </c>
      <c r="K445" t="s">
        <v>125</v>
      </c>
      <c r="L445">
        <v>201928.89</v>
      </c>
      <c r="M445" t="s">
        <v>31</v>
      </c>
      <c r="N445">
        <v>201928.89</v>
      </c>
      <c r="O445" t="s">
        <v>31</v>
      </c>
      <c r="R445" t="s">
        <v>1121</v>
      </c>
      <c r="S445" t="s">
        <v>1140</v>
      </c>
      <c r="T445">
        <v>600271</v>
      </c>
      <c r="U445" t="s">
        <v>772</v>
      </c>
      <c r="X445" t="s">
        <v>309</v>
      </c>
      <c r="Y445" s="8">
        <v>1548789341</v>
      </c>
      <c r="Z445">
        <v>20200110</v>
      </c>
      <c r="AA445">
        <v>201928.89</v>
      </c>
      <c r="AB445">
        <v>0</v>
      </c>
      <c r="AC445">
        <v>201928.89</v>
      </c>
      <c r="AD445">
        <v>700011485</v>
      </c>
      <c r="AE445" t="s">
        <v>1073</v>
      </c>
      <c r="AF445" s="4">
        <v>201928.89</v>
      </c>
      <c r="AG445" t="s">
        <v>81</v>
      </c>
      <c r="AH445" t="s">
        <v>1123</v>
      </c>
      <c r="AI445">
        <v>700020940</v>
      </c>
      <c r="AJ445" t="s">
        <v>1136</v>
      </c>
      <c r="AK445" t="s">
        <v>1135</v>
      </c>
      <c r="AL445">
        <v>340721790</v>
      </c>
      <c r="AM445" t="s">
        <v>244</v>
      </c>
    </row>
    <row r="446" spans="1:39" x14ac:dyDescent="0.35">
      <c r="A446">
        <v>3406</v>
      </c>
      <c r="B446" t="s">
        <v>309</v>
      </c>
      <c r="C446">
        <v>2020</v>
      </c>
      <c r="D446" s="1">
        <v>43831</v>
      </c>
      <c r="E446">
        <v>1</v>
      </c>
      <c r="F446">
        <v>600007236</v>
      </c>
      <c r="G446" t="s">
        <v>120</v>
      </c>
      <c r="H446">
        <v>81</v>
      </c>
      <c r="I446">
        <v>71105120</v>
      </c>
      <c r="J446">
        <v>21021040</v>
      </c>
      <c r="K446" t="s">
        <v>268</v>
      </c>
      <c r="L446">
        <v>157482.49</v>
      </c>
      <c r="M446" t="s">
        <v>31</v>
      </c>
      <c r="N446">
        <v>157482.49</v>
      </c>
      <c r="O446" t="s">
        <v>31</v>
      </c>
      <c r="R446" t="s">
        <v>1074</v>
      </c>
      <c r="T446">
        <v>105456</v>
      </c>
      <c r="U446" t="s">
        <v>1075</v>
      </c>
      <c r="X446" t="s">
        <v>309</v>
      </c>
      <c r="Y446" s="8" t="s">
        <v>1076</v>
      </c>
      <c r="Z446">
        <v>20200110</v>
      </c>
      <c r="AA446">
        <v>157482.49</v>
      </c>
      <c r="AB446">
        <v>25197.198399999997</v>
      </c>
      <c r="AC446">
        <v>182679.68839999998</v>
      </c>
      <c r="AD446">
        <v>600007266</v>
      </c>
      <c r="AE446" t="s">
        <v>1077</v>
      </c>
      <c r="AF446" s="4">
        <v>182679.68839999998</v>
      </c>
      <c r="AG446" t="s">
        <v>1144</v>
      </c>
      <c r="AH446" t="s">
        <v>1123</v>
      </c>
      <c r="AI446">
        <v>600055348</v>
      </c>
      <c r="AJ446" t="s">
        <v>1136</v>
      </c>
      <c r="AK446" t="s">
        <v>1135</v>
      </c>
      <c r="AL446">
        <v>340646390</v>
      </c>
      <c r="AM446" t="s">
        <v>149</v>
      </c>
    </row>
    <row r="447" spans="1:39" x14ac:dyDescent="0.35">
      <c r="A447">
        <v>3406</v>
      </c>
      <c r="B447" t="s">
        <v>88</v>
      </c>
      <c r="C447">
        <v>2020</v>
      </c>
      <c r="D447" s="1">
        <v>43831</v>
      </c>
      <c r="E447">
        <v>1</v>
      </c>
      <c r="F447">
        <v>600015295</v>
      </c>
      <c r="G447" t="s">
        <v>120</v>
      </c>
      <c r="H447">
        <v>91</v>
      </c>
      <c r="I447">
        <v>71105120</v>
      </c>
      <c r="J447">
        <v>21021040</v>
      </c>
      <c r="K447" t="s">
        <v>268</v>
      </c>
      <c r="L447">
        <v>20.14</v>
      </c>
      <c r="M447" t="s">
        <v>54</v>
      </c>
      <c r="N447">
        <v>379.18</v>
      </c>
      <c r="O447" t="s">
        <v>31</v>
      </c>
      <c r="R447" t="s">
        <v>1121</v>
      </c>
      <c r="S447">
        <v>453325398</v>
      </c>
      <c r="T447">
        <v>101653</v>
      </c>
      <c r="U447" t="s">
        <v>784</v>
      </c>
      <c r="X447" t="s">
        <v>53</v>
      </c>
      <c r="Y447" s="8" t="s">
        <v>785</v>
      </c>
      <c r="Z447">
        <v>20200108</v>
      </c>
      <c r="AA447">
        <v>20.14</v>
      </c>
      <c r="AB447">
        <v>0</v>
      </c>
      <c r="AC447">
        <v>20.14</v>
      </c>
      <c r="AD447">
        <v>600025900</v>
      </c>
      <c r="AE447" t="s">
        <v>1065</v>
      </c>
      <c r="AF447" s="4">
        <v>20.14</v>
      </c>
      <c r="AG447" t="s">
        <v>1126</v>
      </c>
      <c r="AH447" t="s">
        <v>1123</v>
      </c>
      <c r="AI447">
        <v>600040066</v>
      </c>
      <c r="AJ447" t="s">
        <v>1125</v>
      </c>
      <c r="AK447" t="s">
        <v>1124</v>
      </c>
      <c r="AL447">
        <v>340615190</v>
      </c>
      <c r="AM447" t="s">
        <v>149</v>
      </c>
    </row>
    <row r="448" spans="1:39" x14ac:dyDescent="0.35">
      <c r="A448">
        <v>3406</v>
      </c>
      <c r="B448" t="s">
        <v>88</v>
      </c>
      <c r="C448">
        <v>2020</v>
      </c>
      <c r="D448" s="1">
        <v>43831</v>
      </c>
      <c r="E448">
        <v>1</v>
      </c>
      <c r="F448">
        <v>600015384</v>
      </c>
      <c r="G448" t="s">
        <v>120</v>
      </c>
      <c r="H448">
        <v>91</v>
      </c>
      <c r="I448">
        <v>71105120</v>
      </c>
      <c r="J448">
        <v>21021040</v>
      </c>
      <c r="K448" t="s">
        <v>268</v>
      </c>
      <c r="L448">
        <v>380</v>
      </c>
      <c r="M448" t="s">
        <v>54</v>
      </c>
      <c r="N448">
        <v>7154.26</v>
      </c>
      <c r="O448" t="s">
        <v>31</v>
      </c>
      <c r="R448" t="s">
        <v>1121</v>
      </c>
      <c r="S448">
        <v>453325398</v>
      </c>
      <c r="T448">
        <v>101653</v>
      </c>
      <c r="U448" t="s">
        <v>784</v>
      </c>
      <c r="X448" t="s">
        <v>53</v>
      </c>
      <c r="Y448" s="8" t="s">
        <v>785</v>
      </c>
      <c r="Z448">
        <v>20200108</v>
      </c>
      <c r="AA448">
        <v>380</v>
      </c>
      <c r="AB448">
        <v>0</v>
      </c>
      <c r="AC448">
        <v>380</v>
      </c>
      <c r="AD448">
        <v>600025900</v>
      </c>
      <c r="AE448" t="s">
        <v>1064</v>
      </c>
      <c r="AF448" s="4">
        <v>380</v>
      </c>
      <c r="AG448" t="s">
        <v>1126</v>
      </c>
      <c r="AH448" t="s">
        <v>1123</v>
      </c>
      <c r="AI448">
        <v>600040066</v>
      </c>
      <c r="AJ448" t="s">
        <v>1125</v>
      </c>
      <c r="AK448" t="s">
        <v>1124</v>
      </c>
      <c r="AL448">
        <v>340653290</v>
      </c>
      <c r="AM448" t="s">
        <v>149</v>
      </c>
    </row>
    <row r="449" spans="1:39" x14ac:dyDescent="0.35">
      <c r="A449">
        <v>3406</v>
      </c>
      <c r="B449" t="s">
        <v>88</v>
      </c>
      <c r="C449">
        <v>2020</v>
      </c>
      <c r="D449" s="1">
        <v>43831</v>
      </c>
      <c r="E449">
        <v>1</v>
      </c>
      <c r="F449">
        <v>600015392</v>
      </c>
      <c r="G449" t="s">
        <v>120</v>
      </c>
      <c r="H449">
        <v>81</v>
      </c>
      <c r="I449">
        <v>71105120</v>
      </c>
      <c r="J449">
        <v>21021040</v>
      </c>
      <c r="K449" t="s">
        <v>268</v>
      </c>
      <c r="L449">
        <v>380</v>
      </c>
      <c r="M449" t="s">
        <v>54</v>
      </c>
      <c r="N449">
        <v>7154.26</v>
      </c>
      <c r="O449" t="s">
        <v>31</v>
      </c>
      <c r="R449" t="s">
        <v>1121</v>
      </c>
      <c r="S449">
        <v>453325398</v>
      </c>
      <c r="T449">
        <v>101653</v>
      </c>
      <c r="U449" t="s">
        <v>784</v>
      </c>
      <c r="X449" t="s">
        <v>53</v>
      </c>
      <c r="Y449" s="8" t="s">
        <v>785</v>
      </c>
      <c r="Z449">
        <v>20200108</v>
      </c>
      <c r="AA449">
        <v>380</v>
      </c>
      <c r="AB449">
        <v>0</v>
      </c>
      <c r="AC449">
        <v>380</v>
      </c>
      <c r="AD449">
        <v>600025900</v>
      </c>
      <c r="AE449" t="s">
        <v>1064</v>
      </c>
      <c r="AF449" s="4">
        <v>380</v>
      </c>
      <c r="AG449" t="s">
        <v>1126</v>
      </c>
      <c r="AH449" t="s">
        <v>1123</v>
      </c>
      <c r="AI449">
        <v>600040066</v>
      </c>
      <c r="AJ449" t="s">
        <v>1125</v>
      </c>
      <c r="AK449" t="s">
        <v>1124</v>
      </c>
      <c r="AL449">
        <v>340653290</v>
      </c>
      <c r="AM449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E878-F8C7-4AC7-9DCE-1DE755C6420A}">
  <dimension ref="A3:I14"/>
  <sheetViews>
    <sheetView workbookViewId="0">
      <selection activeCell="D17" sqref="D17"/>
    </sheetView>
  </sheetViews>
  <sheetFormatPr baseColWidth="10" defaultRowHeight="14.5" x14ac:dyDescent="0.35"/>
  <cols>
    <col min="4" max="4" width="28.1796875" bestFit="1" customWidth="1"/>
    <col min="5" max="5" width="28.1796875" customWidth="1"/>
    <col min="6" max="6" width="38.1796875" bestFit="1" customWidth="1"/>
  </cols>
  <sheetData>
    <row r="3" spans="1:9" x14ac:dyDescent="0.35">
      <c r="D3" t="s">
        <v>1121</v>
      </c>
      <c r="E3" t="s">
        <v>1122</v>
      </c>
      <c r="F3" t="s">
        <v>410</v>
      </c>
      <c r="G3" t="s">
        <v>1125</v>
      </c>
      <c r="H3" t="s">
        <v>1124</v>
      </c>
    </row>
    <row r="4" spans="1:9" x14ac:dyDescent="0.35">
      <c r="D4" t="s">
        <v>1121</v>
      </c>
      <c r="E4">
        <v>453325398</v>
      </c>
      <c r="F4" t="s">
        <v>784</v>
      </c>
      <c r="G4" t="s">
        <v>1125</v>
      </c>
      <c r="H4" t="s">
        <v>1124</v>
      </c>
    </row>
    <row r="5" spans="1:9" x14ac:dyDescent="0.35">
      <c r="D5" t="s">
        <v>1121</v>
      </c>
      <c r="E5">
        <v>593383972</v>
      </c>
      <c r="F5" t="s">
        <v>126</v>
      </c>
      <c r="G5" t="s">
        <v>1125</v>
      </c>
      <c r="H5" t="s">
        <v>1124</v>
      </c>
    </row>
    <row r="6" spans="1:9" x14ac:dyDescent="0.35">
      <c r="A6" t="s">
        <v>31</v>
      </c>
      <c r="B6" t="s">
        <v>1136</v>
      </c>
      <c r="C6" t="s">
        <v>1135</v>
      </c>
      <c r="D6" t="s">
        <v>1121</v>
      </c>
      <c r="E6" t="s">
        <v>1140</v>
      </c>
      <c r="F6" t="s">
        <v>772</v>
      </c>
    </row>
    <row r="7" spans="1:9" x14ac:dyDescent="0.35">
      <c r="E7" t="s">
        <v>1141</v>
      </c>
      <c r="F7" t="s">
        <v>219</v>
      </c>
    </row>
    <row r="8" spans="1:9" x14ac:dyDescent="0.35">
      <c r="D8" t="s">
        <v>1121</v>
      </c>
      <c r="E8">
        <v>435003532</v>
      </c>
      <c r="F8" t="s">
        <v>263</v>
      </c>
    </row>
    <row r="9" spans="1:9" x14ac:dyDescent="0.35">
      <c r="D9" t="s">
        <v>1121</v>
      </c>
      <c r="E9">
        <v>593416526</v>
      </c>
      <c r="F9" t="s">
        <v>628</v>
      </c>
    </row>
    <row r="10" spans="1:9" x14ac:dyDescent="0.35">
      <c r="D10" t="s">
        <v>1121</v>
      </c>
      <c r="E10">
        <v>752738581</v>
      </c>
      <c r="F10" t="s">
        <v>130</v>
      </c>
      <c r="G10" t="s">
        <v>1125</v>
      </c>
      <c r="H10" t="s">
        <v>1124</v>
      </c>
    </row>
    <row r="11" spans="1:9" x14ac:dyDescent="0.35">
      <c r="E11">
        <v>452523143</v>
      </c>
      <c r="F11" t="s">
        <v>245</v>
      </c>
    </row>
    <row r="13" spans="1:9" x14ac:dyDescent="0.35">
      <c r="H13" t="s">
        <v>1136</v>
      </c>
      <c r="I13" t="s">
        <v>1135</v>
      </c>
    </row>
    <row r="14" spans="1:9" x14ac:dyDescent="0.35">
      <c r="G14" t="s">
        <v>1149</v>
      </c>
      <c r="H14" t="s">
        <v>1130</v>
      </c>
      <c r="I14" t="s">
        <v>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Hoja4</vt:lpstr>
      <vt:lpstr>Detalle1</vt:lpstr>
      <vt:lpstr>Hoja6</vt:lpstr>
      <vt:lpstr>Hoja5</vt:lpstr>
      <vt:lpstr>Enero_2020_KTRC_v2</vt:lpstr>
      <vt:lpstr>EJEMPLO </vt:lpstr>
      <vt:lpstr>Hoja2</vt:lpstr>
      <vt:lpstr>Hoja8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KKCUN FIN 07</dc:creator>
  <cp:lastModifiedBy>Mayra Vicente</cp:lastModifiedBy>
  <dcterms:created xsi:type="dcterms:W3CDTF">2026-05-18T17:35:58Z</dcterms:created>
  <dcterms:modified xsi:type="dcterms:W3CDTF">2026-05-25T16:04:08Z</dcterms:modified>
</cp:coreProperties>
</file>